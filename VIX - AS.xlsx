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Álvaro Schwiedop\Desktop\KriptaStudios\Gex-Dashboard-Live\"/>
    </mc:Choice>
  </mc:AlternateContent>
  <xr:revisionPtr revIDLastSave="0" documentId="8_{DDD263FB-46F4-494A-877D-A38D007989FB}" xr6:coauthVersionLast="47" xr6:coauthVersionMax="47" xr10:uidLastSave="{00000000-0000-0000-0000-000000000000}"/>
  <bookViews>
    <workbookView xWindow="-110" yWindow="-110" windowWidth="25820" windowHeight="15500" activeTab="1" xr2:uid="{00000000-000D-0000-FFFF-FFFF00000000}"/>
  </bookViews>
  <sheets>
    <sheet name="VIX" sheetId="8" r:id="rId1"/>
    <sheet name="UPLOAD" sheetId="10" r:id="rId2"/>
  </sheets>
  <definedNames>
    <definedName name="_xlnm._FilterDatabase" localSheetId="0" hidden="1">VIX!$A$1:$M$1018</definedName>
  </definedNames>
  <calcPr calcId="0"/>
  <fileRecoveryPr repairLoad="1"/>
</workbook>
</file>

<file path=xl/calcChain.xml><?xml version="1.0" encoding="utf-8"?>
<calcChain xmlns="http://schemas.openxmlformats.org/spreadsheetml/2006/main">
  <c r="N56" i="8" l="1"/>
  <c r="N55" i="8"/>
  <c r="N54" i="8"/>
  <c r="N53" i="8"/>
  <c r="N52" i="8"/>
  <c r="N51" i="8"/>
  <c r="N50" i="8"/>
  <c r="N49" i="8"/>
  <c r="N48" i="8"/>
  <c r="N47" i="8"/>
  <c r="N46" i="8"/>
  <c r="N45" i="8"/>
  <c r="N44" i="8"/>
  <c r="N43" i="8"/>
  <c r="N42" i="8"/>
  <c r="N41" i="8"/>
  <c r="N40" i="8"/>
  <c r="N39" i="8"/>
  <c r="N38" i="8"/>
  <c r="N37" i="8"/>
  <c r="N36" i="8"/>
  <c r="N35" i="8"/>
  <c r="N34" i="8"/>
  <c r="N33" i="8"/>
  <c r="N32" i="8"/>
  <c r="N31" i="8"/>
  <c r="N30" i="8"/>
  <c r="N29" i="8"/>
  <c r="N28" i="8"/>
  <c r="N27" i="8"/>
  <c r="N26" i="8"/>
  <c r="N25" i="8"/>
  <c r="N24" i="8"/>
  <c r="N23" i="8"/>
  <c r="N22" i="8"/>
  <c r="N21" i="8"/>
  <c r="N20" i="8"/>
  <c r="N19" i="8"/>
  <c r="N18" i="8"/>
  <c r="N17" i="8"/>
  <c r="N16" i="8"/>
  <c r="N15" i="8"/>
  <c r="N14" i="8"/>
  <c r="N13" i="8"/>
  <c r="N12" i="8"/>
  <c r="N11" i="8"/>
  <c r="N10" i="8"/>
  <c r="N9" i="8"/>
  <c r="N8" i="8"/>
  <c r="N7" i="8"/>
  <c r="N6" i="8"/>
  <c r="N5" i="8"/>
  <c r="N4" i="8"/>
  <c r="N3" i="8"/>
</calcChain>
</file>

<file path=xl/sharedStrings.xml><?xml version="1.0" encoding="utf-8"?>
<sst xmlns="http://schemas.openxmlformats.org/spreadsheetml/2006/main" count="1932" uniqueCount="863">
  <si>
    <t>VIX</t>
  </si>
  <si>
    <t>Up</t>
  </si>
  <si>
    <t>High</t>
  </si>
  <si>
    <t>Low</t>
  </si>
  <si>
    <t>Gamma</t>
  </si>
  <si>
    <t>Zomma</t>
  </si>
  <si>
    <t>Delta</t>
  </si>
  <si>
    <t>Vex</t>
  </si>
  <si>
    <t>Vega</t>
  </si>
  <si>
    <t>Vomma</t>
  </si>
  <si>
    <t>Speed</t>
  </si>
  <si>
    <t>Dealers Action</t>
  </si>
  <si>
    <t>Regime</t>
  </si>
  <si>
    <t>Pos</t>
  </si>
  <si>
    <t xml:space="preserve">IV </t>
  </si>
  <si>
    <t>Market Phenominum</t>
  </si>
  <si>
    <t>Action</t>
  </si>
  <si>
    <t>Neg</t>
  </si>
  <si>
    <t>Fragile Long Vol / Bearish Vol Expansion Regime with Mean-Reversion at Extremes</t>
  </si>
  <si>
    <t>Short-Call Gamma Squeeze — Upside Cascade at High IV</t>
  </si>
  <si>
    <t>High Confidence Grind / PIN</t>
  </si>
  <si>
    <t>Vanna-fueled Melt Up (Index can push far beyond expectations)</t>
  </si>
  <si>
    <t>Low-Vol Grind-Up / Melt-Up — Dealers Comfortable with Upside Drift</t>
  </si>
  <si>
    <t>Bullish Drift Ignition / Melt Up</t>
  </si>
  <si>
    <t>Orderly Sell Off (grind) / Hedged Bear Market</t>
  </si>
  <si>
    <t>Possible Volatility Expansion Setup (If IV wakes up)</t>
  </si>
  <si>
    <t>Vanna-fueled Melt Up / Expansion</t>
  </si>
  <si>
    <t>Machine Driven Short Squeeze</t>
  </si>
  <si>
    <t>Long Convexity Melt-Up</t>
  </si>
  <si>
    <t>High Volatility Grind Up</t>
  </si>
  <si>
    <t>Gamma Drain Short Squeeze</t>
  </si>
  <si>
    <t>Long convexity, Long volatility / Coiled Spring</t>
  </si>
  <si>
    <t>Compression / Pin Day (with squeeze potential)</t>
  </si>
  <si>
    <t>High-IV Call Magnet (Pin) / Active Magnet Grind</t>
  </si>
  <si>
    <t>Dealer Long Gamma/ Low Volatility Grind Up</t>
  </si>
  <si>
    <t>Long Gamma Pin</t>
  </si>
  <si>
    <t>Long Gamma Pin — Downward Lean with Upside Gamma Wall</t>
  </si>
  <si>
    <t>Short Gamma Slow Bleed — Dampened Cascade. Downward Lean.</t>
  </si>
  <si>
    <t>Long Downside Tail — Dealer Crash-Hedged at High Vol</t>
  </si>
  <si>
    <t>Crisis-Continuation Short-Gamma Cascade — Downside Acceleration at High Vol</t>
  </si>
  <si>
    <t>Coiled with risk of downside cascade  (primed for violent vol expansion)</t>
  </si>
  <si>
    <t>High-Vol Coiled Cascade -  Accelerating Breakdown Risk</t>
  </si>
  <si>
    <t>Dormant; Pre-Cascade Setup</t>
  </si>
  <si>
    <t>Tilt:</t>
  </si>
  <si>
    <t>Charm Net Negative</t>
  </si>
  <si>
    <t>Charm Net Positive</t>
  </si>
  <si>
    <t>Trend Day , Pull backs are enteries</t>
  </si>
  <si>
    <t>Fade Extremes</t>
  </si>
  <si>
    <t>Fade Extremes/ PIN</t>
  </si>
  <si>
    <t>Pre-Ignition Setup / Low-IV Long-Gamma Compression with Bullish Coil</t>
  </si>
  <si>
    <t>Trend Day</t>
  </si>
  <si>
    <t>The Waterfall Sell- Off</t>
  </si>
  <si>
    <t>Volmageddon Setup / Complacency Trap</t>
  </si>
  <si>
    <t>Dealer is</t>
  </si>
  <si>
    <t>Short ATM/near-ATM calls (dominant gamma) + Long OTM puts</t>
  </si>
  <si>
    <t>SELL the rally dominant.  Pro-cyclical gamma hedging. Vanna piles on as buyer on selloffs  — cushions the move and drives mean-reversion at extremes.</t>
  </si>
  <si>
    <t>SELL LEAN. Sell the Rally. But DON'T chase breakdowns.</t>
  </si>
  <si>
    <t>Volatile bearish drift with bounded downside / Mean-reverting within bearish regime</t>
  </si>
  <si>
    <t>Fade both extremes but lean short.  Volatile, Expect Whipsaw</t>
  </si>
  <si>
    <t>Charm buys, active. Small counter-flow against the chase, gets overrun. Pos Vex + Pos Vomma are the real defense.  SELL LEAN, fade rallies. Don't chase breakdowns — but charm won't save you either.</t>
  </si>
  <si>
    <t>Charm sells, active. Stacks with the chase → compounds the breakdown. Dangerous downside cell. SELL LEAN harder. Don't fade the break — let it run. Cover at exhaustion.</t>
  </si>
  <si>
    <t xml:space="preserve">BUY the dip dominant. Pro-cyclical hedging — buying into strength, chase accelerates on rallies. Ride the trend — on IV spike trend changes to dominant selling. </t>
  </si>
  <si>
    <t xml:space="preserve">BUY on Pullback. Pullbacks are generally shallow. </t>
  </si>
  <si>
    <t xml:space="preserve">Trend Day - Pos Speed grind. </t>
  </si>
  <si>
    <t>Charm buys, dormant. Aligned with melt-up but too small to matter. Ignore charm. BUY-the-pullback per row. Max Vanna if above, can act as magnet.</t>
  </si>
  <si>
    <t>Charm sells, small but active. Mild headwind on the chase — caps rallies, deepens dips slightly. Melt-up still wins.  BUY-the-pullback per row. Grind slower than typical melt-up.</t>
  </si>
  <si>
    <t>High-IV Bearish Pin — Vanna-Cushioned Drift with Tail Exposure</t>
  </si>
  <si>
    <t>Long ATM Straddle / Short OTM Wings (put-skewed Short Iron Butterfly)</t>
  </si>
  <si>
    <t xml:space="preserve">Sell rallies / Buy dips weakly (gamma pin with bearish lean). On IV lifts, Vex pos  adds vanna buying — cushions downside moves at pin. But no wing catch if spot breaches tail. </t>
  </si>
  <si>
    <t>Fade extremes while pin holds. SELL LEAN on IV expansion — pin breaks down with no wing catch (Vomma Neg). Ride the break — no recovery mechanism.</t>
  </si>
  <si>
    <t xml:space="preserve">Fragile Compression </t>
  </si>
  <si>
    <t>Fade extremes. On gamma-flip breakdown: SELL trend, ride to exhaustion (no wing catch).</t>
  </si>
  <si>
    <t>Charm buys, active. Small support, floor erodes anyway. No catch at tail. SELL LEAN. Mean-reversion AM only. Don't buy late breakdowns expecting a bounce.</t>
  </si>
  <si>
    <t>Charm sells, active. Hardens ceiling, weakens floor. Retail: SELL LEAN, fade rallies aggressively — ceiling fails early. Breakdown uncaught at tail. Cover at exhaustion.</t>
  </si>
  <si>
    <t>Low-IV Bearish Drift Pin — Vanna Cushion Loaded</t>
  </si>
  <si>
    <t xml:space="preserve">Dormant while vol compressed. Sell rallies / Buy dips weakly (gamma pin with bearish lean). On IV lifts,Vex pos  adds vanna buying — cushions downside moves at pin. But no wing catch if spot breaches tail. </t>
  </si>
  <si>
    <t xml:space="preserve">Neutral /Small BUY LEAN -  Buy the dip while the market is calm. </t>
  </si>
  <si>
    <t>Charm buys, small but active. Thin pin support — overrun when Neg Vex fires, no Vomma catch.  Range trade to NEUTRAL while VIX low. Exit dip-buys on first IV tick — trap is charm's grip breaking.</t>
  </si>
  <si>
    <t>Charm sells, small but active. Slow drag against row's BUY LEAN; pin holds in compressed vol.  BUY LEAN / Neutral per row, mild tilt only. Exit on first vol tick — charm is the slow leak.</t>
  </si>
  <si>
    <t xml:space="preserve">High-IV Long Vol Bearish Skew — Vanna-Cushioned Drift </t>
  </si>
  <si>
    <t>Long Strangle asymmetric — Long Puts near ATM (dominant, downside-biased) + Long Calls further OTM (upside tail). Robust long-vol book (Vomma Pos) positioned for vol expansion.</t>
  </si>
  <si>
    <t>Sells rallies / Buys dips (gamma pin with bearish lean). On IV lifts, Vex pos adds vanna buying — cushions downside moves during vol expansion.</t>
  </si>
  <si>
    <t xml:space="preserve">SELL LEAN into PIN — PIN holds with bearish drift. On vol expansion, expect vanna-cushioned descent (not waterfall). </t>
  </si>
  <si>
    <t xml:space="preserve">Compression </t>
  </si>
  <si>
    <t>Fade both extremes — vanna cushion protects downside, pin caps upside.</t>
  </si>
  <si>
    <t>Charm buys, active. Small support; Vex + Vomma do the work. SELL LEAN, cushioned descent not waterfall. Cover at IV peak.</t>
  </si>
  <si>
    <t>Charm sells, active. Hardens ceiling, weakens floor — but Vomma catches at tail. SELL LEAN, fade rallies aggressively. Defined-move trade.</t>
  </si>
  <si>
    <t>Long Vol Convexity Book - Loaded with Vanna Cushion on Downside</t>
  </si>
  <si>
    <t>Passive / Dormant while vol compressed. On IV expansion, Vex pos triggers forced buying — cushions any downside move.</t>
  </si>
  <si>
    <t xml:space="preserve"> BUY LEAN into PIN</t>
  </si>
  <si>
    <t>Charm buys, dormant. Aligned with BUY LEAN, too small to matter. Wing caught structurally.  BUY LEAN per row. Cushioned dip on vol expansion.</t>
  </si>
  <si>
    <t>Charm sells, small but active. Slow drag against BUY LEAN; Vomma still catches. Retail: BUY LEAN, mild tilt only. Exit dip-buys on first vol tick.</t>
  </si>
  <si>
    <t>High-IV Bearish Pin with Pre-Breakdown Structure — Coiled for downside vol expansion</t>
  </si>
  <si>
    <t>Long near-dated ATM body (Gamma+) + Long far-dated OTM put-skewed wings (Vega+, Vomma+, Vex−).</t>
  </si>
  <si>
    <t>Sell rallies / Buy dips weakly (gamma pin with bearish lean). Vex Neg compounds selling on IV lifts — pin breaks down on vol expansion.</t>
  </si>
  <si>
    <t>SELL LEAN into PIN on IV expansion — pin breaks down. Chop otherwise.</t>
  </si>
  <si>
    <t>Compression — Bear-Coiled</t>
  </si>
  <si>
    <t>Fade upside extremes while pin holds. On gamma-flip breakdown: SELL trend, ride the bear move.</t>
  </si>
  <si>
    <t>Charm buys, active. Small support but overrun.  Neg Vex fires the break, Vomma catches only at tail. SELL LEAN, ride don't fade. Fast descent. Cover at IV peak.</t>
  </si>
  <si>
    <t>Charm sells, active. Stacks with Neg Vex on rallies; floor weaker, ceiling harder. Vomma backstops. SELL LEAN, fade rallies aggressively. Defined-move trade.</t>
  </si>
  <si>
    <t>Low-IV Bearish Compression — Loaded for Downside with Wing Convexity Payoff</t>
  </si>
  <si>
    <t>Buy dips weakly / Sell rallies (gamma pin with bearish lean). Vex Neg compounds selling on IV lifts — pin breaks down on vol expansion.</t>
  </si>
  <si>
    <t>AVOID Buys. Neutral / Small SELL LEAN  on rally— pin holds while vol compressed. Await vol expansion trigger for size.</t>
  </si>
  <si>
    <t>Compression — Bear-Coiled (Latent)</t>
  </si>
  <si>
    <t>Fade upside extremes with bearish lean. Don't fade downside — break risk on vol expansion.</t>
  </si>
  <si>
    <t>Charm buys, small but active. Thin pin grip — overrun when Neg Vex fires; Vomma catches at tail. AVOID buys hard. First vol tick = size short to Vomma catch.</t>
  </si>
  <si>
    <t xml:space="preserve">Charm sells, small but active. Slow bearish drag; pin holds for now. Small SELL LEAN on rallies — escalate on first vol tick. Don't get long the range. </t>
  </si>
  <si>
    <t>Short near-dated calls (above ATM) + Short far-dated OTM put wings + Long near-dated ATM puts.</t>
  </si>
  <si>
    <t>Mechanical forced BUYING. Pro-cyclical chase on rallies (short-call squeeze). Passive on downside. Dormant while vol compressed.</t>
  </si>
  <si>
    <t>AVOID Shorts. BUY LEAN on rally confirmation — squeeze risk. Vex Neg catches the squeeze at top.</t>
  </si>
  <si>
    <t>Trend Day (Upside Squeeze)</t>
  </si>
  <si>
    <t>Trend Day , Pullbacks are entries</t>
  </si>
  <si>
    <t>Charm fuels the squeeze, no ceiling. Charm buying stacks with chase; Neg Vomma = no catch.  BUY LEAN, ride to organic exhaustion. Cover at IV peak.</t>
  </si>
  <si>
    <t>Charm slows the squeeze, doesn't catch it. The top comes from squeeze exhaustion, not from charm/vex defense. Reduce long size into rallies but don't flip short.</t>
  </si>
  <si>
    <t>Dealer Short Gamma Trap — Loaded for Upside Squeeze</t>
  </si>
  <si>
    <t xml:space="preserve">Dormant while vol compressed. Pro-cyclical chase on rallies (short-call squeeze loaded). Passive on downside. </t>
  </si>
  <si>
    <t>BUY LEAN (small) on upside trigger. Avoid shorts — squeeze loaded. No directional edge in dormant state — await IV trigger.</t>
  </si>
  <si>
    <t xml:space="preserve">Transitional / Coiled — Pre-Trend Day </t>
  </si>
  <si>
    <t xml:space="preserve">Transitional — squeeze loaded. Await entry. </t>
  </si>
  <si>
    <t>Charm is a non-factor here. Latent buying drip too small to matter against the loaded short-call book. Real danger: squeeze trigger . First IV tick = size long.</t>
  </si>
  <si>
    <t>Weak ceiling, overrun on trigger. Charm + Vex dormant in compressed vol; squeeze overrides both.  Don't fade rallies — charm caps nothing.</t>
  </si>
  <si>
    <t>Dealer-Overwhelmed Bearish Drift — Pos dealer book absorbs but doesn't reverse external selling</t>
  </si>
  <si>
    <t>Long ATM Straddle / Long OTM Wings</t>
  </si>
  <si>
    <t xml:space="preserve">Sells rallies/ Buys dips. IV spike causes deep retracements that do not recover. </t>
  </si>
  <si>
    <t>SELL LEAN. Dips are Deep &amp; dip-buying is WEAK. Dealer book absorbs but doesn't reverse. Don't fight the external flow.</t>
  </si>
  <si>
    <t>Compression with bearish drift</t>
  </si>
  <si>
    <t>Fade Extremes. Don't expect bounces on dips.</t>
  </si>
  <si>
    <t>Charm sells, active. Stacks ceiling, erodes floor through session. Vomma catches at tail.  Mean-reversion works AM, fails PM — don't buy late breakdowns expecting bounce.— bearish drift gets help.</t>
  </si>
  <si>
    <t>Charm buys, active. Floor doubly defended; ceiling leaks. SELL LEAN, but delay entry. Wait for rally exhaustion. Squeeze risk into close.</t>
  </si>
  <si>
    <t>Compression with bullish drift</t>
  </si>
  <si>
    <t xml:space="preserve">Fade Extremes. </t>
  </si>
  <si>
    <t>Charm sells, dormant. — too small to matter.  Dips shallow early, fade late. BUY LEAN. Overshoots above the ceiling get sold — charm working, not breaking.</t>
  </si>
  <si>
    <t>Charm buys, active. Charm IS the melt-up. Pin stops capping, becomes magnet. BUY LEAN, face-ripper grind. Chase or sit out — dips won't come.</t>
  </si>
  <si>
    <t>Bearish Pin — Vol compression with downside drift risk</t>
  </si>
  <si>
    <t>Sell the Rally aggressively / Buy the Dip weakly (gamma pin with bearish lean). On IV lifts, Vex Neg compounds selling. Pin holds while vol compressed.</t>
  </si>
  <si>
    <t>SELL LEAN - Neg Vex means IV spikes force additional selling</t>
  </si>
  <si>
    <t>Compression with bearish drift — downside break risk</t>
  </si>
  <si>
    <t>Fade upside extremes. Don't fade downside — break risk on vol expansion.</t>
  </si>
  <si>
    <t>Charm buys, active. Too small to defend; floor erodes. Pos Vega cushions briefly, Neg Vomma reverses → no catch at tail.  SELL LEAN. Don't fade the break. Cover at exhaustion only.</t>
  </si>
  <si>
    <t>Charm sells, active. Hardens ceiling, weakens floor; downside still uncaught (Neg Vomma). SELL LEAN, fade rallies confidently — ceiling fails early. Size shorts for runaway move on breakdown.</t>
  </si>
  <si>
    <t>Low-IV Compression with Bearish Skew — Fragile Pin</t>
  </si>
  <si>
    <t>Sell the rally aggressively / Buy the dip weakly (gamma pin with bearish lean). On IV lifts, Vex Neg compounds selling. Pin holds while vol compressed.</t>
  </si>
  <si>
    <t>AVOID BUYS. Neutral. Pin likely below (dex neg).  Await the SELL in high IV.  Pin holds while vol compressed but bearish drift within compression — downside cascade risk (no wing catch).</t>
  </si>
  <si>
    <t>Charm buys, small but active. Thin pin grip — overrun when Neg Vex fires; loaded cascade, no catch below. AVOID buys hard. First IV tick = size short, ride uncaught.</t>
  </si>
  <si>
    <t>Charm sells, small but active. Stacks with Neg Vex on rallies → ceiling hardens; downside undefended on break. Fade rallies on vol wake. Never buy dips — no floor below.</t>
  </si>
  <si>
    <t>Short ATM Straddle / Short OTM Wings (no wing protection)</t>
  </si>
  <si>
    <t>Forced pro-cyclical selling on every downtick.Acceleration as spot moves. No flow reversal at tails. in low IV  the dealer is dormant - dealer does minimal flow.</t>
  </si>
  <si>
    <t>Trend Day no V-recovery, ride to exhaustion.</t>
  </si>
  <si>
    <t>Trend Day , bounces are entries</t>
  </si>
  <si>
    <t>Charm buys, swamped. Counter-flow can't arrest the cascade. SELL the breakdown. Don't fade — charm can't help. Cover at organic exhaustion only.</t>
  </si>
  <si>
    <t>Charm sells, active. Every flow aligned, no counter-flow exists. SELL harder than Neg Charm version. Ride to organic exhaustion.</t>
  </si>
  <si>
    <t>Dormant - dealer does minimal flow because IV is low and price isn't moving much. BUT the book is primed: any IV spike triggers forced pro-cyclical selling</t>
  </si>
  <si>
    <t xml:space="preserve">Dormant - Await the SELL.  Expected move is small - Cascade Risk if IV spikes.  Don't Front run. No directional edge for futures in low IV. Option traders can buy cheap long puts. </t>
  </si>
  <si>
    <t>Dormant - Coiled with Trend Day cascasde Risk</t>
  </si>
  <si>
    <t>Wait for IV wake-up (transition to High IV row). Don't fade the eventual breakdown.</t>
  </si>
  <si>
    <t>Charm buys, small but active. Thin pin support — overrun on IV expansion, no defense anywhere. Await the SELL. First IV tick = size short, runaway move.</t>
  </si>
  <si>
    <t>Charm sells, small but active. Slow drag now, accelerant on trigger. Every flow loaded the same direction. Most dangerous loaded setup. First IV tick = size short aggressively.</t>
  </si>
  <si>
    <t>High-IV Long Gamma Compression — Fragile Pin with downside break risk (Vex Neg)</t>
  </si>
  <si>
    <t>Buy the dip / Sell the rally (gamma pin). On IV lifts, Vex Neg forces dealer selling — vanna flow breaks the pin to the downside. Pin stable while vol compressed.</t>
  </si>
  <si>
    <t>SELL LEAN — dips are deep. Break-down leads to controlled descent toward wing strike. Slow U, not sharp V. Pre-break level typically not recovered.</t>
  </si>
  <si>
    <t>Fragile Compression — pin-break risk on IV expansion.</t>
  </si>
  <si>
    <t>Fade upside extremes — break risk on vol expansion.</t>
  </si>
  <si>
    <t>Charm sells, active. Stacks with Neg Vex on rallies, erodes floor; Vomma catches at wing. SELL LEAN. Fade rallies aggressively. Defined descent to wing strike.</t>
  </si>
  <si>
    <t>Charm buys, active. Floor doubly defended; ceiling leaks. SELL LEAN, delay entry. Wait for rally exhaustion. Vomma catches breakdown at wing.</t>
  </si>
  <si>
    <t>Long Gamma Pin —  downside break on vol expansion</t>
  </si>
  <si>
    <t xml:space="preserve">Neutral/Cautious BUY Lean into Pin. Pin holds while vol compressed. Exit on IV expansion — downside break risk. Don't chase upside </t>
  </si>
  <si>
    <t>Charm sells, small but active. Slow bearish drag; pin holds for now. Retail: Cautious BUY Lean per row, mild tilt only. Exit on IV expansion.</t>
  </si>
  <si>
    <t>Charm buys, small but active. Slow floor reinforcement, pin migrates higher session-over-session. BUY Lean per row with mild long tilt. Exit on IV expansion —— charm doesn't save the floor but Vomma catches at wing.</t>
  </si>
  <si>
    <t>Short Strangle / Long ATM Straddle (Short Iron Butterfly)</t>
  </si>
  <si>
    <t>Buy the dip aggressively / Sell the rally weakly. Wing breach either side flips dealer to forced chaser — upside biased due to Pos Delta.. Respect the PIN</t>
  </si>
  <si>
    <t>Cautious SELL LEAN into PIN. Respect the PIN. Squeeze risk bias to upside.</t>
  </si>
  <si>
    <t>Compression — vol-crush risk. Pin until wing breach</t>
  </si>
  <si>
    <t>Charm sells, active. Stacks with rally-cap; mild offset against squeeze bias. Cautious SELL LEAN. Respect PIN. Downside uncaught if pin fails  although bias is upside squeeze.</t>
  </si>
  <si>
    <t>Charm buys, active. Amplifies upside squeeze risk; no catch above. Retail: Cautious SELL LEAN, size shorts smaller — squeeze risk elevated. Don't fade rallies aggressively.</t>
  </si>
  <si>
    <t>BUY LEAN with conviction. Respect the PIN.</t>
  </si>
  <si>
    <t>Compression</t>
  </si>
  <si>
    <t>Charm sells, small but active. Slow bearish drag; pin holds for now, breaks fast on expansion (no Vomma catch).  BUY LEAN per row, mild tilt only. Exit on first vol tick — downside wing breach uncaught.</t>
  </si>
  <si>
    <t>Charm buys, small but active. Slow floor reinforcement; loads upside squeeze. Retail: BUY LEAN with conviction. Size for asymmetric upside on wing breach.</t>
  </si>
  <si>
    <t xml:space="preserve">Possible Short-Cover Cascade / Upside Gamma Squeeze </t>
  </si>
  <si>
    <t>Long ATM Straddle / Short OTM Wings</t>
  </si>
  <si>
    <t xml:space="preserve">Pre-cascade: sells rallies, buys dips (gamma pinning). Post-trigger: forced buyer. Low IV vanna melt up. </t>
  </si>
  <si>
    <t>AVOID Short or size small. Buy dips aggressively — Squeeze risk to upside. Assumes short-cover catalyst active. Pre-catalyst: pin/range regime.</t>
  </si>
  <si>
    <t xml:space="preserve">Transitional Compression - Trend Day (Violent Upside) with squeeze mechanics. But squeeze requires a catalyst like news. </t>
  </si>
  <si>
    <t>Fade Extremes with upside lean (Squeeze risk)</t>
  </si>
  <si>
    <t>Charm sells, swamped. Counter-flow drowned by squeeze cascade; full defense absorbs downside. Retail: AVOID Short. Buy dips aggressively.</t>
  </si>
  <si>
    <t>Charm buys, active. Apex bullish setup. Every flow aligned up; full defense supports. Retail: AVOID Shorts hard. Buy dips aggressively, ride to organic exhaustion or wing strike.</t>
  </si>
  <si>
    <t xml:space="preserve">Low IV vanna melt up. High IV sells rallies, buys dips pre-cascade. On news post cascade: buys dips aggressively. </t>
  </si>
  <si>
    <t>BUY with conviction — vanna-fueled melt-up</t>
  </si>
  <si>
    <t>Compression with upward drift</t>
  </si>
  <si>
    <t>Fade Extremes with upside lean</t>
  </si>
  <si>
    <t>Charm sells, small but active. Slow bearish drag against the vanna-fueled melt-up — too small to fight the dominant flow. BUY with conviction per row. Charm provides minor pullbacks that get bought instantly. Don't wait for deeper dips — they won't come.</t>
  </si>
  <si>
    <t>Charm buys, active — IS the melt-up. Sustained grind up. BUY with conviction. Face-ripper grind — index can push far beyond expectations. Chase or sit out.</t>
  </si>
  <si>
    <t>Short Gamma Cascade / Negative Convexity Unwind with built-in Feedback Loop ( V-recovery mechanism)</t>
  </si>
  <si>
    <t>Short ATM Straddle / Long OTM Wings (both sides).</t>
  </si>
  <si>
    <t>Active / Forced pro-cyclical selling on every downtick in High IV. Short ATM gamma drives selling into the cascade until OTM wings activate near IV peak — dealer flow flips from selling to buying, fueling V-recovery. Decays to inactive as IV normalizes.</t>
  </si>
  <si>
    <t>SELL the breakdown. Trend-follow aggressively but watch for IV peak — the tail hedge activates V-recovery earlier than pure Waterfall. Don't ride to exhaustion.</t>
  </si>
  <si>
    <t>Trend Day (Likely Violent) with with built in V-recovery mechanism</t>
  </si>
  <si>
    <t>Trend Day — pullbacks are entries during the cascade. BUT V-recovery comes faster than Waterfall due to tail activation.</t>
  </si>
  <si>
    <t>Charm buys, swamped. Counter-flow drowned by cascade; Vex + Vega + Vomma drive V-recovery. SELL per row. Cover at IV peak / V-recovery point. Recovery comes faster than Waterfall.</t>
  </si>
  <si>
    <t>Charm sells, active. Stacks with cascade; caps V-recovery bounce. SELL harder. On V-recovery, don't flip long aggressively — ceiling hardened. Cover short at IV peak.</t>
  </si>
  <si>
    <t>Low Vol Coiled Spring — Bearish Skew with latent V-recovery mechanism (armed but not triggered)</t>
  </si>
  <si>
    <t>Inactive / position carrying in Low IV. Short ATM straddle dormant, OTM wings cheap and armed awaiting vol expansion trigger. On IV breakout, flips to forced pro-cyclical selling with V-recovery mechanism latent until activated.</t>
  </si>
  <si>
    <t>Awaiting Trigger/ IV Spike. Minimal hedging pressure in low IV.</t>
  </si>
  <si>
    <t>Transitional / Coiled — Pre-Trend Day  — Bearish Bias</t>
  </si>
  <si>
    <t>Neutral</t>
  </si>
  <si>
    <t>Charm buys, small but active. Thin pin grip; cascade fires on vol expansion, V-recovery still activates. Awaiting trigger. First IV tick = size short, cover at V-recovery.</t>
  </si>
  <si>
    <t>Charm sells, small but active. Slow drag; on trigger, caps V-recovery bounce. Awaiting trigger. First IV tick = size short. V-recovery long weaker here — size smaller.</t>
  </si>
  <si>
    <t>Active Short-Vol Cascade / Volatile Bearish Drift</t>
  </si>
  <si>
    <t>Put-skewed short strangle</t>
  </si>
  <si>
    <t>Forced seller on IV lift (Neg Vex). Cascade risk on IV wake-up or break. Passive theta collection in calm.</t>
  </si>
  <si>
    <t>SELL LEAN on rallies. Bearish drift dominant despite Pos Zomma cushion.</t>
  </si>
  <si>
    <t>Trend Day , Bounces are entries</t>
  </si>
  <si>
    <t>Charm sells, active. Stacks with bearish drift; weakens Pos Delta cushion; no Vomma catch. SELL LEAN on rallies aggressively. Cushion fragile — no floor below.</t>
  </si>
  <si>
    <t>Charm buys, active. Adds to dip-cushion; cushion still fragile (Neg Vomma).  SELL LEAN per row, less aggressively. Don't over-size shorts — minor dip support.</t>
  </si>
  <si>
    <t>Dormant Short-Vol Collector / Pre-Cascade Setup (Bearish Trigger)</t>
  </si>
  <si>
    <t>Passive theta collection in calm. Forced seller on IV lift (Neg Vex). Cascade risk on IV wake-up or break.</t>
  </si>
  <si>
    <t>Small size BUY LEAN in calm (Pos Delta bias). AVOID heavy long positions — regime is cascade-capable on IV wake-up. Options: buy cheap tail protection</t>
  </si>
  <si>
    <t>Buy dips small in dormant state. Watch IV — cascade fires bearishly on IV wake-up.</t>
  </si>
  <si>
    <t>Charm sells, small but active. Slow bearish drag; pin holds for now, breaks fast on trigger. Retail: Small BUY LEAN per row, mild bearish tilt. Buy tail protection. Exit on first vol tick.</t>
  </si>
  <si>
    <t>Charm buys, small but active. Minor cushion reinforcement; doesn't save floor on trigger. Retail: Small BUY LEAN, mild long tilt. Buy tail protection. Exit on first vol tick.</t>
  </si>
  <si>
    <t>Active Squeeze / Short-Vol Capitulation — Melt-Up Cascade</t>
  </si>
  <si>
    <t xml:space="preserve">Short Calls (dominant) / Short Puts (smaller). </t>
  </si>
  <si>
    <t>Forced buying/ squeeze. Passive hedging in calm.</t>
  </si>
  <si>
    <t>AVOID Shorts. BUY the breakout — short-covering cascade</t>
  </si>
  <si>
    <t>Charm buys, active. Fuels the squeeze. Aligned with cascade + Pos Vex; no Vomma cap above. Retail: AVOID Shorts hard. BUY breakout, ride to exhaustion. Cover at IV peak.</t>
  </si>
  <si>
    <t>Charm sells, active. Headwind on squeeze, overrun. Squeeze runs anyway. Still AVOID Shorts. Don't fade rallies — charm doesn't cap.</t>
  </si>
  <si>
    <t>Pre-Squeeze Setup / Short-Vol Capitulation Primer (Dormant)</t>
  </si>
  <si>
    <t>Passive hedging in calm. Primed for forced bullish squeeze on IV lift or rally into gamma zone.</t>
  </si>
  <si>
    <t>BUY LEAN on dips. Dormant squeeze setup</t>
  </si>
  <si>
    <t xml:space="preserve">Transitional / Coiled — Pre-Trend Day — dormant bullish pre-squeeze setup </t>
  </si>
  <si>
    <t>Fade Extremes with upside lean.</t>
  </si>
  <si>
    <t>Charm buys, small but active. Loaded squeeze fuel; fires on trigger, no cap above. Awaiting trigger. First IV tick = size long. Apex squeeze setup on this row.</t>
  </si>
  <si>
    <t>Charm sells, small but active. Slow counter-flow against latent squeeze loading; pin holds for now. On trigger, charm overrun.  Awaiting trigger per row. First IV tick = size long, but less aggressively than Neg Charm version — charm provides small headwind.</t>
  </si>
  <si>
    <t>Long Puts / Long Calls (put-skew bias)</t>
  </si>
  <si>
    <t xml:space="preserve">Buy the dip/ Sell the rally </t>
  </si>
  <si>
    <t>SELL LEAN on rallies.</t>
  </si>
  <si>
    <t>Charm buys, active. Stacks with Pos Vex on dips; Vomma catches at wing. SELL LEAN on rallies. Cushioned descent to wing strike. Cover at Vomma activation.</t>
  </si>
  <si>
    <t>Charm sells, active. Hardens cap modestly; floor still defended by Pos Vex + Vomma. Retail: SELL LEAN on rallies, pin holds longer. Wait for rally exhaustion.</t>
  </si>
  <si>
    <t xml:space="preserve">Hedged Long-Vol Compression / Orderly Grind Higher </t>
  </si>
  <si>
    <t xml:space="preserve">BUY LEAN on dips. </t>
  </si>
  <si>
    <t>Compression with upside drift</t>
  </si>
  <si>
    <t>Charm buys, small but active. Aligned with BUY LEAN bias; Pos Vex + Vomma defend dips. BUY LEAN on dips per row. Floor robust.</t>
  </si>
  <si>
    <t>Charm sells, small but active. Slow bearish drag; floor still defended structurally.  BUY LEAN on dips per row, mild bearish tilt only. Don't oversize long — charm provides slow headwind. Floor defended structurally.</t>
  </si>
  <si>
    <t>Active Vanna-Hollow Squeeze / Spot-Vol Correlation Trend Day</t>
  </si>
  <si>
    <t>Reverse call calendar</t>
  </si>
  <si>
    <t>Pro-cyclical hedging / Chasing. Passive hedging in calm.</t>
  </si>
  <si>
    <t>Correlation matrix in Tilt determines tactical direction.</t>
  </si>
  <si>
    <t>Trend Day — spot-vol correlation dependent (squeeze firing)</t>
  </si>
  <si>
    <t xml:space="preserve">Spot Down + VIX Flat: Dealers are Sellers; Spot Down + VIX Exploding: Dealers are Confused/Neutral; Spot Up + VIX Dropping: Dealers are Aggressive Buyers; Spot Up + VIX Flat/Rising slightly: Dealers are Moderate Buyers </t>
  </si>
  <si>
    <t>Charm buys, active. Aligned with bullish squeeze; fights bearish scenarios weakly. Await correlation confirmation. Bullish regime: BUY. Bearish regime: cascade dominates.</t>
  </si>
  <si>
    <t>Charm sells, active. Helps shorts if bearish regime fires; fights longs if bullish regime fires. Await correlation confirmation. Bullish regime: BUY. Bearish regime: cascade dominates.</t>
  </si>
  <si>
    <t>Vanna-Hollow Coiled — Direction Unconfirmed</t>
  </si>
  <si>
    <t>Passive hedging in calm.Pro-cyclical hedging / Chasing if IV wakes up.</t>
  </si>
  <si>
    <t>Dormant. Await spot-vol correlation confirmation. No directional trade — correlation matrix not yet revealed.</t>
  </si>
  <si>
    <t>Dormant — Vanna Coiled. Trend Day Risk in Either Direction</t>
  </si>
  <si>
    <t>Transitional — not yet trend day. Neutral. Do not front run. Wait for spot-vol correlation to confirm direction.</t>
  </si>
  <si>
    <t>Charm buys, small but active. Pre-melt-up bid building; bullish-correlation-conditional.  Dormant, await correlation. Don't front-run.</t>
  </si>
  <si>
    <t>Charm sells, small but active. Light cap; direction-conditional. Dormant, await correlation. Don't front-run.</t>
  </si>
  <si>
    <t>Long Calls (dominant) + Long Puts (smaller hedge)</t>
  </si>
  <si>
    <t>Buy the dip aggressively. Sell the rally weakly. (Waiting for the breakout).</t>
  </si>
  <si>
    <t>AVOID the Short. BUY the Dips with conviction. Coiled bullish spring — upside break most likely, short trades have no edge.</t>
  </si>
  <si>
    <t>Fade Extremes, waiting for breakout</t>
  </si>
  <si>
    <t>Charm sells, swamped. Counter-flow drowned by every-Greek-aligned bullish setup. AVOID Short. BUY Dips with conviction — coiled spring still triggers upside.</t>
  </si>
  <si>
    <t>Charm buys, active. Apex bullish setup. Every flow aligned up with full defense. AVOID Shorts hard. BUY Dips aggressively, ride to organic exhaustion or wing strike.</t>
  </si>
  <si>
    <t>Buy the dip aggressively. Sell the rally weakly. Aggressive upward drift.</t>
  </si>
  <si>
    <t>BUY with conviction. Avoid shorts.</t>
  </si>
  <si>
    <t>Compression with aggressive upside drift (vanna-fueled). Active melt-up</t>
  </si>
  <si>
    <t>Buy pullbacks aggressively, ride the vanna grind. No structural ceiling.</t>
  </si>
  <si>
    <t>Charm sells, small but active. Minor counter-flow; defense stack defends pullbacks. BUY with conviction per row. Pullbacks bought instantly — don't wait for deeper dips.</t>
  </si>
  <si>
    <t>Charm buys, active — IS the melt-up. Sustained grind with Pos Vomma defining upside; full defense cushions pullbacks. BUY with conviction. Face-ripper grind — index can push far beyond expectations. Chase or sit out.</t>
  </si>
  <si>
    <t xml:space="preserve">Long Calls (dominant) + Long Puts (smaller) </t>
  </si>
  <si>
    <t>Buy the dip aggressively. Sell the rally weakly. Dealer positioned for active magnet/pin.</t>
  </si>
  <si>
    <t>SELL LEAN on extension only into pin strike. Neg Speed punishes extension.</t>
  </si>
  <si>
    <t>Compression with mechanical drift into Pin.</t>
  </si>
  <si>
    <t>Fade Extremes with lean towards PIN</t>
  </si>
  <si>
    <t>Charm sells, active. Stacks with Pos Vex on rallies away from pin; combined with Neg Speed (gamma shrinks on extension), upside extensions fail back to pin. Pin defends. SELL LEAN into pin strike. Fade upside extensions confidently. Don't fade dips back to pin.</t>
  </si>
  <si>
    <t>Charm buys, active. Reinforces floor on dips; magnet caps extensions regardless. Retail: SELL LEAN into pin strike per row. Buy dips back to pin with confidence. Magnet does the capping.</t>
  </si>
  <si>
    <t>Buy the dip aggressively.  Sell the rally weakly. Dealer positioned for vol expansion.</t>
  </si>
  <si>
    <t>BUY LEAN with conviction on dips. Coiled setup.</t>
  </si>
  <si>
    <t>Compression / coiled pre-expansion. Aggressive upside drift (Pin above)</t>
  </si>
  <si>
    <t xml:space="preserve">Fade Extremes - Buy dips with upside lean into the coil. </t>
  </si>
  <si>
    <t>Charm sells, small but active. Minor headwind against bullish bias; magnet holds pin. Retail: BUY LEAN on dips per row. Charm provides drag but doesn't threaten the setup.</t>
  </si>
  <si>
    <t>Charm buys, small but active. Slow floor reinforcement; loads bullish breakout if IV wakes. Retail: BUY LEAN with conviction. Coiled bullish — charm loads the floor for the vol expansion trigger.</t>
  </si>
  <si>
    <t>Call Calendar — short near-dated calls (near gamma), long back-dated calls</t>
  </si>
  <si>
    <t>Aggressive chasing. Passive pinning in calm</t>
  </si>
  <si>
    <t xml:space="preserve">AVOID Shorts. BUY pullbacks aggressively — squeeze is mechanical. DO NOT CHASE at the highs — wait for the dip. </t>
  </si>
  <si>
    <t>Momentum Breakout, High Probability Upside, Pullbacks are enteries</t>
  </si>
  <si>
    <t>Charm sells, active. Headwind on squeeze; deepens pullbacks,  better entries. Vomma catches at wing. AVOID Shorts. BUY pullbacks aggressively — charm makes dips deeper. Don't chase highs.</t>
  </si>
  <si>
    <t>Charm buys, active. Every flow aligned up; Vomma catches at wing, Neg Speed produces dip. AVOID Shorts hard. DO NOT CHASE highs — wait for the dip, next leg is explosive.</t>
  </si>
  <si>
    <t>Pre-Squeeze Setup / Machine-Driven Squeeze Primer</t>
  </si>
  <si>
    <t>Passive pinning in calm. Primed for bullish agressive chasing on IV lift</t>
  </si>
  <si>
    <t>BUY LEAN on dips. Dormant bullish squeeze setup.</t>
  </si>
  <si>
    <t>Transitional / Coiled — Pre-Trend Day  — dormant, pre-squeeze setup</t>
  </si>
  <si>
    <t>Charm sells, small but active. Slow headwind delays trigger; pin holds for now. BUY LEAN on dips per row. Headwind doesn't prevent the squeeze.</t>
  </si>
  <si>
    <t>Charm buys, small but active. Loads squeeze; pin migrates higher session-over-session. BUY LEAN on dips with conviction. Loaded bullish setup — first IV tick fires the cascade.</t>
  </si>
  <si>
    <t>Long Puts / Long Calls</t>
  </si>
  <si>
    <t>Buy the dip/ Sell the rally</t>
  </si>
  <si>
    <t xml:space="preserve">AVOID Shorts. BUY the dip with conviction. </t>
  </si>
  <si>
    <t xml:space="preserve">Compression with upside drift </t>
  </si>
  <si>
    <t>Charm sells, active. Stacks with Neg Vex caps; deepens dips. Vomma catches wing. Retail: AVOID Shorts. BUY the dip — charm makes dips deeper, better entries. Don't chase rallies.</t>
  </si>
  <si>
    <t>Charm buys, active. Every flow except Neg Vex aligned up; mechanical rally-caps via Vex. AVOID Shorts hard. BUY the dip aggressively — next leg explosive. Don't chase, wait for Vex retracement.</t>
  </si>
  <si>
    <t>BUY LEAN/ Buy the Dip</t>
  </si>
  <si>
    <t>Charm sells, small but active. Minor headwind delays ignition; floor defended structurally.  BUY LEAN per row. Headwind doesn't prevent the coil.</t>
  </si>
  <si>
    <t>Charm buys, small but active. Loads bullish coil; pin migrates higher session-over-session. BUY LEAN with conviction. Loaded bullish coil — charm pre-loads the ignition.</t>
  </si>
  <si>
    <t>Long Puts dominant + Long Calls</t>
  </si>
  <si>
    <t>Buy the dip aggressively. Sell the rally weakly. Mild upward drift.</t>
  </si>
  <si>
    <t xml:space="preserve">AVOID Shorts. BUY LEAN on dips. High-IV grind up with IV-crush tailwind. </t>
  </si>
  <si>
    <t>Compression with Upside Drift</t>
  </si>
  <si>
    <t xml:space="preserve">Fade Extremes with upside lean. Strong Floor. </t>
  </si>
  <si>
    <t>Charm buys, active. Fuels grind; Pos Speed amplifies; IV-crush removes Vex cap. AVOID Shorts. BUY LEAN on dips with conviction.</t>
  </si>
  <si>
    <t>Charm sells, active. Mechanical rally caps via charm + Neg Vex; floor defended. AVOID Shorts. BUY LEAN on dips — rrally retracements ARE the dip entries. Don't short the cap.</t>
  </si>
  <si>
    <t>Charm buys, small but active. Aligned with grind; pin migrates higher.  BUY LEAN on dips. Slow grind.</t>
  </si>
  <si>
    <t>Charm sells, small but active. Caps rallies on vol wake; floor defended. Retail: AVOID Shorts. BUY LEAN on dips.</t>
  </si>
  <si>
    <t>Short Calls dominant (being squeezed) / Long Puts hedge</t>
  </si>
  <si>
    <t>Forced buying - Delta buffer consumed by gamma drain — mechanical buying as delta flips. In low IV dealers are mostly dormant.</t>
  </si>
  <si>
    <t>BUY</t>
  </si>
  <si>
    <t xml:space="preserve">Momentum Chasing, Trend Day. </t>
  </si>
  <si>
    <t>Charm sells, active. Accelerates Pos Delta buffer consumption — getting the dealer to the delta-flip point faster. Once flipped, forced covering squeeze fires. BUY per row. Neg Charm accelerates the squeeze trigger timing. Charm helps the squeeze fire sooner; don't wait for ideal entry — chase the breakout when delta flips.</t>
  </si>
  <si>
    <t>Charm buys, active. Reinforces buffer → delays trigger, more violent squeeze when fires. BUY per row. Size for asymmetric upside — Pos Charm cell produces the most violent squeeze.</t>
  </si>
  <si>
    <t>Low Vol Coiled — Upside Squeeze Risk (dormant)</t>
  </si>
  <si>
    <t>Short Calls dominant (theta harvesting, squeeze risk latent)  / Long Puts hedge</t>
  </si>
  <si>
    <t>Quiet theta harvest. If triggered: forced buying — gamma drain consumes delta, mechanical squeeze up.</t>
  </si>
  <si>
    <t>BUY but future traders await trigger. Can chop until trigger. Option traders can buy cheap calls/call spreads while IV is suppressed.</t>
  </si>
  <si>
    <t>Dormant — Squeeze Risk</t>
  </si>
  <si>
    <t xml:space="preserve">Neutral at rest; bullish if squeeze fires. </t>
  </si>
  <si>
    <t>Charm sells, small but active. Pre-loads buffer consumption. BUY but await trigger. First IV tick = squeeze fires sooner. Buy cheap calls while IV suppressed.</t>
  </si>
  <si>
    <t>Charm buys, small but active. Reinforces buffer; violent squeeze on trigger. BUY but await trigger. Size for asymmetric upside on trigger fire.</t>
  </si>
  <si>
    <t>Mechanical Melt-Up / Vanna-Driven Grind Higher</t>
  </si>
  <si>
    <t>Long Straddle (Uncoiled Convexity)</t>
  </si>
  <si>
    <t>BUY PULLBACKS aggressively; rip-selling is overwhelmed by vanna + delta hedging flows</t>
  </si>
  <si>
    <t>AVOID Shorts / BUY the Dip</t>
  </si>
  <si>
    <t>Fade downside extreme only; ride upside extension already in motion. Strong Floor, weak ceiling.</t>
  </si>
  <si>
    <t>Charm buys, active. Aligned with melt-up; every flow stacks up; strong floor, weak ceiling. AVOID Shorts. BUY the Dip aggressively — sustained melt-up.</t>
  </si>
  <si>
    <t>Charm sells, active. Small headwind on melt-up; vanna + speed override. Choppier grind with retracements.  AVOID Shorts. BUY the Dip — retracements are better entries. Don't fade rallies.</t>
  </si>
  <si>
    <t>Positive Gamma Coil with Bull Volatility Trigger Risk</t>
  </si>
  <si>
    <t>Long Straddle (Coiled Convexity)</t>
  </si>
  <si>
    <t>BUY the dip / Sell the rally with caution — Bull vol upside squeeze risk. In high IV  rip-selling is overwhelmed by vanna + delta hedging flows</t>
  </si>
  <si>
    <t xml:space="preserve">BUY the Dip </t>
  </si>
  <si>
    <t>Compression with Explosive Bullish Risk</t>
  </si>
  <si>
    <t>Fade downside extreme only; respect upside trigger — squeeze ignites on IV expansion. Strong Floor, fragile ceiling.</t>
  </si>
  <si>
    <t>Charm buys, small but active. Pre-loads the bullish trigger; pin migrates higher session-over-session.  BUY the Dip per row. Charm loads the trigger for vol expansion.</t>
  </si>
  <si>
    <t>Charm sells, small but active. Minor delay to bullish trigger; vanna overruns on vol wake. BUY the Dip per row. Vol wake = melt-up regardless.</t>
  </si>
  <si>
    <t>Vol-Expanded Downside Trend / Self-Accelerating Breakdown via Zomma</t>
  </si>
  <si>
    <t xml:space="preserve">Short ATM Straddle + Long OTM Wings </t>
  </si>
  <si>
    <t>At High IV, pro-cyclical selling on weakness dominates. Reluctant buying on bounces (Neg Delta hedge) gets overwhelmed by Neg Gamma + Vega flow. At Low IV the book is dormant.</t>
  </si>
  <si>
    <t>SELL LEAN. SELL Bounces, Avoid Longs.</t>
  </si>
  <si>
    <t>Trend Day.  Forced-Flow Trend with Whipsaw Risk</t>
  </si>
  <si>
    <t>Trend with whipsaw — chase weakness, don't fade. Pullbacks are NOT safe entries.</t>
  </si>
  <si>
    <t>Charm sells, active. Stacks with cascade; Vex + Vomma defense overrun on real moves. SELL LEAN. SELL bounces, avoid longs. Pullbacks NOT safe entries.</t>
  </si>
  <si>
    <t>Charm buys, active. Counter-flow, soft floor intraday; overrun on real moves. SELL LEAN, bounces hold briefly but still SELL. Whipsaw risk elevated.</t>
  </si>
  <si>
    <t>The Silent Trap / High Probability Coiled Breakdown</t>
  </si>
  <si>
    <t xml:space="preserve">At Low IV the book is dormant until a vol trigger fires. At High IV, pro-cyclical selling on weakness dominates. Reluctant buying on bounces (Neg Delta hedge) gets overwhelmed by Neg Gamma + Vega flow. </t>
  </si>
  <si>
    <t>Pre-trigger the book is dormant. Don't pre-empt the break; chase it.</t>
  </si>
  <si>
    <t>Transition - Trend Day , Coiled — wait for break. Bounces are short entries, not longs. Don't fade range pre-trigger.</t>
  </si>
  <si>
    <t>Charm sells, small but active. Slow bearish drag pre-loading the trigger. Retail: Don't pre-empt; chase the break. First IV tick = size short.</t>
  </si>
  <si>
    <t>Charm buys, small but active. Slow floor support pre-trigger; overrun when vol expands. Don't pre-empt; chase the break. Pre-trigger floor breaks on first IV tick.</t>
  </si>
  <si>
    <t>High-Vol Short-Put Book Under Pressure — Trend Day with Sold Bounces</t>
  </si>
  <si>
    <t>Short ATM Puts dominant + Long OTM Call Wings</t>
  </si>
  <si>
    <t>Pro-cyclical: sell weakness, buy strength reluctantly. At Low IV book is dormant.</t>
  </si>
  <si>
    <t xml:space="preserve">SELL LEAN. SELL bounces into resistance. Trend continues — don't fade. </t>
  </si>
  <si>
    <t>Trend Day , bounces are short entries</t>
  </si>
  <si>
    <t>Charm sells, active. Stacks with Neg Gamma sell-into-weakness; bounces shallow, breaks accelerate late. SELL LEAN, SELL bounces. Don't fade. Trend day with weak retracements.</t>
  </si>
  <si>
    <t>Charm buys, active. Stacks with Neg Gamma buy-into-strength on bounces; sold bounces get bought back. SELL LEAN but size shorts smaller — squeeze risk into close. Don't fade rallies aggressively.</t>
  </si>
  <si>
    <t>Hedged Short-Put Book at Low Vol — Upside Grind, Downside Trap</t>
  </si>
  <si>
    <t>Pro-cyclical: sell weakness, buy strength reluctantly. At Low IV book is dormant; at High IV pro-cyclical flow fires. Pos Delta + Neg Gamma compound on rallies (sold) and breaks lower (chased).</t>
  </si>
  <si>
    <t>BUY grind cautiously; flip short on put-strike break</t>
  </si>
  <si>
    <t>Transitional — Pre-Trend Day - . Pin / Upside Grind with Latent Downside Trap</t>
  </si>
  <si>
    <t>Cautious lean long on grind. Possible transition to bear Trend Day.</t>
  </si>
  <si>
    <t>Charm sells, small but active. Pre-loaded bearish bias; vol shock = trap fires (charm + Neg Gamma compound). BUY grind cautiously, flip short on put-strike break. Apex downside trap on this row.</t>
  </si>
  <si>
    <t>Charm buys, small but active. Caps the grind via accumulated dealer length; vol spike = forced unwind downside. BUY grind cautiously, flip short on put-strike break. Vol spike fires trap from this side too.</t>
  </si>
  <si>
    <t>Compressed Range — Long Gamma Floor, IV Mean-Reverting Lower</t>
  </si>
  <si>
    <t xml:space="preserve">Long Straddle, call-heavy / call ITM </t>
  </si>
  <si>
    <t>Buy the dip / Sell the rally — counter-cyclical dampening (book dormant at Low IV)</t>
  </si>
  <si>
    <t>SELL LEAN towards PIN</t>
  </si>
  <si>
    <t>Fade near extremes. Caution at far extremes — Neg Speed weakens dampening</t>
  </si>
  <si>
    <t>Charm sells, active. Stacks with Neg Vex + Neg Speed; reinforces rally cap. Floor defended by Vega + Vomma. SELL LEAN towards PIN. Fade upside extensions confidently. Don't fade dips.</t>
  </si>
  <si>
    <t>Charm buys, active. Reinforces floor on dips; magnet caps extensions regardless. SELL LEAN towards PIN per row. Buy dips back to pin confidently — floor doubly defended.</t>
  </si>
  <si>
    <t>Quiet Pin / Dormant Range — Long Gamma at rest, breakouts fail</t>
  </si>
  <si>
    <t>BUY LEAN towards PIN</t>
  </si>
  <si>
    <t>Charm sells, small but active. Minor headwind against BUY LEAN; pin holds via Pos Gamma + Neg Speed. BUY LEAN towards PIN per row. Headwind doesn't threaten pin.</t>
  </si>
  <si>
    <t>Charm buys, small but active. Slow floor reinforcement; pin migrates higher session-over-session. BUY LEAN towards PIN per row. Charm reinforces buy-dip leg.</t>
  </si>
  <si>
    <t>Long Put Book Engaged — High IV Reinforces the Floor</t>
  </si>
  <si>
    <t>Long Put-Heavy Strangle (put-skew dominant — defensive floor)</t>
  </si>
  <si>
    <t>SELL LEAN. Sell the rally. However,defended floor active — don't chase shorts into dealer support.</t>
  </si>
  <si>
    <t xml:space="preserve">Fade extremes - Defended floor </t>
  </si>
  <si>
    <t>Charm buys, active. Aligned with defended floor; long puts + Pos Vega + Vomma reinforce. SELL LEAN, sell rally. Don't chase shorts — floor robust, cover at put-strike.</t>
  </si>
  <si>
    <t>Charm sells, active. Stacks with Neg Vex on rallies → cap; floor still defended structurally. SELL LEAN, sell rally. Floor robust. Defined-move trade.</t>
  </si>
  <si>
    <t>Compressed Range — Long Put Floor Loaded but Idle</t>
  </si>
  <si>
    <t>BUY LEAN. BUY shallow dips — long-put floor + Neg Delta hedge support. IV expansion is tailwind. Defended floor is robust at Low IV.</t>
  </si>
  <si>
    <t>Charm buys, small but active. Aligned with defended floor; pin holds via loaded long-put hedge. BUY LEAN, buy shallow dips. IV expansion = tailwind. Floor robust.</t>
  </si>
  <si>
    <t>Charm sells, small but active. Slow drag; long put floor + Pos Vega defend on vol shock.BUY LEAN, buy shallow dips. Charm headwind doesn't threaten floor.</t>
  </si>
  <si>
    <t>High-IV Compression with Breakout Risk — Dealer Dampening Fading</t>
  </si>
  <si>
    <t>Long Call-Heavy Strangle</t>
  </si>
  <si>
    <t>BUY the dip / Sell the rally — counter-cyclical dampening. Slight buy-lean on dips.</t>
  </si>
  <si>
    <t>SELL LEAN towards Pin. CAUTION: Zomma Neg weakens dampening; ceiling dissolves on breakout. Don't fade conviction breakouts.</t>
  </si>
  <si>
    <t>Fade Extremes;  Bias Upside Risk</t>
  </si>
  <si>
    <t>Charm sells, active. Stacks with Neg Vex; reinforces rally cap during compression.  SELL LEAN towards Pin. CAUTION: ceiling dissolves on conviction breakouts. Don't fade.</t>
  </si>
  <si>
    <t>Charm buys, active. Reinforces floor; amplifies upside breakout risk via Pos Delta + Pos Speed. SELL LEAN towards Pin but size shorts smaller — breakout risk elevated. Don't fade conviction breakouts.</t>
  </si>
  <si>
    <t>BUY LEAN</t>
  </si>
  <si>
    <t>Fade Extremes; Bias Upside Risk</t>
  </si>
  <si>
    <t>Charm sells, small but active. Minor headwind; pin holds. BUY LEAN per row. Charm doesn't threaten pin. Watch for upside breakouts.</t>
  </si>
  <si>
    <t>Charm buys, small but active. Floor reinforced; pre-loads upside breakout potential. BUY LEAN with conviction. Loaded bullish bias for vol-expansion trigger.</t>
  </si>
  <si>
    <t>High-IV Compression — Strong Ceiling, Weakening Floor</t>
  </si>
  <si>
    <t>Long Puts dominant near ATM / Long Calls further OTM above (downward-lean pin with upside gamma wall)</t>
  </si>
  <si>
    <t>Buy the dip (Pos Gamma counter-cyclical) + buy rallies (Neg Delta hedge). Ceiling holds via Pos Speed gamma wall. Retail can fade rallies into wall towards PIN.</t>
  </si>
  <si>
    <t xml:space="preserve">SELL LEAN. FADE rallies into wall towards PIN. Don't chase shorts — long-put floor still active. </t>
  </si>
  <si>
    <t>Charm buys, active. Aligned with floor defense — vega and vomma support dips. But Neg Zomma weakens floor support faster than expected, so charm-driven floor can dissolve.  SELL LEAN, fade rallies into wall toward PIN per row. Don't chase shorts — long-put floor still active. But don't expect the floor to hold indefinitely either.</t>
  </si>
  <si>
    <t>Charm sells, active. Stacks with Neg Vex on rallies → reinforces the upside gamma wall ceiling. Same flow weakens floor on dips; Pos Vega + Pos Vomma defend but Neg Zomma erodes faster than the wall. Pin-break risk skewed to downside on vol shock. SELL LEAN, fade rallies into wall confidently. Downside break is the bigger risk — exit shorts cautiously on vol expansion (downside may run faster than expected).</t>
  </si>
  <si>
    <t xml:space="preserve">BUY LEAN. Buy the dip into the wall. </t>
  </si>
  <si>
    <t>Charm buys, small but active. Aligned with the long-put floor defense in compressed vol; pin holds. BUY LEAN, buy the dip into the wall per row. Floor reinforced but Neg Zomma flag — don't oversize dip-buys, floor may weaken faster than apparent.</t>
  </si>
  <si>
    <t>Charm sells, small but active. Reinforces wall; pin-break skewed downside on vol shock. Retail: BUY LEAN per row, flag downside risk on vol expansion.</t>
  </si>
  <si>
    <t>Neg Gamma Trend — Bearish Lean via Vol-Expansion Tailwind</t>
  </si>
  <si>
    <t>Short Front-Dated / Long Back-Dated Calls (calendar structure)</t>
  </si>
  <si>
    <t>Pro-cyclical hedging — sell into weakness (dominant), buy into strength (secondary). Bias toward selling due to positive Vega  which favors IV expansion, which empirically correlates with downside.</t>
  </si>
  <si>
    <t>SELL LEAN — Follow Trend — Bearish lean structurally- Bounces can be deep.</t>
  </si>
  <si>
    <t>Trend Day , Bounces are short entries</t>
  </si>
  <si>
    <t>Charm buys, active. Counter-flow overwhelmed by cascade + Pos Vega + Neg Vex; Vomma catches wing.Charm doesn't help shorts but doesn't save them either.  SELL LEAN follow trend. Cover at Vomma activation. Bounces deep — charm occasional support.</t>
  </si>
  <si>
    <t>Charm sells, active. Stacks with cascade; bounces shallower than Neg Charm version. SELL LEAN harder. Cover at Vomma activation.</t>
  </si>
  <si>
    <t>AVOID LONGS. SELL LEAN - Sell bounces with patience — slow bleed regime. Wait for confirmed downside expansion before chasing. Don't pre-empt — book mostly dormant at Low IV.</t>
  </si>
  <si>
    <t xml:space="preserve">Transitional  — Pre-Trend Day </t>
  </si>
  <si>
    <t>Transitional - Trend Day, Bounces are short  entries - Bearish drift</t>
  </si>
  <si>
    <t>Charm buys, small but active. Counter-flow; late session: gamma exhausts, charm dominates, modest upside drift. AVOID LONGS per row, SELL bounces with patience. Charm's late-session lift provides better bounce-sell entries; don't pre-empt the break.</t>
  </si>
  <si>
    <t>Charm sells, small but active. Stacks with bleed; late session: charm grinds tape lower, no natural floor. Retail: AVOID LONGS, SELL bounces. Confident short once expansion confirmed.</t>
  </si>
  <si>
    <t>High-IV Liquidation Cascade — Pos Delta Capitulation, Vanna Unwind Down</t>
  </si>
  <si>
    <t>Short Front-Month Puts + Long Back-Month Calls</t>
  </si>
  <si>
    <t>Pro-cyclical selling on weakness + forced selling on rallies (Pos Delta hedge). Net flow: persistent downward pressure.</t>
  </si>
  <si>
    <t>SELL LEAN - Follow Trend — Bounces will be shallow (Zomma Neg accelerates selloff).</t>
  </si>
  <si>
    <t>Trend Day — Liquidation Cascade, Bearish Lean</t>
  </si>
  <si>
    <t xml:space="preserve">Trend Day — Bounces are shorting opportunities </t>
  </si>
  <si>
    <t>Charm sells, active. Stacks with cascade + Pos Vega unwind + Neg Vex; Vomma catches at wing. SELL LEAN follow trend. Bounces shallow — charm compounds the selloff momentum. Cover at Pos Vomma activation / IV peak.</t>
  </si>
  <si>
    <t>Charm buys, active. Counter-flow overrun by cascade; deeper bounces than Neg Charm version.  SELL LEAN. Bounces = short entries. Cover at Vomma activation.</t>
  </si>
  <si>
    <t>Coiled Short-Put Book — Pre-Liquidation Drift</t>
  </si>
  <si>
    <t>Pro-cyclical hedging — sell weakness, sell rallies (Pos Delta hedge). Book dormant at Low IV until vol expands.</t>
  </si>
  <si>
    <t>AVOID BUYS. Sell bounces with patience — book dormant at Low IV. Wait for confirmed downside vol expansion before chasing shorts.</t>
  </si>
  <si>
    <t>Transitional / Coiled — Pre-Trend Day -  Slow Drift  — Pre-Liquidation</t>
  </si>
  <si>
    <t>Transitional - Trend Day , Bounces are short entries. Bearish drift.</t>
  </si>
  <si>
    <t>Charm sells, small but active. Pre-loads bearish bias; pin holds for now. AVOID BUYS, sell bounces with patience. Wait for confirmed expansion.</t>
  </si>
  <si>
    <t>Charm buys, small but active. Soft floor breaks on first IV tick; cascade overruns. AVOID BUYS. Don't trust the floor — wait for confirmed expansion to chase shorts.</t>
  </si>
  <si>
    <t>Gamma Acceleration Selloff — Short-Vol Book Bleeding</t>
  </si>
  <si>
    <t>Short ATM Straddle + Long OTM Wings</t>
  </si>
  <si>
    <t>Pro-cyclical hedging — sell weakness , buy rallies reluctantly. Net flow: bearish asymmetry on breakdowns.</t>
  </si>
  <si>
    <t>SELL LEAN — Follow Trend — Bounces will be shallow (Zomma Neg accelerates selloff). Avoid the Long</t>
  </si>
  <si>
    <t>Trend Day - Bearish Asymmetry</t>
  </si>
  <si>
    <t>Trend Day ,  Bounces are shorting opportunities</t>
  </si>
  <si>
    <t>Charm buys, swamped. Counter-flow overrun by cascade; Pos Vega cushions briefly, Vomma catches at wing.  SELL LEAN follow trend. Charm provides occasional soft bounces — those are shorting opportunities, not long entries.  Cover at Vomma activation.</t>
  </si>
  <si>
    <t>Charm sells, active. Stacks with cascade; Pos Vega briefly cushions; Vomma catches at wing. SELL LEAN harder.  Bounces shallow — charm compounds the selloff momentum. Cover at Vomma activation.</t>
  </si>
  <si>
    <t>Coiled Gamma Trap — Latent Cascade Risk</t>
  </si>
  <si>
    <t>Pro-cyclical hedging — sell weakness , buy rallies reluctantly. Net flow: bearish asymmetry on breakdowns. Book dormant at Low IV until vol expands.</t>
  </si>
  <si>
    <t>AVOID BUYS. Sell bounces with patience — book dormant at Low IV. Wait for confirmed downside vol expansion before chasing.</t>
  </si>
  <si>
    <t>Transitional / Coiled — Pre-Trend Day - Pre-Cascade</t>
  </si>
  <si>
    <t>Coiled — bounces are short entries with patience. Bearish asymmetry latent.</t>
  </si>
  <si>
    <t>Charm buys, small but active. Thin range support; overrun on trigger.  AVOID BUYS, sell bounces with patience. Charm holds the range until trigger.  First IV tick = size short to Vomma.</t>
  </si>
  <si>
    <t>Charm sells, small but active. Pre-loads bearish bias; on trigger, stacks with cascade. Retail: AVOID BUYS, sell bounces. First IV tick = confident short.</t>
  </si>
  <si>
    <t>Long ATM/ITM Put-Heavy Strangle</t>
  </si>
  <si>
    <t>Buy the Dip (Pos Gamma) + Buy rallies (Neg Delta hedge). At Low IV book is dormant; at High IV the floor engages and Pos Zomma reinforces</t>
  </si>
  <si>
    <t xml:space="preserve">AVOID SELL or FADE rallies cautiously into the PIN — floor strong, ceiling weak. </t>
  </si>
  <si>
    <t>Compression  — not pure Compression, because the range is asymmetric (harder floor than ceiling)</t>
  </si>
  <si>
    <t xml:space="preserve">Fade extremes towards PIN — floor robust, ceiling fragile </t>
  </si>
  <si>
    <t>Charm buys, active. Aligned with structurally strong floor; ceiling weak. (no structural cap)  AVOID SELL or fade rallies cautiously into PIN. Floor robust, don't chase shorts.</t>
  </si>
  <si>
    <t>Charm sells, active. Only cap mechanism on rallies — easily broken on conviction. Floor still defended. Fade rallies even more cautiously than Neg Charm version. Buy dips with confidence.</t>
  </si>
  <si>
    <t>Quiet Pin with Positive Gamma Pinning</t>
  </si>
  <si>
    <t>BUY the Dip  — Respect the Pin</t>
  </si>
  <si>
    <t>Charm buys, small but active. Aligned with long-put defended floor; pin holds. BUY the Dip, Respect the Pin. Floor robust.</t>
  </si>
  <si>
    <t xml:space="preserve">Charm sells, small but active. Soft ceiling via charm + Neg Speed magnet. BUY the Dip per row. Fade upside extensions back to pin cautiously — charm + Neg Speed combine to cap extensions, but be cautious on conviction breakouts (ceiling structurally fragile). </t>
  </si>
  <si>
    <t xml:space="preserve">Short puts (unwinding) + Long Call Wings. </t>
  </si>
  <si>
    <t>Low-Vol Short-Call Unwind — Zomma-Dampened Squeeze</t>
  </si>
  <si>
    <t>Short calls (unwinding, within strangle) + Long Put Wings.</t>
  </si>
  <si>
    <t>Pro-cyclical chase up: covering short calls on rallies → squeeze fades mechanically and regime will switche to compression.</t>
  </si>
  <si>
    <t>BUY LEAN — Pullbacks deepen as squeeze fades. Take profits into strength. Don't short until compression confirms</t>
  </si>
  <si>
    <t>Trend Day with built-in Ceiling — Squeeze-to-Compression Transition.</t>
  </si>
  <si>
    <t>Self-limiting trend day. Pullbacks are buying opportunities until compression confirms.</t>
  </si>
  <si>
    <t>Charm sells, small but active. Adds to squeeze fade; pullbacks deepen. BUY LEAN, take profits into strength. Don't short until compression confirms.</t>
  </si>
  <si>
    <t>Charm buys, small but active. Counter-flow against squeeze fade; pullbacks shallower. BUY LEAN, take profits into strength. Entries less attractive than Neg Charm version.</t>
  </si>
  <si>
    <t>High-Vol Short-Put Unwind / Vanna-Compounded Cascade</t>
  </si>
  <si>
    <t>Short Puts dominant + Long-Put Tail</t>
  </si>
  <si>
    <t>Pro-cyclical: Chase breakdowns (dominant) / Chase rallies lightly. Breakdown is vanna-amplified. Cascade exhausts on either gamma exhaustion OR IV crush (vanna flip).</t>
  </si>
  <si>
    <t xml:space="preserve">SELL LEAN — short bounces. Two exits: (a) Zomma+ / Neg Speed exhaust gamma at the tails; (b) IV crush flips vanna to buying. </t>
  </si>
  <si>
    <t>Trend Day — Short-Duration Cascade (self-limiting via Zomma ). Cascade-to-Compression Transition.</t>
  </si>
  <si>
    <t>Bounces are short entries until gamma exhausts</t>
  </si>
  <si>
    <t>Charm sells, active. Stacks with vanna-compounded cascade; Vomma catches at wing. SELL LEAN, short bounces. Exit on gamma exhaust or IV crush trigger. Bounces shallow.</t>
  </si>
  <si>
    <t>Charm buys, active. Counter-flow; bounces deeper, better short entries. SELL LEAN, don't chase at extension. Cover on IV crush — charm + vanna flip drive recovery.</t>
  </si>
  <si>
    <t>Low-Vol Short-Gamma Breakdown / Zomma-Dampened, Vanna-Dormant Selloff</t>
  </si>
  <si>
    <t xml:space="preserve">Mechanical Forced Selling — moderating as Zomma Pos kicks in. Any IV expansion will activate vanna selling. </t>
  </si>
  <si>
    <t xml:space="preserve">AVOID BUYS. SELL LEAN —short bounces. Reduce size as bounces deepen. Watch for IV lift: Neg Vex means any IV expansion will activate vanna selling . </t>
  </si>
  <si>
    <t xml:space="preserve">Trend Day with built in Floor -  Cascade-to-Compression Transition. </t>
  </si>
  <si>
    <t>Charm sells, small but active. Pre-loads bearish trigger; no V-recovery mechanism.  AVOID BUYS, SELL LEAN short bounces. Reduce size as bounces deepen.</t>
  </si>
  <si>
    <t>Charm buys, small but active. Counter-flow against bearish bias; bounces slightly deeper. AVOID BUYS, SELL LEAN short bounces. Better short entries via deeper bounces.</t>
  </si>
  <si>
    <t>High-Vol Short-Call Unwind / Vanna-Dampened Squeeze</t>
  </si>
  <si>
    <t>Short Calls dominant + Long Put Tail Hedge</t>
  </si>
  <si>
    <t>Mechanical Forced Buying.</t>
  </si>
  <si>
    <t xml:space="preserve">AVOID SHORTS. BUY LEAN  — buy dips. Flat at IV peak or gamma exhaust. Neg Speed kills the tail. Built in ceiling. </t>
  </si>
  <si>
    <t>Trend Day — Gamma-Driven Squeeze with Vanna Headwind. Squeeze-to-Compression Transition.</t>
  </si>
  <si>
    <t>Pullbacks are long entries until IV peaks or gamma exhausts.</t>
  </si>
  <si>
    <t>Charm buys, active. Fuels the squeeze; Neg Vex dampens, Neg Speed kills tail, Vomma catches wing. AVOID SHORTS, BUY LEAN. Buy dips. Flat at IV peak.</t>
  </si>
  <si>
    <t>Charm sells, active. Stacks with Neg Vex on rallies; gamma covering overrides.  AVOID SHORTS, BUY LEAN. Dips deeper, better entries. Flat at IV peak.</t>
  </si>
  <si>
    <t>Low-Vol Short-Call Unwind / Vanna-Dormant Squeeze</t>
  </si>
  <si>
    <t>BUY LEAN — buy dips early, reduce size as pullbacks deepen.</t>
  </si>
  <si>
    <t>Trend Day — Gamma-Driven Squeeze, Vanna Dormant. Squeeze-to-Compression.</t>
  </si>
  <si>
    <t>Pullbacks are long entries until gamma exhausts.</t>
  </si>
  <si>
    <t>Charm buys, small but active. Pre-loads squeeze fuel; aligned with latent upside. BUY LEAN, buy dips early. Reduce size as pullbacks deepen.</t>
  </si>
  <si>
    <t>Charm sells, small but active. Counter-flow overridden on trigger; dips slightly deeper. BUY LEAN, buy dips early — better entries via deeper dips. Reduce size as pullbacks deepen.</t>
  </si>
  <si>
    <t>High-Vol Vanna-Fueled Melt-Up with no Ceiling</t>
  </si>
  <si>
    <t>Short Calls dominant + Long Put Tail</t>
  </si>
  <si>
    <t>Mechanical gamma covering drives the rip; vanna buying amplifies on IV expansion. No ceiling.</t>
  </si>
  <si>
    <t>AVOID SHORTS. BUY LEAN — buy dips. No built-in ceiling.  Flat on first IV roll-over (IV stops rising, starts falling) or use external stops.</t>
  </si>
  <si>
    <t>Trend Day - No structural exhaustion</t>
  </si>
  <si>
    <t>Pullbacks are long entries.</t>
  </si>
  <si>
    <t>Charm buys, active. Fuels vanna-fueled melt-up; no built-in ceiling.  AVOID SHORTS, BUY LEAN. Flat on IV roll-over or use external stops.</t>
  </si>
  <si>
    <t>Charm sells, active. Counter-flow overrun by vanna + gamma; ceiling fails until external supply emerges. AVOID SHORTS, BUY LEAN. Dips deeper, better entries. Use external stops.</t>
  </si>
  <si>
    <t xml:space="preserve">Low-Vol Short-Call Unwind / Vanna-Dormant Squeeze </t>
  </si>
  <si>
    <t>BUY LEAN- buy the Dip. IV lift = Vanna Squeeze to the upside with no ceiling. Use external stops.</t>
  </si>
  <si>
    <t>Charm buys, small but active. Pre-loads upside bias; IV lift = Vanna Squeeze with no ceiling. BUY LEAN, buy dip. Use external stops on trigger.</t>
  </si>
  <si>
    <t>Charm sells, small but active. Counter-flow overridden on trigger; dips slightly deeper. BUY LEAN, buy dip — better entries via deeper dips. Use external stops.</t>
  </si>
  <si>
    <t>Put calendar/diagonal — Short near-dated puts + Long back-dated puts (hedge leg)</t>
  </si>
  <si>
    <t>Pro-cyclical Forced Selling</t>
  </si>
  <si>
    <t>SELL LEAN</t>
  </si>
  <si>
    <t>Trend Day — No Floor</t>
  </si>
  <si>
    <t>Charm buys, swamped. Counter-flow drowned by violent cascade; Vomma catches at wing. SELL LEAN per row. Don't fade — charm too small to provide floor in this regime. Trend Day — No Floor. Cover at Pos Vomma activation.</t>
  </si>
  <si>
    <t>Charm sells, active. Apex-danger. Stacks with cascade; every flow aligned down. SELL LEAN harder. Bounces shallow. Cover at Vomma activation or organic exhaustion.</t>
  </si>
  <si>
    <t>Put calendar/diagonal — Short near-dated puts + Long back-dated deeper puts.</t>
  </si>
  <si>
    <t>Quiet at flat Low IV (theta harvest on short puts). If triggered: pro-cyclical forced selling — short-put gamma chase intensifies with IV expansion (Zomma Neg accelerant) + long-put tail vanna selling compounds. No built-in brake.</t>
  </si>
  <si>
    <t>Dormant - Coiled with cascasde Risk</t>
  </si>
  <si>
    <t>Pre-trigger: No trade. Post-trigger: Bounces are shorting entries</t>
  </si>
  <si>
    <t>Charm buys, small but active. Thin floor; overrun on cascade trigger. Dormant per row, don't front-run. First IV tick = size short. Buy cheap puts.</t>
  </si>
  <si>
    <t>Charm sells, small but active. Apex-danger latent. Compounds bearish bias; accelerant on trigger.  Dormant per row, don't front-run. First IV tick = confident short aggressively.</t>
  </si>
  <si>
    <t>Put diagonal — short near puts + long back puts</t>
  </si>
  <si>
    <t>Pro-cyclical: Chase / SELL Breakdowns (dominant). Delta bleeding lower as spot falls.  Zomma Neg amplifies, vanna selling on IV expansion compounds.  Positive delta buffer being consumed. No brake. In Low IV dealers are moistly dormant.</t>
  </si>
  <si>
    <t>Charm sells, active. Accelerates Pos Delta buffer consumption; no brake once consumed. SELL LEAN. Trend Day — No Floor. Charm accelerates breakdown timing. Don't fade. Cover at Pos Vomma activation.</t>
  </si>
  <si>
    <t>Charm buys, active. Delays trigger by reinforcing Pos Delta buffer; violent unwind when buffer exhausts. SELL LEAN, timing later than Neg Charm version. Bounces deeper, better short entries.</t>
  </si>
  <si>
    <t>Minimal directional flow. Quiet at flat Low IV (theta harvest). If triggered: pro-cyclical chase — breakdowns dominant, Zomma Neg amplifies, vanna selling on IV expansion compounds. No brake.</t>
  </si>
  <si>
    <t>Dormant - Coiled Low-Vol. Latent Downside Cascade Risk.</t>
  </si>
  <si>
    <t>Neutral at rest; bearish if IV spikes. Bounces fade if cascade fires.</t>
  </si>
  <si>
    <t>Charm sells, small but active. Pre-loads buffer consumption. Dormant, await SELL. First IV tick = size short.</t>
  </si>
  <si>
    <t>Charm buys, small but active. Reinforces buffer in compressed vol; violent unwind on trigger. Dormant, await SELL. First IV tick = size short, expect violent unwind.</t>
  </si>
  <si>
    <t>Primary, Confirms, Backup</t>
  </si>
  <si>
    <t>Greeks for Support Levels</t>
  </si>
  <si>
    <t>Greeks for Resistance Levels</t>
  </si>
  <si>
    <t>Put wall → Largest Pos Vomma → Largest Pos Vex (invalidation level: Largest Dex below spot)</t>
  </si>
  <si>
    <t>Call wall → Largest Pos Gamma → Max pain (or Gamma flip)</t>
  </si>
  <si>
    <t xml:space="preserve">BUY LEAN. Dips shallow, dip-buying strong, max-gamma magnet above. (You almost always get a tradeable pullback. Watch Vwap). </t>
  </si>
  <si>
    <t>Put wall → Largest Pos Gamma → Largest Pos Vomma</t>
  </si>
  <si>
    <t>Call wall → Largest Pos Vomma → Max pain (or Gamma flip)</t>
  </si>
  <si>
    <t xml:space="preserve">Gamma </t>
  </si>
  <si>
    <t>VVIX</t>
  </si>
  <si>
    <t>VIX1D</t>
  </si>
  <si>
    <t>Lean</t>
  </si>
  <si>
    <t>Outcome</t>
  </si>
  <si>
    <t>Notes</t>
  </si>
  <si>
    <t>My Regime</t>
  </si>
  <si>
    <t>Gamma Points</t>
  </si>
  <si>
    <t>VIX Points</t>
  </si>
  <si>
    <t>VVIX Points</t>
  </si>
  <si>
    <t>VIX1D Points</t>
  </si>
  <si>
    <t>Sum of Points</t>
  </si>
  <si>
    <t>My Notes</t>
  </si>
  <si>
    <t>Positive</t>
  </si>
  <si>
    <t>Flat</t>
  </si>
  <si>
    <t>Stable Regime.</t>
  </si>
  <si>
    <t>Long bias. Buy dips to VWAP/prior support. AVOID fading of strength. Expect slow follow through.</t>
  </si>
  <si>
    <t>Slow grind up; shallow pullbacks bought</t>
  </si>
  <si>
    <t>Baseline grind. Today's wiggle is noise inside a calm tape.</t>
  </si>
  <si>
    <t>Low IV</t>
  </si>
  <si>
    <t xml:space="preserve">No directional conviction. But check GAMMA pull, flip and Max.. </t>
  </si>
  <si>
    <t>Sideways / Pin</t>
  </si>
  <si>
    <t>Pure equilibrium. Dealer gamma pins price; intraday mean reversion works.</t>
  </si>
  <si>
    <t xml:space="preserve">When in Chop look at VIX and VVIX V yesterday. When high its high IV when Low its Low IV. </t>
  </si>
  <si>
    <t>Stressed Vol regimes do lead to a dip buys</t>
  </si>
  <si>
    <t>This is Low IV so if break max Gamma, Respect breakout &amp; long assuming we have another gamma point above.</t>
  </si>
  <si>
    <t>If VIX/VVIX flat:Then look at VIX1D:</t>
  </si>
  <si>
    <t>Down</t>
  </si>
  <si>
    <t>Deep Calm</t>
  </si>
  <si>
    <t>Long bias but small size — range is tiny. Buy any dip, take profits quickly. AVOID holding for big moves.</t>
  </si>
  <si>
    <t>Slow quiet drift up, minimal two-way action, low volume</t>
  </si>
  <si>
    <t>Theta-burn day. Premium sellers love it; daytraders should size down or pass.</t>
  </si>
  <si>
    <t>Flat → light carry or no trade</t>
  </si>
  <si>
    <t>Hidden Tail Bid</t>
  </si>
  <si>
    <t>REDUCE SIZE. Don't chase strength. Buy dips smaller than usual, take profits faster. Watch for late-day break of pin.</t>
  </si>
  <si>
    <t>Quiet morning, then expanding ranges; afternoon breakdown risk</t>
  </si>
  <si>
    <t>RARE: VVIX rising = pin can crack. Daytrader's warning to tighten stops.</t>
  </si>
  <si>
    <t>High IV</t>
  </si>
  <si>
    <t>Very low → prepare for breakout / long vol</t>
  </si>
  <si>
    <t>Stealth Hedging</t>
  </si>
  <si>
    <t>Neutral to slight long. Smaller size. - storm brewing.</t>
  </si>
  <si>
    <t>Choppy tape with brewing storm</t>
  </si>
  <si>
    <t>VVIX bid means realized vol &gt; implied. Don't get lulled by flat VIX.</t>
  </si>
  <si>
    <t>Low IV (Fragile)</t>
  </si>
  <si>
    <t>Rising→ momentum environment / caution</t>
  </si>
  <si>
    <t>Latent Risk Build</t>
  </si>
  <si>
    <t>Defensive bias, fade rips into resistance, AVOID adding longs.</t>
  </si>
  <si>
    <t>Calm surface, rising undercurrent</t>
  </si>
  <si>
    <t>Don't carry size into close.</t>
  </si>
  <si>
    <t>High→ event risk / emotional market</t>
  </si>
  <si>
    <t>Event Pop, Tail Crush</t>
  </si>
  <si>
    <t>FADE morning vol spike. Long bias once spike resolves (~10-11am ET).</t>
  </si>
  <si>
    <t>Spike at open then mean revert hard; afternoon grind back</t>
  </si>
  <si>
    <t>Classic news-pop fade setup. Tail being unwound = bullish resolution.</t>
  </si>
  <si>
    <t>High but falling→ reversal opportunities</t>
  </si>
  <si>
    <t>Quiet Unwind</t>
  </si>
  <si>
    <t>Long bias. Buy dips with confidence.  — moves extend.</t>
  </si>
  <si>
    <t>Steady drift up,  end-of-day strength</t>
  </si>
  <si>
    <t xml:space="preserve"> Carry runners through afternoon.</t>
  </si>
  <si>
    <t>Full Vol Crush</t>
  </si>
  <si>
    <t>Aggressive long bias. Buy first dip, hold longer than usual. AVOID fading strength.</t>
  </si>
  <si>
    <t>Strong grind up, minimal pullbacks, late-day melt-up common</t>
  </si>
  <si>
    <t>Don't scalp out early.</t>
  </si>
  <si>
    <t>Localized Stress</t>
  </si>
  <si>
    <t>Reduce size. Don't fade morning weakness immediately — wait for stabilization. Buy second dip, not first.</t>
  </si>
  <si>
    <t>Gap down or weak open, midday basing, partial recovery</t>
  </si>
  <si>
    <t>Contained stress. Often a buyable dip but not a knife-catch.</t>
  </si>
  <si>
    <t>Slow Vol Rise</t>
  </si>
  <si>
    <t>Trim size. Tighter stops on longs. AVOID adding into strength. Two-way trading.</t>
  </si>
  <si>
    <t>Sloppy tape, false breakouts both ways, no clean trend</t>
  </si>
  <si>
    <t>Drift higher in vol with no panic. Whippy — cut losers fast.</t>
  </si>
  <si>
    <t xml:space="preserve">When in STRESSED VOL regime watch for reversal off Max Gamma. Confirm with momentum indicator &amp; Stochastic. Don't pre - empt. Wait for confirmation. </t>
  </si>
  <si>
    <t>Term Structure Tension</t>
  </si>
  <si>
    <t>Neutral. Trade levels not direction. AVOID conviction trades.</t>
  </si>
  <si>
    <t>Calm intraday but heavy underneath; closes weak</t>
  </si>
  <si>
    <t>UNUSUAL: today benign, forward repricing. Daytrade levels only.</t>
  </si>
  <si>
    <t>Regime Shift Beginning</t>
  </si>
  <si>
    <t>SHORT BIAS or flat. Fade rips, don't buy dips reflexively. Wider ranges — bigger stops, smaller size.</t>
  </si>
  <si>
    <t>Gap-and-go down, weak rallies sold, expanding ranges, trend day potential</t>
  </si>
  <si>
    <t>Positive gamma may be FLIPPING. Treat dip-buy logic as broken until VVIX eases.</t>
  </si>
  <si>
    <t>Building Concern</t>
  </si>
  <si>
    <t>Defensive. Short rips into resistance. Long only on flush-and-recover. Reduce size.</t>
  </si>
  <si>
    <t>Lower with widening intraday ranges; rallies sold</t>
  </si>
  <si>
    <t>VVIX confirming = trust the down move. Don't fight it intraday.</t>
  </si>
  <si>
    <t>Forward Event Pricing</t>
  </si>
  <si>
    <t>Neutral intraday. Don't size up. AVOID complacency on calm tape — repricing happens fast.</t>
  </si>
  <si>
    <t>Today quiet but sells off into close as hedges go on</t>
  </si>
  <si>
    <t>RARE: today calm, end-of-day weakness as positioning shifts.</t>
  </si>
  <si>
    <t>Low IV (Fragile) → Late Day Trap</t>
  </si>
  <si>
    <t>Spot Spike, Tail Calm</t>
  </si>
  <si>
    <t>FADE the VIX spike intraday. Buy morning weakness, sell into recovery. Classic mean-reversion day.</t>
  </si>
  <si>
    <t>Sharp open move, full reversal by midday, recovery into close</t>
  </si>
  <si>
    <t>Best fade setup. VVIX falling = headline noise, not regime.</t>
  </si>
  <si>
    <t>Low IV→Mean Reversion</t>
  </si>
  <si>
    <t>Fear Without Conviction</t>
  </si>
  <si>
    <t>Long bias on weakness. Buy first real dip.</t>
  </si>
  <si>
    <t>Weak open, recovery, close near highs of day</t>
  </si>
  <si>
    <t>Dislocation</t>
  </si>
  <si>
    <t>Strong long bias. Aggressively fade weakness. Buy any flush.</t>
  </si>
  <si>
    <t>Fakeout down, sharp V-recovery, strong close</t>
  </si>
  <si>
    <t>RARE/CONTRADICTORY: VIX print likely stale. Mean revert hard.</t>
  </si>
  <si>
    <t>Today Noisy, Trend Calming</t>
  </si>
  <si>
    <t>Long bias. Fade intraday weakness, especially morning. Hold winners into afternoon.</t>
  </si>
  <si>
    <t>Choppy AM, clean trend up PM</t>
  </si>
  <si>
    <t>Vol Bleed</t>
  </si>
  <si>
    <t>Long bias. Standard dip-buy. Hold runners.</t>
  </si>
  <si>
    <t>Quiet drift up, VWAP-respecting, late-day strength</t>
  </si>
  <si>
    <t>Healthy compression. Reliable daytrade setup for longs.</t>
  </si>
  <si>
    <t>Cooling Off</t>
  </si>
  <si>
    <t>Long bias but smaller — range is shrinking. Quick scalps, take profits early.</t>
  </si>
  <si>
    <t>Steady grind up with very tight ranges</t>
  </si>
  <si>
    <t>Spot Calms, Tail Worries</t>
  </si>
  <si>
    <t>Cautious long. Smaller size. Fade extremes but expect bigger ranges than VIX suggests.</t>
  </si>
  <si>
    <t>Calm-looking tape with surprise candles; ranges expand intraday</t>
  </si>
  <si>
    <t>RARE: VVIX up under falling VIX = next-event hedging. Stay nimble.</t>
  </si>
  <si>
    <t>Fragile Low IV.</t>
  </si>
  <si>
    <t>Suspicious Calm</t>
  </si>
  <si>
    <t>Trim longs into strength. Don't chase. Neutral to slight short bias on rips.</t>
  </si>
  <si>
    <t>Topping behavior, failed breakouts to upside, late-day fade</t>
  </si>
  <si>
    <t>WARNING: classic late-cycle tell. Daytraders should fade strength, not buy it.</t>
  </si>
  <si>
    <t>Forward-Hedged Calm</t>
  </si>
  <si>
    <t>Neutral. Don't chase strength. Trade range, not trend.</t>
  </si>
  <si>
    <t>Range-bound with topping bias; rejection at highs</t>
  </si>
  <si>
    <t>Surface calm masking event hedging. VVIX is the signal — respect it.</t>
  </si>
  <si>
    <t>Vol Crush, Local Wiggle</t>
  </si>
  <si>
    <t>Long bias. Fade today's noise — likely a one-day event. Buy dips aggressively after morning settles.</t>
  </si>
  <si>
    <t>Volatile open, full recovery, strong close</t>
  </si>
  <si>
    <t>Macro vol unwinding while today has a small event. Buyable.</t>
  </si>
  <si>
    <t>Clean Vol Compression</t>
  </si>
  <si>
    <t>Long bias. Buy dips, hold runners.</t>
  </si>
  <si>
    <t>Steady grind up, low two-way volume</t>
  </si>
  <si>
    <t>Healthy vol unwind. Classic risk-on regime continuation.</t>
  </si>
  <si>
    <t>Maximum Risk-On</t>
  </si>
  <si>
    <t>Aggressive long bias. Buy first dip, hold all day. AVOID profit-taking too early.</t>
  </si>
  <si>
    <t>Strong melt-up, minimal pullbacks, every dip bought, late-day acceleration</t>
  </si>
  <si>
    <t>All vol compressing across tenors. Mirror image of full-fear regime.</t>
  </si>
  <si>
    <t>Negative</t>
  </si>
  <si>
    <t>Coiled Spring</t>
  </si>
  <si>
    <t>Reduce size. AVOID range-trade fades — breakouts succeed under neg gamma. Wait for direction, then chase.</t>
  </si>
  <si>
    <t>Tight range that breaks violently; one-way move once it goes</t>
  </si>
  <si>
    <t>Negative gamma + flat vol = compression before expansion. Don't fight the eventual break.</t>
  </si>
  <si>
    <t>Trend either direction. 
If VIX and VVIX is up visually = High IV 
If VIX and VVIX is down visually  = Low IV</t>
  </si>
  <si>
    <t>Trend Follow</t>
  </si>
  <si>
    <t>False Calm</t>
  </si>
  <si>
    <t>Neutral, small size. AVOID standard range-trade — fades get run over. Wait for break, follow it.</t>
  </si>
  <si>
    <t>Looks quiet but breakouts hold; no mean-reversion to VWAP</t>
  </si>
  <si>
    <t>Most dangerous regime for dip-buyers. Surface looks like positive gamma; mechanics aren't.</t>
  </si>
  <si>
    <t>Stealth Coiling</t>
  </si>
  <si>
    <t>Small size. AVOID adding into either direction until break confirmed. Wait and watch.</t>
  </si>
  <si>
    <t>Very tight range, low volume, sudden directional pop</t>
  </si>
  <si>
    <t>Dangerous — looks dead, then moves hard. Lean toward whatever direction breaks first.</t>
  </si>
  <si>
    <t>Building Pressure</t>
  </si>
  <si>
    <t>SHORT BIAS on rallies. Don't buy dips. Wider stops, smaller size. Follow trend once established.</t>
  </si>
  <si>
    <t>Failed bounces, expanding ranges, late-day acceleration down</t>
  </si>
  <si>
    <t>VVIX rising under neg gamma = fuel for downside trend day. Fade rallies, not flushes.</t>
  </si>
  <si>
    <t>Quiet Accumulating Risk</t>
  </si>
  <si>
    <t>Defensive. Reduce size. AVOID counter-trend trades. Wait for direction.</t>
  </si>
  <si>
    <t>Sloppy with one-way bias emerging; fades fail</t>
  </si>
  <si>
    <t>VVIX bid is the warning. Today's calm is deceptive.</t>
  </si>
  <si>
    <t>Chop - High IV</t>
  </si>
  <si>
    <t>Tomorrow's Risk Today</t>
  </si>
  <si>
    <t>Neutral today, defensive into close. AVOID overnight long exposure.</t>
  </si>
  <si>
    <t>Calm intraday but closes weak; gap-down risk</t>
  </si>
  <si>
    <t>RARE: today contained, hedging next session under neg gamma. Get flat by close.</t>
  </si>
  <si>
    <t xml:space="preserve">High IV </t>
  </si>
  <si>
    <t>Exhaustion Pop</t>
  </si>
  <si>
    <t>FADE-the-fade — i.e. buy weakness if VVIX confirms unwind. Long bias on resolution.</t>
  </si>
  <si>
    <t>One-day flush that recovers; tail unwinds</t>
  </si>
  <si>
    <t>VVIX falling under neg gamma = hedges coming off. Often marks intraday low.</t>
  </si>
  <si>
    <t>Vol Bleed in Neg Gamma</t>
  </si>
  <si>
    <t>Long bias but cautious — neg gamma still amplifies. Buy strength, not weakness.</t>
  </si>
  <si>
    <t>Drift-up tape but ranges still wider than positive gamma equivalent</t>
  </si>
  <si>
    <t>Transition regime — neg gamma may be flipping back to positive soon.</t>
  </si>
  <si>
    <t>Capitulation Aftermath</t>
  </si>
  <si>
    <t>Long bias. Buy strength, hold runners. AVOID fading rallies.</t>
  </si>
  <si>
    <t>Strong recovery after recent flush; momentum upward</t>
  </si>
  <si>
    <t>Classic post-flush regime. Vol crushing as fear unwinds. Trend-follow longs.</t>
  </si>
  <si>
    <t>Active Stress</t>
  </si>
  <si>
    <t>SHORT BIAS. Sell rallies, don't fade flushes. Wider stops, smaller size.</t>
  </si>
  <si>
    <t>Trend-day potential to downside; rallies fail at lower highs</t>
  </si>
  <si>
    <t>Standard neg gamma sell-off in progress. Trade with the trend.</t>
  </si>
  <si>
    <t>Slow Bleed</t>
  </si>
  <si>
    <t>Short bias on rallies. Reduce size. AVOID dip-buying.</t>
  </si>
  <si>
    <t>Lower highs, lower lows, no clean trend but persistent down drift</t>
  </si>
  <si>
    <t>Grinding selloff. Patience pays — don't catch knives.</t>
  </si>
  <si>
    <t>Selling Without Today's Catalyst</t>
  </si>
  <si>
    <t>Neutral to short. Wait for confirmation. AVOID conviction trades.</t>
  </si>
  <si>
    <t>Sloppy chop with downside skew; no obvious catalyst</t>
  </si>
  <si>
    <t>UNUSUAL: vol up over time, today calm. Forward repricing under neg gamma.</t>
  </si>
  <si>
    <t>Full Panic Mode</t>
  </si>
  <si>
    <t>STRONG SHORT BIAS or flat. Sell rallies aggressively. AVOID dip-buying entirely. Use wider stops.</t>
  </si>
  <si>
    <t>Trend day down with capitulation potential; expanding ranges all day</t>
  </si>
  <si>
    <t>Worst-case for longs. All vol expanding under neg gamma = unhedged dealers selling.</t>
  </si>
  <si>
    <t>Sustained Selling</t>
  </si>
  <si>
    <t>Short bias. Sell rallies. Long only on clear capitulation + reversal.</t>
  </si>
  <si>
    <t>Lower with widening ranges; rallies sold hard</t>
  </si>
  <si>
    <t>VVIX confirming = not over yet. Don't try to call the bottom.</t>
  </si>
  <si>
    <t>Forward Crash Pricing</t>
  </si>
  <si>
    <t>Short rallies. Defensive into close. AVOID overnight longs.</t>
  </si>
  <si>
    <t>Today calm-ish but closes very weak; overnight gap-down risk</t>
  </si>
  <si>
    <t>RARE: positioning for next-day shock. Get flat by close.</t>
  </si>
  <si>
    <t>Flush Climax</t>
  </si>
  <si>
    <t>BUY weakness — fade the panic. Long bias once VVIX confirms unwind.</t>
  </si>
  <si>
    <t>Sharp flush in AM, V-recovery, strong close</t>
  </si>
  <si>
    <t>Best long setup in neg gamma. VVIX falling = forced selling exhausting.</t>
  </si>
  <si>
    <t>Transitioning (High→Low)</t>
  </si>
  <si>
    <t>Bottoming Process</t>
  </si>
  <si>
    <t>Long bias on weakness. Buy first dip after VVIX-down confirmed. Tighter stops than usual.</t>
  </si>
  <si>
    <t>Volatile but constructive; lower wicks bought</t>
  </si>
  <si>
    <t>Transition out of stress. Smart money done hedging.</t>
  </si>
  <si>
    <t>Capitulation Already Done</t>
  </si>
  <si>
    <t>Strong long bias. Aggressively buy dips. AVOID shorting.</t>
  </si>
  <si>
    <t>Sharp recovery, strong close, momentum building</t>
  </si>
  <si>
    <t>RARE/CONTRADICTORY: VIX up but everything else unwinding. Likely lagging VIX print.</t>
  </si>
  <si>
    <t>Recovering But Wobbly</t>
  </si>
  <si>
    <t>Cautious long. Buy dips but smaller. Take profits faster than positive gamma.</t>
  </si>
  <si>
    <t>Choppy recovery; not yet a clean trend up</t>
  </si>
  <si>
    <t>VIX falling but neg gamma still active. Range-aware longs only.</t>
  </si>
  <si>
    <t>Stress Receding</t>
  </si>
  <si>
    <t>Long bias. Buy dips. Tighter stops than positive gamma equivalent.</t>
  </si>
  <si>
    <t>Constructive drift up, occasional larger candles still</t>
  </si>
  <si>
    <t>Healing tape. Approaching gamma flip — could go positive soon.</t>
  </si>
  <si>
    <t>Vol Compression in Neg Gamma</t>
  </si>
  <si>
    <t>Steady recovery, ranges shrinking</t>
  </si>
  <si>
    <t>Late-stage healing. Watch for gamma flip and regime change.</t>
  </si>
  <si>
    <t>Relief Rally with Doubt</t>
  </si>
  <si>
    <t>Cautious long. Smaller size. AVOID chasing strength.</t>
  </si>
  <si>
    <t>Up day but with surprise downside candles; not clean</t>
  </si>
  <si>
    <t>RARE: VIX down but VVIX up = market not trusting the bounce. Take profits.</t>
  </si>
  <si>
    <t>Fragile Low IV</t>
  </si>
  <si>
    <t>Bear Trap or Top</t>
  </si>
  <si>
    <t>Neutral to short bias on rips. Trim into strength. AVOID adding longs.</t>
  </si>
  <si>
    <t>Failed rallies, rejection at resistance, late-day weakness</t>
  </si>
  <si>
    <t>WARNING: under neg gamma, this often precedes another leg down.</t>
  </si>
  <si>
    <t>Surface Calm with Hidden Risk</t>
  </si>
  <si>
    <t>Neutral. Hold hedges. Don't chase strength.</t>
  </si>
  <si>
    <t>Quiet tape but VVIX bid; range-bound with topping bias</t>
  </si>
  <si>
    <t>Late-stage warning. Smart money still hedging.</t>
  </si>
  <si>
    <t>Recovery Day with Local Wiggle</t>
  </si>
  <si>
    <t>Long bias. Fade today's noise — VVIX unwind is the tell. Buy dips after AM settles.</t>
  </si>
  <si>
    <t>Stress unwinding but neg gamma still active — use tighter stops than positive gamma.</t>
  </si>
  <si>
    <t>Healing Rally</t>
  </si>
  <si>
    <t>Steady up tape, two-way volume diminishing</t>
  </si>
  <si>
    <t>Approaching transition to positive gamma. Trade longer timeframes.</t>
  </si>
  <si>
    <t>Full Recovery Mode</t>
  </si>
  <si>
    <t>Aggressive long bias. Buy dips, hold all day. AVOID profit-taking too early.</t>
  </si>
  <si>
    <t>Strong recovery, expanding upside, late-day acceleration</t>
  </si>
  <si>
    <t>Best-case neg gamma regime for longs. All vol unwinding = relief rally.</t>
  </si>
  <si>
    <t>Put wall →  Largest Pos Vomma → Largest Pos Vex → Largest Pos Zomma</t>
  </si>
  <si>
    <t xml:space="preserve">Largest Neg Gamma →Flip →  Largest Pos Zomma → Largest Pos Vanna→ Largest Pos  Vega </t>
  </si>
  <si>
    <t>Largest Pos Gamma →Flip→ Largest Pos Vex → Largest Pos Vomma</t>
  </si>
  <si>
    <t>Dex drop-off → Largest Pos Vomma → none beyond</t>
  </si>
  <si>
    <t>Put wall → Largest Pos Vex → none beyond</t>
  </si>
  <si>
    <t>Put wall → Largest Pos Gamma → Largest Pos Vex</t>
  </si>
  <si>
    <t>Put wall → Largest Pos Vex → Largest Pos Vomma</t>
  </si>
  <si>
    <t>Put wall → Largest Pos Vomma → Largest Neg Vex</t>
  </si>
  <si>
    <t>Call wall → Largest Pos Gamma → Largest Pos Vomma (invalidation level: Largest Dex above spot)</t>
  </si>
  <si>
    <t>Call wall → Largest Pos Gamma → Max pain (or Gamma flip) (invalidation level: Largest Dex above spot)</t>
  </si>
  <si>
    <t>Largest Pos Gamma → Max pain → Gamma flip</t>
  </si>
  <si>
    <t>Largest Neg Vex → Dex drop-off → Largest Neg Gamma → Largest Pos Zomma</t>
  </si>
  <si>
    <t>Put wall → Largest Pos Gamma →Largest Neg Vanna→ Largest Pos Vomma</t>
  </si>
  <si>
    <t>Put wall → Largest Neg Vex → none beyond</t>
  </si>
  <si>
    <t>SELL the breakdown. Trend-follow aggressively. Don't catch the knife but watch for exhaustion.</t>
  </si>
  <si>
    <t>Dex drop-off → none beyond</t>
  </si>
  <si>
    <t>Largest Neg Gamma → Dex drop-off → Largest Neg Vex</t>
  </si>
  <si>
    <t>Max pain → Gamma flip → none beyond</t>
  </si>
  <si>
    <t>Largest Neg Gamma → Max pain (or Gamma flip) → Largest Neg Vex</t>
  </si>
  <si>
    <t>Put wall → Largest Pos Vomma → Largest Neg Vex (invalidation level: Largest Dex below spot)</t>
  </si>
  <si>
    <t>Put wall → Largest Pos Vex → Largest Pos Gamma</t>
  </si>
  <si>
    <t>Dex drop-off → Call wall → Largest Pos Vomma</t>
  </si>
  <si>
    <t>Largest Pos Vomma → Dex drop-off → Largest Pos Vex → Largest Pos Zomma</t>
  </si>
  <si>
    <t>Largest Neg Gamma → Dex drop-off → Largest Dex above spot</t>
  </si>
  <si>
    <t>Max pain (or Gamma flip) → Largest Pos Vomma → Largest Pos Zomma → Dex drop-off</t>
  </si>
  <si>
    <t>Largest Neg Gamma → Max pain (or Gamma flip) → Dex drop-off</t>
  </si>
  <si>
    <t>Max pain → Gamma flip → Largest Pos Zomma</t>
  </si>
  <si>
    <t>Largest Pos Zomma → Max pain → Gamma flip</t>
  </si>
  <si>
    <t>Dex drop-off → Largest Neg Gamma → Largest Pos Vex</t>
  </si>
  <si>
    <t>Max pain → Largest Pos Zomma → Gamma flip</t>
  </si>
  <si>
    <t>Largest Neg Gamma → Dex drop-off → Largest Pos Vex</t>
  </si>
  <si>
    <t>Largest Pos Gamma (bullish-correlation regime) → No structural level (bearish-correlation regime — cascade dominates)</t>
  </si>
  <si>
    <t>Dex drop-off (bullish-correlation regime) → Largest Neg Gamma (bearish-correlation regime)</t>
  </si>
  <si>
    <t>Largest Pos Vomma (bullish-correlation regime) → No structural level (bearish-correlation regime — cascade dominates)</t>
  </si>
  <si>
    <t>Largest Pos Vomma → Max pain → Gamma flip</t>
  </si>
  <si>
    <t>Max pain → Largest Pos Vomma → Gamma flip</t>
  </si>
  <si>
    <t>Put wall → Largest Pos Vomma → Largest Pos Zomma</t>
  </si>
  <si>
    <t>Call wall → Largest Neg Vex → Largest Pos Gamma</t>
  </si>
  <si>
    <t>Call wall → Largest Pos Gamma → Largest Neg Vex (invalidation level: Largest Dex above spot)</t>
  </si>
  <si>
    <t>Dex drop-off → Largest Neg Gamma → Largest Neg Vex → Largest Pos Zomma</t>
  </si>
  <si>
    <t>Largest Neg Gamma → Dex drop-off → Largest Neg Vex → Largest Pos Zomma</t>
  </si>
  <si>
    <t>Largest Pos Vomma → Dex drop-off → none beyond</t>
  </si>
  <si>
    <t>Dex drop-off → Gamma flip → none beyond</t>
  </si>
  <si>
    <t>Largest Pos Vomma → Largest Neg Gamma → Dex drop-off</t>
  </si>
  <si>
    <t>Max pain → Gamma flip → Dex drop-off</t>
  </si>
  <si>
    <t>Largest Pos Vomma → Call wall → Largest Pos Gamma</t>
  </si>
  <si>
    <t>Call wall → Largest Neg Vex → Max pain (or Gamma flip)</t>
  </si>
  <si>
    <t>Call wall → Largest Pos Gamma → Largest Neg Vex</t>
  </si>
  <si>
    <t>Call wall → Largest Pos Gamma → Largest Neg Zomma (invalidation level: Largest Dex above spot)</t>
  </si>
  <si>
    <t>Put wall → Largest Pos Vomma → Largest Neg Zomma</t>
  </si>
  <si>
    <t>Put wall → Largest Pos Gamma → Largest Neg Zomma</t>
  </si>
  <si>
    <t>Largest Pos Vomma → Dex drop-off → Largest Pos Zomma</t>
  </si>
  <si>
    <t>Largest Neg Gamma → Max pain (or Gamma flip) → Largest Pos Zomma</t>
  </si>
  <si>
    <t>Largest Neg Gamma → Largest Pos Vomma → Dex drop-off</t>
  </si>
  <si>
    <t>Largest Neg Gamma → Largest Neg Vex → Dex drop-off</t>
  </si>
  <si>
    <t>Put wall → Largest Pos Vomma → Largest Pos Vex → Largest Pos Zomma</t>
  </si>
  <si>
    <t>High-Vol Short-Put Unwind — Zomma-Dampened Floor Reinforcement</t>
  </si>
  <si>
    <t>Pro-cyclical: Buys dips (dominant — short-put unwind covers into weakness) / Chases rallies lightly. Vex+ adds buying on IV lifts. Speed− means dips get more bid as they extend. Zomma+ dampens at the tails — chase exhausts</t>
  </si>
  <si>
    <t>BUY LEAN — buy dips, do not chase at extension. Zomma+ dampens the bounce extension; take profits as gamma exhausts. Floor is being actively rebuilt by the unwind</t>
  </si>
  <si>
    <t>Trend Day with built-in Floor — Unwind-Reinforced Bid → Compression Transition</t>
  </si>
  <si>
    <t>Self-limiting trend day. Dips are buying opportunities until compression confirms</t>
  </si>
  <si>
    <t>Charm sells, but the short-put unwind out-buys it. Net: floor still holds, just slower repair. BUY LEAN, buy dips, take profits as gamma exhausts. Charm fights the unwind — dips are deeper but still bid</t>
  </si>
  <si>
    <t>Charm buys, stacks with the put-unwind bid. Strong floor, dips shallow. BUY LEAN aggressively on dips — best entries of the family. Take profits as Zomma+ exhausts the move</t>
  </si>
  <si>
    <t>Largest Dex below spot → Largest Pos Vex → Largest Pos Vomma</t>
  </si>
  <si>
    <t>Dex drop-off → Largest Pos Zomma → Largest Neg Gamma</t>
  </si>
  <si>
    <t>Largest Dex above spot → Largest Pos Zomma → Dex drop-off</t>
  </si>
  <si>
    <t>Dex drop-off → Largest Pos Vomma → Largest Pos Zomma</t>
  </si>
  <si>
    <t>Max pain (or Gamma flip) → Largest Pos Vomma → Largest Pos Zomma</t>
  </si>
  <si>
    <t>Largest Neg Vex → Dex drop-off → Largest Pos Zomma</t>
  </si>
  <si>
    <t>Largest Neg Vex → Largest Neg Gamma → Largest Pos Zomma</t>
  </si>
  <si>
    <t>Max pain (or Gamma flip) → Largest Pos Vomma → Largest Pos Vex</t>
  </si>
  <si>
    <t>Largest Neg Gamma → Dex drop-off → none beyond</t>
  </si>
  <si>
    <t>Max pain → Gamma flip → Largest Pos Vomma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</si>
</sst>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0"/>
      <color rgb="FF000000"/>
      <name val="Arial"/>
      <scheme val="minor"/>
    </font>
    <font>
      <b/>
      <sz val="10"/>
      <color theme="1"/>
      <name val="Arial"/>
      <scheme val="minor"/>
    </font>
    <font>
      <sz val="10"/>
      <color theme="1"/>
      <name val="Arial"/>
      <scheme val="minor"/>
    </font>
    <font>
      <b/>
      <sz val="11"/>
      <color rgb="FF000000"/>
      <name val="Calibri"/>
    </font>
    <font>
      <i/>
      <sz val="11"/>
      <color rgb="FF0000FF"/>
      <name val="Calibri"/>
    </font>
    <font>
      <i/>
      <sz val="10"/>
      <color theme="1"/>
      <name val="Arial"/>
      <scheme val="minor"/>
    </font>
    <font>
      <sz val="10"/>
      <color rgb="FF000000"/>
      <name val="Arial"/>
      <scheme val="minor"/>
    </font>
    <font>
      <i/>
      <sz val="11"/>
      <color rgb="FF000000"/>
      <name val="Calibri"/>
    </font>
    <font>
      <i/>
      <sz val="10"/>
      <color rgb="FF000000"/>
      <name val="Arial"/>
      <scheme val="minor"/>
    </font>
    <font>
      <i/>
      <sz val="10"/>
      <color rgb="FF000000"/>
      <name val="Arial"/>
    </font>
    <font>
      <i/>
      <sz val="10"/>
      <color rgb="FF1F3864"/>
      <name val="Arial"/>
    </font>
    <font>
      <sz val="10"/>
      <color rgb="FF000000"/>
      <name val="Arial"/>
    </font>
    <font>
      <i/>
      <sz val="11"/>
      <color rgb="FFFF00FF"/>
      <name val="Calibri"/>
    </font>
    <font>
      <sz val="10"/>
      <color theme="1"/>
      <name val="Arial"/>
    </font>
    <font>
      <i/>
      <sz val="11"/>
      <color rgb="FF000000"/>
      <name val="Comic Sans MS"/>
    </font>
    <font>
      <b/>
      <i/>
      <sz val="11"/>
      <color rgb="FF9900FF"/>
      <name val="Comic Sans MS"/>
    </font>
    <font>
      <b/>
      <i/>
      <sz val="11"/>
      <color rgb="FFFF00FF"/>
      <name val="Comic Sans MS"/>
    </font>
    <font>
      <i/>
      <sz val="11"/>
      <color rgb="FF0000FF"/>
      <name val="Comic Sans MS"/>
    </font>
    <font>
      <b/>
      <i/>
      <sz val="10"/>
      <color rgb="FF9900FF"/>
      <name val="Comic Sans MS"/>
    </font>
    <font>
      <b/>
      <sz val="10"/>
      <color rgb="FF000000"/>
      <name val="Comic Sans MS"/>
    </font>
    <font>
      <b/>
      <i/>
      <sz val="10"/>
      <color rgb="FF000000"/>
      <name val="Comic Sans MS"/>
    </font>
    <font>
      <b/>
      <i/>
      <sz val="11"/>
      <color rgb="FF000000"/>
      <name val="Comic Sans MS"/>
    </font>
    <font>
      <b/>
      <sz val="10"/>
      <color rgb="FF9900FF"/>
      <name val="Comic Sans MS"/>
    </font>
    <font>
      <i/>
      <sz val="10"/>
      <color theme="1"/>
      <name val="Arial"/>
    </font>
    <font>
      <i/>
      <sz val="11"/>
      <color rgb="FFFF00FF"/>
      <name val="Comic Sans MS"/>
    </font>
    <font>
      <i/>
      <sz val="10"/>
      <color rgb="FF9900FF"/>
      <name val="Arial"/>
    </font>
    <font>
      <i/>
      <sz val="10"/>
      <color rgb="FF9900FF"/>
      <name val="Arial"/>
      <scheme val="minor"/>
    </font>
    <font>
      <sz val="9"/>
      <color rgb="FF1A1A2E"/>
      <name val="Arial"/>
    </font>
    <font>
      <i/>
      <sz val="11"/>
      <color rgb="FF9900FF"/>
      <name val="Calibri"/>
    </font>
    <font>
      <b/>
      <sz val="10"/>
      <color rgb="FF000000"/>
      <name val="Arial"/>
    </font>
    <font>
      <b/>
      <i/>
      <sz val="10"/>
      <color theme="1"/>
      <name val="Comic Sans MS"/>
    </font>
    <font>
      <i/>
      <sz val="11"/>
      <color rgb="FF000000"/>
      <name val="&quot;Comic Sans MS&quot;"/>
    </font>
    <font>
      <b/>
      <sz val="11"/>
      <color rgb="FFFFFFFF"/>
      <name val="Arial"/>
    </font>
    <font>
      <b/>
      <i/>
      <sz val="11"/>
      <color rgb="FFFF0000"/>
      <name val="Comic Sans MS"/>
    </font>
    <font>
      <i/>
      <sz val="11"/>
      <color rgb="FFFF9900"/>
      <name val="Comic Sans MS"/>
    </font>
  </fonts>
  <fills count="7">
    <fill>
      <patternFill patternType="none"/>
    </fill>
    <fill>
      <patternFill patternType="gray125"/>
    </fill>
    <fill>
      <patternFill patternType="solid">
        <fgColor rgb="FFFFFFFF"/>
        <bgColor rgb="FFFFFFFF"/>
      </patternFill>
    </fill>
    <fill>
      <patternFill patternType="solid">
        <fgColor rgb="FFE6F3FF"/>
        <bgColor rgb="FFE6F3FF"/>
      </patternFill>
    </fill>
    <fill>
      <patternFill patternType="solid">
        <fgColor rgb="FFEAEAEA"/>
        <bgColor rgb="FFEAEAEA"/>
      </patternFill>
    </fill>
    <fill>
      <patternFill patternType="solid">
        <fgColor rgb="FFF8C8C8"/>
        <bgColor rgb="FFF8C8C8"/>
      </patternFill>
    </fill>
    <fill>
      <patternFill patternType="solid">
        <fgColor rgb="FFD0E8C0"/>
        <bgColor rgb="FFD0E8C0"/>
      </patternFill>
    </fill>
  </fills>
  <borders count="5">
    <border>
      <left/>
      <right/>
      <top/>
      <bottom/>
      <diagonal/>
    </border>
    <border>
      <left style="thin">
        <color rgb="FFBDC3C7"/>
      </left>
      <right style="thin">
        <color rgb="FFBDC3C7"/>
      </right>
      <top style="thin">
        <color rgb="FFBDC3C7"/>
      </top>
      <bottom style="thin">
        <color rgb="FFBDC3C7"/>
      </bottom>
      <diagonal/>
    </border>
    <border>
      <left style="thin">
        <color rgb="FFBFBFBF"/>
      </left>
      <right style="thin">
        <color rgb="FFBFBFBF"/>
      </right>
      <top style="thin">
        <color rgb="FFBFBFBF"/>
      </top>
      <bottom style="thin">
        <color rgb="FFBFBFBF"/>
      </bottom>
      <diagonal/>
    </border>
    <border>
      <left/>
      <right/>
      <top/>
      <bottom style="thin">
        <color rgb="FFBDC3C7"/>
      </bottom>
      <diagonal/>
    </border>
    <border>
      <left/>
      <right style="thin">
        <color rgb="FFBDC3C7"/>
      </right>
      <top/>
      <bottom style="thin">
        <color rgb="FFBDC3C7"/>
      </bottom>
      <diagonal/>
    </border>
  </borders>
  <cellStyleXfs count="1">
    <xf numFmtId="0" fontId="0" fillId="0" borderId="0"/>
  </cellStyleXfs>
  <cellXfs count="5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2" fillId="0" borderId="0" xfId="0" applyFont="1" applyAlignment="1">
      <alignment wrapText="1"/>
    </xf>
    <xf numFmtId="0" fontId="6" fillId="0" borderId="0" xfId="0" applyFont="1"/>
    <xf numFmtId="0" fontId="7" fillId="0" borderId="0" xfId="0" applyFont="1"/>
    <xf numFmtId="0" fontId="8" fillId="0" borderId="0" xfId="0" applyFont="1"/>
    <xf numFmtId="0" fontId="5" fillId="0" borderId="0" xfId="0" applyFont="1"/>
    <xf numFmtId="0" fontId="10" fillId="2" borderId="0" xfId="0" applyFont="1" applyFill="1" applyAlignment="1">
      <alignment horizontal="left"/>
    </xf>
    <xf numFmtId="0" fontId="12" fillId="0" borderId="0" xfId="0" applyFont="1"/>
    <xf numFmtId="0" fontId="13" fillId="0" borderId="0" xfId="0" applyFont="1"/>
    <xf numFmtId="0" fontId="14" fillId="0" borderId="0" xfId="0" applyFont="1" applyAlignment="1">
      <alignment wrapText="1"/>
    </xf>
    <xf numFmtId="0" fontId="16" fillId="0" borderId="0" xfId="0" applyFont="1" applyAlignment="1">
      <alignment wrapText="1"/>
    </xf>
    <xf numFmtId="0" fontId="17" fillId="0" borderId="0" xfId="0" applyFont="1" applyAlignment="1">
      <alignment wrapText="1"/>
    </xf>
    <xf numFmtId="0" fontId="15" fillId="0" borderId="0" xfId="0" applyFont="1" applyAlignment="1">
      <alignment wrapText="1"/>
    </xf>
    <xf numFmtId="0" fontId="18" fillId="0" borderId="1" xfId="0" applyFont="1" applyBorder="1" applyAlignment="1">
      <alignment horizontal="center" wrapText="1"/>
    </xf>
    <xf numFmtId="0" fontId="19" fillId="0" borderId="1" xfId="0" applyFont="1" applyBorder="1" applyAlignment="1">
      <alignment horizontal="center"/>
    </xf>
    <xf numFmtId="0" fontId="20" fillId="0" borderId="1" xfId="0" applyFont="1" applyBorder="1" applyAlignment="1">
      <alignment horizontal="center"/>
    </xf>
    <xf numFmtId="0" fontId="21" fillId="0" borderId="0" xfId="0" applyFont="1" applyAlignment="1">
      <alignment wrapText="1"/>
    </xf>
    <xf numFmtId="0" fontId="22" fillId="0" borderId="1" xfId="0" applyFont="1" applyBorder="1" applyAlignment="1">
      <alignment horizontal="center" wrapText="1"/>
    </xf>
    <xf numFmtId="0" fontId="23" fillId="0" borderId="0" xfId="0" applyFont="1"/>
    <xf numFmtId="0" fontId="24" fillId="0" borderId="0" xfId="0" applyFont="1" applyAlignment="1">
      <alignment wrapText="1"/>
    </xf>
    <xf numFmtId="0" fontId="25" fillId="0" borderId="0" xfId="0" applyFont="1"/>
    <xf numFmtId="0" fontId="13" fillId="3" borderId="0" xfId="0" applyFont="1" applyFill="1"/>
    <xf numFmtId="0" fontId="26" fillId="0" borderId="0" xfId="0" applyFont="1"/>
    <xf numFmtId="0" fontId="27" fillId="3" borderId="0" xfId="0" applyFont="1" applyFill="1" applyAlignment="1">
      <alignment horizontal="left"/>
    </xf>
    <xf numFmtId="0" fontId="9" fillId="0" borderId="0" xfId="0" applyFont="1" applyAlignment="1">
      <alignment horizontal="left"/>
    </xf>
    <xf numFmtId="0" fontId="28" fillId="0" borderId="0" xfId="0" applyFont="1"/>
    <xf numFmtId="0" fontId="29" fillId="0" borderId="0" xfId="0" applyFont="1" applyAlignment="1">
      <alignment horizontal="left"/>
    </xf>
    <xf numFmtId="0" fontId="11" fillId="0" borderId="0" xfId="0" applyFont="1" applyAlignment="1">
      <alignment horizontal="left"/>
    </xf>
    <xf numFmtId="0" fontId="29" fillId="0" borderId="1" xfId="0" applyFont="1" applyBorder="1" applyAlignment="1">
      <alignment horizontal="center"/>
    </xf>
    <xf numFmtId="0" fontId="13" fillId="0" borderId="2" xfId="0" applyFont="1" applyBorder="1" applyAlignment="1">
      <alignment horizontal="left"/>
    </xf>
    <xf numFmtId="0" fontId="30" fillId="0" borderId="2" xfId="0" applyFont="1" applyBorder="1" applyAlignment="1">
      <alignment horizontal="center"/>
    </xf>
    <xf numFmtId="0" fontId="3" fillId="0" borderId="0" xfId="0" applyFont="1" applyAlignment="1">
      <alignment wrapText="1"/>
    </xf>
    <xf numFmtId="0" fontId="31" fillId="0" borderId="3" xfId="0" applyFont="1" applyBorder="1" applyAlignment="1">
      <alignment horizontal="center" vertical="top" wrapText="1"/>
    </xf>
    <xf numFmtId="0" fontId="32" fillId="0" borderId="0" xfId="0" applyFont="1" applyAlignment="1">
      <alignment horizontal="center"/>
    </xf>
    <xf numFmtId="0" fontId="2" fillId="0" borderId="0" xfId="0" applyFont="1" applyAlignment="1">
      <alignment horizontal="center"/>
    </xf>
    <xf numFmtId="0" fontId="13" fillId="0" borderId="0" xfId="0" applyFont="1" applyAlignment="1">
      <alignment horizontal="left" vertical="top"/>
    </xf>
    <xf numFmtId="0" fontId="33" fillId="0" borderId="0" xfId="0" applyFont="1" applyAlignment="1">
      <alignment wrapText="1"/>
    </xf>
    <xf numFmtId="0" fontId="34" fillId="0" borderId="0" xfId="0" applyFont="1" applyAlignment="1">
      <alignment wrapText="1"/>
    </xf>
    <xf numFmtId="0" fontId="13" fillId="4" borderId="0" xfId="0" applyFont="1" applyFill="1" applyAlignment="1">
      <alignment horizontal="center" vertical="top"/>
    </xf>
    <xf numFmtId="0" fontId="13" fillId="0" borderId="0" xfId="0" applyFont="1" applyAlignment="1">
      <alignment horizontal="center" vertical="top"/>
    </xf>
    <xf numFmtId="0" fontId="13" fillId="4" borderId="0" xfId="0" applyFont="1" applyFill="1" applyAlignment="1">
      <alignment horizontal="left" vertical="top"/>
    </xf>
    <xf numFmtId="0" fontId="13" fillId="5" borderId="0" xfId="0" applyFont="1" applyFill="1" applyAlignment="1">
      <alignment horizontal="center" vertical="top"/>
    </xf>
    <xf numFmtId="0" fontId="13" fillId="5" borderId="0" xfId="0" applyFont="1" applyFill="1" applyAlignment="1">
      <alignment horizontal="left" vertical="top"/>
    </xf>
    <xf numFmtId="0" fontId="13" fillId="6" borderId="0" xfId="0" applyFont="1" applyFill="1" applyAlignment="1">
      <alignment horizontal="center" vertical="top"/>
    </xf>
    <xf numFmtId="0" fontId="13" fillId="6" borderId="0" xfId="0" applyFont="1" applyFill="1" applyAlignment="1">
      <alignment horizontal="left" vertical="top"/>
    </xf>
    <xf numFmtId="0" fontId="11" fillId="0" borderId="4" xfId="0" applyFont="1" applyBorder="1" applyAlignment="1">
      <alignment horizontal="center" vertical="top" wrapText="1"/>
    </xf>
    <xf numFmtId="0" fontId="11" fillId="0" borderId="0" xfId="0" applyFont="1" applyAlignment="1">
      <alignment horizontal="center" vertical="top" wrapText="1"/>
    </xf>
    <xf numFmtId="0" fontId="11" fillId="0" borderId="0" xfId="0" applyFont="1" applyAlignment="1">
      <alignment wrapText="1"/>
    </xf>
    <xf numFmtId="0" fontId="3" fillId="0" borderId="0" xfId="0" applyFont="1" applyAlignment="1">
      <alignment horizont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2:AA83"/>
  <sheetViews>
    <sheetView workbookViewId="0">
      <pane ySplit="2" topLeftCell="A39" activePane="bottomLeft" state="frozen"/>
      <selection pane="bottomLeft" activeCell="B4" sqref="B4"/>
    </sheetView>
  </sheetViews>
  <sheetFormatPr defaultColWidth="12.6328125" defaultRowHeight="15.75" customHeight="1"/>
  <cols>
    <col min="5" max="5" width="26" customWidth="1"/>
    <col min="6" max="6" width="53.7265625" customWidth="1"/>
    <col min="7" max="7" width="30.6328125" customWidth="1"/>
    <col min="8" max="8" width="28.26953125" customWidth="1"/>
    <col min="10" max="19" width="31" customWidth="1"/>
  </cols>
  <sheetData>
    <row r="2" spans="1:27" ht="15.75" customHeight="1">
      <c r="A2" s="20" t="s">
        <v>542</v>
      </c>
      <c r="B2" s="20" t="s">
        <v>0</v>
      </c>
      <c r="C2" s="20" t="s">
        <v>543</v>
      </c>
      <c r="D2" s="20" t="s">
        <v>544</v>
      </c>
      <c r="E2" s="20" t="s">
        <v>12</v>
      </c>
      <c r="F2" s="20" t="s">
        <v>545</v>
      </c>
      <c r="G2" s="20" t="s">
        <v>546</v>
      </c>
      <c r="H2" s="20" t="s">
        <v>547</v>
      </c>
      <c r="I2" s="20" t="s">
        <v>548</v>
      </c>
      <c r="J2" s="20" t="s">
        <v>549</v>
      </c>
      <c r="K2" s="20" t="s">
        <v>550</v>
      </c>
      <c r="L2" s="20" t="s">
        <v>551</v>
      </c>
      <c r="M2" s="20" t="s">
        <v>552</v>
      </c>
      <c r="N2" s="20" t="s">
        <v>553</v>
      </c>
      <c r="O2" s="20"/>
      <c r="P2" s="20"/>
      <c r="Q2" s="20"/>
      <c r="R2" s="20"/>
      <c r="S2" s="20" t="s">
        <v>554</v>
      </c>
      <c r="U2" s="37"/>
    </row>
    <row r="3" spans="1:27" ht="15.75" customHeight="1">
      <c r="A3" s="13" t="s">
        <v>555</v>
      </c>
      <c r="B3" s="13" t="s">
        <v>556</v>
      </c>
      <c r="C3" s="13" t="s">
        <v>556</v>
      </c>
      <c r="D3" s="13" t="s">
        <v>1</v>
      </c>
      <c r="E3" s="15" t="s">
        <v>557</v>
      </c>
      <c r="F3" s="15" t="s">
        <v>558</v>
      </c>
      <c r="G3" s="15" t="s">
        <v>559</v>
      </c>
      <c r="H3" s="15" t="s">
        <v>560</v>
      </c>
      <c r="I3" s="14" t="s">
        <v>561</v>
      </c>
      <c r="J3" s="38">
        <v>-1</v>
      </c>
      <c r="K3" s="38">
        <v>0</v>
      </c>
      <c r="L3" s="38">
        <v>0</v>
      </c>
      <c r="M3" s="38">
        <v>1</v>
      </c>
      <c r="N3" s="2">
        <f t="shared" ref="N3:N56" si="0">SUM(J3+K3+L3+M3)</f>
        <v>0</v>
      </c>
      <c r="T3" s="13"/>
      <c r="U3" s="39"/>
      <c r="V3" s="13"/>
      <c r="W3" s="13"/>
      <c r="X3" s="13"/>
      <c r="Y3" s="15"/>
      <c r="Z3" s="15"/>
      <c r="AA3" s="13"/>
    </row>
    <row r="4" spans="1:27" ht="15.75" customHeight="1">
      <c r="A4" s="13" t="s">
        <v>555</v>
      </c>
      <c r="B4" s="13" t="s">
        <v>556</v>
      </c>
      <c r="C4" s="13" t="s">
        <v>556</v>
      </c>
      <c r="D4" s="13" t="s">
        <v>556</v>
      </c>
      <c r="E4" s="15" t="s">
        <v>556</v>
      </c>
      <c r="F4" s="15" t="s">
        <v>562</v>
      </c>
      <c r="G4" s="15" t="s">
        <v>563</v>
      </c>
      <c r="H4" s="15" t="s">
        <v>564</v>
      </c>
      <c r="I4" s="14" t="s">
        <v>561</v>
      </c>
      <c r="J4" s="38">
        <v>-1</v>
      </c>
      <c r="K4" s="38">
        <v>0</v>
      </c>
      <c r="L4" s="38">
        <v>0</v>
      </c>
      <c r="M4" s="38">
        <v>0</v>
      </c>
      <c r="N4" s="2">
        <f t="shared" si="0"/>
        <v>-1</v>
      </c>
      <c r="O4" s="14"/>
      <c r="P4" s="14"/>
      <c r="Q4" s="14"/>
      <c r="R4" s="14"/>
      <c r="S4" s="14" t="s">
        <v>565</v>
      </c>
      <c r="T4" s="14" t="s">
        <v>566</v>
      </c>
      <c r="U4" s="14" t="s">
        <v>567</v>
      </c>
      <c r="V4" s="13"/>
      <c r="W4" s="13" t="s">
        <v>568</v>
      </c>
      <c r="X4" s="13"/>
      <c r="Y4" s="15"/>
      <c r="Z4" s="15"/>
      <c r="AA4" s="13"/>
    </row>
    <row r="5" spans="1:27" ht="15.75" customHeight="1">
      <c r="A5" s="13" t="s">
        <v>555</v>
      </c>
      <c r="B5" s="13" t="s">
        <v>556</v>
      </c>
      <c r="C5" s="13" t="s">
        <v>556</v>
      </c>
      <c r="D5" s="13" t="s">
        <v>569</v>
      </c>
      <c r="E5" s="15" t="s">
        <v>570</v>
      </c>
      <c r="F5" s="15" t="s">
        <v>571</v>
      </c>
      <c r="G5" s="15" t="s">
        <v>572</v>
      </c>
      <c r="H5" s="15" t="s">
        <v>573</v>
      </c>
      <c r="I5" s="15" t="s">
        <v>561</v>
      </c>
      <c r="J5" s="38">
        <v>-1</v>
      </c>
      <c r="K5" s="38">
        <v>0</v>
      </c>
      <c r="L5" s="38">
        <v>0</v>
      </c>
      <c r="M5" s="38">
        <v>-1</v>
      </c>
      <c r="N5" s="2">
        <f t="shared" si="0"/>
        <v>-2</v>
      </c>
      <c r="T5" s="13"/>
      <c r="U5" s="39"/>
      <c r="V5" s="13"/>
      <c r="W5" s="13" t="s">
        <v>574</v>
      </c>
      <c r="X5" s="13"/>
      <c r="Y5" s="15"/>
      <c r="Z5" s="15"/>
      <c r="AA5" s="13"/>
    </row>
    <row r="6" spans="1:27" ht="15.75" customHeight="1">
      <c r="A6" s="13" t="s">
        <v>555</v>
      </c>
      <c r="B6" s="13" t="s">
        <v>556</v>
      </c>
      <c r="C6" s="13" t="s">
        <v>1</v>
      </c>
      <c r="D6" s="13" t="s">
        <v>1</v>
      </c>
      <c r="E6" s="15" t="s">
        <v>575</v>
      </c>
      <c r="F6" s="15" t="s">
        <v>576</v>
      </c>
      <c r="G6" s="15" t="s">
        <v>577</v>
      </c>
      <c r="H6" s="15" t="s">
        <v>578</v>
      </c>
      <c r="I6" s="40" t="s">
        <v>579</v>
      </c>
      <c r="J6" s="38">
        <v>-1</v>
      </c>
      <c r="K6" s="38">
        <v>0</v>
      </c>
      <c r="L6" s="38">
        <v>1.5</v>
      </c>
      <c r="M6" s="38">
        <v>1</v>
      </c>
      <c r="N6" s="2">
        <f t="shared" si="0"/>
        <v>1.5</v>
      </c>
      <c r="T6" s="13"/>
      <c r="U6" s="39"/>
      <c r="V6" s="13"/>
      <c r="W6" s="13" t="s">
        <v>580</v>
      </c>
      <c r="X6" s="13"/>
      <c r="Y6" s="15"/>
      <c r="Z6" s="15"/>
      <c r="AA6" s="13"/>
    </row>
    <row r="7" spans="1:27" ht="15.75" customHeight="1">
      <c r="A7" s="13" t="s">
        <v>555</v>
      </c>
      <c r="B7" s="13" t="s">
        <v>556</v>
      </c>
      <c r="C7" s="13" t="s">
        <v>1</v>
      </c>
      <c r="D7" s="13" t="s">
        <v>556</v>
      </c>
      <c r="E7" s="15" t="s">
        <v>581</v>
      </c>
      <c r="F7" s="15" t="s">
        <v>582</v>
      </c>
      <c r="G7" s="15" t="s">
        <v>583</v>
      </c>
      <c r="H7" s="15" t="s">
        <v>584</v>
      </c>
      <c r="I7" s="41" t="s">
        <v>585</v>
      </c>
      <c r="J7" s="38">
        <v>-1</v>
      </c>
      <c r="K7" s="38">
        <v>0</v>
      </c>
      <c r="L7" s="38">
        <v>1.5</v>
      </c>
      <c r="M7" s="38">
        <v>0</v>
      </c>
      <c r="N7" s="2">
        <f t="shared" si="0"/>
        <v>0.5</v>
      </c>
      <c r="T7" s="13"/>
      <c r="U7" s="39"/>
      <c r="V7" s="13"/>
      <c r="W7" s="13" t="s">
        <v>586</v>
      </c>
      <c r="X7" s="13"/>
      <c r="Y7" s="15"/>
      <c r="Z7" s="15"/>
      <c r="AA7" s="13"/>
    </row>
    <row r="8" spans="1:27" ht="15.75" customHeight="1">
      <c r="A8" s="13" t="s">
        <v>555</v>
      </c>
      <c r="B8" s="13" t="s">
        <v>556</v>
      </c>
      <c r="C8" s="13" t="s">
        <v>1</v>
      </c>
      <c r="D8" s="13" t="s">
        <v>569</v>
      </c>
      <c r="E8" s="15" t="s">
        <v>587</v>
      </c>
      <c r="F8" s="15" t="s">
        <v>588</v>
      </c>
      <c r="G8" s="15" t="s">
        <v>589</v>
      </c>
      <c r="H8" s="15" t="s">
        <v>590</v>
      </c>
      <c r="I8" s="40" t="s">
        <v>579</v>
      </c>
      <c r="J8" s="38">
        <v>-1</v>
      </c>
      <c r="K8" s="38">
        <v>0</v>
      </c>
      <c r="L8" s="38">
        <v>1.5</v>
      </c>
      <c r="M8" s="38">
        <v>-1</v>
      </c>
      <c r="N8" s="2">
        <f t="shared" si="0"/>
        <v>-0.5</v>
      </c>
      <c r="T8" s="13"/>
      <c r="U8" s="39"/>
      <c r="V8" s="13"/>
      <c r="W8" s="13" t="s">
        <v>591</v>
      </c>
      <c r="X8" s="13"/>
      <c r="Y8" s="15"/>
      <c r="Z8" s="15"/>
      <c r="AA8" s="13"/>
    </row>
    <row r="9" spans="1:27" ht="15.75" customHeight="1">
      <c r="A9" s="13" t="s">
        <v>555</v>
      </c>
      <c r="B9" s="13" t="s">
        <v>556</v>
      </c>
      <c r="C9" s="13" t="s">
        <v>569</v>
      </c>
      <c r="D9" s="13" t="s">
        <v>1</v>
      </c>
      <c r="E9" s="15" t="s">
        <v>592</v>
      </c>
      <c r="F9" s="15" t="s">
        <v>593</v>
      </c>
      <c r="G9" s="15" t="s">
        <v>594</v>
      </c>
      <c r="H9" s="15" t="s">
        <v>595</v>
      </c>
      <c r="I9" s="15" t="s">
        <v>561</v>
      </c>
      <c r="J9" s="38">
        <v>-1</v>
      </c>
      <c r="K9" s="38">
        <v>0</v>
      </c>
      <c r="L9" s="38">
        <v>-1</v>
      </c>
      <c r="M9" s="38">
        <v>1</v>
      </c>
      <c r="N9" s="2">
        <f t="shared" si="0"/>
        <v>-1</v>
      </c>
      <c r="T9" s="13"/>
      <c r="U9" s="39"/>
      <c r="V9" s="13"/>
      <c r="W9" s="13" t="s">
        <v>596</v>
      </c>
      <c r="X9" s="13"/>
      <c r="Y9" s="15"/>
      <c r="Z9" s="15"/>
      <c r="AA9" s="13"/>
    </row>
    <row r="10" spans="1:27" ht="15.75" customHeight="1">
      <c r="A10" s="13" t="s">
        <v>555</v>
      </c>
      <c r="B10" s="13" t="s">
        <v>556</v>
      </c>
      <c r="C10" s="13" t="s">
        <v>569</v>
      </c>
      <c r="D10" s="13" t="s">
        <v>556</v>
      </c>
      <c r="E10" s="15" t="s">
        <v>597</v>
      </c>
      <c r="F10" s="15" t="s">
        <v>598</v>
      </c>
      <c r="G10" s="15" t="s">
        <v>599</v>
      </c>
      <c r="H10" s="15" t="s">
        <v>600</v>
      </c>
      <c r="I10" s="15" t="s">
        <v>561</v>
      </c>
      <c r="J10" s="38">
        <v>-1</v>
      </c>
      <c r="K10" s="38">
        <v>0</v>
      </c>
      <c r="L10" s="38">
        <v>-1</v>
      </c>
      <c r="M10" s="38">
        <v>0</v>
      </c>
      <c r="N10" s="2">
        <f t="shared" si="0"/>
        <v>-2</v>
      </c>
      <c r="T10" s="13"/>
      <c r="U10" s="39"/>
      <c r="V10" s="13"/>
      <c r="W10" s="13"/>
      <c r="X10" s="13"/>
      <c r="Y10" s="15"/>
      <c r="Z10" s="15"/>
      <c r="AA10" s="13"/>
    </row>
    <row r="11" spans="1:27" ht="15.75" customHeight="1">
      <c r="A11" s="13" t="s">
        <v>555</v>
      </c>
      <c r="B11" s="13" t="s">
        <v>556</v>
      </c>
      <c r="C11" s="13" t="s">
        <v>569</v>
      </c>
      <c r="D11" s="13" t="s">
        <v>569</v>
      </c>
      <c r="E11" s="15" t="s">
        <v>601</v>
      </c>
      <c r="F11" s="15" t="s">
        <v>602</v>
      </c>
      <c r="G11" s="15" t="s">
        <v>603</v>
      </c>
      <c r="H11" s="15" t="s">
        <v>604</v>
      </c>
      <c r="I11" s="15" t="s">
        <v>561</v>
      </c>
      <c r="J11" s="38">
        <v>-1</v>
      </c>
      <c r="K11" s="38">
        <v>0</v>
      </c>
      <c r="L11" s="38">
        <v>-1</v>
      </c>
      <c r="M11" s="38">
        <v>-1</v>
      </c>
      <c r="N11" s="2">
        <f t="shared" si="0"/>
        <v>-3</v>
      </c>
      <c r="T11" s="13"/>
      <c r="U11" s="39"/>
      <c r="V11" s="13"/>
      <c r="W11" s="13"/>
      <c r="X11" s="13"/>
      <c r="Y11" s="15"/>
      <c r="Z11" s="15"/>
      <c r="AA11" s="13"/>
    </row>
    <row r="12" spans="1:27" ht="15.75" customHeight="1">
      <c r="A12" s="13" t="s">
        <v>555</v>
      </c>
      <c r="B12" s="13" t="s">
        <v>1</v>
      </c>
      <c r="C12" s="13" t="s">
        <v>556</v>
      </c>
      <c r="D12" s="13" t="s">
        <v>1</v>
      </c>
      <c r="E12" s="15" t="s">
        <v>605</v>
      </c>
      <c r="F12" s="15" t="s">
        <v>606</v>
      </c>
      <c r="G12" s="15" t="s">
        <v>607</v>
      </c>
      <c r="H12" s="15" t="s">
        <v>608</v>
      </c>
      <c r="I12" s="40" t="s">
        <v>579</v>
      </c>
      <c r="J12" s="38">
        <v>-1</v>
      </c>
      <c r="K12" s="38">
        <v>1</v>
      </c>
      <c r="L12" s="38">
        <v>0</v>
      </c>
      <c r="M12" s="38">
        <v>1</v>
      </c>
      <c r="N12" s="2">
        <f t="shared" si="0"/>
        <v>1</v>
      </c>
      <c r="T12" s="13"/>
      <c r="U12" s="39"/>
      <c r="V12" s="13"/>
      <c r="W12" s="13"/>
      <c r="X12" s="13"/>
      <c r="Y12" s="15"/>
      <c r="Z12" s="15"/>
      <c r="AA12" s="13"/>
    </row>
    <row r="13" spans="1:27" ht="15.75" customHeight="1">
      <c r="A13" s="13" t="s">
        <v>555</v>
      </c>
      <c r="B13" s="13" t="s">
        <v>1</v>
      </c>
      <c r="C13" s="13" t="s">
        <v>556</v>
      </c>
      <c r="D13" s="13" t="s">
        <v>556</v>
      </c>
      <c r="E13" s="15" t="s">
        <v>609</v>
      </c>
      <c r="F13" s="15" t="s">
        <v>610</v>
      </c>
      <c r="G13" s="15" t="s">
        <v>611</v>
      </c>
      <c r="H13" s="15" t="s">
        <v>612</v>
      </c>
      <c r="I13" s="40" t="s">
        <v>579</v>
      </c>
      <c r="J13" s="38">
        <v>-1</v>
      </c>
      <c r="K13" s="38">
        <v>1</v>
      </c>
      <c r="L13" s="38">
        <v>0</v>
      </c>
      <c r="M13" s="38">
        <v>0</v>
      </c>
      <c r="N13" s="2">
        <f t="shared" si="0"/>
        <v>0</v>
      </c>
      <c r="O13" s="14"/>
      <c r="P13" s="14"/>
      <c r="Q13" s="14"/>
      <c r="R13" s="14"/>
      <c r="S13" s="14" t="s">
        <v>613</v>
      </c>
      <c r="T13" s="13"/>
      <c r="U13" s="39"/>
      <c r="V13" s="13"/>
      <c r="W13" s="13"/>
      <c r="X13" s="13"/>
      <c r="Y13" s="15"/>
      <c r="Z13" s="15"/>
      <c r="AA13" s="13"/>
    </row>
    <row r="14" spans="1:27" ht="15.75" customHeight="1">
      <c r="A14" s="13" t="s">
        <v>555</v>
      </c>
      <c r="B14" s="13" t="s">
        <v>1</v>
      </c>
      <c r="C14" s="13" t="s">
        <v>556</v>
      </c>
      <c r="D14" s="13" t="s">
        <v>569</v>
      </c>
      <c r="E14" s="15" t="s">
        <v>614</v>
      </c>
      <c r="F14" s="15" t="s">
        <v>615</v>
      </c>
      <c r="G14" s="15" t="s">
        <v>616</v>
      </c>
      <c r="H14" s="15" t="s">
        <v>617</v>
      </c>
      <c r="I14" s="41" t="s">
        <v>585</v>
      </c>
      <c r="J14" s="38">
        <v>-1</v>
      </c>
      <c r="K14" s="38">
        <v>1</v>
      </c>
      <c r="L14" s="38">
        <v>0</v>
      </c>
      <c r="M14" s="38">
        <v>-1</v>
      </c>
      <c r="N14" s="2">
        <f t="shared" si="0"/>
        <v>-1</v>
      </c>
      <c r="T14" s="13"/>
      <c r="U14" s="39"/>
      <c r="V14" s="13"/>
      <c r="W14" s="13"/>
      <c r="X14" s="13"/>
      <c r="Y14" s="15"/>
      <c r="Z14" s="15"/>
      <c r="AA14" s="13"/>
    </row>
    <row r="15" spans="1:27" ht="15.75" customHeight="1">
      <c r="A15" s="13" t="s">
        <v>555</v>
      </c>
      <c r="B15" s="13" t="s">
        <v>1</v>
      </c>
      <c r="C15" s="13" t="s">
        <v>1</v>
      </c>
      <c r="D15" s="13" t="s">
        <v>1</v>
      </c>
      <c r="E15" s="15" t="s">
        <v>618</v>
      </c>
      <c r="F15" s="15" t="s">
        <v>619</v>
      </c>
      <c r="G15" s="15" t="s">
        <v>620</v>
      </c>
      <c r="H15" s="15" t="s">
        <v>621</v>
      </c>
      <c r="I15" s="15" t="s">
        <v>579</v>
      </c>
      <c r="J15" s="38">
        <v>-1</v>
      </c>
      <c r="K15" s="38">
        <v>1</v>
      </c>
      <c r="L15" s="38">
        <v>1.5</v>
      </c>
      <c r="M15" s="38">
        <v>1</v>
      </c>
      <c r="N15" s="2">
        <f t="shared" si="0"/>
        <v>2.5</v>
      </c>
      <c r="T15" s="13"/>
      <c r="U15" s="39"/>
      <c r="V15" s="13"/>
      <c r="W15" s="13"/>
      <c r="X15" s="13"/>
      <c r="Y15" s="15"/>
      <c r="Z15" s="15"/>
      <c r="AA15" s="13"/>
    </row>
    <row r="16" spans="1:27" ht="15.75" customHeight="1">
      <c r="A16" s="13" t="s">
        <v>555</v>
      </c>
      <c r="B16" s="13" t="s">
        <v>1</v>
      </c>
      <c r="C16" s="13" t="s">
        <v>1</v>
      </c>
      <c r="D16" s="13" t="s">
        <v>556</v>
      </c>
      <c r="E16" s="15" t="s">
        <v>622</v>
      </c>
      <c r="F16" s="15" t="s">
        <v>623</v>
      </c>
      <c r="G16" s="15" t="s">
        <v>624</v>
      </c>
      <c r="H16" s="15" t="s">
        <v>625</v>
      </c>
      <c r="I16" s="15" t="s">
        <v>579</v>
      </c>
      <c r="J16" s="38">
        <v>-1</v>
      </c>
      <c r="K16" s="38">
        <v>1</v>
      </c>
      <c r="L16" s="38">
        <v>1.5</v>
      </c>
      <c r="M16" s="38">
        <v>0</v>
      </c>
      <c r="N16" s="2">
        <f t="shared" si="0"/>
        <v>1.5</v>
      </c>
      <c r="T16" s="13"/>
      <c r="U16" s="39"/>
      <c r="V16" s="13"/>
      <c r="W16" s="13"/>
      <c r="X16" s="13"/>
      <c r="Y16" s="15"/>
      <c r="Z16" s="15"/>
      <c r="AA16" s="13"/>
    </row>
    <row r="17" spans="1:27" ht="15.75" customHeight="1">
      <c r="A17" s="13" t="s">
        <v>555</v>
      </c>
      <c r="B17" s="13" t="s">
        <v>1</v>
      </c>
      <c r="C17" s="13" t="s">
        <v>1</v>
      </c>
      <c r="D17" s="13" t="s">
        <v>569</v>
      </c>
      <c r="E17" s="15" t="s">
        <v>626</v>
      </c>
      <c r="F17" s="15" t="s">
        <v>627</v>
      </c>
      <c r="G17" s="15" t="s">
        <v>628</v>
      </c>
      <c r="H17" s="15" t="s">
        <v>629</v>
      </c>
      <c r="I17" s="41" t="s">
        <v>630</v>
      </c>
      <c r="J17" s="38">
        <v>-1</v>
      </c>
      <c r="K17" s="38">
        <v>1</v>
      </c>
      <c r="L17" s="38">
        <v>1.5</v>
      </c>
      <c r="M17" s="38">
        <v>-1</v>
      </c>
      <c r="N17" s="2">
        <f t="shared" si="0"/>
        <v>0.5</v>
      </c>
      <c r="T17" s="13"/>
      <c r="U17" s="39"/>
      <c r="V17" s="13"/>
      <c r="W17" s="13"/>
      <c r="X17" s="13"/>
      <c r="Y17" s="15"/>
      <c r="Z17" s="15"/>
      <c r="AA17" s="13"/>
    </row>
    <row r="18" spans="1:27" ht="15.75" customHeight="1">
      <c r="A18" s="13" t="s">
        <v>555</v>
      </c>
      <c r="B18" s="13" t="s">
        <v>1</v>
      </c>
      <c r="C18" s="13" t="s">
        <v>569</v>
      </c>
      <c r="D18" s="13" t="s">
        <v>1</v>
      </c>
      <c r="E18" s="15" t="s">
        <v>631</v>
      </c>
      <c r="F18" s="15" t="s">
        <v>632</v>
      </c>
      <c r="G18" s="15" t="s">
        <v>633</v>
      </c>
      <c r="H18" s="15" t="s">
        <v>634</v>
      </c>
      <c r="I18" s="15" t="s">
        <v>635</v>
      </c>
      <c r="J18" s="38">
        <v>-1</v>
      </c>
      <c r="K18" s="38">
        <v>1</v>
      </c>
      <c r="L18" s="38">
        <v>-1</v>
      </c>
      <c r="M18" s="38">
        <v>1</v>
      </c>
      <c r="N18" s="2">
        <f t="shared" si="0"/>
        <v>0</v>
      </c>
      <c r="T18" s="13"/>
      <c r="U18" s="39"/>
      <c r="V18" s="13"/>
      <c r="W18" s="13"/>
      <c r="X18" s="13"/>
      <c r="Y18" s="15"/>
      <c r="Z18" s="15"/>
      <c r="AA18" s="13"/>
    </row>
    <row r="19" spans="1:27" ht="15.75" customHeight="1">
      <c r="A19" s="13" t="s">
        <v>555</v>
      </c>
      <c r="B19" s="13" t="s">
        <v>1</v>
      </c>
      <c r="C19" s="13" t="s">
        <v>569</v>
      </c>
      <c r="D19" s="13" t="s">
        <v>556</v>
      </c>
      <c r="E19" s="15" t="s">
        <v>636</v>
      </c>
      <c r="F19" s="15" t="s">
        <v>637</v>
      </c>
      <c r="G19" s="15" t="s">
        <v>638</v>
      </c>
      <c r="H19" s="15"/>
      <c r="I19" s="15" t="s">
        <v>561</v>
      </c>
      <c r="J19" s="38">
        <v>-1</v>
      </c>
      <c r="K19" s="38">
        <v>1</v>
      </c>
      <c r="L19" s="38">
        <v>-1</v>
      </c>
      <c r="M19" s="38">
        <v>0</v>
      </c>
      <c r="N19" s="2">
        <f t="shared" si="0"/>
        <v>-1</v>
      </c>
      <c r="T19" s="13"/>
      <c r="U19" s="39"/>
      <c r="V19" s="13"/>
      <c r="W19" s="13"/>
      <c r="X19" s="13"/>
      <c r="Y19" s="15"/>
      <c r="Z19" s="15"/>
      <c r="AA19" s="13"/>
    </row>
    <row r="20" spans="1:27" ht="15.75" customHeight="1">
      <c r="A20" s="13" t="s">
        <v>555</v>
      </c>
      <c r="B20" s="13" t="s">
        <v>1</v>
      </c>
      <c r="C20" s="13" t="s">
        <v>569</v>
      </c>
      <c r="D20" s="13" t="s">
        <v>569</v>
      </c>
      <c r="E20" s="15" t="s">
        <v>639</v>
      </c>
      <c r="F20" s="15" t="s">
        <v>640</v>
      </c>
      <c r="G20" s="15" t="s">
        <v>641</v>
      </c>
      <c r="H20" s="15" t="s">
        <v>642</v>
      </c>
      <c r="I20" s="15" t="s">
        <v>635</v>
      </c>
      <c r="J20" s="38">
        <v>-1</v>
      </c>
      <c r="K20" s="38">
        <v>1</v>
      </c>
      <c r="L20" s="38">
        <v>-1</v>
      </c>
      <c r="M20" s="38">
        <v>-1</v>
      </c>
      <c r="N20" s="2">
        <f t="shared" si="0"/>
        <v>-2</v>
      </c>
      <c r="T20" s="13"/>
      <c r="U20" s="39"/>
      <c r="V20" s="13"/>
      <c r="W20" s="13"/>
      <c r="X20" s="13"/>
      <c r="Y20" s="15"/>
      <c r="Z20" s="15"/>
      <c r="AA20" s="13"/>
    </row>
    <row r="21" spans="1:27" ht="15.75" customHeight="1">
      <c r="A21" s="13" t="s">
        <v>555</v>
      </c>
      <c r="B21" s="13" t="s">
        <v>569</v>
      </c>
      <c r="C21" s="13" t="s">
        <v>556</v>
      </c>
      <c r="D21" s="13" t="s">
        <v>1</v>
      </c>
      <c r="E21" s="15" t="s">
        <v>643</v>
      </c>
      <c r="F21" s="15" t="s">
        <v>644</v>
      </c>
      <c r="G21" s="15" t="s">
        <v>645</v>
      </c>
      <c r="I21" s="15" t="s">
        <v>561</v>
      </c>
      <c r="J21" s="38">
        <v>-1</v>
      </c>
      <c r="K21" s="38">
        <v>-1</v>
      </c>
      <c r="L21" s="38">
        <v>0</v>
      </c>
      <c r="M21" s="38">
        <v>1</v>
      </c>
      <c r="N21" s="2">
        <f t="shared" si="0"/>
        <v>-1</v>
      </c>
      <c r="T21" s="13"/>
      <c r="U21" s="39"/>
      <c r="V21" s="13"/>
      <c r="W21" s="13"/>
      <c r="X21" s="13"/>
      <c r="Y21" s="15"/>
      <c r="Z21" s="15"/>
      <c r="AA21" s="13"/>
    </row>
    <row r="22" spans="1:27" ht="15.75" customHeight="1">
      <c r="A22" s="13" t="s">
        <v>555</v>
      </c>
      <c r="B22" s="13" t="s">
        <v>569</v>
      </c>
      <c r="C22" s="13" t="s">
        <v>556</v>
      </c>
      <c r="D22" s="13" t="s">
        <v>556</v>
      </c>
      <c r="E22" s="15" t="s">
        <v>646</v>
      </c>
      <c r="F22" s="15" t="s">
        <v>647</v>
      </c>
      <c r="G22" s="15" t="s">
        <v>648</v>
      </c>
      <c r="H22" s="15" t="s">
        <v>649</v>
      </c>
      <c r="I22" s="14" t="s">
        <v>561</v>
      </c>
      <c r="J22" s="38">
        <v>-1</v>
      </c>
      <c r="K22" s="38">
        <v>-1</v>
      </c>
      <c r="L22" s="38">
        <v>0</v>
      </c>
      <c r="M22" s="38">
        <v>0</v>
      </c>
      <c r="N22" s="2">
        <f t="shared" si="0"/>
        <v>-2</v>
      </c>
      <c r="T22" s="13"/>
      <c r="U22" s="39"/>
      <c r="V22" s="13"/>
      <c r="W22" s="13"/>
      <c r="X22" s="13"/>
      <c r="Y22" s="15"/>
      <c r="Z22" s="15"/>
      <c r="AA22" s="13"/>
    </row>
    <row r="23" spans="1:27" ht="15.75" customHeight="1">
      <c r="A23" s="13" t="s">
        <v>555</v>
      </c>
      <c r="B23" s="13" t="s">
        <v>569</v>
      </c>
      <c r="C23" s="13" t="s">
        <v>556</v>
      </c>
      <c r="D23" s="13" t="s">
        <v>569</v>
      </c>
      <c r="E23" s="15" t="s">
        <v>650</v>
      </c>
      <c r="F23" s="15" t="s">
        <v>651</v>
      </c>
      <c r="G23" s="15" t="s">
        <v>652</v>
      </c>
      <c r="I23" s="15" t="s">
        <v>561</v>
      </c>
      <c r="J23" s="38">
        <v>-1</v>
      </c>
      <c r="K23" s="38">
        <v>-1</v>
      </c>
      <c r="L23" s="38">
        <v>0</v>
      </c>
      <c r="M23" s="38">
        <v>-1</v>
      </c>
      <c r="N23" s="2">
        <f t="shared" si="0"/>
        <v>-3</v>
      </c>
      <c r="T23" s="13"/>
      <c r="U23" s="39"/>
      <c r="V23" s="13"/>
      <c r="W23" s="13"/>
      <c r="X23" s="13"/>
      <c r="Y23" s="15"/>
      <c r="Z23" s="15"/>
      <c r="AA23" s="13"/>
    </row>
    <row r="24" spans="1:27" ht="15.75" customHeight="1">
      <c r="A24" s="13" t="s">
        <v>555</v>
      </c>
      <c r="B24" s="13" t="s">
        <v>569</v>
      </c>
      <c r="C24" s="13" t="s">
        <v>1</v>
      </c>
      <c r="D24" s="13" t="s">
        <v>1</v>
      </c>
      <c r="E24" s="15" t="s">
        <v>653</v>
      </c>
      <c r="F24" s="15" t="s">
        <v>654</v>
      </c>
      <c r="G24" s="15" t="s">
        <v>655</v>
      </c>
      <c r="H24" s="15" t="s">
        <v>656</v>
      </c>
      <c r="I24" s="15" t="s">
        <v>657</v>
      </c>
      <c r="J24" s="38">
        <v>-1</v>
      </c>
      <c r="K24" s="38">
        <v>-1</v>
      </c>
      <c r="L24" s="38">
        <v>1.5</v>
      </c>
      <c r="M24" s="38">
        <v>1</v>
      </c>
      <c r="N24" s="2">
        <f t="shared" si="0"/>
        <v>0.5</v>
      </c>
      <c r="T24" s="13"/>
      <c r="U24" s="39"/>
      <c r="V24" s="13"/>
      <c r="W24" s="13"/>
      <c r="X24" s="13"/>
      <c r="Y24" s="15"/>
      <c r="Z24" s="15"/>
      <c r="AA24" s="13"/>
    </row>
    <row r="25" spans="1:27" ht="15.75" customHeight="1">
      <c r="A25" s="13" t="s">
        <v>555</v>
      </c>
      <c r="B25" s="13" t="s">
        <v>569</v>
      </c>
      <c r="C25" s="13" t="s">
        <v>1</v>
      </c>
      <c r="D25" s="13" t="s">
        <v>556</v>
      </c>
      <c r="E25" s="15" t="s">
        <v>658</v>
      </c>
      <c r="F25" s="15" t="s">
        <v>659</v>
      </c>
      <c r="G25" s="15" t="s">
        <v>660</v>
      </c>
      <c r="H25" s="15" t="s">
        <v>661</v>
      </c>
      <c r="I25" s="40" t="s">
        <v>579</v>
      </c>
      <c r="J25" s="38">
        <v>-1</v>
      </c>
      <c r="K25" s="38">
        <v>-1</v>
      </c>
      <c r="L25" s="38">
        <v>1.5</v>
      </c>
      <c r="M25" s="38">
        <v>0</v>
      </c>
      <c r="N25" s="2">
        <f t="shared" si="0"/>
        <v>-0.5</v>
      </c>
      <c r="T25" s="13"/>
      <c r="U25" s="39"/>
      <c r="V25" s="13"/>
      <c r="W25" s="13"/>
      <c r="X25" s="13"/>
      <c r="Y25" s="15"/>
      <c r="Z25" s="15"/>
      <c r="AA25" s="13"/>
    </row>
    <row r="26" spans="1:27" ht="15.75" customHeight="1">
      <c r="A26" s="13" t="s">
        <v>555</v>
      </c>
      <c r="B26" s="13" t="s">
        <v>569</v>
      </c>
      <c r="C26" s="13" t="s">
        <v>1</v>
      </c>
      <c r="D26" s="13" t="s">
        <v>569</v>
      </c>
      <c r="E26" s="15" t="s">
        <v>662</v>
      </c>
      <c r="F26" s="15" t="s">
        <v>663</v>
      </c>
      <c r="G26" s="15" t="s">
        <v>664</v>
      </c>
      <c r="H26" s="15" t="s">
        <v>665</v>
      </c>
      <c r="I26" s="41" t="s">
        <v>585</v>
      </c>
      <c r="J26" s="38">
        <v>-1</v>
      </c>
      <c r="K26" s="38">
        <v>-1</v>
      </c>
      <c r="L26" s="38">
        <v>1.5</v>
      </c>
      <c r="M26" s="38">
        <v>-1</v>
      </c>
      <c r="N26" s="2">
        <f t="shared" si="0"/>
        <v>-1.5</v>
      </c>
      <c r="T26" s="13"/>
      <c r="U26" s="39"/>
      <c r="V26" s="13"/>
      <c r="W26" s="13"/>
      <c r="X26" s="13"/>
      <c r="Y26" s="15"/>
      <c r="Z26" s="15"/>
      <c r="AA26" s="13"/>
    </row>
    <row r="27" spans="1:27" ht="15.75" customHeight="1">
      <c r="A27" s="13" t="s">
        <v>555</v>
      </c>
      <c r="B27" s="13" t="s">
        <v>569</v>
      </c>
      <c r="C27" s="13" t="s">
        <v>569</v>
      </c>
      <c r="D27" s="13" t="s">
        <v>1</v>
      </c>
      <c r="E27" s="15" t="s">
        <v>666</v>
      </c>
      <c r="F27" s="15" t="s">
        <v>667</v>
      </c>
      <c r="G27" s="15" t="s">
        <v>668</v>
      </c>
      <c r="H27" s="15" t="s">
        <v>669</v>
      </c>
      <c r="I27" s="15" t="s">
        <v>561</v>
      </c>
      <c r="J27" s="38">
        <v>-1</v>
      </c>
      <c r="K27" s="38">
        <v>-1</v>
      </c>
      <c r="L27" s="38">
        <v>-1</v>
      </c>
      <c r="M27" s="38">
        <v>1</v>
      </c>
      <c r="N27" s="2">
        <f t="shared" si="0"/>
        <v>-2</v>
      </c>
      <c r="T27" s="13"/>
      <c r="U27" s="39"/>
      <c r="V27" s="13"/>
      <c r="W27" s="13"/>
      <c r="X27" s="13"/>
      <c r="Y27" s="15"/>
      <c r="Z27" s="15"/>
      <c r="AA27" s="13"/>
    </row>
    <row r="28" spans="1:27" ht="15.75" customHeight="1">
      <c r="A28" s="13" t="s">
        <v>555</v>
      </c>
      <c r="B28" s="13" t="s">
        <v>569</v>
      </c>
      <c r="C28" s="13" t="s">
        <v>569</v>
      </c>
      <c r="D28" s="13" t="s">
        <v>556</v>
      </c>
      <c r="E28" s="15" t="s">
        <v>670</v>
      </c>
      <c r="F28" s="15" t="s">
        <v>671</v>
      </c>
      <c r="G28" s="15" t="s">
        <v>672</v>
      </c>
      <c r="H28" s="15" t="s">
        <v>673</v>
      </c>
      <c r="I28" s="15" t="s">
        <v>561</v>
      </c>
      <c r="J28" s="38">
        <v>-1</v>
      </c>
      <c r="K28" s="38">
        <v>-1</v>
      </c>
      <c r="L28" s="38">
        <v>-1</v>
      </c>
      <c r="M28" s="38">
        <v>0</v>
      </c>
      <c r="N28" s="2">
        <f t="shared" si="0"/>
        <v>-3</v>
      </c>
      <c r="T28" s="13"/>
      <c r="U28" s="39"/>
      <c r="V28" s="13"/>
      <c r="W28" s="13"/>
      <c r="X28" s="13"/>
      <c r="Y28" s="15"/>
      <c r="Z28" s="15"/>
      <c r="AA28" s="13"/>
    </row>
    <row r="29" spans="1:27" ht="15.75" customHeight="1">
      <c r="A29" s="13" t="s">
        <v>555</v>
      </c>
      <c r="B29" s="13" t="s">
        <v>569</v>
      </c>
      <c r="C29" s="13" t="s">
        <v>569</v>
      </c>
      <c r="D29" s="13" t="s">
        <v>569</v>
      </c>
      <c r="E29" s="15" t="s">
        <v>674</v>
      </c>
      <c r="F29" s="15" t="s">
        <v>675</v>
      </c>
      <c r="G29" s="15" t="s">
        <v>676</v>
      </c>
      <c r="H29" s="15" t="s">
        <v>677</v>
      </c>
      <c r="I29" s="15" t="s">
        <v>561</v>
      </c>
      <c r="J29" s="38">
        <v>-1</v>
      </c>
      <c r="K29" s="38">
        <v>-1</v>
      </c>
      <c r="L29" s="38">
        <v>-1</v>
      </c>
      <c r="M29" s="38">
        <v>-1</v>
      </c>
      <c r="N29" s="2">
        <f t="shared" si="0"/>
        <v>-4</v>
      </c>
      <c r="T29" s="13"/>
      <c r="U29" s="39"/>
      <c r="V29" s="13"/>
      <c r="W29" s="13"/>
      <c r="X29" s="13"/>
      <c r="Y29" s="15"/>
      <c r="Z29" s="15"/>
      <c r="AA29" s="13"/>
    </row>
    <row r="30" spans="1:27" ht="15.75" customHeight="1">
      <c r="A30" s="42" t="s">
        <v>678</v>
      </c>
      <c r="B30" s="42" t="s">
        <v>556</v>
      </c>
      <c r="C30" s="43" t="s">
        <v>556</v>
      </c>
      <c r="D30" s="43" t="s">
        <v>1</v>
      </c>
      <c r="E30" s="44" t="s">
        <v>679</v>
      </c>
      <c r="F30" s="15" t="s">
        <v>680</v>
      </c>
      <c r="G30" s="15" t="s">
        <v>681</v>
      </c>
      <c r="H30" s="15" t="s">
        <v>682</v>
      </c>
      <c r="I30" s="16" t="s">
        <v>683</v>
      </c>
      <c r="J30" s="2"/>
      <c r="K30" s="38"/>
      <c r="L30" s="38"/>
      <c r="M30" s="38"/>
      <c r="N30" s="2">
        <f t="shared" si="0"/>
        <v>0</v>
      </c>
      <c r="O30" s="2"/>
      <c r="P30" s="2"/>
      <c r="Q30" s="2"/>
      <c r="R30" s="2"/>
      <c r="S30" s="2" t="s">
        <v>684</v>
      </c>
    </row>
    <row r="31" spans="1:27" ht="15.75" customHeight="1">
      <c r="A31" s="42" t="s">
        <v>678</v>
      </c>
      <c r="B31" s="42" t="s">
        <v>556</v>
      </c>
      <c r="C31" s="43" t="s">
        <v>556</v>
      </c>
      <c r="D31" s="43" t="s">
        <v>556</v>
      </c>
      <c r="E31" s="44" t="s">
        <v>685</v>
      </c>
      <c r="F31" s="15" t="s">
        <v>686</v>
      </c>
      <c r="G31" s="15" t="s">
        <v>687</v>
      </c>
      <c r="H31" s="15" t="s">
        <v>688</v>
      </c>
      <c r="I31" s="14" t="s">
        <v>579</v>
      </c>
      <c r="K31" s="38"/>
      <c r="L31" s="38"/>
      <c r="M31" s="38"/>
      <c r="N31" s="2">
        <f t="shared" si="0"/>
        <v>0</v>
      </c>
    </row>
    <row r="32" spans="1:27" ht="15.75" customHeight="1">
      <c r="A32" s="42" t="s">
        <v>678</v>
      </c>
      <c r="B32" s="42" t="s">
        <v>556</v>
      </c>
      <c r="C32" s="43" t="s">
        <v>556</v>
      </c>
      <c r="D32" s="43" t="s">
        <v>569</v>
      </c>
      <c r="E32" s="44" t="s">
        <v>689</v>
      </c>
      <c r="F32" s="15" t="s">
        <v>690</v>
      </c>
      <c r="G32" s="15" t="s">
        <v>691</v>
      </c>
      <c r="H32" s="15" t="s">
        <v>692</v>
      </c>
      <c r="I32" s="15" t="s">
        <v>579</v>
      </c>
      <c r="K32" s="38"/>
      <c r="L32" s="38"/>
      <c r="M32" s="38"/>
      <c r="N32" s="2">
        <f t="shared" si="0"/>
        <v>0</v>
      </c>
    </row>
    <row r="33" spans="1:14" ht="15.75" customHeight="1">
      <c r="A33" s="42" t="s">
        <v>678</v>
      </c>
      <c r="B33" s="42" t="s">
        <v>556</v>
      </c>
      <c r="C33" s="43" t="s">
        <v>1</v>
      </c>
      <c r="D33" s="43" t="s">
        <v>1</v>
      </c>
      <c r="E33" s="44" t="s">
        <v>693</v>
      </c>
      <c r="F33" s="15" t="s">
        <v>694</v>
      </c>
      <c r="G33" s="15" t="s">
        <v>695</v>
      </c>
      <c r="H33" s="15" t="s">
        <v>696</v>
      </c>
      <c r="I33" s="14" t="s">
        <v>579</v>
      </c>
      <c r="K33" s="38"/>
      <c r="L33" s="38"/>
      <c r="M33" s="38"/>
      <c r="N33" s="2">
        <f t="shared" si="0"/>
        <v>0</v>
      </c>
    </row>
    <row r="34" spans="1:14" ht="15.75" customHeight="1">
      <c r="A34" s="42" t="s">
        <v>678</v>
      </c>
      <c r="B34" s="42" t="s">
        <v>556</v>
      </c>
      <c r="C34" s="43" t="s">
        <v>1</v>
      </c>
      <c r="D34" s="43" t="s">
        <v>556</v>
      </c>
      <c r="E34" s="44" t="s">
        <v>697</v>
      </c>
      <c r="F34" s="15" t="s">
        <v>698</v>
      </c>
      <c r="G34" s="15" t="s">
        <v>699</v>
      </c>
      <c r="H34" s="15" t="s">
        <v>700</v>
      </c>
      <c r="I34" s="40" t="s">
        <v>701</v>
      </c>
      <c r="K34" s="38"/>
      <c r="L34" s="38"/>
      <c r="M34" s="38"/>
      <c r="N34" s="2">
        <f t="shared" si="0"/>
        <v>0</v>
      </c>
    </row>
    <row r="35" spans="1:14" ht="15.75" customHeight="1">
      <c r="A35" s="42" t="s">
        <v>678</v>
      </c>
      <c r="B35" s="42" t="s">
        <v>556</v>
      </c>
      <c r="C35" s="43" t="s">
        <v>1</v>
      </c>
      <c r="D35" s="43" t="s">
        <v>569</v>
      </c>
      <c r="E35" s="44" t="s">
        <v>702</v>
      </c>
      <c r="F35" s="15" t="s">
        <v>703</v>
      </c>
      <c r="G35" s="15" t="s">
        <v>704</v>
      </c>
      <c r="H35" s="15" t="s">
        <v>705</v>
      </c>
      <c r="I35" s="15" t="s">
        <v>706</v>
      </c>
      <c r="K35" s="38"/>
      <c r="L35" s="38"/>
      <c r="M35" s="38"/>
      <c r="N35" s="2">
        <f t="shared" si="0"/>
        <v>0</v>
      </c>
    </row>
    <row r="36" spans="1:14" ht="15.75" customHeight="1">
      <c r="A36" s="42" t="s">
        <v>678</v>
      </c>
      <c r="B36" s="42" t="s">
        <v>556</v>
      </c>
      <c r="C36" s="43" t="s">
        <v>569</v>
      </c>
      <c r="D36" s="43" t="s">
        <v>1</v>
      </c>
      <c r="E36" s="44" t="s">
        <v>707</v>
      </c>
      <c r="F36" s="15" t="s">
        <v>708</v>
      </c>
      <c r="G36" s="15" t="s">
        <v>709</v>
      </c>
      <c r="H36" s="15" t="s">
        <v>710</v>
      </c>
      <c r="I36" s="15" t="s">
        <v>561</v>
      </c>
      <c r="K36" s="38"/>
      <c r="L36" s="38"/>
      <c r="M36" s="38"/>
      <c r="N36" s="2">
        <f t="shared" si="0"/>
        <v>0</v>
      </c>
    </row>
    <row r="37" spans="1:14" ht="54">
      <c r="A37" s="42" t="s">
        <v>678</v>
      </c>
      <c r="B37" s="42" t="s">
        <v>556</v>
      </c>
      <c r="C37" s="43" t="s">
        <v>569</v>
      </c>
      <c r="D37" s="43" t="s">
        <v>556</v>
      </c>
      <c r="E37" s="44" t="s">
        <v>711</v>
      </c>
      <c r="F37" s="15" t="s">
        <v>712</v>
      </c>
      <c r="G37" s="15" t="s">
        <v>713</v>
      </c>
      <c r="H37" s="15" t="s">
        <v>714</v>
      </c>
      <c r="I37" s="15" t="s">
        <v>561</v>
      </c>
      <c r="K37" s="38"/>
      <c r="L37" s="38"/>
      <c r="M37" s="38"/>
      <c r="N37" s="2">
        <f t="shared" si="0"/>
        <v>0</v>
      </c>
    </row>
    <row r="38" spans="1:14" ht="54">
      <c r="A38" s="42" t="s">
        <v>678</v>
      </c>
      <c r="B38" s="42" t="s">
        <v>556</v>
      </c>
      <c r="C38" s="43" t="s">
        <v>569</v>
      </c>
      <c r="D38" s="43" t="s">
        <v>569</v>
      </c>
      <c r="E38" s="44" t="s">
        <v>715</v>
      </c>
      <c r="F38" s="15" t="s">
        <v>716</v>
      </c>
      <c r="G38" s="15" t="s">
        <v>717</v>
      </c>
      <c r="H38" s="15" t="s">
        <v>718</v>
      </c>
      <c r="I38" s="15" t="s">
        <v>561</v>
      </c>
      <c r="K38" s="38"/>
      <c r="L38" s="38"/>
      <c r="M38" s="38"/>
      <c r="N38" s="2">
        <f t="shared" si="0"/>
        <v>0</v>
      </c>
    </row>
    <row r="39" spans="1:14" ht="54">
      <c r="A39" s="45" t="s">
        <v>678</v>
      </c>
      <c r="B39" s="45" t="s">
        <v>1</v>
      </c>
      <c r="C39" s="43" t="s">
        <v>556</v>
      </c>
      <c r="D39" s="43" t="s">
        <v>1</v>
      </c>
      <c r="E39" s="46" t="s">
        <v>719</v>
      </c>
      <c r="F39" s="15" t="s">
        <v>720</v>
      </c>
      <c r="G39" s="15" t="s">
        <v>721</v>
      </c>
      <c r="H39" s="15" t="s">
        <v>722</v>
      </c>
      <c r="I39" s="14" t="s">
        <v>579</v>
      </c>
      <c r="K39" s="38"/>
      <c r="L39" s="38"/>
      <c r="M39" s="38"/>
      <c r="N39" s="2">
        <f t="shared" si="0"/>
        <v>0</v>
      </c>
    </row>
    <row r="40" spans="1:14" ht="54">
      <c r="A40" s="45" t="s">
        <v>678</v>
      </c>
      <c r="B40" s="45" t="s">
        <v>1</v>
      </c>
      <c r="C40" s="43" t="s">
        <v>556</v>
      </c>
      <c r="D40" s="43" t="s">
        <v>556</v>
      </c>
      <c r="E40" s="46" t="s">
        <v>723</v>
      </c>
      <c r="F40" s="15" t="s">
        <v>724</v>
      </c>
      <c r="G40" s="15" t="s">
        <v>725</v>
      </c>
      <c r="H40" s="15" t="s">
        <v>726</v>
      </c>
      <c r="I40" s="15" t="s">
        <v>579</v>
      </c>
      <c r="K40" s="38"/>
      <c r="L40" s="38"/>
      <c r="M40" s="38"/>
      <c r="N40" s="2">
        <f t="shared" si="0"/>
        <v>0</v>
      </c>
    </row>
    <row r="41" spans="1:14" ht="54">
      <c r="A41" s="45" t="s">
        <v>678</v>
      </c>
      <c r="B41" s="45" t="s">
        <v>1</v>
      </c>
      <c r="C41" s="43" t="s">
        <v>556</v>
      </c>
      <c r="D41" s="43" t="s">
        <v>569</v>
      </c>
      <c r="E41" s="46" t="s">
        <v>727</v>
      </c>
      <c r="F41" s="15" t="s">
        <v>728</v>
      </c>
      <c r="G41" s="15" t="s">
        <v>729</v>
      </c>
      <c r="H41" s="15" t="s">
        <v>730</v>
      </c>
      <c r="I41" s="15" t="s">
        <v>579</v>
      </c>
      <c r="K41" s="38"/>
      <c r="L41" s="38"/>
      <c r="M41" s="38"/>
      <c r="N41" s="2">
        <f t="shared" si="0"/>
        <v>0</v>
      </c>
    </row>
    <row r="42" spans="1:14" ht="72">
      <c r="A42" s="45" t="s">
        <v>678</v>
      </c>
      <c r="B42" s="45" t="s">
        <v>1</v>
      </c>
      <c r="C42" s="43" t="s">
        <v>1</v>
      </c>
      <c r="D42" s="43" t="s">
        <v>1</v>
      </c>
      <c r="E42" s="46" t="s">
        <v>731</v>
      </c>
      <c r="F42" s="15" t="s">
        <v>732</v>
      </c>
      <c r="G42" s="15" t="s">
        <v>733</v>
      </c>
      <c r="H42" s="15" t="s">
        <v>734</v>
      </c>
      <c r="I42" s="14" t="s">
        <v>579</v>
      </c>
      <c r="K42" s="38"/>
      <c r="L42" s="38"/>
      <c r="M42" s="38"/>
      <c r="N42" s="2">
        <f t="shared" si="0"/>
        <v>0</v>
      </c>
    </row>
    <row r="43" spans="1:14" ht="54">
      <c r="A43" s="45" t="s">
        <v>678</v>
      </c>
      <c r="B43" s="45" t="s">
        <v>1</v>
      </c>
      <c r="C43" s="43" t="s">
        <v>1</v>
      </c>
      <c r="D43" s="43" t="s">
        <v>556</v>
      </c>
      <c r="E43" s="46" t="s">
        <v>735</v>
      </c>
      <c r="F43" s="15" t="s">
        <v>736</v>
      </c>
      <c r="G43" s="15" t="s">
        <v>737</v>
      </c>
      <c r="H43" s="15" t="s">
        <v>738</v>
      </c>
      <c r="I43" s="15" t="s">
        <v>579</v>
      </c>
      <c r="K43" s="38"/>
      <c r="L43" s="38"/>
      <c r="M43" s="38"/>
      <c r="N43" s="2">
        <f t="shared" si="0"/>
        <v>0</v>
      </c>
    </row>
    <row r="44" spans="1:14" ht="36">
      <c r="A44" s="45" t="s">
        <v>678</v>
      </c>
      <c r="B44" s="45" t="s">
        <v>1</v>
      </c>
      <c r="C44" s="43" t="s">
        <v>1</v>
      </c>
      <c r="D44" s="43" t="s">
        <v>569</v>
      </c>
      <c r="E44" s="46" t="s">
        <v>739</v>
      </c>
      <c r="F44" s="15" t="s">
        <v>740</v>
      </c>
      <c r="G44" s="15" t="s">
        <v>741</v>
      </c>
      <c r="H44" s="15" t="s">
        <v>742</v>
      </c>
      <c r="I44" s="15" t="s">
        <v>579</v>
      </c>
      <c r="K44" s="38"/>
      <c r="L44" s="38"/>
      <c r="M44" s="38"/>
      <c r="N44" s="2">
        <f t="shared" si="0"/>
        <v>0</v>
      </c>
    </row>
    <row r="45" spans="1:14" ht="72">
      <c r="A45" s="45" t="s">
        <v>678</v>
      </c>
      <c r="B45" s="45" t="s">
        <v>1</v>
      </c>
      <c r="C45" s="43" t="s">
        <v>569</v>
      </c>
      <c r="D45" s="43" t="s">
        <v>1</v>
      </c>
      <c r="E45" s="46" t="s">
        <v>743</v>
      </c>
      <c r="F45" s="15" t="s">
        <v>744</v>
      </c>
      <c r="G45" s="15" t="s">
        <v>745</v>
      </c>
      <c r="H45" s="15" t="s">
        <v>746</v>
      </c>
      <c r="I45" s="15" t="s">
        <v>747</v>
      </c>
      <c r="K45" s="38"/>
      <c r="L45" s="38"/>
      <c r="M45" s="38"/>
      <c r="N45" s="2">
        <f t="shared" si="0"/>
        <v>0</v>
      </c>
    </row>
    <row r="46" spans="1:14" ht="72">
      <c r="A46" s="45" t="s">
        <v>678</v>
      </c>
      <c r="B46" s="45" t="s">
        <v>1</v>
      </c>
      <c r="C46" s="43" t="s">
        <v>569</v>
      </c>
      <c r="D46" s="43" t="s">
        <v>556</v>
      </c>
      <c r="E46" s="46" t="s">
        <v>748</v>
      </c>
      <c r="F46" s="15" t="s">
        <v>749</v>
      </c>
      <c r="G46" s="15" t="s">
        <v>750</v>
      </c>
      <c r="H46" s="15" t="s">
        <v>751</v>
      </c>
      <c r="I46" s="15" t="s">
        <v>747</v>
      </c>
      <c r="K46" s="38"/>
      <c r="L46" s="38"/>
      <c r="M46" s="38"/>
      <c r="N46" s="2">
        <f t="shared" si="0"/>
        <v>0</v>
      </c>
    </row>
    <row r="47" spans="1:14" ht="72">
      <c r="A47" s="45" t="s">
        <v>678</v>
      </c>
      <c r="B47" s="45" t="s">
        <v>1</v>
      </c>
      <c r="C47" s="43" t="s">
        <v>569</v>
      </c>
      <c r="D47" s="43" t="s">
        <v>569</v>
      </c>
      <c r="E47" s="46" t="s">
        <v>752</v>
      </c>
      <c r="F47" s="15" t="s">
        <v>753</v>
      </c>
      <c r="G47" s="15" t="s">
        <v>754</v>
      </c>
      <c r="H47" s="15" t="s">
        <v>755</v>
      </c>
      <c r="I47" s="15" t="s">
        <v>561</v>
      </c>
      <c r="K47" s="38"/>
      <c r="L47" s="38"/>
      <c r="M47" s="38"/>
      <c r="N47" s="2">
        <f t="shared" si="0"/>
        <v>0</v>
      </c>
    </row>
    <row r="48" spans="1:14" ht="54">
      <c r="A48" s="47" t="s">
        <v>678</v>
      </c>
      <c r="B48" s="47" t="s">
        <v>569</v>
      </c>
      <c r="C48" s="43" t="s">
        <v>556</v>
      </c>
      <c r="D48" s="43" t="s">
        <v>1</v>
      </c>
      <c r="E48" s="48" t="s">
        <v>756</v>
      </c>
      <c r="F48" s="15" t="s">
        <v>757</v>
      </c>
      <c r="G48" s="15" t="s">
        <v>758</v>
      </c>
      <c r="H48" s="15" t="s">
        <v>759</v>
      </c>
      <c r="I48" s="14" t="s">
        <v>561</v>
      </c>
      <c r="K48" s="38"/>
      <c r="L48" s="38"/>
      <c r="M48" s="38"/>
      <c r="N48" s="2">
        <f t="shared" si="0"/>
        <v>0</v>
      </c>
    </row>
    <row r="49" spans="1:14" ht="54">
      <c r="A49" s="47" t="s">
        <v>678</v>
      </c>
      <c r="B49" s="47" t="s">
        <v>569</v>
      </c>
      <c r="C49" s="43" t="s">
        <v>556</v>
      </c>
      <c r="D49" s="43" t="s">
        <v>556</v>
      </c>
      <c r="E49" s="48" t="s">
        <v>760</v>
      </c>
      <c r="F49" s="15" t="s">
        <v>761</v>
      </c>
      <c r="G49" s="15" t="s">
        <v>762</v>
      </c>
      <c r="H49" s="15" t="s">
        <v>763</v>
      </c>
      <c r="I49" s="15" t="s">
        <v>561</v>
      </c>
      <c r="K49" s="38"/>
      <c r="L49" s="38"/>
      <c r="M49" s="38"/>
      <c r="N49" s="2">
        <f t="shared" si="0"/>
        <v>0</v>
      </c>
    </row>
    <row r="50" spans="1:14" ht="54">
      <c r="A50" s="47" t="s">
        <v>678</v>
      </c>
      <c r="B50" s="47" t="s">
        <v>569</v>
      </c>
      <c r="C50" s="43" t="s">
        <v>556</v>
      </c>
      <c r="D50" s="43" t="s">
        <v>569</v>
      </c>
      <c r="E50" s="48" t="s">
        <v>764</v>
      </c>
      <c r="F50" s="15" t="s">
        <v>647</v>
      </c>
      <c r="G50" s="15" t="s">
        <v>765</v>
      </c>
      <c r="H50" s="15" t="s">
        <v>766</v>
      </c>
      <c r="I50" s="15" t="s">
        <v>561</v>
      </c>
      <c r="K50" s="38"/>
      <c r="L50" s="38"/>
      <c r="M50" s="38"/>
      <c r="N50" s="2">
        <f t="shared" si="0"/>
        <v>0</v>
      </c>
    </row>
    <row r="51" spans="1:14" ht="54">
      <c r="A51" s="47" t="s">
        <v>678</v>
      </c>
      <c r="B51" s="47" t="s">
        <v>569</v>
      </c>
      <c r="C51" s="43" t="s">
        <v>1</v>
      </c>
      <c r="D51" s="43" t="s">
        <v>1</v>
      </c>
      <c r="E51" s="48" t="s">
        <v>767</v>
      </c>
      <c r="F51" s="15" t="s">
        <v>768</v>
      </c>
      <c r="G51" s="15" t="s">
        <v>769</v>
      </c>
      <c r="H51" s="15" t="s">
        <v>770</v>
      </c>
      <c r="I51" s="15" t="s">
        <v>771</v>
      </c>
      <c r="K51" s="38"/>
      <c r="L51" s="38"/>
      <c r="M51" s="38"/>
      <c r="N51" s="2">
        <f t="shared" si="0"/>
        <v>0</v>
      </c>
    </row>
    <row r="52" spans="1:14" ht="54">
      <c r="A52" s="47" t="s">
        <v>678</v>
      </c>
      <c r="B52" s="47" t="s">
        <v>569</v>
      </c>
      <c r="C52" s="43" t="s">
        <v>1</v>
      </c>
      <c r="D52" s="43" t="s">
        <v>556</v>
      </c>
      <c r="E52" s="48" t="s">
        <v>772</v>
      </c>
      <c r="F52" s="15" t="s">
        <v>773</v>
      </c>
      <c r="G52" s="15" t="s">
        <v>774</v>
      </c>
      <c r="H52" s="15" t="s">
        <v>775</v>
      </c>
      <c r="I52" s="40" t="s">
        <v>579</v>
      </c>
      <c r="K52" s="38"/>
      <c r="L52" s="38"/>
      <c r="M52" s="38"/>
      <c r="N52" s="2">
        <f t="shared" si="0"/>
        <v>0</v>
      </c>
    </row>
    <row r="53" spans="1:14" ht="36">
      <c r="A53" s="47" t="s">
        <v>678</v>
      </c>
      <c r="B53" s="47" t="s">
        <v>569</v>
      </c>
      <c r="C53" s="43" t="s">
        <v>1</v>
      </c>
      <c r="D53" s="43" t="s">
        <v>569</v>
      </c>
      <c r="E53" s="48" t="s">
        <v>776</v>
      </c>
      <c r="F53" s="15" t="s">
        <v>777</v>
      </c>
      <c r="G53" s="15" t="s">
        <v>778</v>
      </c>
      <c r="H53" s="15" t="s">
        <v>779</v>
      </c>
      <c r="I53" s="15" t="s">
        <v>771</v>
      </c>
      <c r="K53" s="38"/>
      <c r="L53" s="38"/>
      <c r="M53" s="38"/>
      <c r="N53" s="2">
        <f t="shared" si="0"/>
        <v>0</v>
      </c>
    </row>
    <row r="54" spans="1:14" ht="72">
      <c r="A54" s="47" t="s">
        <v>678</v>
      </c>
      <c r="B54" s="47" t="s">
        <v>569</v>
      </c>
      <c r="C54" s="43" t="s">
        <v>569</v>
      </c>
      <c r="D54" s="43" t="s">
        <v>1</v>
      </c>
      <c r="E54" s="48" t="s">
        <v>780</v>
      </c>
      <c r="F54" s="15" t="s">
        <v>781</v>
      </c>
      <c r="G54" s="15" t="s">
        <v>668</v>
      </c>
      <c r="H54" s="15" t="s">
        <v>782</v>
      </c>
      <c r="I54" s="14" t="s">
        <v>561</v>
      </c>
      <c r="K54" s="38"/>
      <c r="L54" s="38"/>
      <c r="M54" s="38"/>
      <c r="N54" s="2">
        <f t="shared" si="0"/>
        <v>0</v>
      </c>
    </row>
    <row r="55" spans="1:14" ht="54">
      <c r="A55" s="47" t="s">
        <v>678</v>
      </c>
      <c r="B55" s="47" t="s">
        <v>569</v>
      </c>
      <c r="C55" s="43" t="s">
        <v>569</v>
      </c>
      <c r="D55" s="43" t="s">
        <v>556</v>
      </c>
      <c r="E55" s="48" t="s">
        <v>783</v>
      </c>
      <c r="F55" s="15" t="s">
        <v>671</v>
      </c>
      <c r="G55" s="15" t="s">
        <v>784</v>
      </c>
      <c r="H55" s="15" t="s">
        <v>785</v>
      </c>
      <c r="I55" s="15" t="s">
        <v>561</v>
      </c>
      <c r="K55" s="38"/>
      <c r="L55" s="38"/>
      <c r="M55" s="38"/>
      <c r="N55" s="2">
        <f t="shared" si="0"/>
        <v>0</v>
      </c>
    </row>
    <row r="56" spans="1:14" ht="54">
      <c r="A56" s="47" t="s">
        <v>678</v>
      </c>
      <c r="B56" s="47" t="s">
        <v>569</v>
      </c>
      <c r="C56" s="43" t="s">
        <v>569</v>
      </c>
      <c r="D56" s="43" t="s">
        <v>569</v>
      </c>
      <c r="E56" s="48" t="s">
        <v>786</v>
      </c>
      <c r="F56" s="15" t="s">
        <v>787</v>
      </c>
      <c r="G56" s="15" t="s">
        <v>788</v>
      </c>
      <c r="H56" s="15" t="s">
        <v>789</v>
      </c>
      <c r="I56" s="15" t="s">
        <v>561</v>
      </c>
      <c r="K56" s="38"/>
      <c r="L56" s="38"/>
      <c r="M56" s="38"/>
      <c r="N56" s="2">
        <f t="shared" si="0"/>
        <v>0</v>
      </c>
    </row>
    <row r="57" spans="1:14" ht="18">
      <c r="A57" s="13"/>
      <c r="B57" s="13"/>
      <c r="C57" s="13"/>
      <c r="D57" s="13"/>
      <c r="K57" s="38"/>
      <c r="L57" s="38"/>
      <c r="M57" s="38"/>
    </row>
    <row r="58" spans="1:14" ht="18">
      <c r="A58" s="13"/>
      <c r="B58" s="13"/>
      <c r="C58" s="13"/>
      <c r="D58" s="13"/>
      <c r="K58" s="38"/>
      <c r="L58" s="38"/>
      <c r="M58" s="38"/>
    </row>
    <row r="59" spans="1:14" ht="18">
      <c r="A59" s="13"/>
      <c r="B59" s="13"/>
      <c r="C59" s="13"/>
      <c r="D59" s="13"/>
      <c r="K59" s="38"/>
      <c r="L59" s="38"/>
      <c r="M59" s="38"/>
    </row>
    <row r="60" spans="1:14" ht="18">
      <c r="A60" s="13"/>
      <c r="B60" s="13"/>
      <c r="C60" s="13"/>
      <c r="D60" s="13"/>
      <c r="K60" s="38"/>
      <c r="L60" s="38"/>
      <c r="M60" s="38"/>
    </row>
    <row r="61" spans="1:14" ht="18">
      <c r="A61" s="13"/>
      <c r="B61" s="13"/>
      <c r="C61" s="13"/>
      <c r="D61" s="13"/>
      <c r="K61" s="38"/>
      <c r="L61" s="38"/>
      <c r="M61" s="38"/>
    </row>
    <row r="62" spans="1:14" ht="18">
      <c r="A62" s="13"/>
      <c r="B62" s="13"/>
      <c r="C62" s="13"/>
      <c r="D62" s="13"/>
      <c r="K62" s="38"/>
      <c r="L62" s="38"/>
      <c r="M62" s="38"/>
    </row>
    <row r="63" spans="1:14" ht="18">
      <c r="A63" s="13"/>
      <c r="B63" s="13"/>
      <c r="C63" s="13"/>
      <c r="D63" s="13"/>
      <c r="K63" s="38"/>
      <c r="L63" s="38"/>
      <c r="M63" s="38"/>
    </row>
    <row r="64" spans="1:14" ht="18">
      <c r="A64" s="13"/>
      <c r="B64" s="13"/>
      <c r="C64" s="13"/>
      <c r="D64" s="13"/>
      <c r="K64" s="38"/>
      <c r="L64" s="38"/>
      <c r="M64" s="38"/>
    </row>
    <row r="65" spans="1:13" ht="18">
      <c r="A65" s="13"/>
      <c r="B65" s="13"/>
      <c r="C65" s="13"/>
      <c r="D65" s="13"/>
      <c r="K65" s="38"/>
      <c r="L65" s="38"/>
      <c r="M65" s="38"/>
    </row>
    <row r="66" spans="1:13" ht="18">
      <c r="A66" s="13"/>
      <c r="B66" s="13"/>
      <c r="C66" s="13"/>
      <c r="D66" s="13"/>
      <c r="K66" s="38"/>
      <c r="L66" s="38"/>
      <c r="M66" s="38"/>
    </row>
    <row r="67" spans="1:13" ht="18">
      <c r="A67" s="13"/>
      <c r="B67" s="13"/>
      <c r="C67" s="13"/>
      <c r="D67" s="13"/>
      <c r="K67" s="38"/>
      <c r="L67" s="38"/>
      <c r="M67" s="38"/>
    </row>
    <row r="68" spans="1:13" ht="18">
      <c r="A68" s="13"/>
      <c r="B68" s="13"/>
      <c r="C68" s="13"/>
      <c r="D68" s="13"/>
      <c r="K68" s="38"/>
      <c r="L68" s="38"/>
      <c r="M68" s="38"/>
    </row>
    <row r="69" spans="1:13" ht="18">
      <c r="A69" s="13"/>
      <c r="B69" s="13"/>
      <c r="C69" s="13"/>
      <c r="D69" s="13"/>
      <c r="K69" s="38"/>
      <c r="L69" s="38"/>
      <c r="M69" s="38"/>
    </row>
    <row r="70" spans="1:13" ht="18">
      <c r="A70" s="13"/>
      <c r="B70" s="13"/>
      <c r="C70" s="13"/>
      <c r="D70" s="13"/>
      <c r="K70" s="38"/>
      <c r="L70" s="38"/>
      <c r="M70" s="38"/>
    </row>
    <row r="71" spans="1:13" ht="18">
      <c r="A71" s="13"/>
      <c r="B71" s="13"/>
      <c r="C71" s="13"/>
      <c r="D71" s="13"/>
      <c r="K71" s="38"/>
      <c r="L71" s="38"/>
      <c r="M71" s="38"/>
    </row>
    <row r="72" spans="1:13" ht="18">
      <c r="A72" s="13"/>
      <c r="B72" s="13"/>
      <c r="C72" s="13"/>
      <c r="D72" s="13"/>
      <c r="K72" s="38"/>
      <c r="L72" s="38"/>
      <c r="M72" s="38"/>
    </row>
    <row r="73" spans="1:13" ht="18">
      <c r="A73" s="13"/>
      <c r="B73" s="13"/>
      <c r="C73" s="13"/>
      <c r="D73" s="13"/>
      <c r="K73" s="38"/>
      <c r="L73" s="38"/>
      <c r="M73" s="38"/>
    </row>
    <row r="74" spans="1:13" ht="18">
      <c r="A74" s="13"/>
      <c r="B74" s="13"/>
      <c r="C74" s="13"/>
      <c r="D74" s="13"/>
      <c r="K74" s="38"/>
      <c r="L74" s="38"/>
    </row>
    <row r="75" spans="1:13" ht="18">
      <c r="A75" s="13"/>
      <c r="B75" s="13"/>
      <c r="C75" s="13"/>
      <c r="D75" s="13"/>
      <c r="K75" s="38"/>
      <c r="L75" s="38"/>
    </row>
    <row r="76" spans="1:13" ht="18">
      <c r="A76" s="13"/>
      <c r="B76" s="13"/>
      <c r="C76" s="13"/>
      <c r="D76" s="13"/>
      <c r="K76" s="38"/>
      <c r="L76" s="38"/>
    </row>
    <row r="77" spans="1:13" ht="18">
      <c r="A77" s="13"/>
      <c r="B77" s="13"/>
      <c r="C77" s="13"/>
      <c r="D77" s="13"/>
      <c r="K77" s="38"/>
      <c r="L77" s="38"/>
    </row>
    <row r="78" spans="1:13" ht="12.5">
      <c r="K78" s="38"/>
      <c r="L78" s="38"/>
    </row>
    <row r="79" spans="1:13" ht="12.5">
      <c r="K79" s="38"/>
      <c r="L79" s="38"/>
    </row>
    <row r="80" spans="1:13" ht="12.5">
      <c r="L80" s="38"/>
    </row>
    <row r="81" spans="12:12" ht="12.5">
      <c r="L81" s="38"/>
    </row>
    <row r="82" spans="12:12" ht="12.5">
      <c r="L82" s="38"/>
    </row>
    <row r="83" spans="12:12" ht="12.5">
      <c r="L83" s="38"/>
    </row>
  </sheetData>
  <autoFilter ref="A1:M1018" xr:uid="{00000000-0009-0000-0000-000007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P1055"/>
  <sheetViews>
    <sheetView tabSelected="1" workbookViewId="0">
      <pane ySplit="2" topLeftCell="A3" activePane="bottomLeft" state="frozen"/>
      <selection pane="bottomLeft" activeCell="B4" sqref="B4"/>
    </sheetView>
  </sheetViews>
  <sheetFormatPr defaultColWidth="12.6328125" defaultRowHeight="15.75" customHeight="1"/>
  <cols>
    <col min="1" max="1" width="6.6328125" customWidth="1"/>
    <col min="2" max="2" width="7.7265625" customWidth="1"/>
    <col min="3" max="3" width="7" customWidth="1"/>
    <col min="4" max="4" width="7.453125" customWidth="1"/>
    <col min="5" max="5" width="6.26953125" customWidth="1"/>
    <col min="6" max="6" width="7.08984375" customWidth="1"/>
    <col min="7" max="7" width="9.36328125" customWidth="1"/>
    <col min="8" max="8" width="7" customWidth="1"/>
    <col min="9" max="9" width="40.90625" customWidth="1"/>
    <col min="10" max="10" width="20" customWidth="1"/>
    <col min="11" max="11" width="29.90625" customWidth="1"/>
    <col min="12" max="12" width="14.90625" customWidth="1"/>
    <col min="13" max="13" width="11.90625" customWidth="1"/>
    <col min="14" max="14" width="26.6328125" customWidth="1"/>
    <col min="15" max="15" width="45.453125" customWidth="1"/>
    <col min="16" max="16" width="45.6328125" customWidth="1"/>
    <col min="17" max="17" width="20.36328125" customWidth="1"/>
    <col min="18" max="18" width="26.08984375" customWidth="1"/>
    <col min="19" max="19" width="74.08984375" customWidth="1"/>
    <col min="20" max="20" width="18.6328125" customWidth="1"/>
    <col min="22" max="22" width="19.6328125" customWidth="1"/>
    <col min="23" max="23" width="24.08984375" customWidth="1"/>
    <col min="24" max="24" width="31.7265625" customWidth="1"/>
    <col min="26" max="26" width="46.453125" customWidth="1"/>
    <col min="28" max="28" width="16.26953125" customWidth="1"/>
  </cols>
  <sheetData>
    <row r="1" spans="1:42" ht="14.5">
      <c r="A1" s="3"/>
      <c r="B1" s="3"/>
      <c r="C1" s="3"/>
      <c r="D1" s="3"/>
      <c r="E1" s="3"/>
      <c r="F1" s="3"/>
      <c r="G1" s="3"/>
      <c r="H1" s="3"/>
      <c r="I1" s="3"/>
      <c r="J1" s="2"/>
      <c r="K1" s="3"/>
      <c r="L1" s="3"/>
      <c r="M1" s="3"/>
      <c r="N1" s="3"/>
      <c r="O1" s="3"/>
      <c r="P1" s="3"/>
      <c r="Q1" s="52" t="s">
        <v>534</v>
      </c>
      <c r="R1" s="53"/>
      <c r="S1" s="3"/>
      <c r="T1" s="3"/>
      <c r="U1" s="3"/>
      <c r="V1" s="1"/>
      <c r="W1" s="1"/>
      <c r="Z1" s="3"/>
    </row>
    <row r="2" spans="1:42" ht="29">
      <c r="A2" s="3" t="s">
        <v>14</v>
      </c>
      <c r="B2" s="3" t="s">
        <v>4</v>
      </c>
      <c r="C2" s="3" t="s">
        <v>5</v>
      </c>
      <c r="D2" s="3" t="s">
        <v>6</v>
      </c>
      <c r="E2" s="3" t="s">
        <v>7</v>
      </c>
      <c r="F2" s="3" t="s">
        <v>8</v>
      </c>
      <c r="G2" s="3" t="s">
        <v>9</v>
      </c>
      <c r="H2" s="3" t="s">
        <v>10</v>
      </c>
      <c r="I2" s="3" t="s">
        <v>15</v>
      </c>
      <c r="J2" s="2" t="s">
        <v>53</v>
      </c>
      <c r="K2" s="3" t="s">
        <v>11</v>
      </c>
      <c r="L2" s="3" t="s">
        <v>16</v>
      </c>
      <c r="M2" s="3" t="s">
        <v>12</v>
      </c>
      <c r="N2" s="3" t="s">
        <v>43</v>
      </c>
      <c r="O2" s="3" t="s">
        <v>44</v>
      </c>
      <c r="P2" s="3" t="s">
        <v>45</v>
      </c>
      <c r="Q2" s="35" t="s">
        <v>535</v>
      </c>
      <c r="R2" s="35" t="s">
        <v>536</v>
      </c>
      <c r="S2" s="3"/>
      <c r="T2" s="3"/>
      <c r="U2" s="3"/>
      <c r="V2" s="1"/>
      <c r="W2" s="1"/>
      <c r="Z2" s="3"/>
    </row>
    <row r="3" spans="1:42" ht="151.5" customHeight="1">
      <c r="A3" s="14" t="s">
        <v>2</v>
      </c>
      <c r="B3" s="14" t="s">
        <v>17</v>
      </c>
      <c r="C3" s="14" t="s">
        <v>13</v>
      </c>
      <c r="D3" s="14" t="s">
        <v>17</v>
      </c>
      <c r="E3" s="14" t="s">
        <v>13</v>
      </c>
      <c r="F3" s="14" t="s">
        <v>13</v>
      </c>
      <c r="G3" s="14" t="s">
        <v>13</v>
      </c>
      <c r="H3" s="14" t="s">
        <v>13</v>
      </c>
      <c r="I3" s="13" t="s">
        <v>18</v>
      </c>
      <c r="J3" s="13" t="s">
        <v>54</v>
      </c>
      <c r="K3" s="15" t="s">
        <v>55</v>
      </c>
      <c r="L3" s="16" t="s">
        <v>56</v>
      </c>
      <c r="M3" s="13" t="s">
        <v>57</v>
      </c>
      <c r="N3" s="13" t="s">
        <v>58</v>
      </c>
      <c r="O3" s="17" t="s">
        <v>59</v>
      </c>
      <c r="P3" s="17" t="s">
        <v>60</v>
      </c>
      <c r="Q3" s="36" t="s">
        <v>790</v>
      </c>
      <c r="R3" s="36" t="s">
        <v>791</v>
      </c>
      <c r="T3" s="8"/>
      <c r="U3" s="8"/>
      <c r="V3" s="8"/>
      <c r="W3" s="8"/>
      <c r="X3" s="8"/>
      <c r="Y3" s="8"/>
      <c r="AA3" s="8"/>
      <c r="AB3" s="8"/>
      <c r="AC3" s="8"/>
      <c r="AD3" s="8"/>
      <c r="AE3" s="8"/>
      <c r="AF3" s="8"/>
      <c r="AG3" s="8"/>
      <c r="AH3" s="8"/>
      <c r="AI3" s="8"/>
      <c r="AJ3" s="8"/>
      <c r="AK3" s="8"/>
      <c r="AL3" s="8"/>
      <c r="AM3" s="8"/>
      <c r="AN3" s="8"/>
      <c r="AO3" s="8"/>
      <c r="AP3" s="12"/>
    </row>
    <row r="4" spans="1:42" ht="108">
      <c r="A4" s="14" t="s">
        <v>3</v>
      </c>
      <c r="B4" s="14" t="s">
        <v>17</v>
      </c>
      <c r="C4" s="14" t="s">
        <v>13</v>
      </c>
      <c r="D4" s="14" t="s">
        <v>17</v>
      </c>
      <c r="E4" s="14" t="s">
        <v>13</v>
      </c>
      <c r="F4" s="14" t="s">
        <v>13</v>
      </c>
      <c r="G4" s="14" t="s">
        <v>13</v>
      </c>
      <c r="H4" s="14" t="s">
        <v>13</v>
      </c>
      <c r="I4" s="13" t="s">
        <v>22</v>
      </c>
      <c r="J4" s="13" t="s">
        <v>54</v>
      </c>
      <c r="K4" s="15" t="s">
        <v>61</v>
      </c>
      <c r="L4" s="16" t="s">
        <v>62</v>
      </c>
      <c r="M4" s="13" t="s">
        <v>63</v>
      </c>
      <c r="N4" s="13" t="s">
        <v>46</v>
      </c>
      <c r="O4" s="17" t="s">
        <v>64</v>
      </c>
      <c r="P4" s="17" t="s">
        <v>65</v>
      </c>
      <c r="Q4" s="36" t="s">
        <v>792</v>
      </c>
      <c r="R4" s="36" t="s">
        <v>793</v>
      </c>
      <c r="T4" s="8"/>
      <c r="U4" s="8"/>
      <c r="V4" s="8"/>
      <c r="W4" s="8"/>
      <c r="X4" s="8"/>
      <c r="Y4" s="8"/>
      <c r="AA4" s="8"/>
      <c r="AB4" s="8"/>
      <c r="AC4" s="8"/>
      <c r="AD4" s="8"/>
      <c r="AE4" s="8"/>
      <c r="AF4" s="8"/>
      <c r="AG4" s="8"/>
      <c r="AH4" s="8"/>
      <c r="AI4" s="8"/>
      <c r="AJ4" s="8"/>
      <c r="AK4" s="8"/>
      <c r="AL4" s="8"/>
      <c r="AM4" s="8"/>
      <c r="AN4" s="8"/>
      <c r="AO4" s="8"/>
      <c r="AP4" s="12"/>
    </row>
    <row r="5" spans="1:42" ht="151.5" customHeight="1">
      <c r="A5" s="14" t="s">
        <v>2</v>
      </c>
      <c r="B5" s="14" t="s">
        <v>13</v>
      </c>
      <c r="C5" s="14" t="s">
        <v>17</v>
      </c>
      <c r="D5" s="14" t="s">
        <v>17</v>
      </c>
      <c r="E5" s="14" t="s">
        <v>13</v>
      </c>
      <c r="F5" s="14" t="s">
        <v>13</v>
      </c>
      <c r="G5" s="14" t="s">
        <v>17</v>
      </c>
      <c r="H5" s="14" t="s">
        <v>17</v>
      </c>
      <c r="I5" s="13" t="s">
        <v>66</v>
      </c>
      <c r="J5" s="13" t="s">
        <v>67</v>
      </c>
      <c r="K5" s="15" t="s">
        <v>68</v>
      </c>
      <c r="L5" s="20" t="s">
        <v>69</v>
      </c>
      <c r="M5" s="13" t="s">
        <v>70</v>
      </c>
      <c r="N5" s="13" t="s">
        <v>71</v>
      </c>
      <c r="O5" s="17" t="s">
        <v>72</v>
      </c>
      <c r="P5" s="21" t="s">
        <v>73</v>
      </c>
      <c r="Q5" s="36" t="s">
        <v>794</v>
      </c>
      <c r="R5" s="36" t="s">
        <v>538</v>
      </c>
      <c r="T5" s="8"/>
      <c r="U5" s="8"/>
      <c r="V5" s="8"/>
      <c r="W5" s="8"/>
      <c r="X5" s="8"/>
      <c r="Y5" s="8"/>
      <c r="AA5" s="8"/>
      <c r="AB5" s="8"/>
      <c r="AC5" s="8"/>
      <c r="AD5" s="8"/>
      <c r="AE5" s="8"/>
      <c r="AF5" s="8"/>
      <c r="AG5" s="8"/>
      <c r="AH5" s="8"/>
      <c r="AI5" s="8"/>
      <c r="AJ5" s="8"/>
      <c r="AK5" s="8"/>
      <c r="AL5" s="8"/>
      <c r="AM5" s="8"/>
      <c r="AN5" s="8"/>
      <c r="AO5" s="8"/>
      <c r="AP5" s="8"/>
    </row>
    <row r="6" spans="1:42" ht="144">
      <c r="A6" s="14" t="s">
        <v>3</v>
      </c>
      <c r="B6" s="14" t="s">
        <v>13</v>
      </c>
      <c r="C6" s="14" t="s">
        <v>17</v>
      </c>
      <c r="D6" s="14" t="s">
        <v>17</v>
      </c>
      <c r="E6" s="14" t="s">
        <v>13</v>
      </c>
      <c r="F6" s="14" t="s">
        <v>13</v>
      </c>
      <c r="G6" s="14" t="s">
        <v>17</v>
      </c>
      <c r="H6" s="14" t="s">
        <v>17</v>
      </c>
      <c r="I6" s="13" t="s">
        <v>74</v>
      </c>
      <c r="J6" s="13" t="s">
        <v>67</v>
      </c>
      <c r="K6" s="15" t="s">
        <v>75</v>
      </c>
      <c r="L6" s="20" t="s">
        <v>76</v>
      </c>
      <c r="M6" s="13" t="s">
        <v>70</v>
      </c>
      <c r="N6" s="13" t="s">
        <v>71</v>
      </c>
      <c r="O6" s="17" t="s">
        <v>77</v>
      </c>
      <c r="P6" s="21" t="s">
        <v>78</v>
      </c>
      <c r="Q6" s="36" t="s">
        <v>795</v>
      </c>
      <c r="R6" s="36" t="s">
        <v>538</v>
      </c>
      <c r="S6" s="12"/>
      <c r="T6" s="12"/>
      <c r="U6" s="12"/>
      <c r="V6" s="12"/>
      <c r="W6" s="12"/>
      <c r="X6" s="12"/>
      <c r="Y6" s="12"/>
      <c r="Z6" s="12"/>
      <c r="AA6" s="12"/>
      <c r="AB6" s="12"/>
      <c r="AC6" s="22"/>
      <c r="AD6" s="12"/>
      <c r="AE6" s="12"/>
      <c r="AF6" s="12"/>
      <c r="AG6" s="12"/>
      <c r="AH6" s="12"/>
      <c r="AI6" s="12"/>
      <c r="AJ6" s="12"/>
      <c r="AK6" s="12"/>
      <c r="AL6" s="12"/>
      <c r="AM6" s="12"/>
      <c r="AN6" s="12"/>
      <c r="AO6" s="12"/>
      <c r="AP6" s="12"/>
    </row>
    <row r="7" spans="1:42" ht="196.5" customHeight="1">
      <c r="A7" s="14" t="s">
        <v>2</v>
      </c>
      <c r="B7" s="14" t="s">
        <v>13</v>
      </c>
      <c r="C7" s="14" t="s">
        <v>17</v>
      </c>
      <c r="D7" s="14" t="s">
        <v>17</v>
      </c>
      <c r="E7" s="14" t="s">
        <v>13</v>
      </c>
      <c r="F7" s="14" t="s">
        <v>13</v>
      </c>
      <c r="G7" s="14" t="s">
        <v>13</v>
      </c>
      <c r="H7" s="14" t="s">
        <v>17</v>
      </c>
      <c r="I7" s="13" t="s">
        <v>79</v>
      </c>
      <c r="J7" s="13" t="s">
        <v>80</v>
      </c>
      <c r="K7" s="15" t="s">
        <v>81</v>
      </c>
      <c r="L7" s="20" t="s">
        <v>82</v>
      </c>
      <c r="M7" s="13" t="s">
        <v>83</v>
      </c>
      <c r="N7" s="13" t="s">
        <v>84</v>
      </c>
      <c r="O7" s="17" t="s">
        <v>85</v>
      </c>
      <c r="P7" s="21" t="s">
        <v>86</v>
      </c>
      <c r="Q7" s="36" t="s">
        <v>796</v>
      </c>
      <c r="R7" s="36" t="s">
        <v>538</v>
      </c>
      <c r="T7" s="8"/>
      <c r="U7" s="8"/>
      <c r="V7" s="8"/>
      <c r="W7" s="8"/>
      <c r="X7" s="8"/>
      <c r="Y7" s="8"/>
      <c r="AA7" s="8"/>
      <c r="AB7" s="8"/>
      <c r="AC7" s="8"/>
      <c r="AD7" s="8"/>
      <c r="AE7" s="8"/>
      <c r="AF7" s="8"/>
      <c r="AG7" s="8"/>
      <c r="AH7" s="8"/>
      <c r="AI7" s="8"/>
      <c r="AJ7" s="8"/>
      <c r="AK7" s="8"/>
      <c r="AL7" s="8"/>
      <c r="AM7" s="8"/>
      <c r="AN7" s="8"/>
      <c r="AO7" s="8"/>
      <c r="AP7" s="8"/>
    </row>
    <row r="8" spans="1:42" ht="198">
      <c r="A8" s="14" t="s">
        <v>3</v>
      </c>
      <c r="B8" s="14" t="s">
        <v>13</v>
      </c>
      <c r="C8" s="14" t="s">
        <v>17</v>
      </c>
      <c r="D8" s="14" t="s">
        <v>17</v>
      </c>
      <c r="E8" s="14" t="s">
        <v>13</v>
      </c>
      <c r="F8" s="14" t="s">
        <v>13</v>
      </c>
      <c r="G8" s="14" t="s">
        <v>13</v>
      </c>
      <c r="H8" s="14" t="s">
        <v>17</v>
      </c>
      <c r="I8" s="13" t="s">
        <v>87</v>
      </c>
      <c r="J8" s="13" t="s">
        <v>80</v>
      </c>
      <c r="K8" s="15" t="s">
        <v>88</v>
      </c>
      <c r="L8" s="20" t="s">
        <v>89</v>
      </c>
      <c r="M8" s="13" t="s">
        <v>83</v>
      </c>
      <c r="N8" s="13" t="s">
        <v>84</v>
      </c>
      <c r="O8" s="17" t="s">
        <v>90</v>
      </c>
      <c r="P8" s="21" t="s">
        <v>91</v>
      </c>
      <c r="Q8" s="36" t="s">
        <v>540</v>
      </c>
      <c r="R8" s="36" t="s">
        <v>538</v>
      </c>
      <c r="S8" s="12"/>
      <c r="T8" s="12"/>
      <c r="U8" s="12"/>
      <c r="V8" s="12"/>
      <c r="W8" s="12"/>
      <c r="X8" s="12"/>
      <c r="Y8" s="12"/>
      <c r="Z8" s="12"/>
      <c r="AA8" s="12"/>
      <c r="AB8" s="12"/>
      <c r="AC8" s="22"/>
      <c r="AD8" s="12"/>
      <c r="AE8" s="12"/>
      <c r="AF8" s="12"/>
      <c r="AG8" s="12"/>
      <c r="AH8" s="12"/>
      <c r="AI8" s="12"/>
      <c r="AJ8" s="12"/>
      <c r="AK8" s="12"/>
      <c r="AL8" s="12"/>
      <c r="AM8" s="12"/>
      <c r="AN8" s="12"/>
      <c r="AO8" s="12"/>
      <c r="AP8" s="12"/>
    </row>
    <row r="9" spans="1:42" ht="196.5" customHeight="1">
      <c r="A9" s="14" t="s">
        <v>2</v>
      </c>
      <c r="B9" s="14" t="s">
        <v>13</v>
      </c>
      <c r="C9" s="14" t="s">
        <v>17</v>
      </c>
      <c r="D9" s="14" t="s">
        <v>17</v>
      </c>
      <c r="E9" s="14" t="s">
        <v>17</v>
      </c>
      <c r="F9" s="14" t="s">
        <v>13</v>
      </c>
      <c r="G9" s="14" t="s">
        <v>13</v>
      </c>
      <c r="H9" s="14" t="s">
        <v>17</v>
      </c>
      <c r="I9" s="13" t="s">
        <v>92</v>
      </c>
      <c r="J9" s="13" t="s">
        <v>93</v>
      </c>
      <c r="K9" s="15" t="s">
        <v>94</v>
      </c>
      <c r="L9" s="20" t="s">
        <v>95</v>
      </c>
      <c r="M9" s="13" t="s">
        <v>96</v>
      </c>
      <c r="N9" s="13" t="s">
        <v>97</v>
      </c>
      <c r="O9" s="17" t="s">
        <v>98</v>
      </c>
      <c r="P9" s="17" t="s">
        <v>99</v>
      </c>
      <c r="Q9" s="36" t="s">
        <v>797</v>
      </c>
      <c r="R9" s="36" t="s">
        <v>798</v>
      </c>
      <c r="T9" s="8"/>
      <c r="U9" s="8"/>
      <c r="V9" s="8"/>
      <c r="W9" s="8"/>
      <c r="X9" s="8"/>
      <c r="Y9" s="8"/>
      <c r="AA9" s="8"/>
      <c r="AB9" s="8"/>
      <c r="AC9" s="8"/>
      <c r="AD9" s="8"/>
      <c r="AE9" s="8"/>
      <c r="AF9" s="8"/>
      <c r="AG9" s="8"/>
      <c r="AH9" s="8"/>
      <c r="AI9" s="8"/>
      <c r="AJ9" s="8"/>
      <c r="AK9" s="8"/>
      <c r="AL9" s="8"/>
      <c r="AM9" s="8"/>
      <c r="AN9" s="8"/>
      <c r="AO9" s="8"/>
      <c r="AP9" s="8"/>
    </row>
    <row r="10" spans="1:42" ht="216">
      <c r="A10" s="14" t="s">
        <v>3</v>
      </c>
      <c r="B10" s="14" t="s">
        <v>13</v>
      </c>
      <c r="C10" s="14" t="s">
        <v>17</v>
      </c>
      <c r="D10" s="14" t="s">
        <v>17</v>
      </c>
      <c r="E10" s="14" t="s">
        <v>17</v>
      </c>
      <c r="F10" s="14" t="s">
        <v>13</v>
      </c>
      <c r="G10" s="14" t="s">
        <v>13</v>
      </c>
      <c r="H10" s="14" t="s">
        <v>17</v>
      </c>
      <c r="I10" s="13" t="s">
        <v>100</v>
      </c>
      <c r="J10" s="13" t="s">
        <v>93</v>
      </c>
      <c r="K10" s="15" t="s">
        <v>101</v>
      </c>
      <c r="L10" s="20" t="s">
        <v>102</v>
      </c>
      <c r="M10" s="13" t="s">
        <v>103</v>
      </c>
      <c r="N10" s="13" t="s">
        <v>104</v>
      </c>
      <c r="O10" s="17" t="s">
        <v>105</v>
      </c>
      <c r="P10" s="17" t="s">
        <v>106</v>
      </c>
      <c r="Q10" s="36" t="s">
        <v>797</v>
      </c>
      <c r="R10" s="36" t="s">
        <v>799</v>
      </c>
      <c r="T10" s="8"/>
      <c r="U10" s="8"/>
      <c r="V10" s="8"/>
      <c r="W10" s="8"/>
      <c r="X10" s="8"/>
      <c r="Y10" s="8"/>
      <c r="AA10" s="8"/>
      <c r="AB10" s="8"/>
      <c r="AC10" s="8"/>
      <c r="AD10" s="8"/>
      <c r="AE10" s="8"/>
      <c r="AF10" s="8"/>
      <c r="AG10" s="8"/>
      <c r="AH10" s="8"/>
      <c r="AI10" s="8"/>
      <c r="AJ10" s="8"/>
      <c r="AK10" s="8"/>
      <c r="AL10" s="8"/>
      <c r="AM10" s="8"/>
      <c r="AN10" s="8"/>
      <c r="AO10" s="8"/>
      <c r="AP10" s="8"/>
    </row>
    <row r="11" spans="1:42" ht="196.5" customHeight="1">
      <c r="A11" s="14" t="s">
        <v>2</v>
      </c>
      <c r="B11" s="14" t="s">
        <v>17</v>
      </c>
      <c r="C11" s="14" t="s">
        <v>13</v>
      </c>
      <c r="D11" s="14" t="s">
        <v>17</v>
      </c>
      <c r="E11" s="14" t="s">
        <v>17</v>
      </c>
      <c r="F11" s="14" t="s">
        <v>13</v>
      </c>
      <c r="G11" s="14" t="s">
        <v>17</v>
      </c>
      <c r="H11" s="14" t="s">
        <v>17</v>
      </c>
      <c r="I11" s="13" t="s">
        <v>19</v>
      </c>
      <c r="J11" s="13" t="s">
        <v>107</v>
      </c>
      <c r="K11" s="15" t="s">
        <v>108</v>
      </c>
      <c r="L11" s="20" t="s">
        <v>109</v>
      </c>
      <c r="M11" s="13" t="s">
        <v>110</v>
      </c>
      <c r="N11" s="13" t="s">
        <v>111</v>
      </c>
      <c r="O11" s="17" t="s">
        <v>112</v>
      </c>
      <c r="P11" s="17" t="s">
        <v>113</v>
      </c>
      <c r="Q11" s="36" t="s">
        <v>800</v>
      </c>
      <c r="R11" s="36" t="s">
        <v>801</v>
      </c>
      <c r="T11" s="8"/>
      <c r="U11" s="8"/>
      <c r="V11" s="8"/>
      <c r="W11" s="8"/>
      <c r="X11" s="8"/>
      <c r="Y11" s="8"/>
      <c r="AA11" s="8"/>
      <c r="AB11" s="8"/>
      <c r="AC11" s="8"/>
      <c r="AD11" s="8"/>
      <c r="AE11" s="8"/>
      <c r="AF11" s="8"/>
      <c r="AG11" s="8"/>
      <c r="AH11" s="8"/>
      <c r="AI11" s="8"/>
      <c r="AJ11" s="8"/>
      <c r="AK11" s="8"/>
      <c r="AL11" s="8"/>
      <c r="AM11" s="8"/>
      <c r="AN11" s="8"/>
      <c r="AO11" s="8"/>
      <c r="AP11" s="8"/>
    </row>
    <row r="12" spans="1:42" ht="164.25" customHeight="1">
      <c r="A12" s="14" t="s">
        <v>3</v>
      </c>
      <c r="B12" s="14" t="s">
        <v>17</v>
      </c>
      <c r="C12" s="14" t="s">
        <v>13</v>
      </c>
      <c r="D12" s="14" t="s">
        <v>17</v>
      </c>
      <c r="E12" s="14" t="s">
        <v>17</v>
      </c>
      <c r="F12" s="14" t="s">
        <v>13</v>
      </c>
      <c r="G12" s="14" t="s">
        <v>17</v>
      </c>
      <c r="H12" s="14" t="s">
        <v>17</v>
      </c>
      <c r="I12" s="13" t="s">
        <v>114</v>
      </c>
      <c r="J12" s="13" t="s">
        <v>107</v>
      </c>
      <c r="K12" s="15" t="s">
        <v>115</v>
      </c>
      <c r="L12" s="20" t="s">
        <v>116</v>
      </c>
      <c r="M12" s="13" t="s">
        <v>117</v>
      </c>
      <c r="N12" s="13" t="s">
        <v>118</v>
      </c>
      <c r="O12" s="17" t="s">
        <v>119</v>
      </c>
      <c r="P12" s="17" t="s">
        <v>120</v>
      </c>
      <c r="Q12" s="36" t="s">
        <v>800</v>
      </c>
      <c r="R12" s="36" t="s">
        <v>801</v>
      </c>
      <c r="S12" s="23"/>
      <c r="T12" s="12"/>
      <c r="U12" s="12"/>
      <c r="V12" s="12"/>
      <c r="W12" s="12"/>
      <c r="X12" s="12"/>
      <c r="Y12" s="12"/>
      <c r="Z12" s="12"/>
      <c r="AA12" s="12"/>
      <c r="AB12" s="12"/>
      <c r="AC12" s="24"/>
      <c r="AD12" s="25"/>
      <c r="AE12" s="12"/>
      <c r="AF12" s="12"/>
      <c r="AG12" s="12"/>
      <c r="AH12" s="12"/>
      <c r="AI12" s="12"/>
      <c r="AJ12" s="12"/>
      <c r="AK12" s="12"/>
      <c r="AL12" s="12"/>
      <c r="AM12" s="12"/>
      <c r="AN12" s="12"/>
      <c r="AO12" s="12"/>
      <c r="AP12" s="12"/>
    </row>
    <row r="13" spans="1:42" ht="156.75" customHeight="1">
      <c r="A13" s="14" t="s">
        <v>2</v>
      </c>
      <c r="B13" s="14" t="s">
        <v>13</v>
      </c>
      <c r="C13" s="14" t="s">
        <v>17</v>
      </c>
      <c r="D13" s="14" t="s">
        <v>13</v>
      </c>
      <c r="E13" s="14" t="s">
        <v>13</v>
      </c>
      <c r="F13" s="14" t="s">
        <v>13</v>
      </c>
      <c r="G13" s="14" t="s">
        <v>13</v>
      </c>
      <c r="H13" s="14" t="s">
        <v>13</v>
      </c>
      <c r="I13" s="13" t="s">
        <v>121</v>
      </c>
      <c r="J13" s="13" t="s">
        <v>122</v>
      </c>
      <c r="K13" s="15" t="s">
        <v>123</v>
      </c>
      <c r="L13" s="16" t="s">
        <v>124</v>
      </c>
      <c r="M13" s="13" t="s">
        <v>125</v>
      </c>
      <c r="N13" s="13" t="s">
        <v>126</v>
      </c>
      <c r="O13" s="17" t="s">
        <v>127</v>
      </c>
      <c r="P13" s="17" t="s">
        <v>128</v>
      </c>
      <c r="Q13" s="36" t="s">
        <v>537</v>
      </c>
      <c r="R13" s="36" t="s">
        <v>538</v>
      </c>
      <c r="T13" s="8"/>
      <c r="U13" s="8"/>
      <c r="V13" s="8"/>
      <c r="W13" s="8"/>
      <c r="X13" s="8"/>
      <c r="Y13" s="8"/>
      <c r="AA13" s="8"/>
      <c r="AB13" s="8"/>
      <c r="AC13" s="8"/>
      <c r="AD13" s="8"/>
      <c r="AE13" s="8"/>
      <c r="AF13" s="8"/>
      <c r="AG13" s="8"/>
      <c r="AH13" s="8"/>
      <c r="AI13" s="8"/>
      <c r="AJ13" s="8"/>
      <c r="AK13" s="8"/>
      <c r="AL13" s="8"/>
      <c r="AM13" s="8"/>
      <c r="AN13" s="8"/>
      <c r="AO13" s="8"/>
      <c r="AP13" s="12"/>
    </row>
    <row r="14" spans="1:42" ht="234">
      <c r="A14" s="14" t="s">
        <v>3</v>
      </c>
      <c r="B14" s="14" t="s">
        <v>13</v>
      </c>
      <c r="C14" s="14" t="s">
        <v>17</v>
      </c>
      <c r="D14" s="14" t="s">
        <v>13</v>
      </c>
      <c r="E14" s="14" t="s">
        <v>13</v>
      </c>
      <c r="F14" s="14" t="s">
        <v>13</v>
      </c>
      <c r="G14" s="14" t="s">
        <v>13</v>
      </c>
      <c r="H14" s="14" t="s">
        <v>13</v>
      </c>
      <c r="I14" s="13" t="s">
        <v>23</v>
      </c>
      <c r="J14" s="13" t="s">
        <v>122</v>
      </c>
      <c r="K14" s="15" t="s">
        <v>123</v>
      </c>
      <c r="L14" s="16" t="s">
        <v>539</v>
      </c>
      <c r="M14" s="13" t="s">
        <v>129</v>
      </c>
      <c r="N14" s="13" t="s">
        <v>130</v>
      </c>
      <c r="O14" s="17" t="s">
        <v>131</v>
      </c>
      <c r="P14" s="17" t="s">
        <v>132</v>
      </c>
      <c r="Q14" s="36" t="s">
        <v>802</v>
      </c>
      <c r="R14" s="36" t="s">
        <v>541</v>
      </c>
      <c r="T14" s="8"/>
      <c r="U14" s="8"/>
      <c r="V14" s="8"/>
      <c r="W14" s="8"/>
      <c r="X14" s="8"/>
      <c r="Y14" s="8"/>
      <c r="AA14" s="8"/>
      <c r="AB14" s="8"/>
      <c r="AC14" s="8"/>
      <c r="AD14" s="8"/>
      <c r="AE14" s="8"/>
      <c r="AF14" s="8"/>
      <c r="AG14" s="8"/>
      <c r="AH14" s="8"/>
      <c r="AI14" s="8"/>
      <c r="AJ14" s="8"/>
      <c r="AK14" s="8"/>
      <c r="AL14" s="8"/>
      <c r="AM14" s="8"/>
      <c r="AN14" s="8"/>
      <c r="AO14" s="8"/>
      <c r="AP14" s="12"/>
    </row>
    <row r="15" spans="1:42" ht="156.75" customHeight="1">
      <c r="A15" s="14" t="s">
        <v>2</v>
      </c>
      <c r="B15" s="14" t="s">
        <v>13</v>
      </c>
      <c r="C15" s="14" t="s">
        <v>17</v>
      </c>
      <c r="D15" s="14" t="s">
        <v>17</v>
      </c>
      <c r="E15" s="14" t="s">
        <v>17</v>
      </c>
      <c r="F15" s="14" t="s">
        <v>13</v>
      </c>
      <c r="G15" s="14" t="s">
        <v>17</v>
      </c>
      <c r="H15" s="14" t="s">
        <v>17</v>
      </c>
      <c r="I15" s="13" t="s">
        <v>133</v>
      </c>
      <c r="J15" s="13" t="s">
        <v>67</v>
      </c>
      <c r="K15" s="15" t="s">
        <v>134</v>
      </c>
      <c r="L15" s="20" t="s">
        <v>135</v>
      </c>
      <c r="M15" s="13" t="s">
        <v>136</v>
      </c>
      <c r="N15" s="13" t="s">
        <v>137</v>
      </c>
      <c r="O15" s="17" t="s">
        <v>138</v>
      </c>
      <c r="P15" s="17" t="s">
        <v>139</v>
      </c>
      <c r="Q15" s="36" t="s">
        <v>803</v>
      </c>
      <c r="R15" s="36" t="s">
        <v>538</v>
      </c>
      <c r="T15" s="8"/>
      <c r="U15" s="8"/>
      <c r="V15" s="8"/>
      <c r="W15" s="8"/>
      <c r="X15" s="8"/>
      <c r="Y15" s="8"/>
      <c r="AA15" s="8"/>
      <c r="AB15" s="8"/>
      <c r="AC15" s="8"/>
      <c r="AD15" s="8"/>
      <c r="AE15" s="8"/>
      <c r="AF15" s="8"/>
      <c r="AG15" s="8"/>
      <c r="AH15" s="8"/>
      <c r="AI15" s="8"/>
      <c r="AJ15" s="8"/>
      <c r="AK15" s="8"/>
      <c r="AL15" s="8"/>
      <c r="AM15" s="8"/>
      <c r="AN15" s="8"/>
      <c r="AO15" s="8"/>
      <c r="AP15" s="8"/>
    </row>
    <row r="16" spans="1:42" ht="324">
      <c r="A16" s="14" t="s">
        <v>3</v>
      </c>
      <c r="B16" s="14" t="s">
        <v>13</v>
      </c>
      <c r="C16" s="14" t="s">
        <v>17</v>
      </c>
      <c r="D16" s="14" t="s">
        <v>17</v>
      </c>
      <c r="E16" s="14" t="s">
        <v>17</v>
      </c>
      <c r="F16" s="14" t="s">
        <v>13</v>
      </c>
      <c r="G16" s="14" t="s">
        <v>17</v>
      </c>
      <c r="H16" s="14" t="s">
        <v>17</v>
      </c>
      <c r="I16" s="13" t="s">
        <v>140</v>
      </c>
      <c r="J16" s="13" t="s">
        <v>67</v>
      </c>
      <c r="K16" s="15" t="s">
        <v>141</v>
      </c>
      <c r="L16" s="20" t="s">
        <v>142</v>
      </c>
      <c r="M16" s="13" t="s">
        <v>136</v>
      </c>
      <c r="N16" s="13" t="s">
        <v>137</v>
      </c>
      <c r="O16" s="17" t="s">
        <v>143</v>
      </c>
      <c r="P16" s="17" t="s">
        <v>144</v>
      </c>
      <c r="Q16" s="36" t="s">
        <v>803</v>
      </c>
      <c r="R16" s="36" t="s">
        <v>538</v>
      </c>
      <c r="T16" s="8"/>
      <c r="U16" s="8"/>
      <c r="V16" s="8"/>
      <c r="W16" s="8"/>
      <c r="X16" s="8"/>
      <c r="Y16" s="8"/>
      <c r="AA16" s="8"/>
      <c r="AB16" s="8"/>
      <c r="AC16" s="8"/>
      <c r="AD16" s="8"/>
      <c r="AE16" s="8"/>
      <c r="AF16" s="8"/>
      <c r="AG16" s="8"/>
      <c r="AH16" s="8"/>
      <c r="AI16" s="8"/>
      <c r="AJ16" s="8"/>
      <c r="AK16" s="8"/>
      <c r="AL16" s="8"/>
      <c r="AM16" s="8"/>
      <c r="AN16" s="8"/>
      <c r="AO16" s="8"/>
      <c r="AP16" s="8"/>
    </row>
    <row r="17" spans="1:42" ht="156.75" customHeight="1">
      <c r="A17" s="14" t="s">
        <v>2</v>
      </c>
      <c r="B17" s="14" t="s">
        <v>17</v>
      </c>
      <c r="C17" s="14" t="s">
        <v>17</v>
      </c>
      <c r="D17" s="14" t="s">
        <v>17</v>
      </c>
      <c r="E17" s="14" t="s">
        <v>17</v>
      </c>
      <c r="F17" s="14" t="s">
        <v>17</v>
      </c>
      <c r="G17" s="14" t="s">
        <v>17</v>
      </c>
      <c r="H17" s="14" t="s">
        <v>17</v>
      </c>
      <c r="I17" s="13" t="s">
        <v>51</v>
      </c>
      <c r="J17" s="13" t="s">
        <v>145</v>
      </c>
      <c r="K17" s="15" t="s">
        <v>146</v>
      </c>
      <c r="L17" s="20" t="s">
        <v>804</v>
      </c>
      <c r="M17" s="13" t="s">
        <v>147</v>
      </c>
      <c r="N17" s="13" t="s">
        <v>148</v>
      </c>
      <c r="O17" s="17" t="s">
        <v>149</v>
      </c>
      <c r="P17" s="17" t="s">
        <v>150</v>
      </c>
      <c r="Q17" s="36" t="s">
        <v>805</v>
      </c>
      <c r="R17" s="36" t="s">
        <v>806</v>
      </c>
      <c r="T17" s="8"/>
      <c r="U17" s="8"/>
      <c r="V17" s="8"/>
      <c r="W17" s="8"/>
      <c r="X17" s="8"/>
      <c r="Y17" s="8"/>
      <c r="AA17" s="8"/>
      <c r="AB17" s="8"/>
      <c r="AC17" s="8"/>
      <c r="AD17" s="8"/>
      <c r="AE17" s="8"/>
      <c r="AF17" s="8"/>
      <c r="AG17" s="8"/>
      <c r="AH17" s="8"/>
      <c r="AI17" s="8"/>
      <c r="AJ17" s="8"/>
      <c r="AK17" s="8"/>
      <c r="AL17" s="8"/>
      <c r="AM17" s="8"/>
      <c r="AN17" s="8"/>
      <c r="AO17" s="8"/>
      <c r="AP17" s="8"/>
    </row>
    <row r="18" spans="1:42" ht="324">
      <c r="A18" s="14" t="s">
        <v>3</v>
      </c>
      <c r="B18" s="14" t="s">
        <v>17</v>
      </c>
      <c r="C18" s="14" t="s">
        <v>17</v>
      </c>
      <c r="D18" s="14" t="s">
        <v>17</v>
      </c>
      <c r="E18" s="14" t="s">
        <v>17</v>
      </c>
      <c r="F18" s="14" t="s">
        <v>17</v>
      </c>
      <c r="G18" s="14" t="s">
        <v>17</v>
      </c>
      <c r="H18" s="14" t="s">
        <v>17</v>
      </c>
      <c r="I18" s="13" t="s">
        <v>52</v>
      </c>
      <c r="J18" s="13" t="s">
        <v>145</v>
      </c>
      <c r="K18" s="15" t="s">
        <v>151</v>
      </c>
      <c r="L18" s="20" t="s">
        <v>152</v>
      </c>
      <c r="M18" s="13" t="s">
        <v>153</v>
      </c>
      <c r="N18" s="13" t="s">
        <v>154</v>
      </c>
      <c r="O18" s="17" t="s">
        <v>155</v>
      </c>
      <c r="P18" s="17" t="s">
        <v>156</v>
      </c>
      <c r="Q18" s="36" t="s">
        <v>807</v>
      </c>
      <c r="R18" s="36" t="s">
        <v>808</v>
      </c>
      <c r="T18" s="8"/>
      <c r="U18" s="8"/>
      <c r="V18" s="8"/>
      <c r="W18" s="8"/>
      <c r="X18" s="8"/>
      <c r="Y18" s="8"/>
      <c r="AA18" s="8"/>
      <c r="AB18" s="8"/>
      <c r="AC18" s="8"/>
      <c r="AD18" s="8"/>
      <c r="AE18" s="8"/>
      <c r="AF18" s="8"/>
      <c r="AG18" s="8"/>
      <c r="AH18" s="8"/>
      <c r="AI18" s="8"/>
      <c r="AJ18" s="8"/>
      <c r="AK18" s="8"/>
      <c r="AL18" s="8"/>
      <c r="AM18" s="8"/>
      <c r="AN18" s="8"/>
      <c r="AO18" s="8"/>
      <c r="AP18" s="8"/>
    </row>
    <row r="19" spans="1:42" ht="156.75" customHeight="1">
      <c r="A19" s="14" t="s">
        <v>2</v>
      </c>
      <c r="B19" s="14" t="s">
        <v>13</v>
      </c>
      <c r="C19" s="14" t="s">
        <v>17</v>
      </c>
      <c r="D19" s="14" t="s">
        <v>13</v>
      </c>
      <c r="E19" s="14" t="s">
        <v>17</v>
      </c>
      <c r="F19" s="14" t="s">
        <v>13</v>
      </c>
      <c r="G19" s="14" t="s">
        <v>13</v>
      </c>
      <c r="H19" s="14" t="s">
        <v>17</v>
      </c>
      <c r="I19" s="13" t="s">
        <v>157</v>
      </c>
      <c r="J19" s="13" t="s">
        <v>122</v>
      </c>
      <c r="K19" s="15" t="s">
        <v>158</v>
      </c>
      <c r="L19" s="20" t="s">
        <v>159</v>
      </c>
      <c r="M19" s="13" t="s">
        <v>160</v>
      </c>
      <c r="N19" s="13" t="s">
        <v>161</v>
      </c>
      <c r="O19" s="17" t="s">
        <v>162</v>
      </c>
      <c r="P19" s="17" t="s">
        <v>163</v>
      </c>
      <c r="Q19" s="36" t="s">
        <v>809</v>
      </c>
      <c r="R19" s="36" t="s">
        <v>538</v>
      </c>
      <c r="T19" s="8"/>
      <c r="U19" s="8"/>
      <c r="V19" s="8"/>
      <c r="W19" s="8"/>
      <c r="X19" s="8"/>
      <c r="Y19" s="8"/>
      <c r="AA19" s="8"/>
      <c r="AB19" s="8"/>
      <c r="AC19" s="8"/>
      <c r="AD19" s="8"/>
      <c r="AE19" s="8"/>
      <c r="AF19" s="8"/>
      <c r="AG19" s="8"/>
      <c r="AH19" s="8"/>
      <c r="AI19" s="8"/>
      <c r="AJ19" s="8"/>
      <c r="AK19" s="8"/>
      <c r="AL19" s="8"/>
      <c r="AM19" s="8"/>
      <c r="AN19" s="8"/>
      <c r="AO19" s="8"/>
      <c r="AP19" s="8"/>
    </row>
    <row r="20" spans="1:42" ht="216">
      <c r="A20" s="14" t="s">
        <v>3</v>
      </c>
      <c r="B20" s="14" t="s">
        <v>13</v>
      </c>
      <c r="C20" s="14" t="s">
        <v>17</v>
      </c>
      <c r="D20" s="14" t="s">
        <v>13</v>
      </c>
      <c r="E20" s="14" t="s">
        <v>17</v>
      </c>
      <c r="F20" s="14" t="s">
        <v>13</v>
      </c>
      <c r="G20" s="14" t="s">
        <v>13</v>
      </c>
      <c r="H20" s="14" t="s">
        <v>17</v>
      </c>
      <c r="I20" s="13" t="s">
        <v>164</v>
      </c>
      <c r="J20" s="13" t="s">
        <v>122</v>
      </c>
      <c r="K20" s="15" t="s">
        <v>158</v>
      </c>
      <c r="L20" s="20" t="s">
        <v>165</v>
      </c>
      <c r="M20" s="13" t="s">
        <v>160</v>
      </c>
      <c r="N20" s="13" t="s">
        <v>161</v>
      </c>
      <c r="O20" s="17" t="s">
        <v>166</v>
      </c>
      <c r="P20" s="17" t="s">
        <v>167</v>
      </c>
      <c r="Q20" s="36" t="s">
        <v>809</v>
      </c>
      <c r="R20" s="36" t="s">
        <v>538</v>
      </c>
      <c r="T20" s="8"/>
      <c r="U20" s="8"/>
      <c r="V20" s="8"/>
      <c r="W20" s="8"/>
      <c r="X20" s="8"/>
      <c r="Y20" s="8"/>
      <c r="AA20" s="8"/>
      <c r="AB20" s="8"/>
      <c r="AC20" s="8"/>
      <c r="AD20" s="8"/>
      <c r="AE20" s="8"/>
      <c r="AF20" s="8"/>
      <c r="AG20" s="8"/>
      <c r="AH20" s="8"/>
      <c r="AI20" s="8"/>
      <c r="AJ20" s="8"/>
      <c r="AK20" s="8"/>
      <c r="AL20" s="8"/>
      <c r="AM20" s="8"/>
      <c r="AN20" s="8"/>
      <c r="AO20" s="8"/>
      <c r="AP20" s="8"/>
    </row>
    <row r="21" spans="1:42" ht="126">
      <c r="A21" s="14" t="s">
        <v>2</v>
      </c>
      <c r="B21" s="14" t="s">
        <v>13</v>
      </c>
      <c r="C21" s="14" t="s">
        <v>17</v>
      </c>
      <c r="D21" s="14" t="s">
        <v>13</v>
      </c>
      <c r="E21" s="14" t="s">
        <v>13</v>
      </c>
      <c r="F21" s="14" t="s">
        <v>13</v>
      </c>
      <c r="G21" s="14" t="s">
        <v>17</v>
      </c>
      <c r="H21" s="14" t="s">
        <v>17</v>
      </c>
      <c r="I21" s="13" t="s">
        <v>32</v>
      </c>
      <c r="J21" s="13" t="s">
        <v>168</v>
      </c>
      <c r="K21" s="15" t="s">
        <v>169</v>
      </c>
      <c r="L21" s="20" t="s">
        <v>170</v>
      </c>
      <c r="M21" s="13" t="s">
        <v>171</v>
      </c>
      <c r="N21" s="13" t="s">
        <v>47</v>
      </c>
      <c r="O21" s="17" t="s">
        <v>172</v>
      </c>
      <c r="P21" s="17" t="s">
        <v>173</v>
      </c>
      <c r="Q21" s="36" t="s">
        <v>810</v>
      </c>
      <c r="R21" s="36" t="s">
        <v>538</v>
      </c>
      <c r="T21" s="8"/>
      <c r="U21" s="8"/>
      <c r="V21" s="8"/>
      <c r="W21" s="8"/>
      <c r="X21" s="8"/>
      <c r="Y21" s="8"/>
      <c r="AA21" s="8"/>
      <c r="AB21" s="8"/>
      <c r="AC21" s="8"/>
      <c r="AD21" s="8"/>
      <c r="AE21" s="8"/>
      <c r="AF21" s="8"/>
      <c r="AG21" s="8"/>
      <c r="AH21" s="8"/>
      <c r="AI21" s="8"/>
      <c r="AJ21" s="8"/>
      <c r="AK21" s="8"/>
      <c r="AL21" s="8"/>
      <c r="AM21" s="8"/>
      <c r="AN21" s="8"/>
      <c r="AO21" s="8"/>
      <c r="AP21" s="8"/>
    </row>
    <row r="22" spans="1:42" ht="108">
      <c r="A22" s="14" t="s">
        <v>3</v>
      </c>
      <c r="B22" s="14" t="s">
        <v>13</v>
      </c>
      <c r="C22" s="14" t="s">
        <v>17</v>
      </c>
      <c r="D22" s="14" t="s">
        <v>13</v>
      </c>
      <c r="E22" s="14" t="s">
        <v>13</v>
      </c>
      <c r="F22" s="14" t="s">
        <v>13</v>
      </c>
      <c r="G22" s="14" t="s">
        <v>17</v>
      </c>
      <c r="H22" s="14" t="s">
        <v>17</v>
      </c>
      <c r="I22" s="13" t="s">
        <v>20</v>
      </c>
      <c r="J22" s="13" t="s">
        <v>168</v>
      </c>
      <c r="K22" s="15" t="s">
        <v>169</v>
      </c>
      <c r="L22" s="20" t="s">
        <v>174</v>
      </c>
      <c r="M22" s="13" t="s">
        <v>175</v>
      </c>
      <c r="N22" s="13" t="s">
        <v>48</v>
      </c>
      <c r="O22" s="17" t="s">
        <v>176</v>
      </c>
      <c r="P22" s="17" t="s">
        <v>177</v>
      </c>
      <c r="Q22" s="36" t="s">
        <v>810</v>
      </c>
      <c r="R22" s="36" t="s">
        <v>538</v>
      </c>
      <c r="T22" s="8"/>
      <c r="U22" s="8"/>
      <c r="V22" s="8"/>
      <c r="W22" s="8"/>
      <c r="X22" s="8"/>
      <c r="Y22" s="8"/>
      <c r="AA22" s="8"/>
      <c r="AB22" s="8"/>
      <c r="AC22" s="8"/>
      <c r="AD22" s="8"/>
      <c r="AE22" s="8"/>
      <c r="AF22" s="8"/>
      <c r="AG22" s="8"/>
      <c r="AH22" s="8"/>
      <c r="AI22" s="8"/>
      <c r="AJ22" s="8"/>
      <c r="AK22" s="8"/>
      <c r="AL22" s="8"/>
      <c r="AM22" s="8"/>
      <c r="AN22" s="8"/>
      <c r="AO22" s="8"/>
      <c r="AP22" s="8"/>
    </row>
    <row r="23" spans="1:42" ht="270">
      <c r="A23" s="14" t="s">
        <v>2</v>
      </c>
      <c r="B23" s="14" t="s">
        <v>13</v>
      </c>
      <c r="C23" s="14" t="s">
        <v>17</v>
      </c>
      <c r="D23" s="14" t="s">
        <v>13</v>
      </c>
      <c r="E23" s="14" t="s">
        <v>13</v>
      </c>
      <c r="F23" s="14" t="s">
        <v>13</v>
      </c>
      <c r="G23" s="14" t="s">
        <v>13</v>
      </c>
      <c r="H23" s="14" t="s">
        <v>17</v>
      </c>
      <c r="I23" s="13" t="s">
        <v>178</v>
      </c>
      <c r="J23" s="13" t="s">
        <v>179</v>
      </c>
      <c r="K23" s="15" t="s">
        <v>180</v>
      </c>
      <c r="L23" s="20" t="s">
        <v>181</v>
      </c>
      <c r="M23" s="13" t="s">
        <v>182</v>
      </c>
      <c r="N23" s="13" t="s">
        <v>183</v>
      </c>
      <c r="O23" s="17" t="s">
        <v>184</v>
      </c>
      <c r="P23" s="17" t="s">
        <v>185</v>
      </c>
      <c r="Q23" s="36" t="s">
        <v>796</v>
      </c>
      <c r="R23" s="36" t="s">
        <v>811</v>
      </c>
      <c r="T23" s="8"/>
      <c r="U23" s="8"/>
      <c r="V23" s="8"/>
      <c r="W23" s="8"/>
      <c r="X23" s="8"/>
      <c r="Y23" s="8"/>
      <c r="AA23" s="8"/>
      <c r="AB23" s="8"/>
      <c r="AC23" s="8"/>
      <c r="AD23" s="8"/>
      <c r="AE23" s="8"/>
      <c r="AF23" s="8"/>
      <c r="AG23" s="8"/>
      <c r="AH23" s="8"/>
      <c r="AI23" s="8"/>
      <c r="AJ23" s="8"/>
      <c r="AK23" s="8"/>
      <c r="AL23" s="8"/>
      <c r="AM23" s="8"/>
      <c r="AN23" s="8"/>
      <c r="AO23" s="8"/>
      <c r="AP23" s="8"/>
    </row>
    <row r="24" spans="1:42" ht="99.5">
      <c r="A24" s="14" t="s">
        <v>3</v>
      </c>
      <c r="B24" s="14" t="s">
        <v>13</v>
      </c>
      <c r="C24" s="14" t="s">
        <v>17</v>
      </c>
      <c r="D24" s="14" t="s">
        <v>13</v>
      </c>
      <c r="E24" s="14" t="s">
        <v>13</v>
      </c>
      <c r="F24" s="14" t="s">
        <v>13</v>
      </c>
      <c r="G24" s="14" t="s">
        <v>13</v>
      </c>
      <c r="H24" s="14" t="s">
        <v>17</v>
      </c>
      <c r="I24" s="13" t="s">
        <v>21</v>
      </c>
      <c r="J24" s="13" t="s">
        <v>179</v>
      </c>
      <c r="K24" s="15" t="s">
        <v>186</v>
      </c>
      <c r="L24" s="20" t="s">
        <v>187</v>
      </c>
      <c r="M24" s="13" t="s">
        <v>188</v>
      </c>
      <c r="N24" s="13" t="s">
        <v>189</v>
      </c>
      <c r="O24" s="17" t="s">
        <v>190</v>
      </c>
      <c r="P24" s="17" t="s">
        <v>191</v>
      </c>
      <c r="Q24" s="36" t="s">
        <v>796</v>
      </c>
      <c r="R24" s="36" t="s">
        <v>811</v>
      </c>
      <c r="T24" s="8"/>
      <c r="U24" s="8"/>
      <c r="V24" s="8"/>
      <c r="W24" s="8"/>
      <c r="X24" s="8"/>
      <c r="Y24" s="8"/>
      <c r="AA24" s="8"/>
      <c r="AB24" s="8"/>
      <c r="AC24" s="8"/>
      <c r="AD24" s="8"/>
      <c r="AE24" s="8"/>
      <c r="AF24" s="8"/>
      <c r="AG24" s="8"/>
      <c r="AH24" s="8"/>
      <c r="AI24" s="8"/>
      <c r="AJ24" s="8"/>
      <c r="AK24" s="8"/>
      <c r="AL24" s="8"/>
      <c r="AM24" s="8"/>
      <c r="AN24" s="8"/>
      <c r="AO24" s="8"/>
      <c r="AP24" s="8"/>
    </row>
    <row r="25" spans="1:42" ht="270">
      <c r="A25" s="14" t="s">
        <v>2</v>
      </c>
      <c r="B25" s="14" t="s">
        <v>17</v>
      </c>
      <c r="C25" s="14" t="s">
        <v>13</v>
      </c>
      <c r="D25" s="14" t="s">
        <v>17</v>
      </c>
      <c r="E25" s="14" t="s">
        <v>13</v>
      </c>
      <c r="F25" s="14" t="s">
        <v>13</v>
      </c>
      <c r="G25" s="14" t="s">
        <v>13</v>
      </c>
      <c r="H25" s="14" t="s">
        <v>17</v>
      </c>
      <c r="I25" s="13" t="s">
        <v>192</v>
      </c>
      <c r="J25" s="13" t="s">
        <v>193</v>
      </c>
      <c r="K25" s="15" t="s">
        <v>194</v>
      </c>
      <c r="L25" s="20" t="s">
        <v>195</v>
      </c>
      <c r="M25" s="13" t="s">
        <v>196</v>
      </c>
      <c r="N25" s="13" t="s">
        <v>197</v>
      </c>
      <c r="O25" s="17" t="s">
        <v>198</v>
      </c>
      <c r="P25" s="17" t="s">
        <v>199</v>
      </c>
      <c r="Q25" s="36" t="s">
        <v>812</v>
      </c>
      <c r="R25" s="36" t="s">
        <v>813</v>
      </c>
      <c r="T25" s="8"/>
      <c r="U25" s="8"/>
      <c r="V25" s="8"/>
      <c r="W25" s="8"/>
      <c r="X25" s="8"/>
      <c r="Y25" s="8"/>
      <c r="AA25" s="8"/>
      <c r="AB25" s="8"/>
      <c r="AC25" s="8"/>
      <c r="AD25" s="8"/>
      <c r="AE25" s="8"/>
      <c r="AF25" s="8"/>
      <c r="AG25" s="8"/>
      <c r="AH25" s="8"/>
      <c r="AI25" s="8"/>
      <c r="AJ25" s="8"/>
      <c r="AK25" s="8"/>
      <c r="AL25" s="8"/>
      <c r="AM25" s="8"/>
      <c r="AN25" s="8"/>
      <c r="AO25" s="8"/>
      <c r="AP25" s="8"/>
    </row>
    <row r="26" spans="1:42" ht="162">
      <c r="A26" s="14" t="s">
        <v>3</v>
      </c>
      <c r="B26" s="14" t="s">
        <v>17</v>
      </c>
      <c r="C26" s="14" t="s">
        <v>13</v>
      </c>
      <c r="D26" s="14" t="s">
        <v>17</v>
      </c>
      <c r="E26" s="14" t="s">
        <v>13</v>
      </c>
      <c r="F26" s="14" t="s">
        <v>13</v>
      </c>
      <c r="G26" s="14" t="s">
        <v>13</v>
      </c>
      <c r="H26" s="14" t="s">
        <v>17</v>
      </c>
      <c r="I26" s="13" t="s">
        <v>200</v>
      </c>
      <c r="J26" s="13" t="s">
        <v>193</v>
      </c>
      <c r="K26" s="15" t="s">
        <v>201</v>
      </c>
      <c r="L26" s="20" t="s">
        <v>202</v>
      </c>
      <c r="M26" s="13" t="s">
        <v>203</v>
      </c>
      <c r="N26" s="13" t="s">
        <v>204</v>
      </c>
      <c r="O26" s="17" t="s">
        <v>205</v>
      </c>
      <c r="P26" s="17" t="s">
        <v>206</v>
      </c>
      <c r="Q26" s="36" t="s">
        <v>814</v>
      </c>
      <c r="R26" s="36" t="s">
        <v>815</v>
      </c>
      <c r="S26" s="23"/>
      <c r="T26" s="9"/>
      <c r="U26" s="9"/>
      <c r="V26" s="9"/>
      <c r="W26" s="9"/>
      <c r="X26" s="9"/>
      <c r="Y26" s="9"/>
      <c r="AA26" s="9"/>
      <c r="AB26" s="9"/>
      <c r="AC26" s="26"/>
      <c r="AD26" s="27"/>
      <c r="AE26" s="9"/>
      <c r="AF26" s="9"/>
      <c r="AG26" s="9"/>
      <c r="AH26" s="9"/>
      <c r="AI26" s="9"/>
      <c r="AJ26" s="9"/>
      <c r="AK26" s="9"/>
      <c r="AL26" s="9"/>
      <c r="AM26" s="9"/>
      <c r="AN26" s="9"/>
      <c r="AO26" s="9"/>
      <c r="AP26" s="9"/>
    </row>
    <row r="27" spans="1:42" ht="126">
      <c r="A27" s="14" t="s">
        <v>2</v>
      </c>
      <c r="B27" s="14" t="s">
        <v>17</v>
      </c>
      <c r="C27" s="14" t="s">
        <v>13</v>
      </c>
      <c r="D27" s="14" t="s">
        <v>13</v>
      </c>
      <c r="E27" s="14" t="s">
        <v>17</v>
      </c>
      <c r="F27" s="14" t="s">
        <v>17</v>
      </c>
      <c r="G27" s="14" t="s">
        <v>17</v>
      </c>
      <c r="H27" s="14" t="s">
        <v>17</v>
      </c>
      <c r="I27" s="13" t="s">
        <v>207</v>
      </c>
      <c r="J27" s="13" t="s">
        <v>208</v>
      </c>
      <c r="K27" s="15" t="s">
        <v>209</v>
      </c>
      <c r="L27" s="20" t="s">
        <v>210</v>
      </c>
      <c r="M27" s="13" t="s">
        <v>50</v>
      </c>
      <c r="N27" s="13" t="s">
        <v>211</v>
      </c>
      <c r="O27" s="17" t="s">
        <v>212</v>
      </c>
      <c r="P27" s="17" t="s">
        <v>213</v>
      </c>
      <c r="Q27" s="36" t="s">
        <v>805</v>
      </c>
      <c r="R27" s="36" t="s">
        <v>806</v>
      </c>
      <c r="S27" s="23"/>
      <c r="T27" s="8"/>
      <c r="U27" s="8"/>
      <c r="V27" s="8"/>
      <c r="W27" s="8"/>
      <c r="X27" s="8"/>
      <c r="Y27" s="8"/>
      <c r="AA27" s="8"/>
      <c r="AB27" s="8"/>
      <c r="AC27" s="8"/>
      <c r="AD27" s="8"/>
      <c r="AE27" s="8"/>
      <c r="AF27" s="8"/>
      <c r="AG27" s="8"/>
      <c r="AH27" s="8"/>
      <c r="AI27" s="8"/>
      <c r="AJ27" s="8"/>
      <c r="AK27" s="8"/>
      <c r="AL27" s="8"/>
      <c r="AM27" s="8"/>
      <c r="AN27" s="8"/>
      <c r="AO27" s="8"/>
      <c r="AP27" s="8"/>
    </row>
    <row r="28" spans="1:42" ht="234">
      <c r="A28" s="14" t="s">
        <v>3</v>
      </c>
      <c r="B28" s="14" t="s">
        <v>17</v>
      </c>
      <c r="C28" s="14" t="s">
        <v>13</v>
      </c>
      <c r="D28" s="14" t="s">
        <v>13</v>
      </c>
      <c r="E28" s="14" t="s">
        <v>17</v>
      </c>
      <c r="F28" s="14" t="s">
        <v>17</v>
      </c>
      <c r="G28" s="14" t="s">
        <v>17</v>
      </c>
      <c r="H28" s="14" t="s">
        <v>17</v>
      </c>
      <c r="I28" s="13" t="s">
        <v>214</v>
      </c>
      <c r="J28" s="13" t="s">
        <v>208</v>
      </c>
      <c r="K28" s="15" t="s">
        <v>215</v>
      </c>
      <c r="L28" s="20" t="s">
        <v>216</v>
      </c>
      <c r="M28" s="13" t="s">
        <v>117</v>
      </c>
      <c r="N28" s="13" t="s">
        <v>217</v>
      </c>
      <c r="O28" s="17" t="s">
        <v>218</v>
      </c>
      <c r="P28" s="17" t="s">
        <v>219</v>
      </c>
      <c r="Q28" s="36" t="s">
        <v>816</v>
      </c>
      <c r="R28" s="36" t="s">
        <v>815</v>
      </c>
      <c r="T28" s="8"/>
      <c r="U28" s="8"/>
      <c r="V28" s="8"/>
      <c r="W28" s="8"/>
      <c r="X28" s="8"/>
      <c r="Y28" s="8"/>
      <c r="AA28" s="8"/>
      <c r="AB28" s="8"/>
      <c r="AC28" s="11"/>
      <c r="AD28" s="26"/>
      <c r="AE28" s="8"/>
      <c r="AF28" s="8"/>
      <c r="AG28" s="8"/>
      <c r="AH28" s="8"/>
      <c r="AI28" s="8"/>
      <c r="AJ28" s="8"/>
      <c r="AK28" s="8"/>
      <c r="AL28" s="8"/>
      <c r="AM28" s="8"/>
      <c r="AN28" s="8"/>
      <c r="AO28" s="8"/>
      <c r="AP28" s="8"/>
    </row>
    <row r="29" spans="1:42" ht="108">
      <c r="A29" s="14" t="s">
        <v>2</v>
      </c>
      <c r="B29" s="14" t="s">
        <v>17</v>
      </c>
      <c r="C29" s="14" t="s">
        <v>13</v>
      </c>
      <c r="D29" s="14" t="s">
        <v>17</v>
      </c>
      <c r="E29" s="14" t="s">
        <v>13</v>
      </c>
      <c r="F29" s="14" t="s">
        <v>17</v>
      </c>
      <c r="G29" s="14" t="s">
        <v>17</v>
      </c>
      <c r="H29" s="14" t="s">
        <v>17</v>
      </c>
      <c r="I29" s="13" t="s">
        <v>220</v>
      </c>
      <c r="J29" s="13" t="s">
        <v>221</v>
      </c>
      <c r="K29" s="15" t="s">
        <v>222</v>
      </c>
      <c r="L29" s="20" t="s">
        <v>223</v>
      </c>
      <c r="M29" s="13" t="s">
        <v>50</v>
      </c>
      <c r="N29" s="13" t="s">
        <v>46</v>
      </c>
      <c r="O29" s="17" t="s">
        <v>224</v>
      </c>
      <c r="P29" s="17" t="s">
        <v>225</v>
      </c>
      <c r="Q29" s="36" t="s">
        <v>817</v>
      </c>
      <c r="R29" s="36" t="s">
        <v>818</v>
      </c>
      <c r="T29" s="8"/>
      <c r="U29" s="8"/>
      <c r="V29" s="8"/>
      <c r="W29" s="8"/>
      <c r="X29" s="8"/>
      <c r="Y29" s="8"/>
      <c r="AA29" s="8"/>
      <c r="AB29" s="8"/>
      <c r="AC29" s="11"/>
      <c r="AD29" s="26"/>
      <c r="AE29" s="8"/>
      <c r="AF29" s="8"/>
      <c r="AG29" s="8"/>
      <c r="AH29" s="8"/>
      <c r="AI29" s="8"/>
      <c r="AJ29" s="8"/>
      <c r="AK29" s="8"/>
      <c r="AL29" s="8"/>
      <c r="AM29" s="8"/>
      <c r="AN29" s="8"/>
      <c r="AO29" s="8"/>
      <c r="AP29" s="8"/>
    </row>
    <row r="30" spans="1:42" ht="144">
      <c r="A30" s="14" t="s">
        <v>3</v>
      </c>
      <c r="B30" s="14" t="s">
        <v>17</v>
      </c>
      <c r="C30" s="14" t="s">
        <v>13</v>
      </c>
      <c r="D30" s="14" t="s">
        <v>17</v>
      </c>
      <c r="E30" s="14" t="s">
        <v>13</v>
      </c>
      <c r="F30" s="14" t="s">
        <v>17</v>
      </c>
      <c r="G30" s="14" t="s">
        <v>17</v>
      </c>
      <c r="H30" s="14" t="s">
        <v>17</v>
      </c>
      <c r="I30" s="13" t="s">
        <v>226</v>
      </c>
      <c r="J30" s="13" t="s">
        <v>221</v>
      </c>
      <c r="K30" s="15" t="s">
        <v>227</v>
      </c>
      <c r="L30" s="20" t="s">
        <v>228</v>
      </c>
      <c r="M30" s="13" t="s">
        <v>229</v>
      </c>
      <c r="N30" s="13" t="s">
        <v>230</v>
      </c>
      <c r="O30" s="17" t="s">
        <v>231</v>
      </c>
      <c r="P30" s="17" t="s">
        <v>232</v>
      </c>
      <c r="Q30" s="36" t="s">
        <v>819</v>
      </c>
      <c r="R30" s="36" t="s">
        <v>820</v>
      </c>
      <c r="T30" s="8"/>
      <c r="U30" s="8"/>
      <c r="V30" s="8"/>
      <c r="W30" s="8"/>
      <c r="X30" s="8"/>
      <c r="Y30" s="8"/>
      <c r="AA30" s="8"/>
      <c r="AB30" s="8"/>
      <c r="AC30" s="11"/>
      <c r="AD30" s="26"/>
      <c r="AE30" s="8"/>
      <c r="AF30" s="8"/>
      <c r="AG30" s="8"/>
      <c r="AH30" s="8"/>
      <c r="AI30" s="8"/>
      <c r="AJ30" s="8"/>
      <c r="AK30" s="8"/>
      <c r="AL30" s="8"/>
      <c r="AM30" s="8"/>
      <c r="AN30" s="8"/>
      <c r="AO30" s="8"/>
      <c r="AP30" s="8"/>
    </row>
    <row r="31" spans="1:42" ht="72">
      <c r="A31" s="14" t="s">
        <v>2</v>
      </c>
      <c r="B31" s="14" t="s">
        <v>13</v>
      </c>
      <c r="C31" s="14" t="s">
        <v>17</v>
      </c>
      <c r="D31" s="14" t="s">
        <v>17</v>
      </c>
      <c r="E31" s="14" t="s">
        <v>13</v>
      </c>
      <c r="F31" s="14" t="s">
        <v>13</v>
      </c>
      <c r="G31" s="14" t="s">
        <v>13</v>
      </c>
      <c r="H31" s="14" t="s">
        <v>13</v>
      </c>
      <c r="I31" s="13" t="s">
        <v>24</v>
      </c>
      <c r="J31" s="13" t="s">
        <v>233</v>
      </c>
      <c r="K31" s="15" t="s">
        <v>234</v>
      </c>
      <c r="L31" s="20" t="s">
        <v>235</v>
      </c>
      <c r="M31" s="13" t="s">
        <v>125</v>
      </c>
      <c r="N31" s="13" t="s">
        <v>47</v>
      </c>
      <c r="O31" s="17" t="s">
        <v>236</v>
      </c>
      <c r="P31" s="17" t="s">
        <v>237</v>
      </c>
      <c r="Q31" s="36" t="s">
        <v>796</v>
      </c>
      <c r="R31" s="36" t="s">
        <v>538</v>
      </c>
      <c r="T31" s="8"/>
      <c r="U31" s="8"/>
      <c r="V31" s="8"/>
      <c r="W31" s="8"/>
      <c r="X31" s="8"/>
      <c r="Y31" s="8"/>
      <c r="AA31" s="8"/>
      <c r="AB31" s="8"/>
      <c r="AC31" s="11"/>
      <c r="AD31" s="26"/>
      <c r="AE31" s="8"/>
      <c r="AF31" s="8"/>
      <c r="AG31" s="8"/>
      <c r="AH31" s="8"/>
      <c r="AI31" s="8"/>
      <c r="AJ31" s="8"/>
      <c r="AK31" s="8"/>
      <c r="AL31" s="8"/>
      <c r="AM31" s="8"/>
      <c r="AN31" s="8"/>
      <c r="AO31" s="8"/>
      <c r="AP31" s="8"/>
    </row>
    <row r="32" spans="1:42" ht="83">
      <c r="A32" s="14" t="s">
        <v>3</v>
      </c>
      <c r="B32" s="14" t="s">
        <v>13</v>
      </c>
      <c r="C32" s="14" t="s">
        <v>17</v>
      </c>
      <c r="D32" s="14" t="s">
        <v>17</v>
      </c>
      <c r="E32" s="14" t="s">
        <v>13</v>
      </c>
      <c r="F32" s="14" t="s">
        <v>13</v>
      </c>
      <c r="G32" s="14" t="s">
        <v>13</v>
      </c>
      <c r="H32" s="14" t="s">
        <v>13</v>
      </c>
      <c r="I32" s="13" t="s">
        <v>238</v>
      </c>
      <c r="J32" s="13" t="s">
        <v>233</v>
      </c>
      <c r="K32" s="15" t="s">
        <v>234</v>
      </c>
      <c r="L32" s="20" t="s">
        <v>239</v>
      </c>
      <c r="M32" s="13" t="s">
        <v>240</v>
      </c>
      <c r="N32" s="13" t="s">
        <v>47</v>
      </c>
      <c r="O32" s="17" t="s">
        <v>241</v>
      </c>
      <c r="P32" s="17" t="s">
        <v>242</v>
      </c>
      <c r="Q32" s="36" t="s">
        <v>795</v>
      </c>
      <c r="R32" s="36" t="s">
        <v>538</v>
      </c>
      <c r="T32" s="8"/>
      <c r="U32" s="8"/>
      <c r="V32" s="8"/>
      <c r="W32" s="8"/>
      <c r="X32" s="8"/>
      <c r="Y32" s="8"/>
      <c r="AA32" s="8"/>
      <c r="AB32" s="8"/>
      <c r="AC32" s="11"/>
      <c r="AD32" s="26"/>
      <c r="AE32" s="8"/>
      <c r="AF32" s="8"/>
      <c r="AG32" s="8"/>
      <c r="AH32" s="8"/>
      <c r="AI32" s="8"/>
      <c r="AJ32" s="8"/>
      <c r="AK32" s="8"/>
      <c r="AL32" s="8"/>
      <c r="AM32" s="8"/>
      <c r="AN32" s="8"/>
      <c r="AO32" s="8"/>
      <c r="AP32" s="8"/>
    </row>
    <row r="33" spans="1:42" ht="198">
      <c r="A33" s="14" t="s">
        <v>2</v>
      </c>
      <c r="B33" s="14" t="s">
        <v>17</v>
      </c>
      <c r="C33" s="14" t="s">
        <v>17</v>
      </c>
      <c r="D33" s="14" t="s">
        <v>17</v>
      </c>
      <c r="E33" s="14" t="s">
        <v>13</v>
      </c>
      <c r="F33" s="14" t="s">
        <v>13</v>
      </c>
      <c r="G33" s="14" t="s">
        <v>13</v>
      </c>
      <c r="H33" s="14" t="s">
        <v>13</v>
      </c>
      <c r="I33" s="13" t="s">
        <v>243</v>
      </c>
      <c r="J33" s="13" t="s">
        <v>244</v>
      </c>
      <c r="K33" s="15" t="s">
        <v>245</v>
      </c>
      <c r="L33" s="20" t="s">
        <v>246</v>
      </c>
      <c r="M33" s="13" t="s">
        <v>247</v>
      </c>
      <c r="N33" s="13" t="s">
        <v>248</v>
      </c>
      <c r="O33" s="17" t="s">
        <v>249</v>
      </c>
      <c r="P33" s="17" t="s">
        <v>250</v>
      </c>
      <c r="Q33" s="36" t="s">
        <v>821</v>
      </c>
      <c r="R33" s="36" t="s">
        <v>822</v>
      </c>
      <c r="T33" s="8"/>
      <c r="U33" s="8"/>
      <c r="V33" s="8"/>
      <c r="W33" s="8"/>
      <c r="X33" s="8"/>
      <c r="Y33" s="8"/>
      <c r="AA33" s="8"/>
      <c r="AB33" s="8"/>
      <c r="AC33" s="11"/>
      <c r="AD33" s="26"/>
      <c r="AE33" s="8"/>
      <c r="AF33" s="8"/>
      <c r="AG33" s="8"/>
      <c r="AH33" s="8"/>
      <c r="AI33" s="8"/>
      <c r="AJ33" s="8"/>
      <c r="AK33" s="8"/>
      <c r="AL33" s="8"/>
      <c r="AM33" s="8"/>
      <c r="AN33" s="8"/>
      <c r="AO33" s="8"/>
      <c r="AP33" s="8"/>
    </row>
    <row r="34" spans="1:42" ht="198">
      <c r="A34" s="14" t="s">
        <v>3</v>
      </c>
      <c r="B34" s="14" t="s">
        <v>17</v>
      </c>
      <c r="C34" s="14" t="s">
        <v>17</v>
      </c>
      <c r="D34" s="14" t="s">
        <v>17</v>
      </c>
      <c r="E34" s="14" t="s">
        <v>13</v>
      </c>
      <c r="F34" s="14" t="s">
        <v>13</v>
      </c>
      <c r="G34" s="14" t="s">
        <v>13</v>
      </c>
      <c r="H34" s="14" t="s">
        <v>13</v>
      </c>
      <c r="I34" s="13" t="s">
        <v>251</v>
      </c>
      <c r="J34" s="13" t="s">
        <v>244</v>
      </c>
      <c r="K34" s="15" t="s">
        <v>252</v>
      </c>
      <c r="L34" s="20" t="s">
        <v>253</v>
      </c>
      <c r="M34" s="13" t="s">
        <v>254</v>
      </c>
      <c r="N34" s="13" t="s">
        <v>255</v>
      </c>
      <c r="O34" s="17" t="s">
        <v>256</v>
      </c>
      <c r="P34" s="17" t="s">
        <v>257</v>
      </c>
      <c r="Q34" s="36" t="s">
        <v>823</v>
      </c>
      <c r="R34" s="36" t="s">
        <v>822</v>
      </c>
      <c r="S34" s="23"/>
      <c r="T34" s="8"/>
      <c r="U34" s="8"/>
      <c r="V34" s="8"/>
      <c r="W34" s="8"/>
      <c r="X34" s="8"/>
      <c r="Y34" s="8"/>
      <c r="AA34" s="8"/>
      <c r="AB34" s="8"/>
      <c r="AC34" s="11"/>
      <c r="AD34" s="26"/>
      <c r="AE34" s="8"/>
      <c r="AF34" s="8"/>
      <c r="AG34" s="8"/>
      <c r="AH34" s="8"/>
      <c r="AI34" s="8"/>
      <c r="AJ34" s="8"/>
      <c r="AK34" s="8"/>
      <c r="AL34" s="8"/>
      <c r="AM34" s="8"/>
      <c r="AN34" s="8"/>
      <c r="AO34" s="8"/>
      <c r="AP34" s="8"/>
    </row>
    <row r="35" spans="1:42" ht="198">
      <c r="A35" s="14" t="s">
        <v>2</v>
      </c>
      <c r="B35" s="14" t="s">
        <v>13</v>
      </c>
      <c r="C35" s="14" t="s">
        <v>13</v>
      </c>
      <c r="D35" s="14" t="s">
        <v>13</v>
      </c>
      <c r="E35" s="14" t="s">
        <v>13</v>
      </c>
      <c r="F35" s="14" t="s">
        <v>13</v>
      </c>
      <c r="G35" s="14" t="s">
        <v>13</v>
      </c>
      <c r="H35" s="14" t="s">
        <v>13</v>
      </c>
      <c r="I35" s="13" t="s">
        <v>31</v>
      </c>
      <c r="J35" s="13" t="s">
        <v>258</v>
      </c>
      <c r="K35" s="15" t="s">
        <v>259</v>
      </c>
      <c r="L35" s="20" t="s">
        <v>260</v>
      </c>
      <c r="M35" s="13" t="s">
        <v>175</v>
      </c>
      <c r="N35" s="13" t="s">
        <v>261</v>
      </c>
      <c r="O35" s="17" t="s">
        <v>262</v>
      </c>
      <c r="P35" s="17" t="s">
        <v>263</v>
      </c>
      <c r="Q35" s="36" t="s">
        <v>796</v>
      </c>
      <c r="R35" s="36" t="s">
        <v>811</v>
      </c>
      <c r="T35" s="8"/>
      <c r="U35" s="8"/>
      <c r="V35" s="8"/>
      <c r="W35" s="8"/>
      <c r="X35" s="8"/>
      <c r="Y35" s="8"/>
      <c r="AA35" s="8"/>
      <c r="AB35" s="8"/>
      <c r="AC35" s="11"/>
      <c r="AD35" s="26"/>
      <c r="AE35" s="8"/>
      <c r="AF35" s="8"/>
      <c r="AG35" s="8"/>
      <c r="AH35" s="8"/>
      <c r="AI35" s="8"/>
      <c r="AJ35" s="8"/>
      <c r="AK35" s="8"/>
      <c r="AL35" s="8"/>
      <c r="AM35" s="8"/>
      <c r="AN35" s="8"/>
      <c r="AO35" s="8"/>
      <c r="AP35" s="8"/>
    </row>
    <row r="36" spans="1:42" ht="162">
      <c r="A36" s="14" t="s">
        <v>3</v>
      </c>
      <c r="B36" s="14" t="s">
        <v>13</v>
      </c>
      <c r="C36" s="14" t="s">
        <v>13</v>
      </c>
      <c r="D36" s="14" t="s">
        <v>13</v>
      </c>
      <c r="E36" s="14" t="s">
        <v>13</v>
      </c>
      <c r="F36" s="14" t="s">
        <v>13</v>
      </c>
      <c r="G36" s="14" t="s">
        <v>13</v>
      </c>
      <c r="H36" s="14" t="s">
        <v>13</v>
      </c>
      <c r="I36" s="13" t="s">
        <v>26</v>
      </c>
      <c r="J36" s="13" t="s">
        <v>258</v>
      </c>
      <c r="K36" s="15" t="s">
        <v>264</v>
      </c>
      <c r="L36" s="20" t="s">
        <v>265</v>
      </c>
      <c r="M36" s="13" t="s">
        <v>266</v>
      </c>
      <c r="N36" s="13" t="s">
        <v>267</v>
      </c>
      <c r="O36" s="17" t="s">
        <v>268</v>
      </c>
      <c r="P36" s="17" t="s">
        <v>269</v>
      </c>
      <c r="Q36" s="36" t="s">
        <v>795</v>
      </c>
      <c r="R36" s="36" t="s">
        <v>811</v>
      </c>
      <c r="T36" s="8"/>
      <c r="U36" s="8"/>
      <c r="V36" s="8"/>
      <c r="W36" s="8"/>
      <c r="X36" s="8"/>
      <c r="Y36" s="8"/>
      <c r="AA36" s="8"/>
      <c r="AB36" s="8"/>
      <c r="AC36" s="11"/>
      <c r="AD36" s="26"/>
      <c r="AE36" s="8"/>
      <c r="AF36" s="8"/>
      <c r="AG36" s="8"/>
      <c r="AH36" s="8"/>
      <c r="AI36" s="8"/>
      <c r="AJ36" s="8"/>
      <c r="AK36" s="8"/>
      <c r="AL36" s="8"/>
      <c r="AM36" s="8"/>
      <c r="AN36" s="8"/>
      <c r="AO36" s="8"/>
      <c r="AP36" s="8"/>
    </row>
    <row r="37" spans="1:42" ht="126">
      <c r="A37" s="14" t="s">
        <v>2</v>
      </c>
      <c r="B37" s="14" t="s">
        <v>13</v>
      </c>
      <c r="C37" s="14" t="s">
        <v>13</v>
      </c>
      <c r="D37" s="14" t="s">
        <v>13</v>
      </c>
      <c r="E37" s="14" t="s">
        <v>13</v>
      </c>
      <c r="F37" s="14" t="s">
        <v>13</v>
      </c>
      <c r="G37" s="14" t="s">
        <v>13</v>
      </c>
      <c r="H37" s="14" t="s">
        <v>17</v>
      </c>
      <c r="I37" s="13" t="s">
        <v>33</v>
      </c>
      <c r="J37" s="13" t="s">
        <v>270</v>
      </c>
      <c r="K37" s="15" t="s">
        <v>271</v>
      </c>
      <c r="L37" s="20" t="s">
        <v>272</v>
      </c>
      <c r="M37" s="13" t="s">
        <v>273</v>
      </c>
      <c r="N37" s="13" t="s">
        <v>274</v>
      </c>
      <c r="O37" s="17" t="s">
        <v>275</v>
      </c>
      <c r="P37" s="17" t="s">
        <v>276</v>
      </c>
      <c r="Q37" s="36" t="s">
        <v>796</v>
      </c>
      <c r="R37" s="36" t="s">
        <v>538</v>
      </c>
      <c r="T37" s="8"/>
      <c r="U37" s="8"/>
      <c r="V37" s="8"/>
      <c r="W37" s="8"/>
      <c r="X37" s="8"/>
      <c r="Y37" s="8"/>
      <c r="AA37" s="8"/>
      <c r="AB37" s="8"/>
      <c r="AC37" s="8"/>
      <c r="AD37" s="8"/>
      <c r="AE37" s="8"/>
      <c r="AF37" s="8"/>
      <c r="AG37" s="8"/>
      <c r="AH37" s="8"/>
      <c r="AI37" s="8"/>
      <c r="AJ37" s="8"/>
      <c r="AK37" s="8"/>
      <c r="AL37" s="8"/>
      <c r="AM37" s="8"/>
      <c r="AN37" s="8"/>
      <c r="AO37" s="8"/>
      <c r="AP37" s="8"/>
    </row>
    <row r="38" spans="1:42" ht="144">
      <c r="A38" s="14" t="s">
        <v>3</v>
      </c>
      <c r="B38" s="14" t="s">
        <v>13</v>
      </c>
      <c r="C38" s="14" t="s">
        <v>13</v>
      </c>
      <c r="D38" s="14" t="s">
        <v>13</v>
      </c>
      <c r="E38" s="14" t="s">
        <v>13</v>
      </c>
      <c r="F38" s="14" t="s">
        <v>13</v>
      </c>
      <c r="G38" s="14" t="s">
        <v>13</v>
      </c>
      <c r="H38" s="14" t="s">
        <v>17</v>
      </c>
      <c r="I38" s="13" t="s">
        <v>25</v>
      </c>
      <c r="J38" s="13" t="s">
        <v>270</v>
      </c>
      <c r="K38" s="15" t="s">
        <v>277</v>
      </c>
      <c r="L38" s="20" t="s">
        <v>278</v>
      </c>
      <c r="M38" s="13" t="s">
        <v>279</v>
      </c>
      <c r="N38" s="13" t="s">
        <v>280</v>
      </c>
      <c r="O38" s="17" t="s">
        <v>281</v>
      </c>
      <c r="P38" s="17" t="s">
        <v>282</v>
      </c>
      <c r="Q38" s="36" t="s">
        <v>795</v>
      </c>
      <c r="R38" s="36" t="s">
        <v>538</v>
      </c>
      <c r="T38" s="8"/>
      <c r="U38" s="8"/>
      <c r="V38" s="8"/>
      <c r="W38" s="8"/>
      <c r="X38" s="8"/>
      <c r="Y38" s="8"/>
      <c r="AA38" s="8"/>
      <c r="AB38" s="8"/>
      <c r="AC38" s="11"/>
      <c r="AD38" s="26"/>
      <c r="AE38" s="8"/>
      <c r="AF38" s="8"/>
      <c r="AG38" s="8"/>
      <c r="AH38" s="8"/>
      <c r="AI38" s="8"/>
      <c r="AJ38" s="8"/>
      <c r="AK38" s="8"/>
      <c r="AL38" s="8"/>
      <c r="AM38" s="8"/>
      <c r="AN38" s="8"/>
      <c r="AO38" s="8"/>
      <c r="AP38" s="8"/>
    </row>
    <row r="39" spans="1:42" ht="198">
      <c r="A39" s="14" t="s">
        <v>2</v>
      </c>
      <c r="B39" s="14" t="s">
        <v>17</v>
      </c>
      <c r="C39" s="14" t="s">
        <v>17</v>
      </c>
      <c r="D39" s="14" t="s">
        <v>13</v>
      </c>
      <c r="E39" s="14" t="s">
        <v>13</v>
      </c>
      <c r="F39" s="14" t="s">
        <v>13</v>
      </c>
      <c r="G39" s="14" t="s">
        <v>13</v>
      </c>
      <c r="H39" s="14" t="s">
        <v>17</v>
      </c>
      <c r="I39" s="13" t="s">
        <v>27</v>
      </c>
      <c r="J39" s="13" t="s">
        <v>283</v>
      </c>
      <c r="K39" s="15" t="s">
        <v>284</v>
      </c>
      <c r="L39" s="20" t="s">
        <v>285</v>
      </c>
      <c r="M39" s="13" t="s">
        <v>50</v>
      </c>
      <c r="N39" s="13" t="s">
        <v>286</v>
      </c>
      <c r="O39" s="17" t="s">
        <v>287</v>
      </c>
      <c r="P39" s="17" t="s">
        <v>288</v>
      </c>
      <c r="Q39" s="36" t="s">
        <v>824</v>
      </c>
      <c r="R39" s="36" t="s">
        <v>818</v>
      </c>
      <c r="T39" s="8"/>
      <c r="U39" s="8"/>
      <c r="V39" s="8"/>
      <c r="W39" s="8"/>
      <c r="X39" s="8"/>
      <c r="Y39" s="8"/>
      <c r="AA39" s="8"/>
      <c r="AB39" s="8"/>
      <c r="AC39" s="8"/>
      <c r="AD39" s="8"/>
      <c r="AE39" s="8"/>
      <c r="AF39" s="8"/>
      <c r="AG39" s="8"/>
      <c r="AH39" s="8"/>
      <c r="AI39" s="8"/>
      <c r="AJ39" s="8"/>
      <c r="AK39" s="8"/>
      <c r="AL39" s="8"/>
      <c r="AM39" s="8"/>
      <c r="AN39" s="8"/>
      <c r="AO39" s="8"/>
      <c r="AP39" s="8"/>
    </row>
    <row r="40" spans="1:42" ht="162">
      <c r="A40" s="14" t="s">
        <v>3</v>
      </c>
      <c r="B40" s="14" t="s">
        <v>17</v>
      </c>
      <c r="C40" s="14" t="s">
        <v>17</v>
      </c>
      <c r="D40" s="14" t="s">
        <v>13</v>
      </c>
      <c r="E40" s="14" t="s">
        <v>13</v>
      </c>
      <c r="F40" s="14" t="s">
        <v>13</v>
      </c>
      <c r="G40" s="14" t="s">
        <v>13</v>
      </c>
      <c r="H40" s="14" t="s">
        <v>17</v>
      </c>
      <c r="I40" s="13" t="s">
        <v>289</v>
      </c>
      <c r="J40" s="13" t="s">
        <v>283</v>
      </c>
      <c r="K40" s="15" t="s">
        <v>290</v>
      </c>
      <c r="L40" s="20" t="s">
        <v>291</v>
      </c>
      <c r="M40" s="13" t="s">
        <v>292</v>
      </c>
      <c r="N40" s="13" t="s">
        <v>230</v>
      </c>
      <c r="O40" s="17" t="s">
        <v>293</v>
      </c>
      <c r="P40" s="17" t="s">
        <v>294</v>
      </c>
      <c r="Q40" s="36" t="s">
        <v>825</v>
      </c>
      <c r="R40" s="36" t="s">
        <v>820</v>
      </c>
      <c r="T40" s="8"/>
      <c r="U40" s="8"/>
      <c r="V40" s="8"/>
      <c r="W40" s="8"/>
      <c r="X40" s="8"/>
      <c r="Y40" s="8"/>
      <c r="AA40" s="8"/>
      <c r="AB40" s="8"/>
      <c r="AC40" s="11"/>
      <c r="AD40" s="26"/>
      <c r="AE40" s="8"/>
      <c r="AF40" s="8"/>
      <c r="AG40" s="8"/>
      <c r="AH40" s="8"/>
      <c r="AI40" s="8"/>
      <c r="AJ40" s="8"/>
      <c r="AK40" s="8"/>
      <c r="AL40" s="8"/>
      <c r="AM40" s="8"/>
      <c r="AN40" s="8"/>
      <c r="AO40" s="8"/>
      <c r="AP40" s="8"/>
    </row>
    <row r="41" spans="1:42" ht="83">
      <c r="A41" s="14" t="s">
        <v>2</v>
      </c>
      <c r="B41" s="14" t="s">
        <v>13</v>
      </c>
      <c r="C41" s="14" t="s">
        <v>13</v>
      </c>
      <c r="D41" s="14" t="s">
        <v>13</v>
      </c>
      <c r="E41" s="14" t="s">
        <v>17</v>
      </c>
      <c r="F41" s="14" t="s">
        <v>13</v>
      </c>
      <c r="G41" s="14" t="s">
        <v>13</v>
      </c>
      <c r="H41" s="14" t="s">
        <v>13</v>
      </c>
      <c r="I41" s="13" t="s">
        <v>28</v>
      </c>
      <c r="J41" s="13" t="s">
        <v>295</v>
      </c>
      <c r="K41" s="15" t="s">
        <v>296</v>
      </c>
      <c r="L41" s="20" t="s">
        <v>297</v>
      </c>
      <c r="M41" s="13" t="s">
        <v>298</v>
      </c>
      <c r="N41" s="13" t="s">
        <v>189</v>
      </c>
      <c r="O41" s="17" t="s">
        <v>299</v>
      </c>
      <c r="P41" s="17" t="s">
        <v>300</v>
      </c>
      <c r="Q41" s="36" t="s">
        <v>826</v>
      </c>
      <c r="R41" s="36" t="s">
        <v>827</v>
      </c>
      <c r="T41" s="8"/>
      <c r="U41" s="8"/>
      <c r="V41" s="8"/>
      <c r="W41" s="8"/>
      <c r="X41" s="8"/>
      <c r="Y41" s="8"/>
      <c r="AA41" s="8"/>
      <c r="AB41" s="8"/>
      <c r="AC41" s="11"/>
      <c r="AD41" s="26"/>
      <c r="AE41" s="8"/>
      <c r="AF41" s="8"/>
      <c r="AG41" s="8"/>
      <c r="AH41" s="8"/>
      <c r="AI41" s="8"/>
      <c r="AJ41" s="8"/>
      <c r="AK41" s="8"/>
      <c r="AL41" s="8"/>
      <c r="AM41" s="8"/>
      <c r="AN41" s="8"/>
      <c r="AO41" s="8"/>
      <c r="AP41" s="8"/>
    </row>
    <row r="42" spans="1:42" ht="72">
      <c r="A42" s="14" t="s">
        <v>3</v>
      </c>
      <c r="B42" s="14" t="s">
        <v>13</v>
      </c>
      <c r="C42" s="14" t="s">
        <v>13</v>
      </c>
      <c r="D42" s="14" t="s">
        <v>13</v>
      </c>
      <c r="E42" s="14" t="s">
        <v>17</v>
      </c>
      <c r="F42" s="14" t="s">
        <v>13</v>
      </c>
      <c r="G42" s="14" t="s">
        <v>13</v>
      </c>
      <c r="H42" s="14" t="s">
        <v>13</v>
      </c>
      <c r="I42" s="13" t="s">
        <v>49</v>
      </c>
      <c r="J42" s="13" t="s">
        <v>295</v>
      </c>
      <c r="K42" s="15" t="s">
        <v>296</v>
      </c>
      <c r="L42" s="20" t="s">
        <v>301</v>
      </c>
      <c r="M42" s="13" t="s">
        <v>298</v>
      </c>
      <c r="N42" s="13" t="s">
        <v>189</v>
      </c>
      <c r="O42" s="17" t="s">
        <v>302</v>
      </c>
      <c r="P42" s="17" t="s">
        <v>303</v>
      </c>
      <c r="Q42" s="36" t="s">
        <v>540</v>
      </c>
      <c r="R42" s="36" t="s">
        <v>538</v>
      </c>
      <c r="T42" s="8"/>
      <c r="U42" s="8"/>
      <c r="V42" s="8"/>
      <c r="W42" s="8"/>
      <c r="X42" s="8"/>
      <c r="Y42" s="8"/>
      <c r="AA42" s="8"/>
      <c r="AB42" s="8"/>
      <c r="AC42" s="11"/>
      <c r="AD42" s="26"/>
      <c r="AE42" s="8"/>
      <c r="AF42" s="8"/>
      <c r="AG42" s="8"/>
      <c r="AH42" s="8"/>
      <c r="AI42" s="8"/>
      <c r="AJ42" s="8"/>
      <c r="AK42" s="8"/>
      <c r="AL42" s="8"/>
      <c r="AM42" s="8"/>
      <c r="AN42" s="8"/>
      <c r="AO42" s="8"/>
      <c r="AP42" s="8"/>
    </row>
    <row r="43" spans="1:42" ht="144">
      <c r="A43" s="14" t="s">
        <v>2</v>
      </c>
      <c r="B43" s="14" t="s">
        <v>13</v>
      </c>
      <c r="C43" s="14" t="s">
        <v>13</v>
      </c>
      <c r="D43" s="14" t="s">
        <v>17</v>
      </c>
      <c r="E43" s="14" t="s">
        <v>17</v>
      </c>
      <c r="F43" s="14" t="s">
        <v>13</v>
      </c>
      <c r="G43" s="14" t="s">
        <v>13</v>
      </c>
      <c r="H43" s="14" t="s">
        <v>13</v>
      </c>
      <c r="I43" s="13" t="s">
        <v>29</v>
      </c>
      <c r="J43" s="13" t="s">
        <v>304</v>
      </c>
      <c r="K43" s="15" t="s">
        <v>305</v>
      </c>
      <c r="L43" s="20" t="s">
        <v>306</v>
      </c>
      <c r="M43" s="13" t="s">
        <v>307</v>
      </c>
      <c r="N43" s="13" t="s">
        <v>308</v>
      </c>
      <c r="O43" s="17" t="s">
        <v>309</v>
      </c>
      <c r="P43" s="17" t="s">
        <v>310</v>
      </c>
      <c r="Q43" s="36" t="s">
        <v>826</v>
      </c>
      <c r="R43" s="36" t="s">
        <v>828</v>
      </c>
      <c r="T43" s="8"/>
      <c r="U43" s="8"/>
      <c r="V43" s="8"/>
      <c r="W43" s="8"/>
      <c r="X43" s="8"/>
      <c r="Y43" s="8"/>
      <c r="AA43" s="8"/>
      <c r="AB43" s="8"/>
      <c r="AC43" s="11"/>
      <c r="AD43" s="26"/>
      <c r="AE43" s="8"/>
      <c r="AF43" s="8"/>
      <c r="AG43" s="8"/>
      <c r="AH43" s="8"/>
      <c r="AI43" s="8"/>
      <c r="AJ43" s="8"/>
      <c r="AK43" s="8"/>
      <c r="AL43" s="8"/>
      <c r="AM43" s="8"/>
      <c r="AN43" s="8"/>
      <c r="AO43" s="8"/>
      <c r="AP43" s="8"/>
    </row>
    <row r="44" spans="1:42" ht="72.5">
      <c r="A44" s="14" t="s">
        <v>3</v>
      </c>
      <c r="B44" s="14" t="s">
        <v>13</v>
      </c>
      <c r="C44" s="14" t="s">
        <v>13</v>
      </c>
      <c r="D44" s="14" t="s">
        <v>17</v>
      </c>
      <c r="E44" s="14" t="s">
        <v>17</v>
      </c>
      <c r="F44" s="14" t="s">
        <v>13</v>
      </c>
      <c r="G44" s="14" t="s">
        <v>13</v>
      </c>
      <c r="H44" s="14" t="s">
        <v>13</v>
      </c>
      <c r="I44" s="13" t="s">
        <v>34</v>
      </c>
      <c r="J44" s="13" t="s">
        <v>304</v>
      </c>
      <c r="K44" s="15" t="s">
        <v>305</v>
      </c>
      <c r="L44" s="20" t="s">
        <v>239</v>
      </c>
      <c r="M44" s="13" t="s">
        <v>307</v>
      </c>
      <c r="N44" s="13" t="s">
        <v>308</v>
      </c>
      <c r="O44" s="17" t="s">
        <v>311</v>
      </c>
      <c r="P44" s="17" t="s">
        <v>312</v>
      </c>
      <c r="Q44" s="36" t="s">
        <v>540</v>
      </c>
      <c r="R44" s="36" t="s">
        <v>799</v>
      </c>
      <c r="T44" s="8"/>
      <c r="U44" s="8"/>
      <c r="V44" s="8"/>
      <c r="W44" s="8"/>
      <c r="X44" s="8"/>
      <c r="Y44" s="8"/>
      <c r="AA44" s="8"/>
      <c r="AB44" s="8"/>
      <c r="AC44" s="11"/>
      <c r="AD44" s="26"/>
      <c r="AE44" s="8"/>
      <c r="AF44" s="8"/>
      <c r="AG44" s="8"/>
      <c r="AH44" s="8"/>
      <c r="AI44" s="8"/>
      <c r="AJ44" s="8"/>
      <c r="AK44" s="8"/>
      <c r="AL44" s="8"/>
      <c r="AM44" s="8"/>
      <c r="AN44" s="8"/>
      <c r="AO44" s="8"/>
      <c r="AP44" s="8"/>
    </row>
    <row r="45" spans="1:42" ht="132.5">
      <c r="A45" s="14" t="s">
        <v>2</v>
      </c>
      <c r="B45" s="14" t="s">
        <v>17</v>
      </c>
      <c r="C45" s="14" t="s">
        <v>13</v>
      </c>
      <c r="D45" s="14" t="s">
        <v>13</v>
      </c>
      <c r="E45" s="14" t="s">
        <v>17</v>
      </c>
      <c r="F45" s="14" t="s">
        <v>13</v>
      </c>
      <c r="G45" s="14" t="s">
        <v>13</v>
      </c>
      <c r="H45" s="14" t="s">
        <v>13</v>
      </c>
      <c r="I45" s="13" t="s">
        <v>30</v>
      </c>
      <c r="J45" s="13" t="s">
        <v>313</v>
      </c>
      <c r="K45" s="15" t="s">
        <v>314</v>
      </c>
      <c r="L45" s="20" t="s">
        <v>315</v>
      </c>
      <c r="M45" s="13" t="s">
        <v>50</v>
      </c>
      <c r="N45" s="13" t="s">
        <v>316</v>
      </c>
      <c r="O45" s="17" t="s">
        <v>317</v>
      </c>
      <c r="P45" s="17" t="s">
        <v>318</v>
      </c>
      <c r="Q45" s="36" t="s">
        <v>824</v>
      </c>
      <c r="R45" s="36" t="s">
        <v>829</v>
      </c>
      <c r="S45" s="23"/>
      <c r="T45" s="8"/>
      <c r="U45" s="8"/>
      <c r="V45" s="8"/>
      <c r="W45" s="8"/>
      <c r="X45" s="8"/>
      <c r="Y45" s="8"/>
      <c r="AA45" s="8"/>
      <c r="AB45" s="8"/>
      <c r="AC45" s="8"/>
      <c r="AD45" s="8"/>
      <c r="AE45" s="8"/>
      <c r="AF45" s="8"/>
      <c r="AG45" s="8"/>
      <c r="AH45" s="8"/>
      <c r="AI45" s="8"/>
      <c r="AJ45" s="8"/>
      <c r="AK45" s="8"/>
      <c r="AL45" s="8"/>
      <c r="AM45" s="8"/>
      <c r="AN45" s="8"/>
      <c r="AO45" s="8"/>
      <c r="AP45" s="8"/>
    </row>
    <row r="46" spans="1:42" ht="234">
      <c r="A46" s="14" t="s">
        <v>3</v>
      </c>
      <c r="B46" s="14" t="s">
        <v>17</v>
      </c>
      <c r="C46" s="14" t="s">
        <v>13</v>
      </c>
      <c r="D46" s="14" t="s">
        <v>13</v>
      </c>
      <c r="E46" s="14" t="s">
        <v>17</v>
      </c>
      <c r="F46" s="14" t="s">
        <v>13</v>
      </c>
      <c r="G46" s="14" t="s">
        <v>13</v>
      </c>
      <c r="H46" s="14" t="s">
        <v>13</v>
      </c>
      <c r="I46" s="13" t="s">
        <v>319</v>
      </c>
      <c r="J46" s="13" t="s">
        <v>320</v>
      </c>
      <c r="K46" s="15" t="s">
        <v>321</v>
      </c>
      <c r="L46" s="20" t="s">
        <v>322</v>
      </c>
      <c r="M46" s="13" t="s">
        <v>323</v>
      </c>
      <c r="N46" s="13" t="s">
        <v>324</v>
      </c>
      <c r="O46" s="17" t="s">
        <v>325</v>
      </c>
      <c r="P46" s="17" t="s">
        <v>326</v>
      </c>
      <c r="Q46" s="36" t="s">
        <v>825</v>
      </c>
      <c r="R46" s="36" t="s">
        <v>830</v>
      </c>
      <c r="T46" s="8"/>
      <c r="U46" s="8"/>
      <c r="V46" s="8"/>
      <c r="W46" s="8"/>
      <c r="X46" s="8"/>
      <c r="Y46" s="8"/>
      <c r="AA46" s="8"/>
      <c r="AB46" s="8"/>
      <c r="AC46" s="8"/>
      <c r="AD46" s="8"/>
      <c r="AE46" s="8"/>
      <c r="AF46" s="8"/>
      <c r="AG46" s="8"/>
      <c r="AH46" s="8"/>
      <c r="AI46" s="8"/>
      <c r="AJ46" s="8"/>
      <c r="AK46" s="8"/>
      <c r="AL46" s="8"/>
      <c r="AM46" s="8"/>
      <c r="AN46" s="8"/>
      <c r="AO46" s="8"/>
      <c r="AP46" s="8"/>
    </row>
    <row r="47" spans="1:42" ht="90">
      <c r="A47" s="14" t="s">
        <v>2</v>
      </c>
      <c r="B47" s="14" t="s">
        <v>13</v>
      </c>
      <c r="C47" s="14" t="s">
        <v>13</v>
      </c>
      <c r="D47" s="14" t="s">
        <v>17</v>
      </c>
      <c r="E47" s="14" t="s">
        <v>13</v>
      </c>
      <c r="F47" s="14" t="s">
        <v>13</v>
      </c>
      <c r="G47" s="14" t="s">
        <v>13</v>
      </c>
      <c r="H47" s="14" t="s">
        <v>13</v>
      </c>
      <c r="I47" s="13" t="s">
        <v>327</v>
      </c>
      <c r="J47" s="13" t="s">
        <v>328</v>
      </c>
      <c r="K47" s="15" t="s">
        <v>329</v>
      </c>
      <c r="L47" s="20" t="s">
        <v>330</v>
      </c>
      <c r="M47" s="13" t="s">
        <v>117</v>
      </c>
      <c r="N47" s="13" t="s">
        <v>331</v>
      </c>
      <c r="O47" s="17" t="s">
        <v>332</v>
      </c>
      <c r="P47" s="17" t="s">
        <v>333</v>
      </c>
      <c r="Q47" s="36" t="s">
        <v>796</v>
      </c>
      <c r="R47" s="36" t="s">
        <v>799</v>
      </c>
      <c r="T47" s="8"/>
      <c r="U47" s="8"/>
      <c r="V47" s="8"/>
      <c r="W47" s="8"/>
      <c r="X47" s="8"/>
      <c r="Y47" s="8"/>
      <c r="AA47" s="8"/>
      <c r="AB47" s="8"/>
      <c r="AC47" s="8"/>
      <c r="AD47" s="8"/>
      <c r="AE47" s="8"/>
      <c r="AF47" s="8"/>
      <c r="AG47" s="8"/>
      <c r="AH47" s="8"/>
      <c r="AI47" s="8"/>
      <c r="AJ47" s="8"/>
      <c r="AK47" s="8"/>
      <c r="AL47" s="8"/>
      <c r="AM47" s="8"/>
      <c r="AN47" s="8"/>
      <c r="AO47" s="8"/>
      <c r="AP47" s="8"/>
    </row>
    <row r="48" spans="1:42" ht="90">
      <c r="A48" s="14" t="s">
        <v>3</v>
      </c>
      <c r="B48" s="14" t="s">
        <v>13</v>
      </c>
      <c r="C48" s="14" t="s">
        <v>13</v>
      </c>
      <c r="D48" s="14" t="s">
        <v>17</v>
      </c>
      <c r="E48" s="14" t="s">
        <v>13</v>
      </c>
      <c r="F48" s="14" t="s">
        <v>13</v>
      </c>
      <c r="G48" s="14" t="s">
        <v>13</v>
      </c>
      <c r="H48" s="14" t="s">
        <v>13</v>
      </c>
      <c r="I48" s="13" t="s">
        <v>334</v>
      </c>
      <c r="J48" s="13" t="s">
        <v>335</v>
      </c>
      <c r="K48" s="15" t="s">
        <v>336</v>
      </c>
      <c r="L48" s="20" t="s">
        <v>337</v>
      </c>
      <c r="M48" s="13" t="s">
        <v>338</v>
      </c>
      <c r="N48" s="13" t="s">
        <v>339</v>
      </c>
      <c r="O48" s="17" t="s">
        <v>340</v>
      </c>
      <c r="P48" s="17" t="s">
        <v>341</v>
      </c>
      <c r="Q48" s="36" t="s">
        <v>795</v>
      </c>
      <c r="R48" s="36" t="s">
        <v>799</v>
      </c>
      <c r="S48" s="12"/>
      <c r="T48" s="12"/>
      <c r="U48" s="12"/>
      <c r="V48" s="12"/>
      <c r="W48" s="12"/>
      <c r="X48" s="12"/>
      <c r="Y48" s="12"/>
      <c r="Z48" s="12"/>
      <c r="AA48" s="12"/>
      <c r="AB48" s="12"/>
      <c r="AC48" s="22"/>
      <c r="AD48" s="12"/>
      <c r="AE48" s="12"/>
      <c r="AF48" s="12"/>
      <c r="AG48" s="12"/>
      <c r="AH48" s="12"/>
      <c r="AI48" s="12"/>
      <c r="AJ48" s="12"/>
      <c r="AK48" s="12"/>
      <c r="AL48" s="12"/>
      <c r="AM48" s="12"/>
      <c r="AN48" s="12"/>
      <c r="AO48" s="12"/>
      <c r="AP48" s="12"/>
    </row>
    <row r="49" spans="1:42" ht="126">
      <c r="A49" s="14" t="s">
        <v>2</v>
      </c>
      <c r="B49" s="14" t="s">
        <v>17</v>
      </c>
      <c r="C49" s="14" t="s">
        <v>17</v>
      </c>
      <c r="D49" s="14" t="s">
        <v>13</v>
      </c>
      <c r="E49" s="14" t="s">
        <v>13</v>
      </c>
      <c r="F49" s="14" t="s">
        <v>13</v>
      </c>
      <c r="G49" s="14" t="s">
        <v>13</v>
      </c>
      <c r="H49" s="14" t="s">
        <v>13</v>
      </c>
      <c r="I49" s="13" t="s">
        <v>342</v>
      </c>
      <c r="J49" s="13" t="s">
        <v>343</v>
      </c>
      <c r="K49" s="15" t="s">
        <v>344</v>
      </c>
      <c r="L49" s="20" t="s">
        <v>345</v>
      </c>
      <c r="M49" s="13" t="s">
        <v>346</v>
      </c>
      <c r="N49" s="13" t="s">
        <v>347</v>
      </c>
      <c r="O49" s="17" t="s">
        <v>348</v>
      </c>
      <c r="P49" s="17" t="s">
        <v>349</v>
      </c>
      <c r="Q49" s="36" t="s">
        <v>831</v>
      </c>
      <c r="R49" s="36" t="s">
        <v>820</v>
      </c>
      <c r="S49" s="23"/>
      <c r="T49" s="8"/>
      <c r="U49" s="8"/>
      <c r="V49" s="8"/>
      <c r="W49" s="8"/>
      <c r="X49" s="8"/>
      <c r="Y49" s="8"/>
      <c r="AA49" s="8"/>
      <c r="AB49" s="8"/>
      <c r="AC49" s="8"/>
      <c r="AD49" s="8"/>
      <c r="AE49" s="8"/>
      <c r="AF49" s="8"/>
      <c r="AG49" s="8"/>
      <c r="AH49" s="8"/>
      <c r="AI49" s="8"/>
      <c r="AJ49" s="8"/>
      <c r="AK49" s="8"/>
      <c r="AL49" s="8"/>
      <c r="AM49" s="8"/>
      <c r="AN49" s="8"/>
      <c r="AO49" s="8"/>
      <c r="AP49" s="8"/>
    </row>
    <row r="50" spans="1:42" ht="144">
      <c r="A50" s="14" t="s">
        <v>3</v>
      </c>
      <c r="B50" s="14" t="s">
        <v>17</v>
      </c>
      <c r="C50" s="14" t="s">
        <v>17</v>
      </c>
      <c r="D50" s="14" t="s">
        <v>13</v>
      </c>
      <c r="E50" s="14" t="s">
        <v>13</v>
      </c>
      <c r="F50" s="14" t="s">
        <v>13</v>
      </c>
      <c r="G50" s="14" t="s">
        <v>13</v>
      </c>
      <c r="H50" s="14" t="s">
        <v>13</v>
      </c>
      <c r="I50" s="13" t="s">
        <v>350</v>
      </c>
      <c r="J50" s="13" t="s">
        <v>343</v>
      </c>
      <c r="K50" s="15" t="s">
        <v>351</v>
      </c>
      <c r="L50" s="20" t="s">
        <v>352</v>
      </c>
      <c r="M50" s="13" t="s">
        <v>117</v>
      </c>
      <c r="N50" s="13" t="s">
        <v>353</v>
      </c>
      <c r="O50" s="17" t="s">
        <v>354</v>
      </c>
      <c r="P50" s="17" t="s">
        <v>355</v>
      </c>
      <c r="Q50" s="36" t="s">
        <v>825</v>
      </c>
      <c r="R50" s="36" t="s">
        <v>815</v>
      </c>
      <c r="S50" s="12"/>
      <c r="T50" s="12"/>
      <c r="U50" s="12"/>
      <c r="V50" s="12"/>
      <c r="W50" s="12"/>
      <c r="X50" s="12"/>
      <c r="Y50" s="12"/>
      <c r="Z50" s="12"/>
      <c r="AA50" s="12"/>
      <c r="AB50" s="12"/>
      <c r="AC50" s="22"/>
      <c r="AD50" s="12"/>
      <c r="AE50" s="12"/>
      <c r="AF50" s="12"/>
      <c r="AG50" s="12"/>
      <c r="AH50" s="12"/>
      <c r="AI50" s="12"/>
      <c r="AJ50" s="12"/>
      <c r="AK50" s="12"/>
      <c r="AL50" s="12"/>
      <c r="AM50" s="12"/>
      <c r="AN50" s="12"/>
      <c r="AO50" s="12"/>
      <c r="AP50" s="12"/>
    </row>
    <row r="51" spans="1:42" ht="156.75" customHeight="1">
      <c r="A51" s="14" t="s">
        <v>2</v>
      </c>
      <c r="B51" s="14" t="s">
        <v>17</v>
      </c>
      <c r="C51" s="14" t="s">
        <v>13</v>
      </c>
      <c r="D51" s="14" t="s">
        <v>13</v>
      </c>
      <c r="E51" s="14" t="s">
        <v>13</v>
      </c>
      <c r="F51" s="14" t="s">
        <v>13</v>
      </c>
      <c r="G51" s="14" t="s">
        <v>13</v>
      </c>
      <c r="H51" s="14" t="s">
        <v>13</v>
      </c>
      <c r="I51" s="13" t="s">
        <v>356</v>
      </c>
      <c r="J51" s="13" t="s">
        <v>357</v>
      </c>
      <c r="K51" s="15" t="s">
        <v>358</v>
      </c>
      <c r="L51" s="16" t="s">
        <v>359</v>
      </c>
      <c r="M51" s="13" t="s">
        <v>50</v>
      </c>
      <c r="N51" s="13" t="s">
        <v>360</v>
      </c>
      <c r="O51" s="17" t="s">
        <v>361</v>
      </c>
      <c r="P51" s="17" t="s">
        <v>362</v>
      </c>
      <c r="Q51" s="36" t="s">
        <v>832</v>
      </c>
      <c r="R51" s="36" t="s">
        <v>833</v>
      </c>
      <c r="S51" s="23"/>
      <c r="T51" s="8"/>
      <c r="U51" s="8"/>
      <c r="V51" s="8"/>
      <c r="W51" s="8"/>
      <c r="X51" s="8"/>
      <c r="Y51" s="8"/>
      <c r="AA51" s="8"/>
      <c r="AB51" s="8"/>
      <c r="AC51" s="8"/>
      <c r="AD51" s="8"/>
      <c r="AE51" s="8"/>
      <c r="AF51" s="8"/>
      <c r="AG51" s="8"/>
      <c r="AH51" s="8"/>
      <c r="AI51" s="8"/>
      <c r="AJ51" s="8"/>
      <c r="AK51" s="8"/>
      <c r="AL51" s="8"/>
      <c r="AM51" s="8"/>
      <c r="AN51" s="8"/>
      <c r="AO51" s="8"/>
      <c r="AP51" s="8"/>
    </row>
    <row r="52" spans="1:42" ht="162">
      <c r="A52" s="14" t="s">
        <v>3</v>
      </c>
      <c r="B52" s="14" t="s">
        <v>17</v>
      </c>
      <c r="C52" s="14" t="s">
        <v>13</v>
      </c>
      <c r="D52" s="14" t="s">
        <v>13</v>
      </c>
      <c r="E52" s="14" t="s">
        <v>13</v>
      </c>
      <c r="F52" s="14" t="s">
        <v>13</v>
      </c>
      <c r="G52" s="14" t="s">
        <v>13</v>
      </c>
      <c r="H52" s="14" t="s">
        <v>13</v>
      </c>
      <c r="I52" s="13" t="s">
        <v>363</v>
      </c>
      <c r="J52" s="13" t="s">
        <v>357</v>
      </c>
      <c r="K52" s="15" t="s">
        <v>364</v>
      </c>
      <c r="L52" s="16" t="s">
        <v>365</v>
      </c>
      <c r="M52" s="13" t="s">
        <v>366</v>
      </c>
      <c r="N52" s="13" t="s">
        <v>367</v>
      </c>
      <c r="O52" s="17" t="s">
        <v>368</v>
      </c>
      <c r="P52" s="17" t="s">
        <v>369</v>
      </c>
      <c r="Q52" s="36" t="s">
        <v>834</v>
      </c>
      <c r="R52" s="36" t="s">
        <v>835</v>
      </c>
      <c r="S52" s="12"/>
      <c r="T52" s="12"/>
      <c r="U52" s="12"/>
      <c r="V52" s="12"/>
      <c r="W52" s="12"/>
      <c r="X52" s="12"/>
      <c r="Y52" s="12"/>
      <c r="Z52" s="12"/>
      <c r="AA52" s="12"/>
      <c r="AB52" s="12"/>
      <c r="AC52" s="22"/>
      <c r="AD52" s="12"/>
      <c r="AE52" s="12"/>
      <c r="AF52" s="12"/>
      <c r="AG52" s="12"/>
      <c r="AH52" s="12"/>
      <c r="AI52" s="12"/>
      <c r="AJ52" s="12"/>
      <c r="AK52" s="12"/>
      <c r="AL52" s="12"/>
      <c r="AM52" s="12"/>
      <c r="AN52" s="12"/>
      <c r="AO52" s="12"/>
      <c r="AP52" s="12"/>
    </row>
    <row r="53" spans="1:42" ht="156.75" customHeight="1">
      <c r="A53" s="14" t="s">
        <v>2</v>
      </c>
      <c r="B53" s="14" t="s">
        <v>13</v>
      </c>
      <c r="C53" s="14" t="s">
        <v>13</v>
      </c>
      <c r="D53" s="14" t="s">
        <v>13</v>
      </c>
      <c r="E53" s="14" t="s">
        <v>17</v>
      </c>
      <c r="F53" s="14" t="s">
        <v>13</v>
      </c>
      <c r="G53" s="14" t="s">
        <v>13</v>
      </c>
      <c r="H53" s="14" t="s">
        <v>17</v>
      </c>
      <c r="I53" s="13" t="s">
        <v>370</v>
      </c>
      <c r="J53" s="13" t="s">
        <v>371</v>
      </c>
      <c r="K53" s="15" t="s">
        <v>372</v>
      </c>
      <c r="L53" s="20" t="s">
        <v>373</v>
      </c>
      <c r="M53" s="13" t="s">
        <v>175</v>
      </c>
      <c r="N53" s="13" t="s">
        <v>374</v>
      </c>
      <c r="O53" s="17" t="s">
        <v>375</v>
      </c>
      <c r="P53" s="17" t="s">
        <v>376</v>
      </c>
      <c r="Q53" s="36" t="s">
        <v>540</v>
      </c>
      <c r="R53" s="36" t="s">
        <v>836</v>
      </c>
      <c r="T53" s="8"/>
      <c r="U53" s="8"/>
      <c r="V53" s="8"/>
      <c r="W53" s="8"/>
      <c r="X53" s="8"/>
      <c r="Y53" s="8"/>
      <c r="AA53" s="8"/>
      <c r="AB53" s="8"/>
      <c r="AC53" s="8"/>
      <c r="AD53" s="8"/>
      <c r="AE53" s="8"/>
      <c r="AF53" s="8"/>
      <c r="AG53" s="8"/>
      <c r="AH53" s="8"/>
      <c r="AI53" s="8"/>
      <c r="AJ53" s="8"/>
      <c r="AK53" s="8"/>
      <c r="AL53" s="8"/>
      <c r="AM53" s="8"/>
      <c r="AN53" s="8"/>
      <c r="AO53" s="8"/>
      <c r="AP53" s="8"/>
    </row>
    <row r="54" spans="1:42" ht="72">
      <c r="A54" s="14" t="s">
        <v>3</v>
      </c>
      <c r="B54" s="14" t="s">
        <v>13</v>
      </c>
      <c r="C54" s="14" t="s">
        <v>13</v>
      </c>
      <c r="D54" s="14" t="s">
        <v>13</v>
      </c>
      <c r="E54" s="14" t="s">
        <v>17</v>
      </c>
      <c r="F54" s="14" t="s">
        <v>13</v>
      </c>
      <c r="G54" s="14" t="s">
        <v>13</v>
      </c>
      <c r="H54" s="14" t="s">
        <v>17</v>
      </c>
      <c r="I54" s="13" t="s">
        <v>377</v>
      </c>
      <c r="J54" s="13" t="s">
        <v>371</v>
      </c>
      <c r="K54" s="15" t="s">
        <v>372</v>
      </c>
      <c r="L54" s="20" t="s">
        <v>378</v>
      </c>
      <c r="M54" s="13" t="s">
        <v>175</v>
      </c>
      <c r="N54" s="13" t="s">
        <v>374</v>
      </c>
      <c r="O54" s="17" t="s">
        <v>379</v>
      </c>
      <c r="P54" s="17" t="s">
        <v>380</v>
      </c>
      <c r="Q54" s="36" t="s">
        <v>540</v>
      </c>
      <c r="R54" s="36" t="s">
        <v>538</v>
      </c>
      <c r="S54" s="12"/>
      <c r="T54" s="12"/>
      <c r="U54" s="12"/>
      <c r="V54" s="12"/>
      <c r="W54" s="12"/>
      <c r="X54" s="12"/>
      <c r="Y54" s="12"/>
      <c r="Z54" s="12"/>
      <c r="AA54" s="12"/>
      <c r="AB54" s="12"/>
      <c r="AC54" s="22"/>
      <c r="AD54" s="12"/>
      <c r="AE54" s="12"/>
      <c r="AF54" s="12"/>
      <c r="AG54" s="12"/>
      <c r="AH54" s="12"/>
      <c r="AI54" s="12"/>
      <c r="AJ54" s="12"/>
      <c r="AK54" s="12"/>
      <c r="AL54" s="12"/>
      <c r="AM54" s="12"/>
      <c r="AN54" s="12"/>
      <c r="AO54" s="12"/>
      <c r="AP54" s="12"/>
    </row>
    <row r="55" spans="1:42" ht="180">
      <c r="A55" s="14" t="s">
        <v>2</v>
      </c>
      <c r="B55" s="14" t="s">
        <v>13</v>
      </c>
      <c r="C55" s="14" t="s">
        <v>13</v>
      </c>
      <c r="D55" s="14" t="s">
        <v>17</v>
      </c>
      <c r="E55" s="14" t="s">
        <v>17</v>
      </c>
      <c r="F55" s="14" t="s">
        <v>13</v>
      </c>
      <c r="G55" s="14" t="s">
        <v>13</v>
      </c>
      <c r="H55" s="14" t="s">
        <v>17</v>
      </c>
      <c r="I55" s="13" t="s">
        <v>381</v>
      </c>
      <c r="J55" s="13" t="s">
        <v>382</v>
      </c>
      <c r="K55" s="15" t="s">
        <v>296</v>
      </c>
      <c r="L55" s="20" t="s">
        <v>383</v>
      </c>
      <c r="M55" s="13" t="s">
        <v>175</v>
      </c>
      <c r="N55" s="13" t="s">
        <v>384</v>
      </c>
      <c r="O55" s="17" t="s">
        <v>385</v>
      </c>
      <c r="P55" s="17" t="s">
        <v>386</v>
      </c>
      <c r="Q55" s="36" t="s">
        <v>826</v>
      </c>
      <c r="R55" s="36" t="s">
        <v>837</v>
      </c>
      <c r="T55" s="8"/>
      <c r="U55" s="8"/>
      <c r="V55" s="8"/>
      <c r="W55" s="8"/>
      <c r="X55" s="8"/>
      <c r="Y55" s="8"/>
      <c r="AA55" s="8"/>
      <c r="AB55" s="8"/>
      <c r="AC55" s="8"/>
      <c r="AD55" s="8"/>
      <c r="AE55" s="8"/>
      <c r="AF55" s="8"/>
      <c r="AG55" s="8"/>
      <c r="AH55" s="8"/>
      <c r="AI55" s="8"/>
      <c r="AJ55" s="8"/>
      <c r="AK55" s="8"/>
      <c r="AL55" s="8"/>
      <c r="AM55" s="8"/>
      <c r="AN55" s="8"/>
      <c r="AO55" s="8"/>
      <c r="AP55" s="8"/>
    </row>
    <row r="56" spans="1:42" ht="234">
      <c r="A56" s="14" t="s">
        <v>3</v>
      </c>
      <c r="B56" s="14" t="s">
        <v>13</v>
      </c>
      <c r="C56" s="14" t="s">
        <v>13</v>
      </c>
      <c r="D56" s="14" t="s">
        <v>17</v>
      </c>
      <c r="E56" s="14" t="s">
        <v>17</v>
      </c>
      <c r="F56" s="14" t="s">
        <v>13</v>
      </c>
      <c r="G56" s="14" t="s">
        <v>13</v>
      </c>
      <c r="H56" s="14" t="s">
        <v>17</v>
      </c>
      <c r="I56" s="13" t="s">
        <v>387</v>
      </c>
      <c r="J56" s="13" t="s">
        <v>382</v>
      </c>
      <c r="K56" s="15" t="s">
        <v>296</v>
      </c>
      <c r="L56" s="20" t="s">
        <v>388</v>
      </c>
      <c r="M56" s="13" t="s">
        <v>175</v>
      </c>
      <c r="N56" s="13" t="s">
        <v>384</v>
      </c>
      <c r="O56" s="17" t="s">
        <v>389</v>
      </c>
      <c r="P56" s="17" t="s">
        <v>390</v>
      </c>
      <c r="Q56" s="36" t="s">
        <v>540</v>
      </c>
      <c r="R56" s="36" t="s">
        <v>538</v>
      </c>
      <c r="S56" s="12"/>
      <c r="T56" s="12"/>
      <c r="U56" s="12"/>
      <c r="V56" s="12"/>
      <c r="W56" s="12"/>
      <c r="X56" s="12"/>
      <c r="Y56" s="12"/>
      <c r="Z56" s="12"/>
      <c r="AA56" s="12"/>
      <c r="AB56" s="12"/>
      <c r="AC56" s="22"/>
      <c r="AD56" s="12"/>
      <c r="AE56" s="12"/>
      <c r="AF56" s="12"/>
      <c r="AG56" s="12"/>
      <c r="AH56" s="12"/>
      <c r="AI56" s="12"/>
      <c r="AJ56" s="12"/>
      <c r="AK56" s="12"/>
      <c r="AL56" s="12"/>
      <c r="AM56" s="12"/>
      <c r="AN56" s="12"/>
      <c r="AO56" s="12"/>
      <c r="AP56" s="12"/>
    </row>
    <row r="57" spans="1:42" ht="216">
      <c r="A57" s="14" t="s">
        <v>2</v>
      </c>
      <c r="B57" s="14" t="s">
        <v>13</v>
      </c>
      <c r="C57" s="14" t="s">
        <v>17</v>
      </c>
      <c r="D57" s="14" t="s">
        <v>13</v>
      </c>
      <c r="E57" s="14" t="s">
        <v>17</v>
      </c>
      <c r="F57" s="14" t="s">
        <v>13</v>
      </c>
      <c r="G57" s="14" t="s">
        <v>13</v>
      </c>
      <c r="H57" s="14" t="s">
        <v>13</v>
      </c>
      <c r="I57" s="13" t="s">
        <v>391</v>
      </c>
      <c r="J57" s="13" t="s">
        <v>392</v>
      </c>
      <c r="K57" s="15" t="s">
        <v>393</v>
      </c>
      <c r="L57" s="20" t="s">
        <v>394</v>
      </c>
      <c r="M57" s="13" t="s">
        <v>83</v>
      </c>
      <c r="N57" s="13" t="s">
        <v>395</v>
      </c>
      <c r="O57" s="17" t="s">
        <v>396</v>
      </c>
      <c r="P57" s="17" t="s">
        <v>397</v>
      </c>
      <c r="Q57" s="36" t="s">
        <v>540</v>
      </c>
      <c r="R57" s="36" t="s">
        <v>838</v>
      </c>
      <c r="T57" s="7"/>
      <c r="U57" s="7"/>
      <c r="V57" s="7"/>
      <c r="W57" s="7"/>
      <c r="X57" s="7"/>
      <c r="Y57" s="7"/>
      <c r="AA57" s="6"/>
      <c r="AB57" s="6"/>
      <c r="AC57" s="6"/>
      <c r="AD57" s="6"/>
      <c r="AE57" s="6"/>
      <c r="AF57" s="6"/>
      <c r="AG57" s="6"/>
      <c r="AH57" s="6"/>
      <c r="AI57" s="6"/>
      <c r="AJ57" s="6"/>
      <c r="AK57" s="6"/>
      <c r="AL57" s="6"/>
      <c r="AM57" s="6"/>
      <c r="AN57" s="6"/>
      <c r="AO57" s="6"/>
      <c r="AP57" s="6"/>
    </row>
    <row r="58" spans="1:42" ht="66.5">
      <c r="A58" s="14" t="s">
        <v>3</v>
      </c>
      <c r="B58" s="14" t="s">
        <v>13</v>
      </c>
      <c r="C58" s="14" t="s">
        <v>17</v>
      </c>
      <c r="D58" s="14" t="s">
        <v>13</v>
      </c>
      <c r="E58" s="14" t="s">
        <v>17</v>
      </c>
      <c r="F58" s="14" t="s">
        <v>13</v>
      </c>
      <c r="G58" s="14" t="s">
        <v>13</v>
      </c>
      <c r="H58" s="14" t="s">
        <v>13</v>
      </c>
      <c r="I58" s="13" t="s">
        <v>35</v>
      </c>
      <c r="J58" s="13" t="s">
        <v>392</v>
      </c>
      <c r="K58" s="15" t="s">
        <v>393</v>
      </c>
      <c r="L58" s="20" t="s">
        <v>398</v>
      </c>
      <c r="M58" s="13" t="s">
        <v>83</v>
      </c>
      <c r="N58" s="13" t="s">
        <v>399</v>
      </c>
      <c r="O58" s="17" t="s">
        <v>400</v>
      </c>
      <c r="P58" s="17" t="s">
        <v>401</v>
      </c>
      <c r="Q58" s="36" t="s">
        <v>540</v>
      </c>
      <c r="R58" s="36" t="s">
        <v>838</v>
      </c>
      <c r="T58" s="10"/>
      <c r="V58" s="10"/>
      <c r="W58" s="10"/>
    </row>
    <row r="59" spans="1:42" ht="165.5">
      <c r="A59" s="14" t="s">
        <v>2</v>
      </c>
      <c r="B59" s="14" t="s">
        <v>13</v>
      </c>
      <c r="C59" s="14" t="s">
        <v>17</v>
      </c>
      <c r="D59" s="14" t="s">
        <v>17</v>
      </c>
      <c r="E59" s="14" t="s">
        <v>17</v>
      </c>
      <c r="F59" s="14" t="s">
        <v>13</v>
      </c>
      <c r="G59" s="14" t="s">
        <v>13</v>
      </c>
      <c r="H59" s="14" t="s">
        <v>13</v>
      </c>
      <c r="I59" s="13" t="s">
        <v>402</v>
      </c>
      <c r="J59" s="13" t="s">
        <v>403</v>
      </c>
      <c r="K59" s="15" t="s">
        <v>404</v>
      </c>
      <c r="L59" s="20" t="s">
        <v>405</v>
      </c>
      <c r="M59" s="13" t="s">
        <v>83</v>
      </c>
      <c r="N59" s="13" t="s">
        <v>47</v>
      </c>
      <c r="O59" s="17" t="s">
        <v>406</v>
      </c>
      <c r="P59" s="17" t="s">
        <v>407</v>
      </c>
      <c r="Q59" s="36" t="s">
        <v>839</v>
      </c>
      <c r="R59" s="36" t="s">
        <v>538</v>
      </c>
      <c r="T59" s="4"/>
      <c r="U59" s="4"/>
      <c r="V59" s="4"/>
      <c r="W59" s="4"/>
      <c r="X59" s="4"/>
      <c r="Y59" s="4"/>
    </row>
    <row r="60" spans="1:42" ht="108">
      <c r="A60" s="14" t="s">
        <v>3</v>
      </c>
      <c r="B60" s="14" t="s">
        <v>13</v>
      </c>
      <c r="C60" s="14" t="s">
        <v>17</v>
      </c>
      <c r="D60" s="14" t="s">
        <v>17</v>
      </c>
      <c r="E60" s="14" t="s">
        <v>17</v>
      </c>
      <c r="F60" s="14" t="s">
        <v>13</v>
      </c>
      <c r="G60" s="14" t="s">
        <v>13</v>
      </c>
      <c r="H60" s="14" t="s">
        <v>13</v>
      </c>
      <c r="I60" s="13" t="s">
        <v>36</v>
      </c>
      <c r="J60" s="13" t="s">
        <v>403</v>
      </c>
      <c r="K60" s="15" t="s">
        <v>404</v>
      </c>
      <c r="L60" s="20" t="s">
        <v>408</v>
      </c>
      <c r="M60" s="13" t="s">
        <v>83</v>
      </c>
      <c r="N60" s="13" t="s">
        <v>47</v>
      </c>
      <c r="O60" s="17" t="s">
        <v>409</v>
      </c>
      <c r="P60" s="17" t="s">
        <v>410</v>
      </c>
      <c r="Q60" s="36" t="s">
        <v>840</v>
      </c>
      <c r="R60" s="36" t="s">
        <v>538</v>
      </c>
      <c r="AC60" s="9"/>
      <c r="AD60" s="27"/>
    </row>
    <row r="61" spans="1:42" ht="144">
      <c r="A61" s="14" t="s">
        <v>2</v>
      </c>
      <c r="B61" s="14" t="s">
        <v>17</v>
      </c>
      <c r="C61" s="14" t="s">
        <v>13</v>
      </c>
      <c r="D61" s="14" t="s">
        <v>17</v>
      </c>
      <c r="E61" s="14" t="s">
        <v>17</v>
      </c>
      <c r="F61" s="14" t="s">
        <v>13</v>
      </c>
      <c r="G61" s="14" t="s">
        <v>13</v>
      </c>
      <c r="H61" s="14" t="s">
        <v>13</v>
      </c>
      <c r="I61" s="13" t="s">
        <v>411</v>
      </c>
      <c r="J61" s="13" t="s">
        <v>412</v>
      </c>
      <c r="K61" s="15" t="s">
        <v>413</v>
      </c>
      <c r="L61" s="20" t="s">
        <v>414</v>
      </c>
      <c r="M61" s="13" t="s">
        <v>50</v>
      </c>
      <c r="N61" s="13" t="s">
        <v>415</v>
      </c>
      <c r="O61" s="17" t="s">
        <v>416</v>
      </c>
      <c r="P61" s="17" t="s">
        <v>417</v>
      </c>
      <c r="Q61" s="36" t="s">
        <v>841</v>
      </c>
      <c r="R61" s="36" t="s">
        <v>806</v>
      </c>
      <c r="T61" s="7"/>
      <c r="U61" s="7"/>
      <c r="V61" s="7"/>
      <c r="W61" s="7"/>
      <c r="X61" s="7"/>
      <c r="Y61" s="7"/>
      <c r="AA61" s="6"/>
      <c r="AB61" s="6"/>
      <c r="AC61" s="6"/>
      <c r="AD61" s="6"/>
      <c r="AE61" s="6"/>
      <c r="AF61" s="6"/>
      <c r="AG61" s="6"/>
      <c r="AH61" s="6"/>
      <c r="AI61" s="6"/>
      <c r="AJ61" s="6"/>
      <c r="AK61" s="6"/>
      <c r="AL61" s="6"/>
      <c r="AM61" s="6"/>
      <c r="AN61" s="6"/>
      <c r="AO61" s="6"/>
      <c r="AP61" s="6"/>
    </row>
    <row r="62" spans="1:42" ht="81.75" customHeight="1">
      <c r="A62" s="14" t="s">
        <v>3</v>
      </c>
      <c r="B62" s="14" t="s">
        <v>17</v>
      </c>
      <c r="C62" s="14" t="s">
        <v>13</v>
      </c>
      <c r="D62" s="14" t="s">
        <v>17</v>
      </c>
      <c r="E62" s="14" t="s">
        <v>17</v>
      </c>
      <c r="F62" s="14" t="s">
        <v>13</v>
      </c>
      <c r="G62" s="14" t="s">
        <v>13</v>
      </c>
      <c r="H62" s="14" t="s">
        <v>13</v>
      </c>
      <c r="I62" s="13" t="s">
        <v>37</v>
      </c>
      <c r="J62" s="13" t="s">
        <v>412</v>
      </c>
      <c r="K62" s="15" t="s">
        <v>413</v>
      </c>
      <c r="L62" s="20" t="s">
        <v>418</v>
      </c>
      <c r="M62" s="13" t="s">
        <v>419</v>
      </c>
      <c r="N62" s="13" t="s">
        <v>420</v>
      </c>
      <c r="O62" s="17" t="s">
        <v>421</v>
      </c>
      <c r="P62" s="17" t="s">
        <v>422</v>
      </c>
      <c r="Q62" s="36" t="s">
        <v>825</v>
      </c>
      <c r="R62" s="36" t="s">
        <v>842</v>
      </c>
      <c r="S62" s="23"/>
      <c r="AC62" s="9"/>
      <c r="AD62" s="27"/>
    </row>
    <row r="63" spans="1:42" ht="144">
      <c r="A63" s="14" t="s">
        <v>2</v>
      </c>
      <c r="B63" s="14" t="s">
        <v>17</v>
      </c>
      <c r="C63" s="14" t="s">
        <v>17</v>
      </c>
      <c r="D63" s="14" t="s">
        <v>13</v>
      </c>
      <c r="E63" s="14" t="s">
        <v>17</v>
      </c>
      <c r="F63" s="14" t="s">
        <v>13</v>
      </c>
      <c r="G63" s="14" t="s">
        <v>13</v>
      </c>
      <c r="H63" s="14" t="s">
        <v>17</v>
      </c>
      <c r="I63" s="13" t="s">
        <v>423</v>
      </c>
      <c r="J63" s="13" t="s">
        <v>424</v>
      </c>
      <c r="K63" s="15" t="s">
        <v>425</v>
      </c>
      <c r="L63" s="20" t="s">
        <v>426</v>
      </c>
      <c r="M63" s="13" t="s">
        <v>427</v>
      </c>
      <c r="N63" s="13" t="s">
        <v>428</v>
      </c>
      <c r="O63" s="17" t="s">
        <v>429</v>
      </c>
      <c r="P63" s="17" t="s">
        <v>430</v>
      </c>
      <c r="Q63" s="36" t="s">
        <v>805</v>
      </c>
      <c r="R63" s="36" t="s">
        <v>843</v>
      </c>
      <c r="S63" s="23"/>
      <c r="T63" s="7"/>
      <c r="U63" s="7"/>
      <c r="V63" s="7"/>
      <c r="W63" s="7"/>
      <c r="X63" s="7"/>
      <c r="Y63" s="7"/>
      <c r="AA63" s="6"/>
      <c r="AB63" s="6"/>
      <c r="AC63" s="6"/>
      <c r="AD63" s="6"/>
      <c r="AE63" s="6"/>
      <c r="AF63" s="6"/>
      <c r="AG63" s="6"/>
      <c r="AH63" s="6"/>
      <c r="AI63" s="6"/>
      <c r="AJ63" s="6"/>
      <c r="AK63" s="6"/>
      <c r="AL63" s="6"/>
      <c r="AM63" s="6"/>
      <c r="AN63" s="6"/>
      <c r="AO63" s="6"/>
      <c r="AP63" s="6"/>
    </row>
    <row r="64" spans="1:42" ht="234">
      <c r="A64" s="14" t="s">
        <v>3</v>
      </c>
      <c r="B64" s="14" t="s">
        <v>17</v>
      </c>
      <c r="C64" s="14" t="s">
        <v>17</v>
      </c>
      <c r="D64" s="14" t="s">
        <v>13</v>
      </c>
      <c r="E64" s="14" t="s">
        <v>17</v>
      </c>
      <c r="F64" s="14" t="s">
        <v>13</v>
      </c>
      <c r="G64" s="14" t="s">
        <v>13</v>
      </c>
      <c r="H64" s="14" t="s">
        <v>17</v>
      </c>
      <c r="I64" s="13" t="s">
        <v>431</v>
      </c>
      <c r="J64" s="13" t="s">
        <v>424</v>
      </c>
      <c r="K64" s="15" t="s">
        <v>432</v>
      </c>
      <c r="L64" s="20" t="s">
        <v>433</v>
      </c>
      <c r="M64" s="13" t="s">
        <v>434</v>
      </c>
      <c r="N64" s="13" t="s">
        <v>435</v>
      </c>
      <c r="O64" s="17" t="s">
        <v>436</v>
      </c>
      <c r="P64" s="17" t="s">
        <v>437</v>
      </c>
      <c r="Q64" s="36" t="s">
        <v>834</v>
      </c>
      <c r="R64" s="36" t="s">
        <v>843</v>
      </c>
      <c r="T64" s="7"/>
      <c r="U64" s="7"/>
      <c r="V64" s="7"/>
      <c r="W64" s="7"/>
      <c r="X64" s="7"/>
      <c r="Y64" s="7"/>
      <c r="AA64" s="6"/>
      <c r="AB64" s="6"/>
      <c r="AC64" s="6"/>
      <c r="AD64" s="6"/>
      <c r="AE64" s="6"/>
      <c r="AF64" s="6"/>
      <c r="AG64" s="6"/>
      <c r="AH64" s="6"/>
      <c r="AI64" s="6"/>
      <c r="AJ64" s="6"/>
      <c r="AK64" s="6"/>
      <c r="AL64" s="6"/>
      <c r="AM64" s="6"/>
      <c r="AN64" s="6"/>
      <c r="AO64" s="6"/>
      <c r="AP64" s="6"/>
    </row>
    <row r="65" spans="1:42" ht="180">
      <c r="A65" s="14" t="s">
        <v>2</v>
      </c>
      <c r="B65" s="14" t="s">
        <v>17</v>
      </c>
      <c r="C65" s="14" t="s">
        <v>17</v>
      </c>
      <c r="D65" s="14" t="s">
        <v>17</v>
      </c>
      <c r="E65" s="14" t="s">
        <v>17</v>
      </c>
      <c r="F65" s="14" t="s">
        <v>13</v>
      </c>
      <c r="G65" s="14" t="s">
        <v>13</v>
      </c>
      <c r="H65" s="14" t="s">
        <v>17</v>
      </c>
      <c r="I65" s="13" t="s">
        <v>438</v>
      </c>
      <c r="J65" s="13" t="s">
        <v>439</v>
      </c>
      <c r="K65" s="15" t="s">
        <v>440</v>
      </c>
      <c r="L65" s="20" t="s">
        <v>441</v>
      </c>
      <c r="M65" s="13" t="s">
        <v>442</v>
      </c>
      <c r="N65" s="13" t="s">
        <v>443</v>
      </c>
      <c r="O65" s="17" t="s">
        <v>444</v>
      </c>
      <c r="P65" s="17" t="s">
        <v>445</v>
      </c>
      <c r="Q65" s="36" t="s">
        <v>793</v>
      </c>
      <c r="R65" s="36" t="s">
        <v>844</v>
      </c>
      <c r="T65" s="7"/>
      <c r="U65" s="7"/>
      <c r="V65" s="7"/>
      <c r="W65" s="7"/>
      <c r="X65" s="7"/>
      <c r="Y65" s="7"/>
      <c r="AA65" s="6"/>
      <c r="AB65" s="6"/>
      <c r="AC65" s="6"/>
      <c r="AD65" s="6"/>
      <c r="AE65" s="6"/>
      <c r="AF65" s="6"/>
      <c r="AG65" s="6"/>
      <c r="AH65" s="6"/>
      <c r="AI65" s="6"/>
      <c r="AJ65" s="6"/>
      <c r="AK65" s="6"/>
      <c r="AL65" s="6"/>
      <c r="AM65" s="6"/>
      <c r="AN65" s="6"/>
      <c r="AO65" s="6"/>
      <c r="AP65" s="6"/>
    </row>
    <row r="66" spans="1:42" ht="71.25" customHeight="1">
      <c r="A66" s="14" t="s">
        <v>3</v>
      </c>
      <c r="B66" s="14" t="s">
        <v>17</v>
      </c>
      <c r="C66" s="14" t="s">
        <v>17</v>
      </c>
      <c r="D66" s="14" t="s">
        <v>17</v>
      </c>
      <c r="E66" s="14" t="s">
        <v>17</v>
      </c>
      <c r="F66" s="14" t="s">
        <v>13</v>
      </c>
      <c r="G66" s="14" t="s">
        <v>13</v>
      </c>
      <c r="H66" s="14" t="s">
        <v>17</v>
      </c>
      <c r="I66" s="13" t="s">
        <v>446</v>
      </c>
      <c r="J66" s="13" t="s">
        <v>439</v>
      </c>
      <c r="K66" s="15" t="s">
        <v>447</v>
      </c>
      <c r="L66" s="20" t="s">
        <v>448</v>
      </c>
      <c r="M66" s="13" t="s">
        <v>449</v>
      </c>
      <c r="N66" s="13" t="s">
        <v>450</v>
      </c>
      <c r="O66" s="17" t="s">
        <v>451</v>
      </c>
      <c r="P66" s="17" t="s">
        <v>452</v>
      </c>
      <c r="Q66" s="36" t="s">
        <v>825</v>
      </c>
      <c r="R66" s="36" t="s">
        <v>815</v>
      </c>
      <c r="S66" s="23"/>
      <c r="AC66" s="9"/>
      <c r="AD66" s="27"/>
    </row>
    <row r="67" spans="1:42" ht="156.75" customHeight="1">
      <c r="A67" s="14" t="s">
        <v>2</v>
      </c>
      <c r="B67" s="14" t="s">
        <v>13</v>
      </c>
      <c r="C67" s="14" t="s">
        <v>13</v>
      </c>
      <c r="D67" s="14" t="s">
        <v>17</v>
      </c>
      <c r="E67" s="14" t="s">
        <v>13</v>
      </c>
      <c r="F67" s="14" t="s">
        <v>13</v>
      </c>
      <c r="G67" s="14" t="s">
        <v>13</v>
      </c>
      <c r="H67" s="14" t="s">
        <v>17</v>
      </c>
      <c r="I67" s="13" t="s">
        <v>38</v>
      </c>
      <c r="J67" s="13" t="s">
        <v>453</v>
      </c>
      <c r="K67" s="15" t="s">
        <v>454</v>
      </c>
      <c r="L67" s="20" t="s">
        <v>455</v>
      </c>
      <c r="M67" s="13" t="s">
        <v>456</v>
      </c>
      <c r="N67" s="13" t="s">
        <v>457</v>
      </c>
      <c r="O67" s="17" t="s">
        <v>458</v>
      </c>
      <c r="P67" s="17" t="s">
        <v>459</v>
      </c>
      <c r="Q67" s="36" t="s">
        <v>845</v>
      </c>
      <c r="R67" s="36" t="s">
        <v>799</v>
      </c>
      <c r="AC67" s="9"/>
      <c r="AD67" s="27"/>
    </row>
    <row r="68" spans="1:42" ht="99.5">
      <c r="A68" s="14" t="s">
        <v>3</v>
      </c>
      <c r="B68" s="14" t="s">
        <v>13</v>
      </c>
      <c r="C68" s="14" t="s">
        <v>13</v>
      </c>
      <c r="D68" s="14" t="s">
        <v>17</v>
      </c>
      <c r="E68" s="14" t="s">
        <v>13</v>
      </c>
      <c r="F68" s="14" t="s">
        <v>13</v>
      </c>
      <c r="G68" s="14" t="s">
        <v>13</v>
      </c>
      <c r="H68" s="14" t="s">
        <v>17</v>
      </c>
      <c r="I68" s="13" t="s">
        <v>460</v>
      </c>
      <c r="J68" s="13" t="s">
        <v>453</v>
      </c>
      <c r="K68" s="15" t="s">
        <v>454</v>
      </c>
      <c r="L68" s="20" t="s">
        <v>461</v>
      </c>
      <c r="M68" s="13" t="s">
        <v>175</v>
      </c>
      <c r="N68" s="13" t="s">
        <v>457</v>
      </c>
      <c r="O68" s="17" t="s">
        <v>462</v>
      </c>
      <c r="P68" s="17" t="s">
        <v>463</v>
      </c>
      <c r="Q68" s="36" t="s">
        <v>540</v>
      </c>
      <c r="R68" s="36" t="s">
        <v>538</v>
      </c>
      <c r="T68" s="7"/>
      <c r="U68" s="7"/>
      <c r="V68" s="7"/>
      <c r="W68" s="7"/>
      <c r="X68" s="7"/>
      <c r="Y68" s="7"/>
      <c r="AA68" s="6"/>
      <c r="AB68" s="6"/>
      <c r="AC68" s="6"/>
      <c r="AD68" s="6"/>
      <c r="AE68" s="6"/>
      <c r="AF68" s="6"/>
      <c r="AG68" s="6"/>
      <c r="AH68" s="6"/>
      <c r="AI68" s="6"/>
      <c r="AJ68" s="6"/>
      <c r="AK68" s="6"/>
      <c r="AL68" s="6"/>
      <c r="AM68" s="6"/>
      <c r="AN68" s="6"/>
      <c r="AO68" s="6"/>
      <c r="AP68" s="6"/>
    </row>
    <row r="69" spans="1:42" ht="156.75" customHeight="1">
      <c r="A69" s="14" t="s">
        <v>2</v>
      </c>
      <c r="B69" s="14" t="s">
        <v>17</v>
      </c>
      <c r="C69" s="14" t="s">
        <v>13</v>
      </c>
      <c r="D69" s="14" t="s">
        <v>13</v>
      </c>
      <c r="E69" s="14" t="s">
        <v>13</v>
      </c>
      <c r="F69" s="14" t="s">
        <v>13</v>
      </c>
      <c r="G69" s="14" t="s">
        <v>13</v>
      </c>
      <c r="H69" s="14" t="s">
        <v>17</v>
      </c>
      <c r="I69" s="13" t="s">
        <v>846</v>
      </c>
      <c r="J69" s="13" t="s">
        <v>464</v>
      </c>
      <c r="K69" s="15" t="s">
        <v>847</v>
      </c>
      <c r="L69" s="20" t="s">
        <v>848</v>
      </c>
      <c r="M69" s="13" t="s">
        <v>849</v>
      </c>
      <c r="N69" s="13" t="s">
        <v>850</v>
      </c>
      <c r="O69" s="17" t="s">
        <v>851</v>
      </c>
      <c r="P69" s="17" t="s">
        <v>852</v>
      </c>
      <c r="Q69" s="36" t="s">
        <v>853</v>
      </c>
      <c r="R69" s="36" t="s">
        <v>854</v>
      </c>
      <c r="S69" s="23"/>
      <c r="AC69" s="9"/>
      <c r="AD69" s="27"/>
    </row>
    <row r="70" spans="1:42" ht="198">
      <c r="A70" s="14" t="s">
        <v>3</v>
      </c>
      <c r="B70" s="14" t="s">
        <v>17</v>
      </c>
      <c r="C70" s="14" t="s">
        <v>13</v>
      </c>
      <c r="D70" s="14" t="s">
        <v>13</v>
      </c>
      <c r="E70" s="14" t="s">
        <v>13</v>
      </c>
      <c r="F70" s="14" t="s">
        <v>13</v>
      </c>
      <c r="G70" s="14" t="s">
        <v>13</v>
      </c>
      <c r="H70" s="14" t="s">
        <v>17</v>
      </c>
      <c r="I70" s="13" t="s">
        <v>465</v>
      </c>
      <c r="J70" s="13" t="s">
        <v>466</v>
      </c>
      <c r="K70" s="15" t="s">
        <v>467</v>
      </c>
      <c r="L70" s="20" t="s">
        <v>468</v>
      </c>
      <c r="M70" s="13" t="s">
        <v>469</v>
      </c>
      <c r="N70" s="13" t="s">
        <v>470</v>
      </c>
      <c r="O70" s="17" t="s">
        <v>471</v>
      </c>
      <c r="P70" s="17" t="s">
        <v>472</v>
      </c>
      <c r="Q70" s="36" t="s">
        <v>824</v>
      </c>
      <c r="R70" s="36" t="s">
        <v>855</v>
      </c>
      <c r="T70" s="7"/>
      <c r="U70" s="7"/>
      <c r="V70" s="7"/>
      <c r="W70" s="7"/>
      <c r="X70" s="7"/>
      <c r="Y70" s="7"/>
      <c r="AA70" s="6"/>
      <c r="AB70" s="6"/>
      <c r="AC70" s="6"/>
      <c r="AD70" s="6"/>
      <c r="AE70" s="6"/>
      <c r="AF70" s="6"/>
      <c r="AG70" s="6"/>
      <c r="AH70" s="6"/>
      <c r="AI70" s="6"/>
      <c r="AJ70" s="6"/>
      <c r="AK70" s="6"/>
      <c r="AL70" s="6"/>
      <c r="AM70" s="6"/>
      <c r="AN70" s="6"/>
      <c r="AO70" s="6"/>
      <c r="AP70" s="6"/>
    </row>
    <row r="71" spans="1:42" ht="156.75" customHeight="1">
      <c r="A71" s="14" t="s">
        <v>2</v>
      </c>
      <c r="B71" s="14" t="s">
        <v>17</v>
      </c>
      <c r="C71" s="14" t="s">
        <v>13</v>
      </c>
      <c r="D71" s="14" t="s">
        <v>13</v>
      </c>
      <c r="E71" s="14" t="s">
        <v>17</v>
      </c>
      <c r="F71" s="14" t="s">
        <v>13</v>
      </c>
      <c r="G71" s="14" t="s">
        <v>13</v>
      </c>
      <c r="H71" s="14" t="s">
        <v>17</v>
      </c>
      <c r="I71" s="13" t="s">
        <v>473</v>
      </c>
      <c r="J71" s="13" t="s">
        <v>474</v>
      </c>
      <c r="K71" s="15" t="s">
        <v>475</v>
      </c>
      <c r="L71" s="20" t="s">
        <v>476</v>
      </c>
      <c r="M71" s="13" t="s">
        <v>477</v>
      </c>
      <c r="N71" s="13" t="s">
        <v>478</v>
      </c>
      <c r="O71" s="17" t="s">
        <v>479</v>
      </c>
      <c r="P71" s="17" t="s">
        <v>480</v>
      </c>
      <c r="Q71" s="36" t="s">
        <v>856</v>
      </c>
      <c r="R71" s="36" t="s">
        <v>844</v>
      </c>
      <c r="S71" s="23"/>
      <c r="AC71" s="9"/>
      <c r="AD71" s="27"/>
    </row>
    <row r="72" spans="1:42" ht="270">
      <c r="A72" s="14" t="s">
        <v>3</v>
      </c>
      <c r="B72" s="14" t="s">
        <v>17</v>
      </c>
      <c r="C72" s="14" t="s">
        <v>13</v>
      </c>
      <c r="D72" s="14" t="s">
        <v>13</v>
      </c>
      <c r="E72" s="14" t="s">
        <v>17</v>
      </c>
      <c r="F72" s="14" t="s">
        <v>13</v>
      </c>
      <c r="G72" s="14" t="s">
        <v>13</v>
      </c>
      <c r="H72" s="14" t="s">
        <v>17</v>
      </c>
      <c r="I72" s="13" t="s">
        <v>481</v>
      </c>
      <c r="J72" s="13" t="s">
        <v>474</v>
      </c>
      <c r="K72" s="15" t="s">
        <v>482</v>
      </c>
      <c r="L72" s="20" t="s">
        <v>483</v>
      </c>
      <c r="M72" s="13" t="s">
        <v>484</v>
      </c>
      <c r="N72" s="13" t="s">
        <v>478</v>
      </c>
      <c r="O72" s="17" t="s">
        <v>485</v>
      </c>
      <c r="P72" s="17" t="s">
        <v>486</v>
      </c>
      <c r="Q72" s="36" t="s">
        <v>857</v>
      </c>
      <c r="R72" s="36" t="s">
        <v>808</v>
      </c>
      <c r="T72" s="7"/>
      <c r="U72" s="7"/>
      <c r="V72" s="7"/>
      <c r="W72" s="7"/>
      <c r="X72" s="7"/>
      <c r="Y72" s="7"/>
      <c r="AA72" s="6"/>
      <c r="AB72" s="6"/>
      <c r="AC72" s="6"/>
      <c r="AD72" s="6"/>
      <c r="AE72" s="6"/>
      <c r="AF72" s="6"/>
      <c r="AG72" s="6"/>
      <c r="AH72" s="6"/>
      <c r="AI72" s="6"/>
      <c r="AJ72" s="6"/>
      <c r="AK72" s="6"/>
      <c r="AL72" s="6"/>
      <c r="AM72" s="6"/>
      <c r="AN72" s="6"/>
      <c r="AO72" s="6"/>
      <c r="AP72" s="6"/>
    </row>
    <row r="73" spans="1:42" ht="156.75" customHeight="1">
      <c r="A73" s="14" t="s">
        <v>2</v>
      </c>
      <c r="B73" s="14" t="s">
        <v>17</v>
      </c>
      <c r="C73" s="14" t="s">
        <v>13</v>
      </c>
      <c r="D73" s="14" t="s">
        <v>17</v>
      </c>
      <c r="E73" s="14" t="s">
        <v>17</v>
      </c>
      <c r="F73" s="14" t="s">
        <v>13</v>
      </c>
      <c r="G73" s="14" t="s">
        <v>13</v>
      </c>
      <c r="H73" s="14" t="s">
        <v>17</v>
      </c>
      <c r="I73" s="13" t="s">
        <v>487</v>
      </c>
      <c r="J73" s="13" t="s">
        <v>488</v>
      </c>
      <c r="K73" s="15" t="s">
        <v>489</v>
      </c>
      <c r="L73" s="20" t="s">
        <v>490</v>
      </c>
      <c r="M73" s="13" t="s">
        <v>491</v>
      </c>
      <c r="N73" s="13" t="s">
        <v>492</v>
      </c>
      <c r="O73" s="17" t="s">
        <v>493</v>
      </c>
      <c r="P73" s="17" t="s">
        <v>494</v>
      </c>
      <c r="Q73" s="36" t="s">
        <v>824</v>
      </c>
      <c r="R73" s="36" t="s">
        <v>858</v>
      </c>
      <c r="AC73" s="9"/>
      <c r="AD73" s="27"/>
    </row>
    <row r="74" spans="1:42" ht="57.75" customHeight="1">
      <c r="A74" s="14" t="s">
        <v>3</v>
      </c>
      <c r="B74" s="14" t="s">
        <v>17</v>
      </c>
      <c r="C74" s="14" t="s">
        <v>13</v>
      </c>
      <c r="D74" s="14" t="s">
        <v>17</v>
      </c>
      <c r="E74" s="14" t="s">
        <v>17</v>
      </c>
      <c r="F74" s="14" t="s">
        <v>13</v>
      </c>
      <c r="G74" s="14" t="s">
        <v>13</v>
      </c>
      <c r="H74" s="14" t="s">
        <v>17</v>
      </c>
      <c r="I74" s="13" t="s">
        <v>495</v>
      </c>
      <c r="J74" s="13" t="s">
        <v>488</v>
      </c>
      <c r="K74" s="15" t="s">
        <v>489</v>
      </c>
      <c r="L74" s="20" t="s">
        <v>496</v>
      </c>
      <c r="M74" s="13" t="s">
        <v>497</v>
      </c>
      <c r="N74" s="13" t="s">
        <v>498</v>
      </c>
      <c r="O74" s="17" t="s">
        <v>499</v>
      </c>
      <c r="P74" s="17" t="s">
        <v>500</v>
      </c>
      <c r="Q74" s="36" t="s">
        <v>825</v>
      </c>
      <c r="R74" s="36" t="s">
        <v>859</v>
      </c>
      <c r="S74" s="23"/>
      <c r="U74" s="7"/>
      <c r="V74" s="7"/>
      <c r="W74" s="7"/>
      <c r="X74" s="7"/>
      <c r="Y74" s="7"/>
      <c r="AA74" s="6"/>
      <c r="AB74" s="6"/>
      <c r="AC74" s="6"/>
      <c r="AD74" s="6"/>
      <c r="AE74" s="6"/>
      <c r="AF74" s="6"/>
      <c r="AG74" s="6"/>
      <c r="AH74" s="6"/>
      <c r="AI74" s="6"/>
      <c r="AJ74" s="6"/>
      <c r="AK74" s="6"/>
      <c r="AL74" s="6"/>
      <c r="AM74" s="6"/>
      <c r="AN74" s="6"/>
      <c r="AO74" s="6"/>
      <c r="AP74" s="6"/>
    </row>
    <row r="75" spans="1:42" ht="156.75" customHeight="1">
      <c r="A75" s="14" t="s">
        <v>2</v>
      </c>
      <c r="B75" s="14" t="s">
        <v>17</v>
      </c>
      <c r="C75" s="14" t="s">
        <v>17</v>
      </c>
      <c r="D75" s="14" t="s">
        <v>17</v>
      </c>
      <c r="E75" s="14" t="s">
        <v>13</v>
      </c>
      <c r="F75" s="14" t="s">
        <v>13</v>
      </c>
      <c r="G75" s="14" t="s">
        <v>13</v>
      </c>
      <c r="H75" s="14" t="s">
        <v>17</v>
      </c>
      <c r="I75" s="13" t="s">
        <v>501</v>
      </c>
      <c r="J75" s="13" t="s">
        <v>502</v>
      </c>
      <c r="K75" s="15" t="s">
        <v>503</v>
      </c>
      <c r="L75" s="20" t="s">
        <v>504</v>
      </c>
      <c r="M75" s="13" t="s">
        <v>505</v>
      </c>
      <c r="N75" s="13" t="s">
        <v>506</v>
      </c>
      <c r="O75" s="17" t="s">
        <v>507</v>
      </c>
      <c r="P75" s="17" t="s">
        <v>508</v>
      </c>
      <c r="Q75" s="36" t="s">
        <v>860</v>
      </c>
      <c r="R75" s="36" t="s">
        <v>805</v>
      </c>
      <c r="AC75" s="9"/>
      <c r="AD75" s="27"/>
    </row>
    <row r="76" spans="1:42" ht="82.5" customHeight="1">
      <c r="A76" s="14" t="s">
        <v>3</v>
      </c>
      <c r="B76" s="14" t="s">
        <v>17</v>
      </c>
      <c r="C76" s="14" t="s">
        <v>17</v>
      </c>
      <c r="D76" s="14" t="s">
        <v>17</v>
      </c>
      <c r="E76" s="14" t="s">
        <v>13</v>
      </c>
      <c r="F76" s="14" t="s">
        <v>13</v>
      </c>
      <c r="G76" s="14" t="s">
        <v>13</v>
      </c>
      <c r="H76" s="14" t="s">
        <v>17</v>
      </c>
      <c r="I76" s="13" t="s">
        <v>509</v>
      </c>
      <c r="J76" s="13" t="s">
        <v>502</v>
      </c>
      <c r="K76" s="15" t="s">
        <v>503</v>
      </c>
      <c r="L76" s="20" t="s">
        <v>510</v>
      </c>
      <c r="M76" s="13" t="s">
        <v>505</v>
      </c>
      <c r="N76" s="13" t="s">
        <v>506</v>
      </c>
      <c r="O76" s="17" t="s">
        <v>511</v>
      </c>
      <c r="P76" s="17" t="s">
        <v>512</v>
      </c>
      <c r="Q76" s="36" t="s">
        <v>825</v>
      </c>
      <c r="R76" s="36" t="s">
        <v>861</v>
      </c>
      <c r="S76" s="23"/>
      <c r="U76" s="7"/>
      <c r="V76" s="7"/>
      <c r="W76" s="7"/>
      <c r="X76" s="7"/>
      <c r="Y76" s="7"/>
      <c r="AA76" s="6"/>
      <c r="AB76" s="6"/>
      <c r="AC76" s="6"/>
      <c r="AD76" s="6"/>
      <c r="AE76" s="6"/>
      <c r="AF76" s="6"/>
      <c r="AG76" s="6"/>
      <c r="AH76" s="6"/>
      <c r="AI76" s="6"/>
      <c r="AJ76" s="6"/>
      <c r="AK76" s="6"/>
      <c r="AL76" s="6"/>
      <c r="AM76" s="6"/>
      <c r="AN76" s="6"/>
      <c r="AO76" s="6"/>
      <c r="AP76" s="6"/>
    </row>
    <row r="77" spans="1:42" ht="108">
      <c r="A77" s="14" t="s">
        <v>2</v>
      </c>
      <c r="B77" s="14" t="s">
        <v>17</v>
      </c>
      <c r="C77" s="14" t="s">
        <v>17</v>
      </c>
      <c r="D77" s="14" t="s">
        <v>17</v>
      </c>
      <c r="E77" s="14" t="s">
        <v>17</v>
      </c>
      <c r="F77" s="14" t="s">
        <v>13</v>
      </c>
      <c r="G77" s="14" t="s">
        <v>13</v>
      </c>
      <c r="H77" s="14" t="s">
        <v>13</v>
      </c>
      <c r="I77" s="13" t="s">
        <v>39</v>
      </c>
      <c r="J77" s="13" t="s">
        <v>513</v>
      </c>
      <c r="K77" s="15" t="s">
        <v>514</v>
      </c>
      <c r="L77" s="20" t="s">
        <v>515</v>
      </c>
      <c r="M77" s="13" t="s">
        <v>516</v>
      </c>
      <c r="N77" s="13" t="s">
        <v>211</v>
      </c>
      <c r="O77" s="17" t="s">
        <v>517</v>
      </c>
      <c r="P77" s="17" t="s">
        <v>518</v>
      </c>
      <c r="Q77" s="36" t="s">
        <v>831</v>
      </c>
      <c r="R77" s="36" t="s">
        <v>844</v>
      </c>
      <c r="T77" s="8"/>
      <c r="U77" s="8"/>
      <c r="V77" s="8"/>
      <c r="W77" s="8"/>
      <c r="X77" s="8"/>
      <c r="Y77" s="8"/>
      <c r="AA77" s="8"/>
      <c r="AB77" s="8"/>
      <c r="AC77" s="8"/>
      <c r="AD77" s="8"/>
      <c r="AE77" s="8"/>
      <c r="AF77" s="8"/>
      <c r="AG77" s="8"/>
      <c r="AH77" s="8"/>
      <c r="AI77" s="8"/>
      <c r="AJ77" s="8"/>
      <c r="AK77" s="8"/>
      <c r="AL77" s="8"/>
      <c r="AM77" s="8"/>
      <c r="AN77" s="8"/>
      <c r="AO77" s="8"/>
      <c r="AP77" s="8"/>
    </row>
    <row r="78" spans="1:42" ht="71.25" customHeight="1">
      <c r="A78" s="14" t="s">
        <v>3</v>
      </c>
      <c r="B78" s="14" t="s">
        <v>17</v>
      </c>
      <c r="C78" s="14" t="s">
        <v>17</v>
      </c>
      <c r="D78" s="14" t="s">
        <v>17</v>
      </c>
      <c r="E78" s="14" t="s">
        <v>17</v>
      </c>
      <c r="F78" s="14" t="s">
        <v>13</v>
      </c>
      <c r="G78" s="14" t="s">
        <v>13</v>
      </c>
      <c r="H78" s="14" t="s">
        <v>13</v>
      </c>
      <c r="I78" s="13" t="s">
        <v>40</v>
      </c>
      <c r="J78" s="13" t="s">
        <v>519</v>
      </c>
      <c r="K78" s="15" t="s">
        <v>520</v>
      </c>
      <c r="L78" s="20" t="s">
        <v>152</v>
      </c>
      <c r="M78" s="13" t="s">
        <v>521</v>
      </c>
      <c r="N78" s="13" t="s">
        <v>522</v>
      </c>
      <c r="O78" s="17" t="s">
        <v>523</v>
      </c>
      <c r="P78" s="17" t="s">
        <v>524</v>
      </c>
      <c r="Q78" s="36" t="s">
        <v>862</v>
      </c>
      <c r="R78" s="36" t="s">
        <v>815</v>
      </c>
      <c r="S78" s="23"/>
      <c r="U78" s="8"/>
      <c r="V78" s="8"/>
      <c r="W78" s="8"/>
      <c r="X78" s="8"/>
      <c r="Y78" s="8"/>
      <c r="AA78" s="8"/>
      <c r="AB78" s="8"/>
      <c r="AC78" s="8"/>
      <c r="AD78" s="8"/>
      <c r="AE78" s="8"/>
      <c r="AF78" s="8"/>
      <c r="AG78" s="8"/>
      <c r="AH78" s="8"/>
      <c r="AI78" s="8"/>
      <c r="AJ78" s="8"/>
      <c r="AK78" s="8"/>
      <c r="AL78" s="8"/>
      <c r="AM78" s="8"/>
      <c r="AN78" s="8"/>
      <c r="AO78" s="8"/>
      <c r="AP78" s="8"/>
    </row>
    <row r="79" spans="1:42" ht="162">
      <c r="A79" s="14" t="s">
        <v>2</v>
      </c>
      <c r="B79" s="14" t="s">
        <v>17</v>
      </c>
      <c r="C79" s="14" t="s">
        <v>17</v>
      </c>
      <c r="D79" s="14" t="s">
        <v>13</v>
      </c>
      <c r="E79" s="14" t="s">
        <v>17</v>
      </c>
      <c r="F79" s="14" t="s">
        <v>13</v>
      </c>
      <c r="G79" s="14" t="s">
        <v>13</v>
      </c>
      <c r="H79" s="14" t="s">
        <v>13</v>
      </c>
      <c r="I79" s="13" t="s">
        <v>41</v>
      </c>
      <c r="J79" s="13" t="s">
        <v>525</v>
      </c>
      <c r="K79" s="15" t="s">
        <v>526</v>
      </c>
      <c r="L79" s="20" t="s">
        <v>515</v>
      </c>
      <c r="M79" s="13" t="s">
        <v>516</v>
      </c>
      <c r="N79" s="13" t="s">
        <v>211</v>
      </c>
      <c r="O79" s="17" t="s">
        <v>527</v>
      </c>
      <c r="P79" s="17" t="s">
        <v>528</v>
      </c>
      <c r="Q79" s="36" t="s">
        <v>831</v>
      </c>
      <c r="R79" s="36" t="s">
        <v>844</v>
      </c>
      <c r="S79" s="23"/>
      <c r="T79" s="8"/>
      <c r="U79" s="8"/>
      <c r="V79" s="8"/>
      <c r="W79" s="8"/>
      <c r="X79" s="8"/>
      <c r="Y79" s="8"/>
      <c r="AA79" s="8"/>
      <c r="AB79" s="8"/>
      <c r="AC79" s="8"/>
      <c r="AD79" s="8"/>
      <c r="AE79" s="8"/>
      <c r="AF79" s="8"/>
      <c r="AG79" s="8"/>
      <c r="AH79" s="8"/>
      <c r="AI79" s="8"/>
      <c r="AJ79" s="8"/>
      <c r="AK79" s="8"/>
      <c r="AL79" s="8"/>
      <c r="AM79" s="8"/>
      <c r="AN79" s="8"/>
      <c r="AO79" s="8"/>
      <c r="AP79" s="8"/>
    </row>
    <row r="80" spans="1:42" ht="324">
      <c r="A80" s="14" t="s">
        <v>3</v>
      </c>
      <c r="B80" s="14" t="s">
        <v>17</v>
      </c>
      <c r="C80" s="14" t="s">
        <v>17</v>
      </c>
      <c r="D80" s="14" t="s">
        <v>13</v>
      </c>
      <c r="E80" s="14" t="s">
        <v>17</v>
      </c>
      <c r="F80" s="14" t="s">
        <v>13</v>
      </c>
      <c r="G80" s="14" t="s">
        <v>13</v>
      </c>
      <c r="H80" s="14" t="s">
        <v>13</v>
      </c>
      <c r="I80" s="13" t="s">
        <v>42</v>
      </c>
      <c r="J80" s="13" t="s">
        <v>525</v>
      </c>
      <c r="K80" s="15" t="s">
        <v>529</v>
      </c>
      <c r="L80" s="20" t="s">
        <v>152</v>
      </c>
      <c r="M80" s="13" t="s">
        <v>530</v>
      </c>
      <c r="N80" s="13" t="s">
        <v>531</v>
      </c>
      <c r="O80" s="17" t="s">
        <v>532</v>
      </c>
      <c r="P80" s="17" t="s">
        <v>533</v>
      </c>
      <c r="Q80" s="36" t="s">
        <v>862</v>
      </c>
      <c r="R80" s="36" t="s">
        <v>815</v>
      </c>
      <c r="T80" s="8"/>
      <c r="U80" s="8"/>
      <c r="V80" s="8"/>
      <c r="W80" s="8"/>
      <c r="X80" s="8"/>
      <c r="Y80" s="8"/>
      <c r="AA80" s="8"/>
      <c r="AB80" s="8"/>
      <c r="AC80" s="8"/>
      <c r="AD80" s="8"/>
      <c r="AE80" s="8"/>
      <c r="AF80" s="8"/>
      <c r="AG80" s="8"/>
      <c r="AH80" s="8"/>
      <c r="AI80" s="8"/>
      <c r="AJ80" s="8"/>
      <c r="AK80" s="8"/>
      <c r="AL80" s="8"/>
      <c r="AM80" s="8"/>
      <c r="AN80" s="8"/>
      <c r="AO80" s="8"/>
      <c r="AP80" s="8"/>
    </row>
    <row r="81" spans="1:30" ht="16.5">
      <c r="A81" s="28"/>
      <c r="B81" s="28"/>
      <c r="C81" s="28"/>
      <c r="D81" s="28"/>
      <c r="E81" s="28"/>
      <c r="F81" s="28"/>
      <c r="G81" s="28"/>
      <c r="H81" s="28"/>
      <c r="J81" s="12"/>
      <c r="L81" s="2"/>
      <c r="N81" s="7"/>
      <c r="O81" s="19"/>
      <c r="P81" s="18"/>
      <c r="Q81" s="49"/>
      <c r="R81" s="49"/>
      <c r="AB81" s="29"/>
      <c r="AC81" s="29"/>
    </row>
    <row r="82" spans="1:30" ht="16.5">
      <c r="A82" s="30"/>
      <c r="B82" s="28"/>
      <c r="C82" s="28"/>
      <c r="D82" s="28"/>
      <c r="E82" s="28"/>
      <c r="F82" s="31"/>
      <c r="G82" s="31"/>
      <c r="H82" s="31"/>
      <c r="J82" s="12"/>
      <c r="L82" s="2"/>
      <c r="N82" s="7"/>
      <c r="O82" s="19"/>
      <c r="P82" s="18"/>
      <c r="Q82" s="49"/>
      <c r="R82" s="49"/>
    </row>
    <row r="83" spans="1:30" ht="16.5">
      <c r="A83" s="30"/>
      <c r="B83" s="28"/>
      <c r="C83" s="28"/>
      <c r="D83" s="28"/>
      <c r="E83" s="28"/>
      <c r="F83" s="31"/>
      <c r="G83" s="31"/>
      <c r="H83" s="31"/>
      <c r="J83" s="12"/>
      <c r="L83" s="2"/>
      <c r="N83" s="7"/>
      <c r="O83" s="32"/>
      <c r="P83" s="18"/>
      <c r="Q83" s="49"/>
      <c r="R83" s="49"/>
      <c r="AC83" s="9"/>
      <c r="AD83" s="27"/>
    </row>
    <row r="84" spans="1:30" ht="16.5">
      <c r="A84" s="6"/>
      <c r="B84" s="28"/>
      <c r="C84" s="28"/>
      <c r="D84" s="28"/>
      <c r="E84" s="28"/>
      <c r="F84" s="28"/>
      <c r="G84" s="28"/>
      <c r="H84" s="28"/>
      <c r="J84" s="33"/>
      <c r="N84" s="7"/>
      <c r="O84" s="34"/>
      <c r="P84" s="34"/>
      <c r="Q84" s="49"/>
      <c r="R84" s="49"/>
    </row>
    <row r="85" spans="1:30" ht="16.5">
      <c r="A85" s="30"/>
      <c r="B85" s="28"/>
      <c r="C85" s="28"/>
      <c r="D85" s="31"/>
      <c r="E85" s="28"/>
      <c r="F85" s="31"/>
      <c r="G85" s="31"/>
      <c r="H85" s="31"/>
      <c r="J85" s="12"/>
      <c r="N85" s="7"/>
      <c r="O85" s="18"/>
      <c r="P85" s="19"/>
      <c r="Q85" s="49"/>
      <c r="R85" s="49"/>
      <c r="AC85" s="8"/>
      <c r="AD85" s="9"/>
    </row>
    <row r="86" spans="1:30" ht="14.5">
      <c r="A86" s="4"/>
      <c r="Q86" s="50"/>
      <c r="R86" s="50"/>
      <c r="S86" s="29"/>
      <c r="Z86" s="29"/>
    </row>
    <row r="87" spans="1:30" ht="14.5">
      <c r="A87" s="4"/>
      <c r="Q87" s="50"/>
      <c r="R87" s="50"/>
      <c r="S87" s="29"/>
      <c r="Z87" s="29"/>
    </row>
    <row r="88" spans="1:30" ht="14.5">
      <c r="A88" s="4"/>
      <c r="Q88" s="50"/>
      <c r="R88" s="50"/>
      <c r="S88" s="29"/>
      <c r="Z88" s="29"/>
    </row>
    <row r="89" spans="1:30" ht="14.5">
      <c r="Q89" s="50"/>
      <c r="R89" s="50"/>
      <c r="S89" s="29"/>
      <c r="Z89" s="29"/>
    </row>
    <row r="90" spans="1:30" ht="14.5">
      <c r="Q90" s="50"/>
      <c r="R90" s="50"/>
      <c r="S90" s="29"/>
      <c r="Z90" s="29"/>
    </row>
    <row r="91" spans="1:30" ht="14.5">
      <c r="Q91" s="50"/>
      <c r="R91" s="50"/>
      <c r="S91" s="29"/>
      <c r="Z91" s="29"/>
    </row>
    <row r="92" spans="1:30" ht="14.5">
      <c r="A92" s="5"/>
      <c r="Q92" s="50"/>
      <c r="R92" s="50"/>
      <c r="S92" s="29"/>
      <c r="Z92" s="29"/>
    </row>
    <row r="93" spans="1:30" ht="14.5">
      <c r="Q93" s="50"/>
      <c r="R93" s="50"/>
      <c r="S93" s="29"/>
      <c r="Z93" s="29"/>
    </row>
    <row r="94" spans="1:30" ht="14.5">
      <c r="Q94" s="50"/>
      <c r="R94" s="50"/>
      <c r="S94" s="29"/>
      <c r="Z94" s="29"/>
    </row>
    <row r="95" spans="1:30" ht="14.5">
      <c r="Q95" s="50"/>
      <c r="R95" s="50"/>
      <c r="S95" s="29"/>
      <c r="Z95" s="29"/>
    </row>
    <row r="96" spans="1:30" ht="14.5">
      <c r="Q96" s="50"/>
      <c r="R96" s="50"/>
      <c r="S96" s="29"/>
      <c r="Z96" s="29"/>
    </row>
    <row r="97" spans="17:26" ht="14.5">
      <c r="Q97" s="50"/>
      <c r="R97" s="50"/>
      <c r="S97" s="29"/>
      <c r="Z97" s="29"/>
    </row>
    <row r="98" spans="17:26" ht="14.5">
      <c r="Q98" s="50"/>
      <c r="R98" s="50"/>
      <c r="S98" s="29"/>
      <c r="Z98" s="29"/>
    </row>
    <row r="99" spans="17:26" ht="14.5">
      <c r="Q99" s="50"/>
      <c r="R99" s="50"/>
      <c r="S99" s="29"/>
      <c r="Z99" s="29"/>
    </row>
    <row r="100" spans="17:26" ht="14.5">
      <c r="Q100" s="50"/>
      <c r="R100" s="50"/>
      <c r="S100" s="29"/>
      <c r="Z100" s="29"/>
    </row>
    <row r="101" spans="17:26" ht="14.5">
      <c r="Q101" s="50"/>
      <c r="R101" s="50"/>
      <c r="S101" s="29"/>
      <c r="Z101" s="29"/>
    </row>
    <row r="102" spans="17:26" ht="14.5">
      <c r="Q102" s="50"/>
      <c r="R102" s="50"/>
      <c r="S102" s="29"/>
      <c r="Z102" s="29"/>
    </row>
    <row r="103" spans="17:26" ht="14.5">
      <c r="Q103" s="50"/>
      <c r="R103" s="50"/>
      <c r="S103" s="29"/>
      <c r="Z103" s="29"/>
    </row>
    <row r="104" spans="17:26" ht="14.5">
      <c r="Q104" s="50"/>
      <c r="R104" s="50"/>
      <c r="S104" s="29"/>
      <c r="Z104" s="29"/>
    </row>
    <row r="105" spans="17:26" ht="14.5">
      <c r="Q105" s="50"/>
      <c r="R105" s="50"/>
      <c r="S105" s="29"/>
      <c r="Z105" s="29"/>
    </row>
    <row r="106" spans="17:26" ht="14.5">
      <c r="Q106" s="50"/>
      <c r="R106" s="50"/>
      <c r="S106" s="29"/>
      <c r="Z106" s="29"/>
    </row>
    <row r="107" spans="17:26" ht="14.5">
      <c r="Q107" s="50"/>
      <c r="R107" s="50"/>
      <c r="S107" s="29"/>
      <c r="Z107" s="29"/>
    </row>
    <row r="108" spans="17:26" ht="14.5">
      <c r="Q108" s="50"/>
      <c r="R108" s="50"/>
      <c r="S108" s="29"/>
      <c r="Z108" s="29"/>
    </row>
    <row r="109" spans="17:26" ht="14.5">
      <c r="Q109" s="50"/>
      <c r="R109" s="50"/>
      <c r="S109" s="29"/>
      <c r="Z109" s="29"/>
    </row>
    <row r="110" spans="17:26" ht="14.5">
      <c r="Q110" s="50"/>
      <c r="R110" s="50"/>
      <c r="S110" s="29"/>
      <c r="Z110" s="29"/>
    </row>
    <row r="111" spans="17:26" ht="14.5">
      <c r="Q111" s="50"/>
      <c r="R111" s="50"/>
      <c r="S111" s="29"/>
      <c r="Z111" s="29"/>
    </row>
    <row r="112" spans="17:26" ht="14.5">
      <c r="Q112" s="50"/>
      <c r="R112" s="50"/>
      <c r="S112" s="29"/>
      <c r="Z112" s="29"/>
    </row>
    <row r="113" spans="17:26" ht="14.5">
      <c r="Q113" s="50"/>
      <c r="R113" s="50"/>
      <c r="S113" s="29"/>
      <c r="Z113" s="29"/>
    </row>
    <row r="114" spans="17:26" ht="12.5">
      <c r="Q114" s="50"/>
      <c r="R114" s="50"/>
    </row>
    <row r="115" spans="17:26" ht="12.5">
      <c r="Q115" s="50"/>
      <c r="R115" s="50"/>
    </row>
    <row r="116" spans="17:26" ht="12.5">
      <c r="Q116" s="50"/>
      <c r="R116" s="50"/>
    </row>
    <row r="117" spans="17:26" ht="12.5">
      <c r="Q117" s="50"/>
      <c r="R117" s="50"/>
    </row>
    <row r="118" spans="17:26" ht="12.5">
      <c r="Q118" s="50"/>
      <c r="R118" s="50"/>
    </row>
    <row r="119" spans="17:26" ht="12.5">
      <c r="Q119" s="50"/>
      <c r="R119" s="50"/>
    </row>
    <row r="120" spans="17:26" ht="12.5">
      <c r="Q120" s="50"/>
      <c r="R120" s="50"/>
    </row>
    <row r="121" spans="17:26" ht="12.5">
      <c r="Q121" s="50"/>
      <c r="R121" s="50"/>
    </row>
    <row r="122" spans="17:26" ht="12.5">
      <c r="Q122" s="50"/>
      <c r="R122" s="50"/>
    </row>
    <row r="123" spans="17:26" ht="12.5">
      <c r="Q123" s="51"/>
      <c r="R123" s="51"/>
    </row>
    <row r="124" spans="17:26" ht="12.5">
      <c r="Q124" s="51"/>
      <c r="R124" s="51"/>
    </row>
    <row r="125" spans="17:26" ht="12.5">
      <c r="Q125" s="51"/>
      <c r="R125" s="51"/>
    </row>
    <row r="126" spans="17:26" ht="12.5">
      <c r="Q126" s="51"/>
      <c r="R126" s="51"/>
    </row>
    <row r="127" spans="17:26" ht="12.5">
      <c r="Q127" s="51"/>
      <c r="R127" s="51"/>
    </row>
    <row r="128" spans="17:26" ht="12.5">
      <c r="Q128" s="51"/>
      <c r="R128" s="51"/>
    </row>
    <row r="129" spans="17:18" ht="12.5">
      <c r="Q129" s="51"/>
      <c r="R129" s="51"/>
    </row>
    <row r="130" spans="17:18" ht="12.5">
      <c r="Q130" s="51"/>
      <c r="R130" s="51"/>
    </row>
    <row r="131" spans="17:18" ht="12.5">
      <c r="Q131" s="51"/>
      <c r="R131" s="51"/>
    </row>
    <row r="132" spans="17:18" ht="12.5">
      <c r="Q132" s="51"/>
      <c r="R132" s="51"/>
    </row>
    <row r="133" spans="17:18" ht="12.5">
      <c r="Q133" s="51"/>
      <c r="R133" s="51"/>
    </row>
    <row r="134" spans="17:18" ht="12.5">
      <c r="Q134" s="51"/>
      <c r="R134" s="51"/>
    </row>
    <row r="135" spans="17:18" ht="12.5">
      <c r="Q135" s="51"/>
      <c r="R135" s="51"/>
    </row>
    <row r="136" spans="17:18" ht="12.5">
      <c r="Q136" s="51"/>
      <c r="R136" s="51"/>
    </row>
    <row r="137" spans="17:18" ht="12.5">
      <c r="Q137" s="51"/>
      <c r="R137" s="51"/>
    </row>
    <row r="138" spans="17:18" ht="12.5">
      <c r="Q138" s="51"/>
      <c r="R138" s="51"/>
    </row>
    <row r="139" spans="17:18" ht="12.5">
      <c r="Q139" s="51"/>
      <c r="R139" s="51"/>
    </row>
    <row r="140" spans="17:18" ht="12.5">
      <c r="Q140" s="51"/>
      <c r="R140" s="51"/>
    </row>
    <row r="141" spans="17:18" ht="12.5">
      <c r="Q141" s="51"/>
      <c r="R141" s="51"/>
    </row>
    <row r="142" spans="17:18" ht="12.5">
      <c r="Q142" s="51"/>
      <c r="R142" s="51"/>
    </row>
    <row r="143" spans="17:18" ht="12.5">
      <c r="Q143" s="51"/>
      <c r="R143" s="51"/>
    </row>
    <row r="144" spans="17:18" ht="12.5">
      <c r="Q144" s="51"/>
      <c r="R144" s="51"/>
    </row>
    <row r="145" spans="17:18" ht="12.5">
      <c r="Q145" s="51"/>
      <c r="R145" s="51"/>
    </row>
    <row r="146" spans="17:18" ht="12.5">
      <c r="Q146" s="51"/>
      <c r="R146" s="51"/>
    </row>
    <row r="147" spans="17:18" ht="12.5">
      <c r="Q147" s="51"/>
      <c r="R147" s="51"/>
    </row>
    <row r="148" spans="17:18" ht="12.5">
      <c r="Q148" s="51"/>
      <c r="R148" s="51"/>
    </row>
    <row r="149" spans="17:18" ht="12.5">
      <c r="Q149" s="51"/>
      <c r="R149" s="51"/>
    </row>
    <row r="150" spans="17:18" ht="12.5">
      <c r="Q150" s="51"/>
      <c r="R150" s="51"/>
    </row>
    <row r="151" spans="17:18" ht="12.5">
      <c r="Q151" s="51"/>
      <c r="R151" s="51"/>
    </row>
    <row r="152" spans="17:18" ht="12.5">
      <c r="Q152" s="51"/>
      <c r="R152" s="51"/>
    </row>
    <row r="153" spans="17:18" ht="12.5">
      <c r="Q153" s="51"/>
      <c r="R153" s="51"/>
    </row>
    <row r="154" spans="17:18" ht="12.5">
      <c r="Q154" s="51"/>
      <c r="R154" s="51"/>
    </row>
    <row r="155" spans="17:18" ht="12.5">
      <c r="Q155" s="51"/>
      <c r="R155" s="51"/>
    </row>
    <row r="156" spans="17:18" ht="12.5">
      <c r="Q156" s="51"/>
      <c r="R156" s="51"/>
    </row>
    <row r="157" spans="17:18" ht="12.5">
      <c r="Q157" s="51"/>
      <c r="R157" s="51"/>
    </row>
    <row r="158" spans="17:18" ht="12.5">
      <c r="Q158" s="51"/>
      <c r="R158" s="51"/>
    </row>
    <row r="159" spans="17:18" ht="12.5">
      <c r="Q159" s="51"/>
      <c r="R159" s="51"/>
    </row>
    <row r="160" spans="17:18" ht="12.5">
      <c r="Q160" s="51"/>
      <c r="R160" s="51"/>
    </row>
    <row r="161" spans="17:18" ht="12.5">
      <c r="Q161" s="51"/>
      <c r="R161" s="51"/>
    </row>
    <row r="162" spans="17:18" ht="12.5">
      <c r="Q162" s="51"/>
      <c r="R162" s="51"/>
    </row>
    <row r="163" spans="17:18" ht="12.5">
      <c r="Q163" s="51"/>
      <c r="R163" s="51"/>
    </row>
    <row r="164" spans="17:18" ht="12.5">
      <c r="Q164" s="51"/>
      <c r="R164" s="51"/>
    </row>
    <row r="165" spans="17:18" ht="12.5">
      <c r="Q165" s="51"/>
      <c r="R165" s="51"/>
    </row>
    <row r="166" spans="17:18" ht="12.5">
      <c r="Q166" s="51"/>
      <c r="R166" s="51"/>
    </row>
    <row r="167" spans="17:18" ht="12.5">
      <c r="Q167" s="51"/>
      <c r="R167" s="51"/>
    </row>
    <row r="168" spans="17:18" ht="12.5">
      <c r="Q168" s="51"/>
      <c r="R168" s="51"/>
    </row>
    <row r="169" spans="17:18" ht="12.5">
      <c r="Q169" s="51"/>
      <c r="R169" s="51"/>
    </row>
    <row r="170" spans="17:18" ht="12.5">
      <c r="Q170" s="51"/>
      <c r="R170" s="51"/>
    </row>
    <row r="171" spans="17:18" ht="12.5">
      <c r="Q171" s="51"/>
      <c r="R171" s="51"/>
    </row>
    <row r="172" spans="17:18" ht="12.5">
      <c r="Q172" s="51"/>
      <c r="R172" s="51"/>
    </row>
    <row r="173" spans="17:18" ht="12.5">
      <c r="Q173" s="51"/>
      <c r="R173" s="51"/>
    </row>
    <row r="174" spans="17:18" ht="12.5">
      <c r="Q174" s="51"/>
      <c r="R174" s="51"/>
    </row>
    <row r="175" spans="17:18" ht="12.5">
      <c r="Q175" s="51"/>
      <c r="R175" s="51"/>
    </row>
    <row r="176" spans="17:18" ht="12.5">
      <c r="Q176" s="51"/>
      <c r="R176" s="51"/>
    </row>
    <row r="177" spans="17:18" ht="12.5">
      <c r="Q177" s="51"/>
      <c r="R177" s="51"/>
    </row>
    <row r="178" spans="17:18" ht="12.5">
      <c r="Q178" s="51"/>
      <c r="R178" s="51"/>
    </row>
    <row r="179" spans="17:18" ht="12.5">
      <c r="Q179" s="51"/>
      <c r="R179" s="51"/>
    </row>
    <row r="180" spans="17:18" ht="12.5">
      <c r="Q180" s="51"/>
      <c r="R180" s="51"/>
    </row>
    <row r="181" spans="17:18" ht="12.5">
      <c r="Q181" s="51"/>
      <c r="R181" s="51"/>
    </row>
    <row r="182" spans="17:18" ht="12.5">
      <c r="Q182" s="51"/>
      <c r="R182" s="51"/>
    </row>
    <row r="183" spans="17:18" ht="12.5">
      <c r="Q183" s="51"/>
      <c r="R183" s="51"/>
    </row>
    <row r="184" spans="17:18" ht="12.5">
      <c r="Q184" s="51"/>
      <c r="R184" s="51"/>
    </row>
    <row r="185" spans="17:18" ht="12.5">
      <c r="Q185" s="51"/>
      <c r="R185" s="51"/>
    </row>
    <row r="186" spans="17:18" ht="12.5">
      <c r="Q186" s="51"/>
      <c r="R186" s="51"/>
    </row>
    <row r="187" spans="17:18" ht="12.5">
      <c r="Q187" s="51"/>
      <c r="R187" s="51"/>
    </row>
    <row r="188" spans="17:18" ht="12.5">
      <c r="Q188" s="51"/>
      <c r="R188" s="51"/>
    </row>
    <row r="189" spans="17:18" ht="12.5">
      <c r="Q189" s="51"/>
      <c r="R189" s="51"/>
    </row>
    <row r="190" spans="17:18" ht="12.5">
      <c r="Q190" s="51"/>
      <c r="R190" s="51"/>
    </row>
    <row r="191" spans="17:18" ht="12.5">
      <c r="Q191" s="51"/>
      <c r="R191" s="51"/>
    </row>
    <row r="192" spans="17:18" ht="12.5">
      <c r="Q192" s="51"/>
      <c r="R192" s="51"/>
    </row>
    <row r="193" spans="17:18" ht="12.5">
      <c r="Q193" s="51"/>
      <c r="R193" s="51"/>
    </row>
    <row r="194" spans="17:18" ht="12.5">
      <c r="Q194" s="51"/>
      <c r="R194" s="51"/>
    </row>
    <row r="195" spans="17:18" ht="12.5">
      <c r="Q195" s="51"/>
      <c r="R195" s="51"/>
    </row>
    <row r="196" spans="17:18" ht="12.5">
      <c r="Q196" s="51"/>
      <c r="R196" s="51"/>
    </row>
    <row r="197" spans="17:18" ht="12.5">
      <c r="Q197" s="51"/>
      <c r="R197" s="51"/>
    </row>
    <row r="198" spans="17:18" ht="12.5">
      <c r="Q198" s="51"/>
      <c r="R198" s="51"/>
    </row>
    <row r="199" spans="17:18" ht="12.5">
      <c r="Q199" s="51"/>
      <c r="R199" s="51"/>
    </row>
    <row r="200" spans="17:18" ht="12.5">
      <c r="Q200" s="51"/>
      <c r="R200" s="51"/>
    </row>
    <row r="201" spans="17:18" ht="12.5">
      <c r="Q201" s="51"/>
      <c r="R201" s="51"/>
    </row>
    <row r="202" spans="17:18" ht="12.5">
      <c r="Q202" s="51"/>
      <c r="R202" s="51"/>
    </row>
    <row r="203" spans="17:18" ht="12.5">
      <c r="Q203" s="51"/>
      <c r="R203" s="51"/>
    </row>
    <row r="204" spans="17:18" ht="12.5">
      <c r="Q204" s="51"/>
      <c r="R204" s="51"/>
    </row>
    <row r="205" spans="17:18" ht="12.5">
      <c r="Q205" s="51"/>
      <c r="R205" s="51"/>
    </row>
    <row r="206" spans="17:18" ht="12.5">
      <c r="Q206" s="51"/>
      <c r="R206" s="51"/>
    </row>
    <row r="207" spans="17:18" ht="12.5">
      <c r="Q207" s="51"/>
      <c r="R207" s="51"/>
    </row>
    <row r="208" spans="17:18" ht="12.5">
      <c r="Q208" s="51"/>
      <c r="R208" s="51"/>
    </row>
    <row r="209" spans="17:18" ht="12.5">
      <c r="Q209" s="51"/>
      <c r="R209" s="51"/>
    </row>
    <row r="210" spans="17:18" ht="12.5">
      <c r="Q210" s="51"/>
      <c r="R210" s="51"/>
    </row>
    <row r="211" spans="17:18" ht="12.5">
      <c r="Q211" s="51"/>
      <c r="R211" s="51"/>
    </row>
    <row r="212" spans="17:18" ht="12.5">
      <c r="Q212" s="51"/>
      <c r="R212" s="51"/>
    </row>
    <row r="213" spans="17:18" ht="12.5">
      <c r="Q213" s="51"/>
      <c r="R213" s="51"/>
    </row>
    <row r="214" spans="17:18" ht="12.5">
      <c r="Q214" s="51"/>
      <c r="R214" s="51"/>
    </row>
    <row r="215" spans="17:18" ht="12.5">
      <c r="Q215" s="51"/>
      <c r="R215" s="51"/>
    </row>
    <row r="216" spans="17:18" ht="12.5">
      <c r="Q216" s="51"/>
      <c r="R216" s="51"/>
    </row>
    <row r="217" spans="17:18" ht="12.5">
      <c r="Q217" s="51"/>
      <c r="R217" s="51"/>
    </row>
    <row r="218" spans="17:18" ht="12.5">
      <c r="Q218" s="51"/>
      <c r="R218" s="51"/>
    </row>
    <row r="219" spans="17:18" ht="12.5">
      <c r="Q219" s="51"/>
      <c r="R219" s="51"/>
    </row>
    <row r="220" spans="17:18" ht="12.5">
      <c r="Q220" s="51"/>
      <c r="R220" s="51"/>
    </row>
    <row r="221" spans="17:18" ht="12.5">
      <c r="Q221" s="51"/>
      <c r="R221" s="51"/>
    </row>
    <row r="222" spans="17:18" ht="12.5">
      <c r="Q222" s="51"/>
      <c r="R222" s="51"/>
    </row>
    <row r="223" spans="17:18" ht="12.5">
      <c r="Q223" s="51"/>
      <c r="R223" s="51"/>
    </row>
    <row r="224" spans="17:18" ht="12.5">
      <c r="Q224" s="51"/>
      <c r="R224" s="51"/>
    </row>
    <row r="225" spans="17:18" ht="12.5">
      <c r="Q225" s="51"/>
      <c r="R225" s="51"/>
    </row>
    <row r="226" spans="17:18" ht="12.5">
      <c r="Q226" s="51"/>
      <c r="R226" s="51"/>
    </row>
    <row r="227" spans="17:18" ht="12.5">
      <c r="Q227" s="51"/>
      <c r="R227" s="51"/>
    </row>
    <row r="228" spans="17:18" ht="12.5">
      <c r="Q228" s="51"/>
      <c r="R228" s="51"/>
    </row>
    <row r="229" spans="17:18" ht="12.5">
      <c r="Q229" s="51"/>
      <c r="R229" s="51"/>
    </row>
    <row r="230" spans="17:18" ht="12.5">
      <c r="Q230" s="51"/>
      <c r="R230" s="51"/>
    </row>
    <row r="231" spans="17:18" ht="12.5">
      <c r="Q231" s="51"/>
      <c r="R231" s="51"/>
    </row>
    <row r="232" spans="17:18" ht="12.5">
      <c r="Q232" s="51"/>
      <c r="R232" s="51"/>
    </row>
    <row r="233" spans="17:18" ht="12.5">
      <c r="Q233" s="51"/>
      <c r="R233" s="51"/>
    </row>
    <row r="234" spans="17:18" ht="12.5">
      <c r="Q234" s="51"/>
      <c r="R234" s="51"/>
    </row>
    <row r="235" spans="17:18" ht="12.5">
      <c r="Q235" s="51"/>
      <c r="R235" s="51"/>
    </row>
    <row r="236" spans="17:18" ht="12.5">
      <c r="Q236" s="51"/>
      <c r="R236" s="51"/>
    </row>
    <row r="237" spans="17:18" ht="12.5">
      <c r="Q237" s="51"/>
      <c r="R237" s="51"/>
    </row>
    <row r="238" spans="17:18" ht="12.5">
      <c r="Q238" s="51"/>
      <c r="R238" s="51"/>
    </row>
    <row r="239" spans="17:18" ht="12.5">
      <c r="Q239" s="51"/>
      <c r="R239" s="51"/>
    </row>
    <row r="240" spans="17:18" ht="12.5">
      <c r="Q240" s="51"/>
      <c r="R240" s="51"/>
    </row>
    <row r="241" spans="17:18" ht="12.5">
      <c r="Q241" s="51"/>
      <c r="R241" s="51"/>
    </row>
    <row r="242" spans="17:18" ht="12.5">
      <c r="Q242" s="51"/>
      <c r="R242" s="51"/>
    </row>
    <row r="243" spans="17:18" ht="12.5">
      <c r="Q243" s="51"/>
      <c r="R243" s="51"/>
    </row>
    <row r="244" spans="17:18" ht="12.5">
      <c r="Q244" s="51"/>
      <c r="R244" s="51"/>
    </row>
    <row r="245" spans="17:18" ht="12.5">
      <c r="Q245" s="51"/>
      <c r="R245" s="51"/>
    </row>
    <row r="246" spans="17:18" ht="12.5">
      <c r="Q246" s="51"/>
      <c r="R246" s="51"/>
    </row>
    <row r="247" spans="17:18" ht="12.5">
      <c r="Q247" s="51"/>
      <c r="R247" s="51"/>
    </row>
    <row r="248" spans="17:18" ht="12.5">
      <c r="Q248" s="51"/>
      <c r="R248" s="51"/>
    </row>
    <row r="249" spans="17:18" ht="12.5">
      <c r="Q249" s="51"/>
      <c r="R249" s="51"/>
    </row>
    <row r="250" spans="17:18" ht="12.5">
      <c r="Q250" s="51"/>
      <c r="R250" s="51"/>
    </row>
    <row r="251" spans="17:18" ht="12.5">
      <c r="Q251" s="51"/>
      <c r="R251" s="51"/>
    </row>
    <row r="252" spans="17:18" ht="12.5">
      <c r="Q252" s="51"/>
      <c r="R252" s="51"/>
    </row>
    <row r="253" spans="17:18" ht="12.5">
      <c r="Q253" s="51"/>
      <c r="R253" s="51"/>
    </row>
    <row r="254" spans="17:18" ht="12.5">
      <c r="Q254" s="51"/>
      <c r="R254" s="51"/>
    </row>
    <row r="255" spans="17:18" ht="12.5">
      <c r="Q255" s="51"/>
      <c r="R255" s="51"/>
    </row>
    <row r="256" spans="17:18" ht="12.5">
      <c r="Q256" s="51"/>
      <c r="R256" s="51"/>
    </row>
    <row r="257" spans="17:18" ht="12.5">
      <c r="Q257" s="51"/>
      <c r="R257" s="51"/>
    </row>
    <row r="258" spans="17:18" ht="12.5">
      <c r="Q258" s="51"/>
      <c r="R258" s="51"/>
    </row>
    <row r="259" spans="17:18" ht="12.5">
      <c r="Q259" s="51"/>
      <c r="R259" s="51"/>
    </row>
    <row r="260" spans="17:18" ht="12.5">
      <c r="Q260" s="51"/>
      <c r="R260" s="51"/>
    </row>
    <row r="261" spans="17:18" ht="12.5">
      <c r="Q261" s="51"/>
      <c r="R261" s="51"/>
    </row>
    <row r="262" spans="17:18" ht="12.5">
      <c r="Q262" s="51"/>
      <c r="R262" s="51"/>
    </row>
    <row r="263" spans="17:18" ht="12.5">
      <c r="Q263" s="51"/>
      <c r="R263" s="51"/>
    </row>
    <row r="264" spans="17:18" ht="12.5">
      <c r="Q264" s="51"/>
      <c r="R264" s="51"/>
    </row>
    <row r="265" spans="17:18" ht="12.5">
      <c r="Q265" s="51"/>
      <c r="R265" s="51"/>
    </row>
    <row r="266" spans="17:18" ht="12.5">
      <c r="Q266" s="51"/>
      <c r="R266" s="51"/>
    </row>
    <row r="267" spans="17:18" ht="12.5">
      <c r="Q267" s="51"/>
      <c r="R267" s="51"/>
    </row>
    <row r="268" spans="17:18" ht="12.5">
      <c r="Q268" s="51"/>
      <c r="R268" s="51"/>
    </row>
    <row r="269" spans="17:18" ht="12.5">
      <c r="Q269" s="51"/>
      <c r="R269" s="51"/>
    </row>
    <row r="270" spans="17:18" ht="12.5">
      <c r="Q270" s="51"/>
      <c r="R270" s="51"/>
    </row>
    <row r="271" spans="17:18" ht="12.5">
      <c r="Q271" s="51"/>
      <c r="R271" s="51"/>
    </row>
    <row r="272" spans="17:18" ht="12.5">
      <c r="Q272" s="51"/>
      <c r="R272" s="51"/>
    </row>
    <row r="273" spans="17:18" ht="12.5">
      <c r="Q273" s="51"/>
      <c r="R273" s="51"/>
    </row>
    <row r="274" spans="17:18" ht="12.5">
      <c r="Q274" s="51"/>
      <c r="R274" s="51"/>
    </row>
    <row r="275" spans="17:18" ht="12.5">
      <c r="Q275" s="51"/>
      <c r="R275" s="51"/>
    </row>
    <row r="276" spans="17:18" ht="12.5">
      <c r="Q276" s="51"/>
      <c r="R276" s="51"/>
    </row>
    <row r="277" spans="17:18" ht="12.5">
      <c r="Q277" s="51"/>
      <c r="R277" s="51"/>
    </row>
    <row r="278" spans="17:18" ht="12.5">
      <c r="Q278" s="51"/>
      <c r="R278" s="51"/>
    </row>
    <row r="279" spans="17:18" ht="12.5">
      <c r="Q279" s="51"/>
      <c r="R279" s="51"/>
    </row>
    <row r="280" spans="17:18" ht="12.5">
      <c r="Q280" s="51"/>
      <c r="R280" s="51"/>
    </row>
    <row r="281" spans="17:18" ht="12.5">
      <c r="Q281" s="51"/>
      <c r="R281" s="51"/>
    </row>
    <row r="282" spans="17:18" ht="12.5">
      <c r="Q282" s="51"/>
      <c r="R282" s="51"/>
    </row>
    <row r="283" spans="17:18" ht="12.5">
      <c r="Q283" s="51"/>
      <c r="R283" s="51"/>
    </row>
    <row r="284" spans="17:18" ht="12.5">
      <c r="Q284" s="51"/>
      <c r="R284" s="51"/>
    </row>
    <row r="285" spans="17:18" ht="12.5">
      <c r="Q285" s="51"/>
      <c r="R285" s="51"/>
    </row>
    <row r="286" spans="17:18" ht="12.5">
      <c r="Q286" s="51"/>
      <c r="R286" s="51"/>
    </row>
    <row r="287" spans="17:18" ht="12.5">
      <c r="Q287" s="51"/>
      <c r="R287" s="51"/>
    </row>
    <row r="288" spans="17:18" ht="12.5">
      <c r="Q288" s="51"/>
      <c r="R288" s="51"/>
    </row>
    <row r="289" spans="17:18" ht="12.5">
      <c r="Q289" s="51"/>
      <c r="R289" s="51"/>
    </row>
    <row r="290" spans="17:18" ht="12.5">
      <c r="Q290" s="51"/>
      <c r="R290" s="51"/>
    </row>
    <row r="291" spans="17:18" ht="12.5">
      <c r="Q291" s="51"/>
      <c r="R291" s="51"/>
    </row>
    <row r="292" spans="17:18" ht="12.5">
      <c r="Q292" s="51"/>
      <c r="R292" s="51"/>
    </row>
    <row r="293" spans="17:18" ht="12.5">
      <c r="Q293" s="51"/>
      <c r="R293" s="51"/>
    </row>
    <row r="294" spans="17:18" ht="12.5">
      <c r="Q294" s="51"/>
      <c r="R294" s="51"/>
    </row>
    <row r="295" spans="17:18" ht="12.5">
      <c r="Q295" s="51"/>
      <c r="R295" s="51"/>
    </row>
    <row r="296" spans="17:18" ht="12.5">
      <c r="Q296" s="51"/>
      <c r="R296" s="51"/>
    </row>
    <row r="297" spans="17:18" ht="12.5">
      <c r="Q297" s="51"/>
      <c r="R297" s="51"/>
    </row>
    <row r="298" spans="17:18" ht="12.5">
      <c r="Q298" s="51"/>
      <c r="R298" s="51"/>
    </row>
    <row r="299" spans="17:18" ht="12.5">
      <c r="Q299" s="51"/>
      <c r="R299" s="51"/>
    </row>
    <row r="300" spans="17:18" ht="12.5">
      <c r="Q300" s="51"/>
      <c r="R300" s="51"/>
    </row>
    <row r="301" spans="17:18" ht="12.5">
      <c r="Q301" s="51"/>
      <c r="R301" s="51"/>
    </row>
    <row r="302" spans="17:18" ht="12.5">
      <c r="Q302" s="51"/>
      <c r="R302" s="51"/>
    </row>
    <row r="303" spans="17:18" ht="12.5">
      <c r="Q303" s="51"/>
      <c r="R303" s="51"/>
    </row>
    <row r="304" spans="17:18" ht="12.5">
      <c r="Q304" s="51"/>
      <c r="R304" s="51"/>
    </row>
    <row r="305" spans="17:18" ht="12.5">
      <c r="Q305" s="51"/>
      <c r="R305" s="51"/>
    </row>
    <row r="306" spans="17:18" ht="12.5">
      <c r="Q306" s="51"/>
      <c r="R306" s="51"/>
    </row>
    <row r="307" spans="17:18" ht="12.5">
      <c r="Q307" s="51"/>
      <c r="R307" s="51"/>
    </row>
    <row r="308" spans="17:18" ht="12.5">
      <c r="Q308" s="51"/>
      <c r="R308" s="51"/>
    </row>
    <row r="309" spans="17:18" ht="12.5">
      <c r="Q309" s="51"/>
      <c r="R309" s="51"/>
    </row>
    <row r="310" spans="17:18" ht="12.5">
      <c r="Q310" s="51"/>
      <c r="R310" s="51"/>
    </row>
    <row r="311" spans="17:18" ht="12.5">
      <c r="Q311" s="51"/>
      <c r="R311" s="51"/>
    </row>
    <row r="312" spans="17:18" ht="12.5">
      <c r="Q312" s="51"/>
      <c r="R312" s="51"/>
    </row>
    <row r="313" spans="17:18" ht="12.5">
      <c r="Q313" s="51"/>
      <c r="R313" s="51"/>
    </row>
    <row r="314" spans="17:18" ht="12.5">
      <c r="Q314" s="51"/>
      <c r="R314" s="51"/>
    </row>
    <row r="315" spans="17:18" ht="12.5">
      <c r="Q315" s="51"/>
      <c r="R315" s="51"/>
    </row>
    <row r="316" spans="17:18" ht="12.5">
      <c r="Q316" s="51"/>
      <c r="R316" s="51"/>
    </row>
    <row r="317" spans="17:18" ht="12.5">
      <c r="Q317" s="51"/>
      <c r="R317" s="51"/>
    </row>
    <row r="318" spans="17:18" ht="12.5">
      <c r="Q318" s="51"/>
      <c r="R318" s="51"/>
    </row>
    <row r="319" spans="17:18" ht="12.5">
      <c r="Q319" s="51"/>
      <c r="R319" s="51"/>
    </row>
    <row r="320" spans="17:18" ht="12.5">
      <c r="Q320" s="51"/>
      <c r="R320" s="51"/>
    </row>
    <row r="321" spans="17:18" ht="12.5">
      <c r="Q321" s="51"/>
      <c r="R321" s="51"/>
    </row>
    <row r="322" spans="17:18" ht="12.5">
      <c r="Q322" s="51"/>
      <c r="R322" s="51"/>
    </row>
    <row r="323" spans="17:18" ht="12.5">
      <c r="Q323" s="51"/>
      <c r="R323" s="51"/>
    </row>
    <row r="324" spans="17:18" ht="12.5">
      <c r="Q324" s="51"/>
      <c r="R324" s="51"/>
    </row>
    <row r="325" spans="17:18" ht="12.5">
      <c r="Q325" s="51"/>
      <c r="R325" s="51"/>
    </row>
    <row r="326" spans="17:18" ht="12.5">
      <c r="Q326" s="51"/>
      <c r="R326" s="51"/>
    </row>
    <row r="327" spans="17:18" ht="12.5">
      <c r="Q327" s="51"/>
      <c r="R327" s="51"/>
    </row>
    <row r="328" spans="17:18" ht="12.5">
      <c r="Q328" s="51"/>
      <c r="R328" s="51"/>
    </row>
    <row r="329" spans="17:18" ht="12.5">
      <c r="Q329" s="51"/>
      <c r="R329" s="51"/>
    </row>
    <row r="330" spans="17:18" ht="12.5">
      <c r="Q330" s="51"/>
      <c r="R330" s="51"/>
    </row>
    <row r="331" spans="17:18" ht="12.5">
      <c r="Q331" s="51"/>
      <c r="R331" s="51"/>
    </row>
    <row r="332" spans="17:18" ht="12.5">
      <c r="Q332" s="51"/>
      <c r="R332" s="51"/>
    </row>
    <row r="333" spans="17:18" ht="12.5">
      <c r="Q333" s="51"/>
      <c r="R333" s="51"/>
    </row>
    <row r="334" spans="17:18" ht="12.5">
      <c r="Q334" s="51"/>
      <c r="R334" s="51"/>
    </row>
    <row r="335" spans="17:18" ht="12.5">
      <c r="Q335" s="51"/>
      <c r="R335" s="51"/>
    </row>
    <row r="336" spans="17:18" ht="12.5">
      <c r="Q336" s="51"/>
      <c r="R336" s="51"/>
    </row>
    <row r="337" spans="17:18" ht="12.5">
      <c r="Q337" s="51"/>
      <c r="R337" s="51"/>
    </row>
    <row r="338" spans="17:18" ht="12.5">
      <c r="Q338" s="51"/>
      <c r="R338" s="51"/>
    </row>
    <row r="339" spans="17:18" ht="12.5">
      <c r="Q339" s="51"/>
      <c r="R339" s="51"/>
    </row>
    <row r="340" spans="17:18" ht="12.5">
      <c r="Q340" s="51"/>
      <c r="R340" s="51"/>
    </row>
    <row r="341" spans="17:18" ht="12.5">
      <c r="Q341" s="51"/>
      <c r="R341" s="51"/>
    </row>
    <row r="342" spans="17:18" ht="12.5">
      <c r="Q342" s="51"/>
      <c r="R342" s="51"/>
    </row>
    <row r="343" spans="17:18" ht="12.5">
      <c r="Q343" s="51"/>
      <c r="R343" s="51"/>
    </row>
    <row r="344" spans="17:18" ht="12.5">
      <c r="Q344" s="51"/>
      <c r="R344" s="51"/>
    </row>
    <row r="345" spans="17:18" ht="12.5">
      <c r="Q345" s="51"/>
      <c r="R345" s="51"/>
    </row>
    <row r="346" spans="17:18" ht="12.5">
      <c r="Q346" s="51"/>
      <c r="R346" s="51"/>
    </row>
    <row r="347" spans="17:18" ht="12.5">
      <c r="Q347" s="51"/>
      <c r="R347" s="51"/>
    </row>
    <row r="348" spans="17:18" ht="12.5">
      <c r="Q348" s="51"/>
      <c r="R348" s="51"/>
    </row>
    <row r="349" spans="17:18" ht="12.5">
      <c r="Q349" s="51"/>
      <c r="R349" s="51"/>
    </row>
    <row r="350" spans="17:18" ht="12.5">
      <c r="Q350" s="51"/>
      <c r="R350" s="51"/>
    </row>
    <row r="351" spans="17:18" ht="12.5">
      <c r="Q351" s="51"/>
      <c r="R351" s="51"/>
    </row>
    <row r="352" spans="17:18" ht="12.5">
      <c r="Q352" s="51"/>
      <c r="R352" s="51"/>
    </row>
    <row r="353" spans="17:18" ht="12.5">
      <c r="Q353" s="51"/>
      <c r="R353" s="51"/>
    </row>
    <row r="354" spans="17:18" ht="12.5">
      <c r="Q354" s="51"/>
      <c r="R354" s="51"/>
    </row>
    <row r="355" spans="17:18" ht="12.5">
      <c r="Q355" s="51"/>
      <c r="R355" s="51"/>
    </row>
    <row r="356" spans="17:18" ht="12.5">
      <c r="Q356" s="51"/>
      <c r="R356" s="51"/>
    </row>
    <row r="357" spans="17:18" ht="12.5">
      <c r="Q357" s="51"/>
      <c r="R357" s="51"/>
    </row>
    <row r="358" spans="17:18" ht="12.5">
      <c r="Q358" s="51"/>
      <c r="R358" s="51"/>
    </row>
    <row r="359" spans="17:18" ht="12.5">
      <c r="Q359" s="51"/>
      <c r="R359" s="51"/>
    </row>
    <row r="360" spans="17:18" ht="12.5">
      <c r="Q360" s="51"/>
      <c r="R360" s="51"/>
    </row>
    <row r="361" spans="17:18" ht="12.5">
      <c r="Q361" s="51"/>
      <c r="R361" s="51"/>
    </row>
    <row r="362" spans="17:18" ht="12.5">
      <c r="Q362" s="51"/>
      <c r="R362" s="51"/>
    </row>
    <row r="363" spans="17:18" ht="12.5">
      <c r="Q363" s="51"/>
      <c r="R363" s="51"/>
    </row>
    <row r="364" spans="17:18" ht="12.5">
      <c r="Q364" s="51"/>
      <c r="R364" s="51"/>
    </row>
    <row r="365" spans="17:18" ht="12.5">
      <c r="Q365" s="51"/>
      <c r="R365" s="51"/>
    </row>
    <row r="366" spans="17:18" ht="12.5">
      <c r="Q366" s="51"/>
      <c r="R366" s="51"/>
    </row>
    <row r="367" spans="17:18" ht="12.5">
      <c r="Q367" s="51"/>
      <c r="R367" s="51"/>
    </row>
    <row r="368" spans="17:18" ht="12.5">
      <c r="Q368" s="51"/>
      <c r="R368" s="51"/>
    </row>
    <row r="369" spans="17:18" ht="12.5">
      <c r="Q369" s="51"/>
      <c r="R369" s="51"/>
    </row>
    <row r="370" spans="17:18" ht="12.5">
      <c r="Q370" s="51"/>
      <c r="R370" s="51"/>
    </row>
    <row r="371" spans="17:18" ht="12.5">
      <c r="Q371" s="51"/>
      <c r="R371" s="51"/>
    </row>
    <row r="372" spans="17:18" ht="12.5">
      <c r="Q372" s="51"/>
      <c r="R372" s="51"/>
    </row>
    <row r="373" spans="17:18" ht="12.5">
      <c r="Q373" s="51"/>
      <c r="R373" s="51"/>
    </row>
    <row r="374" spans="17:18" ht="12.5">
      <c r="Q374" s="51"/>
      <c r="R374" s="51"/>
    </row>
    <row r="375" spans="17:18" ht="12.5">
      <c r="Q375" s="51"/>
      <c r="R375" s="51"/>
    </row>
    <row r="376" spans="17:18" ht="12.5">
      <c r="Q376" s="51"/>
      <c r="R376" s="51"/>
    </row>
    <row r="377" spans="17:18" ht="12.5">
      <c r="Q377" s="51"/>
      <c r="R377" s="51"/>
    </row>
    <row r="378" spans="17:18" ht="12.5">
      <c r="Q378" s="51"/>
      <c r="R378" s="51"/>
    </row>
    <row r="379" spans="17:18" ht="12.5">
      <c r="Q379" s="51"/>
      <c r="R379" s="51"/>
    </row>
    <row r="380" spans="17:18" ht="12.5">
      <c r="Q380" s="51"/>
      <c r="R380" s="51"/>
    </row>
    <row r="381" spans="17:18" ht="12.5">
      <c r="Q381" s="51"/>
      <c r="R381" s="51"/>
    </row>
    <row r="382" spans="17:18" ht="12.5">
      <c r="Q382" s="51"/>
      <c r="R382" s="51"/>
    </row>
    <row r="383" spans="17:18" ht="12.5">
      <c r="Q383" s="51"/>
      <c r="R383" s="51"/>
    </row>
    <row r="384" spans="17:18" ht="12.5">
      <c r="Q384" s="51"/>
      <c r="R384" s="51"/>
    </row>
    <row r="385" spans="17:18" ht="12.5">
      <c r="Q385" s="51"/>
      <c r="R385" s="51"/>
    </row>
    <row r="386" spans="17:18" ht="12.5">
      <c r="Q386" s="51"/>
      <c r="R386" s="51"/>
    </row>
    <row r="387" spans="17:18" ht="12.5">
      <c r="Q387" s="51"/>
      <c r="R387" s="51"/>
    </row>
    <row r="388" spans="17:18" ht="12.5">
      <c r="Q388" s="51"/>
      <c r="R388" s="51"/>
    </row>
    <row r="389" spans="17:18" ht="12.5">
      <c r="Q389" s="51"/>
      <c r="R389" s="51"/>
    </row>
    <row r="390" spans="17:18" ht="12.5">
      <c r="Q390" s="51"/>
      <c r="R390" s="51"/>
    </row>
    <row r="391" spans="17:18" ht="12.5">
      <c r="Q391" s="51"/>
      <c r="R391" s="51"/>
    </row>
    <row r="392" spans="17:18" ht="12.5">
      <c r="Q392" s="51"/>
      <c r="R392" s="51"/>
    </row>
    <row r="393" spans="17:18" ht="12.5">
      <c r="Q393" s="51"/>
      <c r="R393" s="51"/>
    </row>
    <row r="394" spans="17:18" ht="12.5">
      <c r="Q394" s="51"/>
      <c r="R394" s="51"/>
    </row>
    <row r="395" spans="17:18" ht="12.5">
      <c r="Q395" s="51"/>
      <c r="R395" s="51"/>
    </row>
    <row r="396" spans="17:18" ht="12.5">
      <c r="Q396" s="51"/>
      <c r="R396" s="51"/>
    </row>
    <row r="397" spans="17:18" ht="12.5">
      <c r="Q397" s="51"/>
      <c r="R397" s="51"/>
    </row>
    <row r="398" spans="17:18" ht="12.5">
      <c r="Q398" s="51"/>
      <c r="R398" s="51"/>
    </row>
    <row r="399" spans="17:18" ht="12.5">
      <c r="Q399" s="51"/>
      <c r="R399" s="51"/>
    </row>
    <row r="400" spans="17:18" ht="12.5">
      <c r="Q400" s="51"/>
      <c r="R400" s="51"/>
    </row>
    <row r="401" spans="17:18" ht="12.5">
      <c r="Q401" s="51"/>
      <c r="R401" s="51"/>
    </row>
    <row r="402" spans="17:18" ht="12.5">
      <c r="Q402" s="51"/>
      <c r="R402" s="51"/>
    </row>
    <row r="403" spans="17:18" ht="12.5">
      <c r="Q403" s="51"/>
      <c r="R403" s="51"/>
    </row>
    <row r="404" spans="17:18" ht="12.5">
      <c r="Q404" s="51"/>
      <c r="R404" s="51"/>
    </row>
    <row r="405" spans="17:18" ht="12.5">
      <c r="Q405" s="51"/>
      <c r="R405" s="51"/>
    </row>
    <row r="406" spans="17:18" ht="12.5">
      <c r="Q406" s="51"/>
      <c r="R406" s="51"/>
    </row>
    <row r="407" spans="17:18" ht="12.5">
      <c r="Q407" s="51"/>
      <c r="R407" s="51"/>
    </row>
    <row r="408" spans="17:18" ht="12.5">
      <c r="Q408" s="51"/>
      <c r="R408" s="51"/>
    </row>
    <row r="409" spans="17:18" ht="12.5">
      <c r="Q409" s="51"/>
      <c r="R409" s="51"/>
    </row>
    <row r="410" spans="17:18" ht="12.5">
      <c r="Q410" s="51"/>
      <c r="R410" s="51"/>
    </row>
    <row r="411" spans="17:18" ht="12.5">
      <c r="Q411" s="51"/>
      <c r="R411" s="51"/>
    </row>
    <row r="412" spans="17:18" ht="12.5">
      <c r="Q412" s="51"/>
      <c r="R412" s="51"/>
    </row>
    <row r="413" spans="17:18" ht="12.5">
      <c r="Q413" s="51"/>
      <c r="R413" s="51"/>
    </row>
    <row r="414" spans="17:18" ht="12.5">
      <c r="Q414" s="51"/>
      <c r="R414" s="51"/>
    </row>
    <row r="415" spans="17:18" ht="12.5">
      <c r="Q415" s="51"/>
      <c r="R415" s="51"/>
    </row>
    <row r="416" spans="17:18" ht="12.5">
      <c r="Q416" s="51"/>
      <c r="R416" s="51"/>
    </row>
    <row r="417" spans="17:18" ht="12.5">
      <c r="Q417" s="51"/>
      <c r="R417" s="51"/>
    </row>
    <row r="418" spans="17:18" ht="12.5">
      <c r="Q418" s="51"/>
      <c r="R418" s="51"/>
    </row>
    <row r="419" spans="17:18" ht="12.5">
      <c r="Q419" s="51"/>
      <c r="R419" s="51"/>
    </row>
    <row r="420" spans="17:18" ht="12.5">
      <c r="Q420" s="51"/>
      <c r="R420" s="51"/>
    </row>
    <row r="421" spans="17:18" ht="12.5">
      <c r="Q421" s="51"/>
      <c r="R421" s="51"/>
    </row>
    <row r="422" spans="17:18" ht="12.5">
      <c r="Q422" s="51"/>
      <c r="R422" s="51"/>
    </row>
    <row r="423" spans="17:18" ht="12.5">
      <c r="Q423" s="51"/>
      <c r="R423" s="51"/>
    </row>
    <row r="424" spans="17:18" ht="12.5">
      <c r="Q424" s="51"/>
      <c r="R424" s="51"/>
    </row>
    <row r="425" spans="17:18" ht="12.5">
      <c r="Q425" s="51"/>
      <c r="R425" s="51"/>
    </row>
    <row r="426" spans="17:18" ht="12.5">
      <c r="Q426" s="51"/>
      <c r="R426" s="51"/>
    </row>
    <row r="427" spans="17:18" ht="12.5">
      <c r="Q427" s="51"/>
      <c r="R427" s="51"/>
    </row>
    <row r="428" spans="17:18" ht="12.5">
      <c r="Q428" s="51"/>
      <c r="R428" s="51"/>
    </row>
    <row r="429" spans="17:18" ht="12.5">
      <c r="Q429" s="51"/>
      <c r="R429" s="51"/>
    </row>
    <row r="430" spans="17:18" ht="12.5">
      <c r="Q430" s="51"/>
      <c r="R430" s="51"/>
    </row>
    <row r="431" spans="17:18" ht="12.5">
      <c r="Q431" s="51"/>
      <c r="R431" s="51"/>
    </row>
    <row r="432" spans="17:18" ht="12.5">
      <c r="Q432" s="51"/>
      <c r="R432" s="51"/>
    </row>
    <row r="433" spans="17:18" ht="12.5">
      <c r="Q433" s="51"/>
      <c r="R433" s="51"/>
    </row>
    <row r="434" spans="17:18" ht="12.5">
      <c r="Q434" s="51"/>
      <c r="R434" s="51"/>
    </row>
    <row r="435" spans="17:18" ht="12.5">
      <c r="Q435" s="51"/>
      <c r="R435" s="51"/>
    </row>
    <row r="436" spans="17:18" ht="12.5">
      <c r="Q436" s="51"/>
      <c r="R436" s="51"/>
    </row>
    <row r="437" spans="17:18" ht="12.5">
      <c r="Q437" s="51"/>
      <c r="R437" s="51"/>
    </row>
    <row r="438" spans="17:18" ht="12.5">
      <c r="Q438" s="51"/>
      <c r="R438" s="51"/>
    </row>
    <row r="439" spans="17:18" ht="12.5">
      <c r="Q439" s="51"/>
      <c r="R439" s="51"/>
    </row>
    <row r="440" spans="17:18" ht="12.5">
      <c r="Q440" s="51"/>
      <c r="R440" s="51"/>
    </row>
    <row r="441" spans="17:18" ht="12.5">
      <c r="Q441" s="51"/>
      <c r="R441" s="51"/>
    </row>
    <row r="442" spans="17:18" ht="12.5">
      <c r="Q442" s="51"/>
      <c r="R442" s="51"/>
    </row>
    <row r="443" spans="17:18" ht="12.5">
      <c r="Q443" s="51"/>
      <c r="R443" s="51"/>
    </row>
    <row r="444" spans="17:18" ht="12.5">
      <c r="Q444" s="51"/>
      <c r="R444" s="51"/>
    </row>
    <row r="445" spans="17:18" ht="12.5">
      <c r="Q445" s="51"/>
      <c r="R445" s="51"/>
    </row>
    <row r="446" spans="17:18" ht="12.5">
      <c r="Q446" s="51"/>
      <c r="R446" s="51"/>
    </row>
    <row r="447" spans="17:18" ht="12.5">
      <c r="Q447" s="51"/>
      <c r="R447" s="51"/>
    </row>
    <row r="448" spans="17:18" ht="12.5">
      <c r="Q448" s="51"/>
      <c r="R448" s="51"/>
    </row>
    <row r="449" spans="17:18" ht="12.5">
      <c r="Q449" s="51"/>
      <c r="R449" s="51"/>
    </row>
    <row r="450" spans="17:18" ht="12.5">
      <c r="Q450" s="51"/>
      <c r="R450" s="51"/>
    </row>
    <row r="451" spans="17:18" ht="12.5">
      <c r="Q451" s="51"/>
      <c r="R451" s="51"/>
    </row>
    <row r="452" spans="17:18" ht="12.5">
      <c r="Q452" s="51"/>
      <c r="R452" s="51"/>
    </row>
    <row r="453" spans="17:18" ht="12.5">
      <c r="Q453" s="51"/>
      <c r="R453" s="51"/>
    </row>
    <row r="454" spans="17:18" ht="12.5">
      <c r="Q454" s="51"/>
      <c r="R454" s="51"/>
    </row>
    <row r="455" spans="17:18" ht="12.5">
      <c r="Q455" s="51"/>
      <c r="R455" s="51"/>
    </row>
    <row r="456" spans="17:18" ht="12.5">
      <c r="Q456" s="51"/>
      <c r="R456" s="51"/>
    </row>
    <row r="457" spans="17:18" ht="12.5">
      <c r="Q457" s="51"/>
      <c r="R457" s="51"/>
    </row>
    <row r="458" spans="17:18" ht="12.5">
      <c r="Q458" s="51"/>
      <c r="R458" s="51"/>
    </row>
    <row r="459" spans="17:18" ht="12.5">
      <c r="Q459" s="51"/>
      <c r="R459" s="51"/>
    </row>
    <row r="460" spans="17:18" ht="12.5">
      <c r="Q460" s="51"/>
      <c r="R460" s="51"/>
    </row>
    <row r="461" spans="17:18" ht="12.5">
      <c r="Q461" s="51"/>
      <c r="R461" s="51"/>
    </row>
    <row r="462" spans="17:18" ht="12.5">
      <c r="Q462" s="51"/>
      <c r="R462" s="51"/>
    </row>
    <row r="463" spans="17:18" ht="12.5">
      <c r="Q463" s="51"/>
      <c r="R463" s="51"/>
    </row>
    <row r="464" spans="17:18" ht="12.5">
      <c r="Q464" s="51"/>
      <c r="R464" s="51"/>
    </row>
    <row r="465" spans="17:18" ht="12.5">
      <c r="Q465" s="51"/>
      <c r="R465" s="51"/>
    </row>
    <row r="466" spans="17:18" ht="12.5">
      <c r="Q466" s="51"/>
      <c r="R466" s="51"/>
    </row>
    <row r="467" spans="17:18" ht="12.5">
      <c r="Q467" s="51"/>
      <c r="R467" s="51"/>
    </row>
    <row r="468" spans="17:18" ht="12.5">
      <c r="Q468" s="51"/>
      <c r="R468" s="51"/>
    </row>
    <row r="469" spans="17:18" ht="12.5">
      <c r="Q469" s="51"/>
      <c r="R469" s="51"/>
    </row>
    <row r="470" spans="17:18" ht="12.5">
      <c r="Q470" s="51"/>
      <c r="R470" s="51"/>
    </row>
    <row r="471" spans="17:18" ht="12.5">
      <c r="Q471" s="51"/>
      <c r="R471" s="51"/>
    </row>
    <row r="472" spans="17:18" ht="12.5">
      <c r="Q472" s="51"/>
      <c r="R472" s="51"/>
    </row>
    <row r="473" spans="17:18" ht="12.5">
      <c r="Q473" s="51"/>
      <c r="R473" s="51"/>
    </row>
    <row r="474" spans="17:18" ht="12.5">
      <c r="Q474" s="51"/>
      <c r="R474" s="51"/>
    </row>
    <row r="475" spans="17:18" ht="12.5">
      <c r="Q475" s="51"/>
      <c r="R475" s="51"/>
    </row>
    <row r="476" spans="17:18" ht="12.5">
      <c r="Q476" s="51"/>
      <c r="R476" s="51"/>
    </row>
    <row r="477" spans="17:18" ht="12.5">
      <c r="Q477" s="51"/>
      <c r="R477" s="51"/>
    </row>
    <row r="478" spans="17:18" ht="12.5">
      <c r="Q478" s="51"/>
      <c r="R478" s="51"/>
    </row>
    <row r="479" spans="17:18" ht="12.5">
      <c r="Q479" s="51"/>
      <c r="R479" s="51"/>
    </row>
    <row r="480" spans="17:18" ht="12.5">
      <c r="Q480" s="51"/>
      <c r="R480" s="51"/>
    </row>
    <row r="481" spans="17:18" ht="12.5">
      <c r="Q481" s="51"/>
      <c r="R481" s="51"/>
    </row>
    <row r="482" spans="17:18" ht="12.5">
      <c r="Q482" s="51"/>
      <c r="R482" s="51"/>
    </row>
    <row r="483" spans="17:18" ht="12.5">
      <c r="Q483" s="51"/>
      <c r="R483" s="51"/>
    </row>
    <row r="484" spans="17:18" ht="12.5">
      <c r="Q484" s="51"/>
      <c r="R484" s="51"/>
    </row>
    <row r="485" spans="17:18" ht="12.5">
      <c r="Q485" s="51"/>
      <c r="R485" s="51"/>
    </row>
    <row r="486" spans="17:18" ht="12.5">
      <c r="Q486" s="51"/>
      <c r="R486" s="51"/>
    </row>
    <row r="487" spans="17:18" ht="12.5">
      <c r="Q487" s="51"/>
      <c r="R487" s="51"/>
    </row>
    <row r="488" spans="17:18" ht="12.5">
      <c r="Q488" s="51"/>
      <c r="R488" s="51"/>
    </row>
    <row r="489" spans="17:18" ht="12.5">
      <c r="Q489" s="51"/>
      <c r="R489" s="51"/>
    </row>
    <row r="490" spans="17:18" ht="12.5">
      <c r="Q490" s="51"/>
      <c r="R490" s="51"/>
    </row>
    <row r="491" spans="17:18" ht="12.5">
      <c r="Q491" s="51"/>
      <c r="R491" s="51"/>
    </row>
    <row r="492" spans="17:18" ht="12.5">
      <c r="Q492" s="51"/>
      <c r="R492" s="51"/>
    </row>
    <row r="493" spans="17:18" ht="12.5">
      <c r="Q493" s="51"/>
      <c r="R493" s="51"/>
    </row>
    <row r="494" spans="17:18" ht="12.5">
      <c r="Q494" s="51"/>
      <c r="R494" s="51"/>
    </row>
    <row r="495" spans="17:18" ht="12.5">
      <c r="Q495" s="51"/>
      <c r="R495" s="51"/>
    </row>
    <row r="496" spans="17:18" ht="12.5">
      <c r="Q496" s="51"/>
      <c r="R496" s="51"/>
    </row>
    <row r="497" spans="17:18" ht="12.5">
      <c r="Q497" s="51"/>
      <c r="R497" s="51"/>
    </row>
    <row r="498" spans="17:18" ht="12.5">
      <c r="Q498" s="51"/>
      <c r="R498" s="51"/>
    </row>
    <row r="499" spans="17:18" ht="12.5">
      <c r="Q499" s="51"/>
      <c r="R499" s="51"/>
    </row>
    <row r="500" spans="17:18" ht="12.5">
      <c r="Q500" s="51"/>
      <c r="R500" s="51"/>
    </row>
    <row r="501" spans="17:18" ht="12.5">
      <c r="Q501" s="51"/>
      <c r="R501" s="51"/>
    </row>
    <row r="502" spans="17:18" ht="12.5">
      <c r="Q502" s="51"/>
      <c r="R502" s="51"/>
    </row>
    <row r="503" spans="17:18" ht="12.5">
      <c r="Q503" s="51"/>
      <c r="R503" s="51"/>
    </row>
    <row r="504" spans="17:18" ht="12.5">
      <c r="Q504" s="51"/>
      <c r="R504" s="51"/>
    </row>
    <row r="505" spans="17:18" ht="12.5">
      <c r="Q505" s="51"/>
      <c r="R505" s="51"/>
    </row>
    <row r="506" spans="17:18" ht="12.5">
      <c r="Q506" s="51"/>
      <c r="R506" s="51"/>
    </row>
    <row r="507" spans="17:18" ht="12.5">
      <c r="Q507" s="51"/>
      <c r="R507" s="51"/>
    </row>
    <row r="508" spans="17:18" ht="12.5">
      <c r="Q508" s="51"/>
      <c r="R508" s="51"/>
    </row>
    <row r="509" spans="17:18" ht="12.5">
      <c r="Q509" s="51"/>
      <c r="R509" s="51"/>
    </row>
    <row r="510" spans="17:18" ht="12.5">
      <c r="Q510" s="51"/>
      <c r="R510" s="51"/>
    </row>
    <row r="511" spans="17:18" ht="12.5">
      <c r="Q511" s="51"/>
      <c r="R511" s="51"/>
    </row>
    <row r="512" spans="17:18" ht="12.5">
      <c r="Q512" s="51"/>
      <c r="R512" s="51"/>
    </row>
    <row r="513" spans="17:18" ht="12.5">
      <c r="Q513" s="51"/>
      <c r="R513" s="51"/>
    </row>
    <row r="514" spans="17:18" ht="12.5">
      <c r="Q514" s="51"/>
      <c r="R514" s="51"/>
    </row>
    <row r="515" spans="17:18" ht="12.5">
      <c r="Q515" s="51"/>
      <c r="R515" s="51"/>
    </row>
    <row r="516" spans="17:18" ht="12.5">
      <c r="Q516" s="51"/>
      <c r="R516" s="51"/>
    </row>
    <row r="517" spans="17:18" ht="12.5">
      <c r="Q517" s="51"/>
      <c r="R517" s="51"/>
    </row>
    <row r="518" spans="17:18" ht="12.5">
      <c r="Q518" s="51"/>
      <c r="R518" s="51"/>
    </row>
    <row r="519" spans="17:18" ht="12.5">
      <c r="Q519" s="51"/>
      <c r="R519" s="51"/>
    </row>
    <row r="520" spans="17:18" ht="12.5">
      <c r="Q520" s="51"/>
      <c r="R520" s="51"/>
    </row>
    <row r="521" spans="17:18" ht="12.5">
      <c r="Q521" s="51"/>
      <c r="R521" s="51"/>
    </row>
    <row r="522" spans="17:18" ht="12.5">
      <c r="Q522" s="51"/>
      <c r="R522" s="51"/>
    </row>
    <row r="523" spans="17:18" ht="12.5">
      <c r="Q523" s="51"/>
      <c r="R523" s="51"/>
    </row>
    <row r="524" spans="17:18" ht="12.5">
      <c r="Q524" s="51"/>
      <c r="R524" s="51"/>
    </row>
    <row r="525" spans="17:18" ht="12.5">
      <c r="Q525" s="51"/>
      <c r="R525" s="51"/>
    </row>
    <row r="526" spans="17:18" ht="12.5">
      <c r="Q526" s="51"/>
      <c r="R526" s="51"/>
    </row>
    <row r="527" spans="17:18" ht="12.5">
      <c r="Q527" s="51"/>
      <c r="R527" s="51"/>
    </row>
    <row r="528" spans="17:18" ht="12.5">
      <c r="Q528" s="51"/>
      <c r="R528" s="51"/>
    </row>
    <row r="529" spans="17:18" ht="12.5">
      <c r="Q529" s="51"/>
      <c r="R529" s="51"/>
    </row>
    <row r="530" spans="17:18" ht="12.5">
      <c r="Q530" s="51"/>
      <c r="R530" s="51"/>
    </row>
    <row r="531" spans="17:18" ht="12.5">
      <c r="Q531" s="51"/>
      <c r="R531" s="51"/>
    </row>
    <row r="532" spans="17:18" ht="12.5">
      <c r="Q532" s="51"/>
      <c r="R532" s="51"/>
    </row>
    <row r="533" spans="17:18" ht="12.5">
      <c r="Q533" s="51"/>
      <c r="R533" s="51"/>
    </row>
    <row r="534" spans="17:18" ht="12.5">
      <c r="Q534" s="51"/>
      <c r="R534" s="51"/>
    </row>
    <row r="535" spans="17:18" ht="12.5">
      <c r="Q535" s="51"/>
      <c r="R535" s="51"/>
    </row>
    <row r="536" spans="17:18" ht="12.5">
      <c r="Q536" s="51"/>
      <c r="R536" s="51"/>
    </row>
    <row r="537" spans="17:18" ht="12.5">
      <c r="Q537" s="51"/>
      <c r="R537" s="51"/>
    </row>
    <row r="538" spans="17:18" ht="12.5">
      <c r="Q538" s="51"/>
      <c r="R538" s="51"/>
    </row>
    <row r="539" spans="17:18" ht="12.5">
      <c r="Q539" s="51"/>
      <c r="R539" s="51"/>
    </row>
    <row r="540" spans="17:18" ht="12.5">
      <c r="Q540" s="51"/>
      <c r="R540" s="51"/>
    </row>
    <row r="541" spans="17:18" ht="12.5">
      <c r="Q541" s="51"/>
      <c r="R541" s="51"/>
    </row>
    <row r="542" spans="17:18" ht="12.5">
      <c r="Q542" s="51"/>
      <c r="R542" s="51"/>
    </row>
    <row r="543" spans="17:18" ht="12.5">
      <c r="Q543" s="51"/>
      <c r="R543" s="51"/>
    </row>
    <row r="544" spans="17:18" ht="12.5">
      <c r="Q544" s="51"/>
      <c r="R544" s="51"/>
    </row>
    <row r="545" spans="17:18" ht="12.5">
      <c r="Q545" s="51"/>
      <c r="R545" s="51"/>
    </row>
    <row r="546" spans="17:18" ht="12.5">
      <c r="Q546" s="51"/>
      <c r="R546" s="51"/>
    </row>
    <row r="547" spans="17:18" ht="12.5">
      <c r="Q547" s="51"/>
      <c r="R547" s="51"/>
    </row>
    <row r="548" spans="17:18" ht="12.5">
      <c r="Q548" s="51"/>
      <c r="R548" s="51"/>
    </row>
    <row r="549" spans="17:18" ht="12.5">
      <c r="Q549" s="51"/>
      <c r="R549" s="51"/>
    </row>
    <row r="550" spans="17:18" ht="12.5">
      <c r="Q550" s="51"/>
      <c r="R550" s="51"/>
    </row>
    <row r="551" spans="17:18" ht="12.5">
      <c r="Q551" s="51"/>
      <c r="R551" s="51"/>
    </row>
    <row r="552" spans="17:18" ht="12.5">
      <c r="Q552" s="51"/>
      <c r="R552" s="51"/>
    </row>
    <row r="553" spans="17:18" ht="12.5">
      <c r="Q553" s="51"/>
      <c r="R553" s="51"/>
    </row>
    <row r="554" spans="17:18" ht="12.5">
      <c r="Q554" s="51"/>
      <c r="R554" s="51"/>
    </row>
    <row r="555" spans="17:18" ht="12.5">
      <c r="Q555" s="51"/>
      <c r="R555" s="51"/>
    </row>
    <row r="556" spans="17:18" ht="12.5">
      <c r="Q556" s="51"/>
      <c r="R556" s="51"/>
    </row>
    <row r="557" spans="17:18" ht="12.5">
      <c r="Q557" s="51"/>
      <c r="R557" s="51"/>
    </row>
    <row r="558" spans="17:18" ht="12.5">
      <c r="Q558" s="51"/>
      <c r="R558" s="51"/>
    </row>
    <row r="559" spans="17:18" ht="12.5">
      <c r="Q559" s="51"/>
      <c r="R559" s="51"/>
    </row>
    <row r="560" spans="17:18" ht="12.5">
      <c r="Q560" s="51"/>
      <c r="R560" s="51"/>
    </row>
    <row r="561" spans="17:18" ht="12.5">
      <c r="Q561" s="51"/>
      <c r="R561" s="51"/>
    </row>
    <row r="562" spans="17:18" ht="12.5">
      <c r="Q562" s="51"/>
      <c r="R562" s="51"/>
    </row>
    <row r="563" spans="17:18" ht="12.5">
      <c r="Q563" s="51"/>
      <c r="R563" s="51"/>
    </row>
    <row r="564" spans="17:18" ht="12.5">
      <c r="Q564" s="51"/>
      <c r="R564" s="51"/>
    </row>
    <row r="565" spans="17:18" ht="12.5">
      <c r="Q565" s="51"/>
      <c r="R565" s="51"/>
    </row>
    <row r="566" spans="17:18" ht="12.5">
      <c r="Q566" s="51"/>
      <c r="R566" s="51"/>
    </row>
    <row r="567" spans="17:18" ht="12.5">
      <c r="Q567" s="51"/>
      <c r="R567" s="51"/>
    </row>
    <row r="568" spans="17:18" ht="12.5">
      <c r="Q568" s="51"/>
      <c r="R568" s="51"/>
    </row>
    <row r="569" spans="17:18" ht="12.5">
      <c r="Q569" s="51"/>
      <c r="R569" s="51"/>
    </row>
    <row r="570" spans="17:18" ht="12.5">
      <c r="Q570" s="51"/>
      <c r="R570" s="51"/>
    </row>
    <row r="571" spans="17:18" ht="12.5">
      <c r="Q571" s="51"/>
      <c r="R571" s="51"/>
    </row>
    <row r="572" spans="17:18" ht="12.5">
      <c r="Q572" s="51"/>
      <c r="R572" s="51"/>
    </row>
    <row r="573" spans="17:18" ht="12.5">
      <c r="Q573" s="51"/>
      <c r="R573" s="51"/>
    </row>
    <row r="574" spans="17:18" ht="12.5">
      <c r="Q574" s="51"/>
      <c r="R574" s="51"/>
    </row>
    <row r="575" spans="17:18" ht="12.5">
      <c r="Q575" s="51"/>
      <c r="R575" s="51"/>
    </row>
    <row r="576" spans="17:18" ht="12.5">
      <c r="Q576" s="51"/>
      <c r="R576" s="51"/>
    </row>
    <row r="577" spans="17:18" ht="12.5">
      <c r="Q577" s="51"/>
      <c r="R577" s="51"/>
    </row>
    <row r="578" spans="17:18" ht="12.5">
      <c r="Q578" s="51"/>
      <c r="R578" s="51"/>
    </row>
    <row r="579" spans="17:18" ht="12.5">
      <c r="Q579" s="51"/>
      <c r="R579" s="51"/>
    </row>
    <row r="580" spans="17:18" ht="12.5">
      <c r="Q580" s="51"/>
      <c r="R580" s="51"/>
    </row>
    <row r="581" spans="17:18" ht="12.5">
      <c r="Q581" s="51"/>
      <c r="R581" s="51"/>
    </row>
    <row r="582" spans="17:18" ht="12.5">
      <c r="Q582" s="51"/>
      <c r="R582" s="51"/>
    </row>
    <row r="583" spans="17:18" ht="12.5">
      <c r="Q583" s="51"/>
      <c r="R583" s="51"/>
    </row>
    <row r="584" spans="17:18" ht="12.5">
      <c r="Q584" s="51"/>
      <c r="R584" s="51"/>
    </row>
    <row r="585" spans="17:18" ht="12.5">
      <c r="Q585" s="51"/>
      <c r="R585" s="51"/>
    </row>
    <row r="586" spans="17:18" ht="12.5">
      <c r="Q586" s="51"/>
      <c r="R586" s="51"/>
    </row>
    <row r="587" spans="17:18" ht="12.5">
      <c r="Q587" s="51"/>
      <c r="R587" s="51"/>
    </row>
    <row r="588" spans="17:18" ht="12.5">
      <c r="Q588" s="51"/>
      <c r="R588" s="51"/>
    </row>
    <row r="589" spans="17:18" ht="12.5">
      <c r="Q589" s="51"/>
      <c r="R589" s="51"/>
    </row>
    <row r="590" spans="17:18" ht="12.5">
      <c r="Q590" s="51"/>
      <c r="R590" s="51"/>
    </row>
    <row r="591" spans="17:18" ht="12.5">
      <c r="Q591" s="51"/>
      <c r="R591" s="51"/>
    </row>
    <row r="592" spans="17:18" ht="12.5">
      <c r="Q592" s="51"/>
      <c r="R592" s="51"/>
    </row>
    <row r="593" spans="17:18" ht="12.5">
      <c r="Q593" s="51"/>
      <c r="R593" s="51"/>
    </row>
    <row r="594" spans="17:18" ht="12.5">
      <c r="Q594" s="51"/>
      <c r="R594" s="51"/>
    </row>
    <row r="595" spans="17:18" ht="12.5">
      <c r="Q595" s="51"/>
      <c r="R595" s="51"/>
    </row>
    <row r="596" spans="17:18" ht="12.5">
      <c r="Q596" s="51"/>
      <c r="R596" s="51"/>
    </row>
    <row r="597" spans="17:18" ht="12.5">
      <c r="Q597" s="51"/>
      <c r="R597" s="51"/>
    </row>
    <row r="598" spans="17:18" ht="12.5">
      <c r="Q598" s="51"/>
      <c r="R598" s="51"/>
    </row>
    <row r="599" spans="17:18" ht="12.5">
      <c r="Q599" s="51"/>
      <c r="R599" s="51"/>
    </row>
    <row r="600" spans="17:18" ht="12.5">
      <c r="Q600" s="51"/>
      <c r="R600" s="51"/>
    </row>
    <row r="601" spans="17:18" ht="12.5">
      <c r="Q601" s="51"/>
      <c r="R601" s="51"/>
    </row>
    <row r="602" spans="17:18" ht="12.5">
      <c r="Q602" s="51"/>
      <c r="R602" s="51"/>
    </row>
    <row r="603" spans="17:18" ht="12.5">
      <c r="Q603" s="51"/>
      <c r="R603" s="51"/>
    </row>
    <row r="604" spans="17:18" ht="12.5">
      <c r="Q604" s="51"/>
      <c r="R604" s="51"/>
    </row>
    <row r="605" spans="17:18" ht="12.5">
      <c r="Q605" s="51"/>
      <c r="R605" s="51"/>
    </row>
    <row r="606" spans="17:18" ht="12.5">
      <c r="Q606" s="51"/>
      <c r="R606" s="51"/>
    </row>
    <row r="607" spans="17:18" ht="12.5">
      <c r="Q607" s="51"/>
      <c r="R607" s="51"/>
    </row>
    <row r="608" spans="17:18" ht="12.5">
      <c r="Q608" s="51"/>
      <c r="R608" s="51"/>
    </row>
    <row r="609" spans="17:18" ht="12.5">
      <c r="Q609" s="51"/>
      <c r="R609" s="51"/>
    </row>
    <row r="610" spans="17:18" ht="12.5">
      <c r="Q610" s="51"/>
      <c r="R610" s="51"/>
    </row>
    <row r="611" spans="17:18" ht="12.5">
      <c r="Q611" s="51"/>
      <c r="R611" s="51"/>
    </row>
    <row r="612" spans="17:18" ht="12.5">
      <c r="Q612" s="51"/>
      <c r="R612" s="51"/>
    </row>
    <row r="613" spans="17:18" ht="12.5">
      <c r="Q613" s="51"/>
      <c r="R613" s="51"/>
    </row>
    <row r="614" spans="17:18" ht="12.5">
      <c r="Q614" s="51"/>
      <c r="R614" s="51"/>
    </row>
    <row r="615" spans="17:18" ht="12.5">
      <c r="Q615" s="51"/>
      <c r="R615" s="51"/>
    </row>
    <row r="616" spans="17:18" ht="12.5">
      <c r="Q616" s="51"/>
      <c r="R616" s="51"/>
    </row>
    <row r="617" spans="17:18" ht="12.5">
      <c r="Q617" s="51"/>
      <c r="R617" s="51"/>
    </row>
    <row r="618" spans="17:18" ht="12.5">
      <c r="Q618" s="51"/>
      <c r="R618" s="51"/>
    </row>
    <row r="619" spans="17:18" ht="12.5">
      <c r="Q619" s="51"/>
      <c r="R619" s="51"/>
    </row>
    <row r="620" spans="17:18" ht="12.5">
      <c r="Q620" s="51"/>
      <c r="R620" s="51"/>
    </row>
    <row r="621" spans="17:18" ht="12.5">
      <c r="Q621" s="51"/>
      <c r="R621" s="51"/>
    </row>
    <row r="622" spans="17:18" ht="12.5">
      <c r="Q622" s="51"/>
      <c r="R622" s="51"/>
    </row>
    <row r="623" spans="17:18" ht="12.5">
      <c r="Q623" s="51"/>
      <c r="R623" s="51"/>
    </row>
    <row r="624" spans="17:18" ht="12.5">
      <c r="Q624" s="51"/>
      <c r="R624" s="51"/>
    </row>
    <row r="625" spans="17:18" ht="12.5">
      <c r="Q625" s="51"/>
      <c r="R625" s="51"/>
    </row>
    <row r="626" spans="17:18" ht="12.5">
      <c r="Q626" s="51"/>
      <c r="R626" s="51"/>
    </row>
    <row r="627" spans="17:18" ht="12.5">
      <c r="Q627" s="51"/>
      <c r="R627" s="51"/>
    </row>
    <row r="628" spans="17:18" ht="12.5">
      <c r="Q628" s="51"/>
      <c r="R628" s="51"/>
    </row>
    <row r="629" spans="17:18" ht="12.5">
      <c r="Q629" s="51"/>
      <c r="R629" s="51"/>
    </row>
    <row r="630" spans="17:18" ht="12.5">
      <c r="Q630" s="51"/>
      <c r="R630" s="51"/>
    </row>
    <row r="631" spans="17:18" ht="12.5">
      <c r="Q631" s="51"/>
      <c r="R631" s="51"/>
    </row>
    <row r="632" spans="17:18" ht="12.5">
      <c r="Q632" s="51"/>
      <c r="R632" s="51"/>
    </row>
    <row r="633" spans="17:18" ht="12.5">
      <c r="Q633" s="51"/>
      <c r="R633" s="51"/>
    </row>
    <row r="634" spans="17:18" ht="12.5">
      <c r="Q634" s="51"/>
      <c r="R634" s="51"/>
    </row>
    <row r="635" spans="17:18" ht="12.5">
      <c r="Q635" s="51"/>
      <c r="R635" s="51"/>
    </row>
    <row r="636" spans="17:18" ht="12.5">
      <c r="Q636" s="51"/>
      <c r="R636" s="51"/>
    </row>
    <row r="637" spans="17:18" ht="12.5">
      <c r="Q637" s="51"/>
      <c r="R637" s="51"/>
    </row>
    <row r="638" spans="17:18" ht="12.5">
      <c r="Q638" s="51"/>
      <c r="R638" s="51"/>
    </row>
    <row r="639" spans="17:18" ht="12.5">
      <c r="Q639" s="51"/>
      <c r="R639" s="51"/>
    </row>
    <row r="640" spans="17:18" ht="12.5">
      <c r="Q640" s="51"/>
      <c r="R640" s="51"/>
    </row>
    <row r="641" spans="17:18" ht="12.5">
      <c r="Q641" s="51"/>
      <c r="R641" s="51"/>
    </row>
    <row r="642" spans="17:18" ht="12.5">
      <c r="Q642" s="51"/>
      <c r="R642" s="51"/>
    </row>
    <row r="643" spans="17:18" ht="12.5">
      <c r="Q643" s="51"/>
      <c r="R643" s="51"/>
    </row>
    <row r="644" spans="17:18" ht="12.5">
      <c r="Q644" s="51"/>
      <c r="R644" s="51"/>
    </row>
    <row r="645" spans="17:18" ht="12.5">
      <c r="Q645" s="51"/>
      <c r="R645" s="51"/>
    </row>
    <row r="646" spans="17:18" ht="12.5">
      <c r="Q646" s="51"/>
      <c r="R646" s="51"/>
    </row>
    <row r="647" spans="17:18" ht="12.5">
      <c r="Q647" s="51"/>
      <c r="R647" s="51"/>
    </row>
    <row r="648" spans="17:18" ht="12.5">
      <c r="Q648" s="51"/>
      <c r="R648" s="51"/>
    </row>
    <row r="649" spans="17:18" ht="12.5">
      <c r="Q649" s="51"/>
      <c r="R649" s="51"/>
    </row>
    <row r="650" spans="17:18" ht="12.5">
      <c r="Q650" s="51"/>
      <c r="R650" s="51"/>
    </row>
    <row r="651" spans="17:18" ht="12.5">
      <c r="Q651" s="51"/>
      <c r="R651" s="51"/>
    </row>
    <row r="652" spans="17:18" ht="12.5">
      <c r="Q652" s="51"/>
      <c r="R652" s="51"/>
    </row>
    <row r="653" spans="17:18" ht="12.5">
      <c r="Q653" s="51"/>
      <c r="R653" s="51"/>
    </row>
    <row r="654" spans="17:18" ht="12.5">
      <c r="Q654" s="51"/>
      <c r="R654" s="51"/>
    </row>
    <row r="655" spans="17:18" ht="12.5">
      <c r="Q655" s="51"/>
      <c r="R655" s="51"/>
    </row>
    <row r="656" spans="17:18" ht="12.5">
      <c r="Q656" s="51"/>
      <c r="R656" s="51"/>
    </row>
    <row r="657" spans="17:18" ht="12.5">
      <c r="Q657" s="51"/>
      <c r="R657" s="51"/>
    </row>
    <row r="658" spans="17:18" ht="12.5">
      <c r="Q658" s="51"/>
      <c r="R658" s="51"/>
    </row>
    <row r="659" spans="17:18" ht="12.5">
      <c r="Q659" s="51"/>
      <c r="R659" s="51"/>
    </row>
    <row r="660" spans="17:18" ht="12.5">
      <c r="Q660" s="51"/>
      <c r="R660" s="51"/>
    </row>
    <row r="661" spans="17:18" ht="12.5">
      <c r="Q661" s="51"/>
      <c r="R661" s="51"/>
    </row>
    <row r="662" spans="17:18" ht="12.5">
      <c r="Q662" s="51"/>
      <c r="R662" s="51"/>
    </row>
    <row r="663" spans="17:18" ht="12.5">
      <c r="Q663" s="51"/>
      <c r="R663" s="51"/>
    </row>
    <row r="664" spans="17:18" ht="12.5">
      <c r="Q664" s="51"/>
      <c r="R664" s="51"/>
    </row>
    <row r="665" spans="17:18" ht="12.5">
      <c r="Q665" s="51"/>
      <c r="R665" s="51"/>
    </row>
    <row r="666" spans="17:18" ht="12.5">
      <c r="Q666" s="51"/>
      <c r="R666" s="51"/>
    </row>
    <row r="667" spans="17:18" ht="12.5">
      <c r="Q667" s="51"/>
      <c r="R667" s="51"/>
    </row>
    <row r="668" spans="17:18" ht="12.5">
      <c r="Q668" s="51"/>
      <c r="R668" s="51"/>
    </row>
    <row r="669" spans="17:18" ht="12.5">
      <c r="Q669" s="51"/>
      <c r="R669" s="51"/>
    </row>
    <row r="670" spans="17:18" ht="12.5">
      <c r="Q670" s="51"/>
      <c r="R670" s="51"/>
    </row>
    <row r="671" spans="17:18" ht="12.5">
      <c r="Q671" s="51"/>
      <c r="R671" s="51"/>
    </row>
    <row r="672" spans="17:18" ht="12.5">
      <c r="Q672" s="51"/>
      <c r="R672" s="51"/>
    </row>
    <row r="673" spans="17:18" ht="12.5">
      <c r="Q673" s="51"/>
      <c r="R673" s="51"/>
    </row>
    <row r="674" spans="17:18" ht="12.5">
      <c r="Q674" s="51"/>
      <c r="R674" s="51"/>
    </row>
    <row r="675" spans="17:18" ht="12.5">
      <c r="Q675" s="51"/>
      <c r="R675" s="51"/>
    </row>
    <row r="676" spans="17:18" ht="12.5">
      <c r="Q676" s="51"/>
      <c r="R676" s="51"/>
    </row>
    <row r="677" spans="17:18" ht="12.5">
      <c r="Q677" s="51"/>
      <c r="R677" s="51"/>
    </row>
    <row r="678" spans="17:18" ht="12.5">
      <c r="Q678" s="51"/>
      <c r="R678" s="51"/>
    </row>
    <row r="679" spans="17:18" ht="12.5">
      <c r="Q679" s="51"/>
      <c r="R679" s="51"/>
    </row>
    <row r="680" spans="17:18" ht="12.5">
      <c r="Q680" s="51"/>
      <c r="R680" s="51"/>
    </row>
    <row r="681" spans="17:18" ht="12.5">
      <c r="Q681" s="51"/>
      <c r="R681" s="51"/>
    </row>
    <row r="682" spans="17:18" ht="12.5">
      <c r="Q682" s="51"/>
      <c r="R682" s="51"/>
    </row>
    <row r="683" spans="17:18" ht="12.5">
      <c r="Q683" s="51"/>
      <c r="R683" s="51"/>
    </row>
    <row r="684" spans="17:18" ht="12.5">
      <c r="Q684" s="51"/>
      <c r="R684" s="51"/>
    </row>
    <row r="685" spans="17:18" ht="12.5">
      <c r="Q685" s="51"/>
      <c r="R685" s="51"/>
    </row>
    <row r="686" spans="17:18" ht="12.5">
      <c r="Q686" s="51"/>
      <c r="R686" s="51"/>
    </row>
    <row r="687" spans="17:18" ht="12.5">
      <c r="Q687" s="51"/>
      <c r="R687" s="51"/>
    </row>
    <row r="688" spans="17:18" ht="12.5">
      <c r="Q688" s="51"/>
      <c r="R688" s="51"/>
    </row>
    <row r="689" spans="17:18" ht="12.5">
      <c r="Q689" s="51"/>
      <c r="R689" s="51"/>
    </row>
    <row r="690" spans="17:18" ht="12.5">
      <c r="Q690" s="51"/>
      <c r="R690" s="51"/>
    </row>
    <row r="691" spans="17:18" ht="12.5">
      <c r="Q691" s="51"/>
      <c r="R691" s="51"/>
    </row>
    <row r="692" spans="17:18" ht="12.5">
      <c r="Q692" s="51"/>
      <c r="R692" s="51"/>
    </row>
    <row r="693" spans="17:18" ht="12.5">
      <c r="Q693" s="51"/>
      <c r="R693" s="51"/>
    </row>
    <row r="694" spans="17:18" ht="12.5">
      <c r="Q694" s="51"/>
      <c r="R694" s="51"/>
    </row>
    <row r="695" spans="17:18" ht="12.5">
      <c r="Q695" s="51"/>
      <c r="R695" s="51"/>
    </row>
    <row r="696" spans="17:18" ht="12.5">
      <c r="Q696" s="51"/>
      <c r="R696" s="51"/>
    </row>
    <row r="697" spans="17:18" ht="12.5">
      <c r="Q697" s="51"/>
      <c r="R697" s="51"/>
    </row>
    <row r="698" spans="17:18" ht="12.5">
      <c r="Q698" s="51"/>
      <c r="R698" s="51"/>
    </row>
    <row r="699" spans="17:18" ht="12.5">
      <c r="Q699" s="51"/>
      <c r="R699" s="51"/>
    </row>
    <row r="700" spans="17:18" ht="12.5">
      <c r="Q700" s="51"/>
      <c r="R700" s="51"/>
    </row>
    <row r="701" spans="17:18" ht="12.5">
      <c r="Q701" s="51"/>
      <c r="R701" s="51"/>
    </row>
    <row r="702" spans="17:18" ht="12.5">
      <c r="Q702" s="51"/>
      <c r="R702" s="51"/>
    </row>
    <row r="703" spans="17:18" ht="12.5">
      <c r="Q703" s="51"/>
      <c r="R703" s="51"/>
    </row>
    <row r="704" spans="17:18" ht="12.5">
      <c r="Q704" s="51"/>
      <c r="R704" s="51"/>
    </row>
    <row r="705" spans="17:18" ht="12.5">
      <c r="Q705" s="51"/>
      <c r="R705" s="51"/>
    </row>
    <row r="706" spans="17:18" ht="12.5">
      <c r="Q706" s="51"/>
      <c r="R706" s="51"/>
    </row>
    <row r="707" spans="17:18" ht="12.5">
      <c r="Q707" s="51"/>
      <c r="R707" s="51"/>
    </row>
    <row r="708" spans="17:18" ht="12.5">
      <c r="Q708" s="51"/>
      <c r="R708" s="51"/>
    </row>
    <row r="709" spans="17:18" ht="12.5">
      <c r="Q709" s="51"/>
      <c r="R709" s="51"/>
    </row>
    <row r="710" spans="17:18" ht="12.5">
      <c r="Q710" s="51"/>
      <c r="R710" s="51"/>
    </row>
    <row r="711" spans="17:18" ht="12.5">
      <c r="Q711" s="51"/>
      <c r="R711" s="51"/>
    </row>
    <row r="712" spans="17:18" ht="12.5">
      <c r="Q712" s="51"/>
      <c r="R712" s="51"/>
    </row>
    <row r="713" spans="17:18" ht="12.5">
      <c r="Q713" s="51"/>
      <c r="R713" s="51"/>
    </row>
    <row r="714" spans="17:18" ht="12.5">
      <c r="Q714" s="51"/>
      <c r="R714" s="51"/>
    </row>
    <row r="715" spans="17:18" ht="12.5">
      <c r="Q715" s="51"/>
      <c r="R715" s="51"/>
    </row>
    <row r="716" spans="17:18" ht="12.5">
      <c r="Q716" s="51"/>
      <c r="R716" s="51"/>
    </row>
    <row r="717" spans="17:18" ht="12.5">
      <c r="Q717" s="51"/>
      <c r="R717" s="51"/>
    </row>
    <row r="718" spans="17:18" ht="12.5">
      <c r="Q718" s="51"/>
      <c r="R718" s="51"/>
    </row>
    <row r="719" spans="17:18" ht="12.5">
      <c r="Q719" s="51"/>
      <c r="R719" s="51"/>
    </row>
    <row r="720" spans="17:18" ht="12.5">
      <c r="Q720" s="51"/>
      <c r="R720" s="51"/>
    </row>
    <row r="721" spans="17:18" ht="12.5">
      <c r="Q721" s="51"/>
      <c r="R721" s="51"/>
    </row>
    <row r="722" spans="17:18" ht="12.5">
      <c r="Q722" s="51"/>
      <c r="R722" s="51"/>
    </row>
    <row r="723" spans="17:18" ht="12.5">
      <c r="Q723" s="51"/>
      <c r="R723" s="51"/>
    </row>
    <row r="724" spans="17:18" ht="12.5">
      <c r="Q724" s="51"/>
      <c r="R724" s="51"/>
    </row>
    <row r="725" spans="17:18" ht="12.5">
      <c r="Q725" s="51"/>
      <c r="R725" s="51"/>
    </row>
    <row r="726" spans="17:18" ht="12.5">
      <c r="Q726" s="51"/>
      <c r="R726" s="51"/>
    </row>
    <row r="727" spans="17:18" ht="12.5">
      <c r="Q727" s="51"/>
      <c r="R727" s="51"/>
    </row>
    <row r="728" spans="17:18" ht="12.5">
      <c r="Q728" s="51"/>
      <c r="R728" s="51"/>
    </row>
    <row r="729" spans="17:18" ht="12.5">
      <c r="Q729" s="51"/>
      <c r="R729" s="51"/>
    </row>
    <row r="730" spans="17:18" ht="12.5">
      <c r="Q730" s="51"/>
      <c r="R730" s="51"/>
    </row>
    <row r="731" spans="17:18" ht="12.5">
      <c r="Q731" s="51"/>
      <c r="R731" s="51"/>
    </row>
    <row r="732" spans="17:18" ht="12.5">
      <c r="Q732" s="51"/>
      <c r="R732" s="51"/>
    </row>
    <row r="733" spans="17:18" ht="12.5">
      <c r="Q733" s="51"/>
      <c r="R733" s="51"/>
    </row>
    <row r="734" spans="17:18" ht="12.5">
      <c r="Q734" s="51"/>
      <c r="R734" s="51"/>
    </row>
    <row r="735" spans="17:18" ht="12.5">
      <c r="Q735" s="51"/>
      <c r="R735" s="51"/>
    </row>
    <row r="736" spans="17:18" ht="12.5">
      <c r="Q736" s="51"/>
      <c r="R736" s="51"/>
    </row>
    <row r="737" spans="17:18" ht="12.5">
      <c r="Q737" s="51"/>
      <c r="R737" s="51"/>
    </row>
    <row r="738" spans="17:18" ht="12.5">
      <c r="Q738" s="51"/>
      <c r="R738" s="51"/>
    </row>
    <row r="739" spans="17:18" ht="12.5">
      <c r="Q739" s="51"/>
      <c r="R739" s="51"/>
    </row>
    <row r="740" spans="17:18" ht="12.5">
      <c r="Q740" s="51"/>
      <c r="R740" s="51"/>
    </row>
    <row r="741" spans="17:18" ht="12.5">
      <c r="Q741" s="51"/>
      <c r="R741" s="51"/>
    </row>
    <row r="742" spans="17:18" ht="12.5">
      <c r="Q742" s="51"/>
      <c r="R742" s="51"/>
    </row>
    <row r="743" spans="17:18" ht="12.5">
      <c r="Q743" s="51"/>
      <c r="R743" s="51"/>
    </row>
    <row r="744" spans="17:18" ht="12.5">
      <c r="Q744" s="51"/>
      <c r="R744" s="51"/>
    </row>
    <row r="745" spans="17:18" ht="12.5">
      <c r="Q745" s="51"/>
      <c r="R745" s="51"/>
    </row>
    <row r="746" spans="17:18" ht="12.5">
      <c r="Q746" s="51"/>
      <c r="R746" s="51"/>
    </row>
    <row r="747" spans="17:18" ht="12.5">
      <c r="Q747" s="51"/>
      <c r="R747" s="51"/>
    </row>
    <row r="748" spans="17:18" ht="12.5">
      <c r="Q748" s="51"/>
      <c r="R748" s="51"/>
    </row>
    <row r="749" spans="17:18" ht="12.5">
      <c r="Q749" s="51"/>
      <c r="R749" s="51"/>
    </row>
    <row r="750" spans="17:18" ht="12.5">
      <c r="Q750" s="51"/>
      <c r="R750" s="51"/>
    </row>
    <row r="751" spans="17:18" ht="12.5">
      <c r="Q751" s="51"/>
      <c r="R751" s="51"/>
    </row>
    <row r="752" spans="17:18" ht="12.5">
      <c r="Q752" s="51"/>
      <c r="R752" s="51"/>
    </row>
    <row r="753" spans="17:18" ht="12.5">
      <c r="Q753" s="51"/>
      <c r="R753" s="51"/>
    </row>
    <row r="754" spans="17:18" ht="12.5">
      <c r="Q754" s="51"/>
      <c r="R754" s="51"/>
    </row>
    <row r="755" spans="17:18" ht="12.5">
      <c r="Q755" s="51"/>
      <c r="R755" s="51"/>
    </row>
    <row r="756" spans="17:18" ht="12.5">
      <c r="Q756" s="51"/>
      <c r="R756" s="51"/>
    </row>
    <row r="757" spans="17:18" ht="12.5">
      <c r="Q757" s="51"/>
      <c r="R757" s="51"/>
    </row>
    <row r="758" spans="17:18" ht="12.5">
      <c r="Q758" s="51"/>
      <c r="R758" s="51"/>
    </row>
    <row r="759" spans="17:18" ht="12.5">
      <c r="Q759" s="51"/>
      <c r="R759" s="51"/>
    </row>
    <row r="760" spans="17:18" ht="12.5">
      <c r="Q760" s="51"/>
      <c r="R760" s="51"/>
    </row>
    <row r="761" spans="17:18" ht="12.5">
      <c r="Q761" s="51"/>
      <c r="R761" s="51"/>
    </row>
    <row r="762" spans="17:18" ht="12.5">
      <c r="Q762" s="51"/>
      <c r="R762" s="51"/>
    </row>
    <row r="763" spans="17:18" ht="12.5">
      <c r="Q763" s="51"/>
      <c r="R763" s="51"/>
    </row>
    <row r="764" spans="17:18" ht="12.5">
      <c r="Q764" s="51"/>
      <c r="R764" s="51"/>
    </row>
    <row r="765" spans="17:18" ht="12.5">
      <c r="Q765" s="51"/>
      <c r="R765" s="51"/>
    </row>
    <row r="766" spans="17:18" ht="12.5">
      <c r="Q766" s="51"/>
      <c r="R766" s="51"/>
    </row>
    <row r="767" spans="17:18" ht="12.5">
      <c r="Q767" s="51"/>
      <c r="R767" s="51"/>
    </row>
    <row r="768" spans="17:18" ht="12.5">
      <c r="Q768" s="51"/>
      <c r="R768" s="51"/>
    </row>
    <row r="769" spans="17:18" ht="12.5">
      <c r="Q769" s="51"/>
      <c r="R769" s="51"/>
    </row>
    <row r="770" spans="17:18" ht="12.5">
      <c r="Q770" s="51"/>
      <c r="R770" s="51"/>
    </row>
    <row r="771" spans="17:18" ht="12.5">
      <c r="Q771" s="51"/>
      <c r="R771" s="51"/>
    </row>
    <row r="772" spans="17:18" ht="12.5">
      <c r="Q772" s="51"/>
      <c r="R772" s="51"/>
    </row>
    <row r="773" spans="17:18" ht="12.5">
      <c r="Q773" s="51"/>
      <c r="R773" s="51"/>
    </row>
    <row r="774" spans="17:18" ht="12.5">
      <c r="Q774" s="51"/>
      <c r="R774" s="51"/>
    </row>
    <row r="775" spans="17:18" ht="12.5">
      <c r="Q775" s="51"/>
      <c r="R775" s="51"/>
    </row>
    <row r="776" spans="17:18" ht="12.5">
      <c r="Q776" s="51"/>
      <c r="R776" s="51"/>
    </row>
    <row r="777" spans="17:18" ht="12.5">
      <c r="Q777" s="51"/>
      <c r="R777" s="51"/>
    </row>
    <row r="778" spans="17:18" ht="12.5">
      <c r="Q778" s="51"/>
      <c r="R778" s="51"/>
    </row>
    <row r="779" spans="17:18" ht="12.5">
      <c r="Q779" s="51"/>
      <c r="R779" s="51"/>
    </row>
    <row r="780" spans="17:18" ht="12.5">
      <c r="Q780" s="51"/>
      <c r="R780" s="51"/>
    </row>
    <row r="781" spans="17:18" ht="12.5">
      <c r="Q781" s="51"/>
      <c r="R781" s="51"/>
    </row>
    <row r="782" spans="17:18" ht="12.5">
      <c r="Q782" s="51"/>
      <c r="R782" s="51"/>
    </row>
    <row r="783" spans="17:18" ht="12.5">
      <c r="Q783" s="51"/>
      <c r="R783" s="51"/>
    </row>
    <row r="784" spans="17:18" ht="12.5">
      <c r="Q784" s="51"/>
      <c r="R784" s="51"/>
    </row>
    <row r="785" spans="17:18" ht="12.5">
      <c r="Q785" s="51"/>
      <c r="R785" s="51"/>
    </row>
    <row r="786" spans="17:18" ht="12.5">
      <c r="Q786" s="51"/>
      <c r="R786" s="51"/>
    </row>
    <row r="787" spans="17:18" ht="12.5">
      <c r="Q787" s="51"/>
      <c r="R787" s="51"/>
    </row>
    <row r="788" spans="17:18" ht="12.5">
      <c r="Q788" s="51"/>
      <c r="R788" s="51"/>
    </row>
    <row r="789" spans="17:18" ht="12.5">
      <c r="Q789" s="51"/>
      <c r="R789" s="51"/>
    </row>
    <row r="790" spans="17:18" ht="12.5">
      <c r="Q790" s="51"/>
      <c r="R790" s="51"/>
    </row>
    <row r="791" spans="17:18" ht="12.5">
      <c r="Q791" s="51"/>
      <c r="R791" s="51"/>
    </row>
    <row r="792" spans="17:18" ht="12.5">
      <c r="Q792" s="51"/>
      <c r="R792" s="51"/>
    </row>
    <row r="793" spans="17:18" ht="12.5">
      <c r="Q793" s="51"/>
      <c r="R793" s="51"/>
    </row>
    <row r="794" spans="17:18" ht="12.5">
      <c r="Q794" s="51"/>
      <c r="R794" s="51"/>
    </row>
    <row r="795" spans="17:18" ht="12.5">
      <c r="Q795" s="51"/>
      <c r="R795" s="51"/>
    </row>
    <row r="796" spans="17:18" ht="12.5">
      <c r="Q796" s="51"/>
      <c r="R796" s="51"/>
    </row>
    <row r="797" spans="17:18" ht="12.5">
      <c r="Q797" s="51"/>
      <c r="R797" s="51"/>
    </row>
    <row r="798" spans="17:18" ht="12.5">
      <c r="Q798" s="51"/>
      <c r="R798" s="51"/>
    </row>
    <row r="799" spans="17:18" ht="12.5">
      <c r="Q799" s="51"/>
      <c r="R799" s="51"/>
    </row>
    <row r="800" spans="17:18" ht="12.5">
      <c r="Q800" s="51"/>
      <c r="R800" s="51"/>
    </row>
    <row r="801" spans="17:18" ht="12.5">
      <c r="Q801" s="51"/>
      <c r="R801" s="51"/>
    </row>
    <row r="802" spans="17:18" ht="12.5">
      <c r="Q802" s="51"/>
      <c r="R802" s="51"/>
    </row>
    <row r="803" spans="17:18" ht="12.5">
      <c r="Q803" s="51"/>
      <c r="R803" s="51"/>
    </row>
    <row r="804" spans="17:18" ht="12.5">
      <c r="Q804" s="51"/>
      <c r="R804" s="51"/>
    </row>
    <row r="805" spans="17:18" ht="12.5">
      <c r="Q805" s="51"/>
      <c r="R805" s="51"/>
    </row>
    <row r="806" spans="17:18" ht="12.5">
      <c r="Q806" s="51"/>
      <c r="R806" s="51"/>
    </row>
    <row r="807" spans="17:18" ht="12.5">
      <c r="Q807" s="51"/>
      <c r="R807" s="51"/>
    </row>
    <row r="808" spans="17:18" ht="12.5">
      <c r="Q808" s="51"/>
      <c r="R808" s="51"/>
    </row>
    <row r="809" spans="17:18" ht="12.5">
      <c r="Q809" s="51"/>
      <c r="R809" s="51"/>
    </row>
    <row r="810" spans="17:18" ht="12.5">
      <c r="Q810" s="51"/>
      <c r="R810" s="51"/>
    </row>
    <row r="811" spans="17:18" ht="12.5">
      <c r="Q811" s="51"/>
      <c r="R811" s="51"/>
    </row>
    <row r="812" spans="17:18" ht="12.5">
      <c r="Q812" s="51"/>
      <c r="R812" s="51"/>
    </row>
    <row r="813" spans="17:18" ht="12.5">
      <c r="Q813" s="51"/>
      <c r="R813" s="51"/>
    </row>
    <row r="814" spans="17:18" ht="12.5">
      <c r="Q814" s="51"/>
      <c r="R814" s="51"/>
    </row>
    <row r="815" spans="17:18" ht="12.5">
      <c r="Q815" s="51"/>
      <c r="R815" s="51"/>
    </row>
    <row r="816" spans="17:18" ht="12.5">
      <c r="Q816" s="51"/>
      <c r="R816" s="51"/>
    </row>
    <row r="817" spans="17:18" ht="12.5">
      <c r="Q817" s="51"/>
      <c r="R817" s="51"/>
    </row>
    <row r="818" spans="17:18" ht="12.5">
      <c r="Q818" s="51"/>
      <c r="R818" s="51"/>
    </row>
    <row r="819" spans="17:18" ht="12.5">
      <c r="Q819" s="51"/>
      <c r="R819" s="51"/>
    </row>
    <row r="820" spans="17:18" ht="12.5">
      <c r="Q820" s="51"/>
      <c r="R820" s="51"/>
    </row>
    <row r="821" spans="17:18" ht="12.5">
      <c r="Q821" s="51"/>
      <c r="R821" s="51"/>
    </row>
    <row r="822" spans="17:18" ht="12.5">
      <c r="Q822" s="51"/>
      <c r="R822" s="51"/>
    </row>
    <row r="823" spans="17:18" ht="12.5">
      <c r="Q823" s="51"/>
      <c r="R823" s="51"/>
    </row>
    <row r="824" spans="17:18" ht="12.5">
      <c r="Q824" s="51"/>
      <c r="R824" s="51"/>
    </row>
    <row r="825" spans="17:18" ht="12.5">
      <c r="Q825" s="51"/>
      <c r="R825" s="51"/>
    </row>
    <row r="826" spans="17:18" ht="12.5">
      <c r="Q826" s="51"/>
      <c r="R826" s="51"/>
    </row>
    <row r="827" spans="17:18" ht="12.5">
      <c r="Q827" s="51"/>
      <c r="R827" s="51"/>
    </row>
    <row r="828" spans="17:18" ht="12.5">
      <c r="Q828" s="51"/>
      <c r="R828" s="51"/>
    </row>
    <row r="829" spans="17:18" ht="12.5">
      <c r="Q829" s="51"/>
      <c r="R829" s="51"/>
    </row>
    <row r="830" spans="17:18" ht="12.5">
      <c r="Q830" s="51"/>
      <c r="R830" s="51"/>
    </row>
    <row r="831" spans="17:18" ht="12.5">
      <c r="Q831" s="51"/>
      <c r="R831" s="51"/>
    </row>
    <row r="832" spans="17:18" ht="12.5">
      <c r="Q832" s="51"/>
      <c r="R832" s="51"/>
    </row>
    <row r="833" spans="17:18" ht="12.5">
      <c r="Q833" s="51"/>
      <c r="R833" s="51"/>
    </row>
    <row r="834" spans="17:18" ht="12.5">
      <c r="Q834" s="51"/>
      <c r="R834" s="51"/>
    </row>
    <row r="835" spans="17:18" ht="12.5">
      <c r="Q835" s="51"/>
      <c r="R835" s="51"/>
    </row>
    <row r="836" spans="17:18" ht="12.5">
      <c r="Q836" s="51"/>
      <c r="R836" s="51"/>
    </row>
    <row r="837" spans="17:18" ht="12.5">
      <c r="Q837" s="51"/>
      <c r="R837" s="51"/>
    </row>
    <row r="838" spans="17:18" ht="12.5">
      <c r="Q838" s="51"/>
      <c r="R838" s="51"/>
    </row>
    <row r="839" spans="17:18" ht="12.5">
      <c r="Q839" s="51"/>
      <c r="R839" s="51"/>
    </row>
    <row r="840" spans="17:18" ht="12.5">
      <c r="Q840" s="51"/>
      <c r="R840" s="51"/>
    </row>
    <row r="841" spans="17:18" ht="12.5">
      <c r="Q841" s="51"/>
      <c r="R841" s="51"/>
    </row>
    <row r="842" spans="17:18" ht="12.5">
      <c r="Q842" s="51"/>
      <c r="R842" s="51"/>
    </row>
    <row r="843" spans="17:18" ht="12.5">
      <c r="Q843" s="51"/>
      <c r="R843" s="51"/>
    </row>
    <row r="844" spans="17:18" ht="12.5">
      <c r="Q844" s="51"/>
      <c r="R844" s="51"/>
    </row>
    <row r="845" spans="17:18" ht="12.5">
      <c r="Q845" s="51"/>
      <c r="R845" s="51"/>
    </row>
    <row r="846" spans="17:18" ht="12.5">
      <c r="Q846" s="51"/>
      <c r="R846" s="51"/>
    </row>
    <row r="847" spans="17:18" ht="12.5">
      <c r="Q847" s="51"/>
      <c r="R847" s="51"/>
    </row>
    <row r="848" spans="17:18" ht="12.5">
      <c r="Q848" s="51"/>
      <c r="R848" s="51"/>
    </row>
    <row r="849" spans="17:18" ht="12.5">
      <c r="Q849" s="51"/>
      <c r="R849" s="51"/>
    </row>
    <row r="850" spans="17:18" ht="12.5">
      <c r="Q850" s="51"/>
      <c r="R850" s="51"/>
    </row>
    <row r="851" spans="17:18" ht="12.5">
      <c r="Q851" s="51"/>
      <c r="R851" s="51"/>
    </row>
    <row r="852" spans="17:18" ht="12.5">
      <c r="Q852" s="51"/>
      <c r="R852" s="51"/>
    </row>
    <row r="853" spans="17:18" ht="12.5">
      <c r="Q853" s="51"/>
      <c r="R853" s="51"/>
    </row>
    <row r="854" spans="17:18" ht="12.5">
      <c r="Q854" s="51"/>
      <c r="R854" s="51"/>
    </row>
    <row r="855" spans="17:18" ht="12.5">
      <c r="Q855" s="51"/>
      <c r="R855" s="51"/>
    </row>
    <row r="856" spans="17:18" ht="12.5">
      <c r="Q856" s="51"/>
      <c r="R856" s="51"/>
    </row>
    <row r="857" spans="17:18" ht="12.5">
      <c r="Q857" s="51"/>
      <c r="R857" s="51"/>
    </row>
    <row r="858" spans="17:18" ht="12.5">
      <c r="Q858" s="51"/>
      <c r="R858" s="51"/>
    </row>
    <row r="859" spans="17:18" ht="12.5">
      <c r="Q859" s="51"/>
      <c r="R859" s="51"/>
    </row>
    <row r="860" spans="17:18" ht="12.5">
      <c r="Q860" s="51"/>
      <c r="R860" s="51"/>
    </row>
    <row r="861" spans="17:18" ht="12.5">
      <c r="Q861" s="51"/>
      <c r="R861" s="51"/>
    </row>
    <row r="862" spans="17:18" ht="12.5">
      <c r="Q862" s="51"/>
      <c r="R862" s="51"/>
    </row>
    <row r="863" spans="17:18" ht="12.5">
      <c r="Q863" s="51"/>
      <c r="R863" s="51"/>
    </row>
    <row r="864" spans="17:18" ht="12.5">
      <c r="Q864" s="51"/>
      <c r="R864" s="51"/>
    </row>
    <row r="865" spans="17:18" ht="12.5">
      <c r="Q865" s="51"/>
      <c r="R865" s="51"/>
    </row>
    <row r="866" spans="17:18" ht="12.5">
      <c r="Q866" s="51"/>
      <c r="R866" s="51"/>
    </row>
    <row r="867" spans="17:18" ht="12.5">
      <c r="Q867" s="51"/>
      <c r="R867" s="51"/>
    </row>
    <row r="868" spans="17:18" ht="12.5">
      <c r="Q868" s="51"/>
      <c r="R868" s="51"/>
    </row>
    <row r="869" spans="17:18" ht="12.5">
      <c r="Q869" s="51"/>
      <c r="R869" s="51"/>
    </row>
    <row r="870" spans="17:18" ht="12.5">
      <c r="Q870" s="51"/>
      <c r="R870" s="51"/>
    </row>
    <row r="871" spans="17:18" ht="12.5">
      <c r="Q871" s="51"/>
      <c r="R871" s="51"/>
    </row>
    <row r="872" spans="17:18" ht="12.5">
      <c r="Q872" s="51"/>
      <c r="R872" s="51"/>
    </row>
    <row r="873" spans="17:18" ht="12.5">
      <c r="Q873" s="51"/>
      <c r="R873" s="51"/>
    </row>
    <row r="874" spans="17:18" ht="12.5">
      <c r="Q874" s="51"/>
      <c r="R874" s="51"/>
    </row>
    <row r="875" spans="17:18" ht="12.5">
      <c r="Q875" s="51"/>
      <c r="R875" s="51"/>
    </row>
    <row r="876" spans="17:18" ht="12.5">
      <c r="Q876" s="51"/>
      <c r="R876" s="51"/>
    </row>
    <row r="877" spans="17:18" ht="12.5">
      <c r="Q877" s="51"/>
      <c r="R877" s="51"/>
    </row>
    <row r="878" spans="17:18" ht="12.5">
      <c r="Q878" s="51"/>
      <c r="R878" s="51"/>
    </row>
    <row r="879" spans="17:18" ht="12.5">
      <c r="Q879" s="51"/>
      <c r="R879" s="51"/>
    </row>
    <row r="880" spans="17:18" ht="12.5">
      <c r="Q880" s="51"/>
      <c r="R880" s="51"/>
    </row>
    <row r="881" spans="17:18" ht="12.5">
      <c r="Q881" s="51"/>
      <c r="R881" s="51"/>
    </row>
    <row r="882" spans="17:18" ht="12.5">
      <c r="Q882" s="51"/>
      <c r="R882" s="51"/>
    </row>
    <row r="883" spans="17:18" ht="12.5">
      <c r="Q883" s="51"/>
      <c r="R883" s="51"/>
    </row>
    <row r="884" spans="17:18" ht="12.5">
      <c r="Q884" s="51"/>
      <c r="R884" s="51"/>
    </row>
    <row r="885" spans="17:18" ht="12.5">
      <c r="Q885" s="51"/>
      <c r="R885" s="51"/>
    </row>
    <row r="886" spans="17:18" ht="12.5">
      <c r="Q886" s="51"/>
      <c r="R886" s="51"/>
    </row>
    <row r="887" spans="17:18" ht="12.5">
      <c r="Q887" s="51"/>
      <c r="R887" s="51"/>
    </row>
    <row r="888" spans="17:18" ht="12.5">
      <c r="Q888" s="51"/>
      <c r="R888" s="51"/>
    </row>
    <row r="889" spans="17:18" ht="12.5">
      <c r="Q889" s="51"/>
      <c r="R889" s="51"/>
    </row>
    <row r="890" spans="17:18" ht="12.5">
      <c r="Q890" s="51"/>
      <c r="R890" s="51"/>
    </row>
    <row r="891" spans="17:18" ht="12.5">
      <c r="Q891" s="51"/>
      <c r="R891" s="51"/>
    </row>
    <row r="892" spans="17:18" ht="12.5">
      <c r="Q892" s="51"/>
      <c r="R892" s="51"/>
    </row>
    <row r="893" spans="17:18" ht="12.5">
      <c r="Q893" s="51"/>
      <c r="R893" s="51"/>
    </row>
    <row r="894" spans="17:18" ht="12.5">
      <c r="Q894" s="51"/>
      <c r="R894" s="51"/>
    </row>
    <row r="895" spans="17:18" ht="12.5">
      <c r="Q895" s="51"/>
      <c r="R895" s="51"/>
    </row>
    <row r="896" spans="17:18" ht="12.5">
      <c r="Q896" s="51"/>
      <c r="R896" s="51"/>
    </row>
    <row r="897" spans="17:18" ht="12.5">
      <c r="Q897" s="51"/>
      <c r="R897" s="51"/>
    </row>
    <row r="898" spans="17:18" ht="12.5">
      <c r="Q898" s="51"/>
      <c r="R898" s="51"/>
    </row>
    <row r="899" spans="17:18" ht="12.5">
      <c r="Q899" s="51"/>
      <c r="R899" s="51"/>
    </row>
    <row r="900" spans="17:18" ht="12.5">
      <c r="Q900" s="51"/>
      <c r="R900" s="51"/>
    </row>
    <row r="901" spans="17:18" ht="12.5">
      <c r="Q901" s="51"/>
      <c r="R901" s="51"/>
    </row>
    <row r="902" spans="17:18" ht="12.5">
      <c r="Q902" s="51"/>
      <c r="R902" s="51"/>
    </row>
    <row r="903" spans="17:18" ht="12.5">
      <c r="Q903" s="51"/>
      <c r="R903" s="51"/>
    </row>
    <row r="904" spans="17:18" ht="12.5">
      <c r="Q904" s="51"/>
      <c r="R904" s="51"/>
    </row>
    <row r="905" spans="17:18" ht="12.5">
      <c r="Q905" s="51"/>
      <c r="R905" s="51"/>
    </row>
    <row r="906" spans="17:18" ht="12.5">
      <c r="Q906" s="51"/>
      <c r="R906" s="51"/>
    </row>
    <row r="907" spans="17:18" ht="12.5">
      <c r="Q907" s="51"/>
      <c r="R907" s="51"/>
    </row>
    <row r="908" spans="17:18" ht="12.5">
      <c r="Q908" s="51"/>
      <c r="R908" s="51"/>
    </row>
    <row r="909" spans="17:18" ht="12.5">
      <c r="Q909" s="51"/>
      <c r="R909" s="51"/>
    </row>
    <row r="910" spans="17:18" ht="12.5">
      <c r="Q910" s="51"/>
      <c r="R910" s="51"/>
    </row>
    <row r="911" spans="17:18" ht="12.5">
      <c r="Q911" s="51"/>
      <c r="R911" s="51"/>
    </row>
    <row r="912" spans="17:18" ht="12.5">
      <c r="Q912" s="51"/>
      <c r="R912" s="51"/>
    </row>
    <row r="913" spans="17:18" ht="12.5">
      <c r="Q913" s="51"/>
      <c r="R913" s="51"/>
    </row>
    <row r="914" spans="17:18" ht="12.5">
      <c r="Q914" s="51"/>
      <c r="R914" s="51"/>
    </row>
    <row r="915" spans="17:18" ht="12.5">
      <c r="Q915" s="51"/>
      <c r="R915" s="51"/>
    </row>
    <row r="916" spans="17:18" ht="12.5">
      <c r="Q916" s="51"/>
      <c r="R916" s="51"/>
    </row>
    <row r="917" spans="17:18" ht="12.5">
      <c r="Q917" s="51"/>
      <c r="R917" s="51"/>
    </row>
    <row r="918" spans="17:18" ht="12.5">
      <c r="Q918" s="51"/>
      <c r="R918" s="51"/>
    </row>
    <row r="919" spans="17:18" ht="12.5">
      <c r="Q919" s="51"/>
      <c r="R919" s="51"/>
    </row>
    <row r="920" spans="17:18" ht="12.5">
      <c r="Q920" s="51"/>
      <c r="R920" s="51"/>
    </row>
    <row r="921" spans="17:18" ht="12.5">
      <c r="Q921" s="51"/>
      <c r="R921" s="51"/>
    </row>
    <row r="922" spans="17:18" ht="12.5">
      <c r="Q922" s="51"/>
      <c r="R922" s="51"/>
    </row>
    <row r="923" spans="17:18" ht="12.5">
      <c r="Q923" s="51"/>
      <c r="R923" s="51"/>
    </row>
    <row r="924" spans="17:18" ht="12.5">
      <c r="Q924" s="51"/>
      <c r="R924" s="51"/>
    </row>
    <row r="925" spans="17:18" ht="12.5">
      <c r="Q925" s="51"/>
      <c r="R925" s="51"/>
    </row>
    <row r="926" spans="17:18" ht="12.5">
      <c r="Q926" s="51"/>
      <c r="R926" s="51"/>
    </row>
    <row r="927" spans="17:18" ht="12.5">
      <c r="Q927" s="51"/>
      <c r="R927" s="51"/>
    </row>
    <row r="928" spans="17:18" ht="12.5">
      <c r="Q928" s="51"/>
      <c r="R928" s="51"/>
    </row>
    <row r="929" spans="17:18" ht="12.5">
      <c r="Q929" s="51"/>
      <c r="R929" s="51"/>
    </row>
    <row r="930" spans="17:18" ht="12.5">
      <c r="Q930" s="51"/>
      <c r="R930" s="51"/>
    </row>
    <row r="931" spans="17:18" ht="12.5">
      <c r="Q931" s="51"/>
      <c r="R931" s="51"/>
    </row>
    <row r="932" spans="17:18" ht="12.5">
      <c r="Q932" s="51"/>
      <c r="R932" s="51"/>
    </row>
    <row r="933" spans="17:18" ht="12.5">
      <c r="Q933" s="51"/>
      <c r="R933" s="51"/>
    </row>
    <row r="934" spans="17:18" ht="12.5">
      <c r="Q934" s="51"/>
      <c r="R934" s="51"/>
    </row>
    <row r="935" spans="17:18" ht="12.5">
      <c r="Q935" s="51"/>
      <c r="R935" s="51"/>
    </row>
    <row r="936" spans="17:18" ht="12.5">
      <c r="Q936" s="51"/>
      <c r="R936" s="51"/>
    </row>
    <row r="937" spans="17:18" ht="12.5">
      <c r="Q937" s="51"/>
      <c r="R937" s="51"/>
    </row>
    <row r="938" spans="17:18" ht="12.5">
      <c r="Q938" s="51"/>
      <c r="R938" s="51"/>
    </row>
    <row r="939" spans="17:18" ht="12.5">
      <c r="Q939" s="51"/>
      <c r="R939" s="51"/>
    </row>
    <row r="940" spans="17:18" ht="12.5">
      <c r="Q940" s="51"/>
      <c r="R940" s="51"/>
    </row>
    <row r="941" spans="17:18" ht="12.5">
      <c r="Q941" s="51"/>
      <c r="R941" s="51"/>
    </row>
    <row r="942" spans="17:18" ht="12.5">
      <c r="Q942" s="51"/>
      <c r="R942" s="51"/>
    </row>
    <row r="943" spans="17:18" ht="12.5">
      <c r="Q943" s="51"/>
      <c r="R943" s="51"/>
    </row>
    <row r="944" spans="17:18" ht="12.5">
      <c r="Q944" s="51"/>
      <c r="R944" s="51"/>
    </row>
    <row r="945" spans="17:18" ht="12.5">
      <c r="Q945" s="51"/>
      <c r="R945" s="51"/>
    </row>
    <row r="946" spans="17:18" ht="12.5">
      <c r="Q946" s="51"/>
      <c r="R946" s="51"/>
    </row>
    <row r="947" spans="17:18" ht="12.5">
      <c r="Q947" s="51"/>
      <c r="R947" s="51"/>
    </row>
    <row r="948" spans="17:18" ht="12.5">
      <c r="Q948" s="51"/>
      <c r="R948" s="51"/>
    </row>
    <row r="949" spans="17:18" ht="12.5">
      <c r="Q949" s="51"/>
      <c r="R949" s="51"/>
    </row>
    <row r="950" spans="17:18" ht="12.5">
      <c r="Q950" s="51"/>
      <c r="R950" s="51"/>
    </row>
    <row r="951" spans="17:18" ht="12.5">
      <c r="Q951" s="51"/>
      <c r="R951" s="51"/>
    </row>
    <row r="952" spans="17:18" ht="12.5">
      <c r="Q952" s="51"/>
      <c r="R952" s="51"/>
    </row>
    <row r="953" spans="17:18" ht="12.5">
      <c r="Q953" s="51"/>
      <c r="R953" s="51"/>
    </row>
    <row r="954" spans="17:18" ht="12.5">
      <c r="Q954" s="51"/>
      <c r="R954" s="51"/>
    </row>
    <row r="955" spans="17:18" ht="12.5">
      <c r="Q955" s="51"/>
      <c r="R955" s="51"/>
    </row>
    <row r="956" spans="17:18" ht="12.5">
      <c r="Q956" s="51"/>
      <c r="R956" s="51"/>
    </row>
    <row r="957" spans="17:18" ht="12.5">
      <c r="Q957" s="51"/>
      <c r="R957" s="51"/>
    </row>
    <row r="958" spans="17:18" ht="12.5">
      <c r="Q958" s="51"/>
      <c r="R958" s="51"/>
    </row>
    <row r="959" spans="17:18" ht="12.5">
      <c r="Q959" s="51"/>
      <c r="R959" s="51"/>
    </row>
    <row r="960" spans="17:18" ht="12.5">
      <c r="Q960" s="51"/>
      <c r="R960" s="51"/>
    </row>
    <row r="961" spans="17:18" ht="12.5">
      <c r="Q961" s="51"/>
      <c r="R961" s="51"/>
    </row>
    <row r="962" spans="17:18" ht="12.5">
      <c r="Q962" s="51"/>
      <c r="R962" s="51"/>
    </row>
    <row r="963" spans="17:18" ht="12.5">
      <c r="Q963" s="51"/>
      <c r="R963" s="51"/>
    </row>
    <row r="964" spans="17:18" ht="12.5">
      <c r="Q964" s="51"/>
      <c r="R964" s="51"/>
    </row>
    <row r="965" spans="17:18" ht="12.5">
      <c r="Q965" s="51"/>
      <c r="R965" s="51"/>
    </row>
    <row r="966" spans="17:18" ht="12.5">
      <c r="Q966" s="51"/>
      <c r="R966" s="51"/>
    </row>
    <row r="967" spans="17:18" ht="12.5">
      <c r="Q967" s="51"/>
      <c r="R967" s="51"/>
    </row>
    <row r="968" spans="17:18" ht="12.5">
      <c r="Q968" s="51"/>
      <c r="R968" s="51"/>
    </row>
    <row r="969" spans="17:18" ht="12.5">
      <c r="Q969" s="51"/>
      <c r="R969" s="51"/>
    </row>
    <row r="970" spans="17:18" ht="12.5">
      <c r="Q970" s="51"/>
      <c r="R970" s="51"/>
    </row>
    <row r="971" spans="17:18" ht="12.5">
      <c r="Q971" s="51"/>
      <c r="R971" s="51"/>
    </row>
    <row r="972" spans="17:18" ht="12.5">
      <c r="Q972" s="51"/>
      <c r="R972" s="51"/>
    </row>
    <row r="973" spans="17:18" ht="12.5">
      <c r="Q973" s="51"/>
      <c r="R973" s="51"/>
    </row>
    <row r="974" spans="17:18" ht="12.5">
      <c r="Q974" s="51"/>
      <c r="R974" s="51"/>
    </row>
    <row r="975" spans="17:18" ht="12.5">
      <c r="Q975" s="51"/>
      <c r="R975" s="51"/>
    </row>
    <row r="976" spans="17:18" ht="12.5">
      <c r="Q976" s="51"/>
      <c r="R976" s="51"/>
    </row>
    <row r="977" spans="17:18" ht="12.5">
      <c r="Q977" s="51"/>
      <c r="R977" s="51"/>
    </row>
    <row r="978" spans="17:18" ht="12.5">
      <c r="Q978" s="51"/>
      <c r="R978" s="51"/>
    </row>
    <row r="979" spans="17:18" ht="12.5">
      <c r="Q979" s="51"/>
      <c r="R979" s="51"/>
    </row>
    <row r="980" spans="17:18" ht="12.5">
      <c r="Q980" s="51"/>
      <c r="R980" s="51"/>
    </row>
    <row r="981" spans="17:18" ht="12.5">
      <c r="Q981" s="51"/>
      <c r="R981" s="51"/>
    </row>
    <row r="982" spans="17:18" ht="12.5">
      <c r="Q982" s="51"/>
      <c r="R982" s="51"/>
    </row>
    <row r="983" spans="17:18" ht="12.5">
      <c r="Q983" s="51"/>
      <c r="R983" s="51"/>
    </row>
    <row r="984" spans="17:18" ht="12.5">
      <c r="Q984" s="51"/>
      <c r="R984" s="51"/>
    </row>
    <row r="985" spans="17:18" ht="12.5">
      <c r="Q985" s="51"/>
      <c r="R985" s="51"/>
    </row>
    <row r="986" spans="17:18" ht="12.5">
      <c r="Q986" s="51"/>
      <c r="R986" s="51"/>
    </row>
    <row r="987" spans="17:18" ht="12.5">
      <c r="Q987" s="51"/>
      <c r="R987" s="51"/>
    </row>
    <row r="988" spans="17:18" ht="12.5">
      <c r="Q988" s="51"/>
      <c r="R988" s="51"/>
    </row>
    <row r="989" spans="17:18" ht="12.5">
      <c r="Q989" s="51"/>
      <c r="R989" s="51"/>
    </row>
    <row r="990" spans="17:18" ht="12.5">
      <c r="Q990" s="51"/>
      <c r="R990" s="51"/>
    </row>
    <row r="991" spans="17:18" ht="12.5">
      <c r="Q991" s="51"/>
      <c r="R991" s="51"/>
    </row>
    <row r="992" spans="17:18" ht="12.5">
      <c r="Q992" s="51"/>
      <c r="R992" s="51"/>
    </row>
    <row r="993" spans="17:18" ht="12.5">
      <c r="Q993" s="51"/>
      <c r="R993" s="51"/>
    </row>
    <row r="994" spans="17:18" ht="12.5">
      <c r="Q994" s="51"/>
      <c r="R994" s="51"/>
    </row>
    <row r="995" spans="17:18" ht="12.5">
      <c r="Q995" s="51"/>
      <c r="R995" s="51"/>
    </row>
    <row r="996" spans="17:18" ht="12.5">
      <c r="Q996" s="51"/>
      <c r="R996" s="51"/>
    </row>
    <row r="997" spans="17:18" ht="12.5">
      <c r="Q997" s="51"/>
      <c r="R997" s="51"/>
    </row>
    <row r="998" spans="17:18" ht="12.5">
      <c r="Q998" s="51"/>
      <c r="R998" s="51"/>
    </row>
    <row r="999" spans="17:18" ht="12.5">
      <c r="Q999" s="51"/>
      <c r="R999" s="51"/>
    </row>
    <row r="1000" spans="17:18" ht="12.5">
      <c r="Q1000" s="51"/>
      <c r="R1000" s="51"/>
    </row>
    <row r="1001" spans="17:18" ht="12.5">
      <c r="Q1001" s="51"/>
      <c r="R1001" s="51"/>
    </row>
    <row r="1002" spans="17:18" ht="12.5">
      <c r="Q1002" s="51"/>
      <c r="R1002" s="51"/>
    </row>
    <row r="1003" spans="17:18" ht="12.5">
      <c r="Q1003" s="51"/>
      <c r="R1003" s="51"/>
    </row>
    <row r="1004" spans="17:18" ht="12.5">
      <c r="Q1004" s="51"/>
      <c r="R1004" s="51"/>
    </row>
    <row r="1005" spans="17:18" ht="12.5">
      <c r="Q1005" s="51"/>
      <c r="R1005" s="51"/>
    </row>
    <row r="1006" spans="17:18" ht="12.5">
      <c r="Q1006" s="51"/>
      <c r="R1006" s="51"/>
    </row>
    <row r="1007" spans="17:18" ht="12.5">
      <c r="Q1007" s="51"/>
      <c r="R1007" s="51"/>
    </row>
    <row r="1008" spans="17:18" ht="12.5">
      <c r="Q1008" s="51"/>
      <c r="R1008" s="51"/>
    </row>
    <row r="1009" spans="17:18" ht="12.5">
      <c r="Q1009" s="51"/>
      <c r="R1009" s="51"/>
    </row>
    <row r="1010" spans="17:18" ht="12.5">
      <c r="Q1010" s="51"/>
      <c r="R1010" s="51"/>
    </row>
    <row r="1011" spans="17:18" ht="12.5">
      <c r="Q1011" s="51"/>
      <c r="R1011" s="51"/>
    </row>
    <row r="1012" spans="17:18" ht="12.5">
      <c r="Q1012" s="51"/>
      <c r="R1012" s="51"/>
    </row>
    <row r="1013" spans="17:18" ht="12.5">
      <c r="Q1013" s="51"/>
      <c r="R1013" s="51"/>
    </row>
    <row r="1014" spans="17:18" ht="12.5">
      <c r="Q1014" s="51"/>
      <c r="R1014" s="51"/>
    </row>
    <row r="1015" spans="17:18" ht="12.5">
      <c r="Q1015" s="51"/>
      <c r="R1015" s="51"/>
    </row>
    <row r="1016" spans="17:18" ht="12.5">
      <c r="Q1016" s="51"/>
      <c r="R1016" s="51"/>
    </row>
    <row r="1017" spans="17:18" ht="12.5">
      <c r="Q1017" s="51"/>
      <c r="R1017" s="51"/>
    </row>
    <row r="1018" spans="17:18" ht="12.5">
      <c r="Q1018" s="51"/>
      <c r="R1018" s="51"/>
    </row>
    <row r="1019" spans="17:18" ht="12.5">
      <c r="Q1019" s="51"/>
      <c r="R1019" s="51"/>
    </row>
    <row r="1020" spans="17:18" ht="12.5">
      <c r="Q1020" s="51"/>
      <c r="R1020" s="51"/>
    </row>
    <row r="1021" spans="17:18" ht="12.5">
      <c r="Q1021" s="51"/>
      <c r="R1021" s="51"/>
    </row>
    <row r="1022" spans="17:18" ht="12.5">
      <c r="Q1022" s="51"/>
      <c r="R1022" s="51"/>
    </row>
    <row r="1023" spans="17:18" ht="12.5">
      <c r="Q1023" s="51"/>
      <c r="R1023" s="51"/>
    </row>
    <row r="1024" spans="17:18" ht="12.5">
      <c r="Q1024" s="51"/>
      <c r="R1024" s="51"/>
    </row>
    <row r="1025" spans="17:18" ht="12.5">
      <c r="Q1025" s="51"/>
      <c r="R1025" s="51"/>
    </row>
    <row r="1026" spans="17:18" ht="12.5">
      <c r="Q1026" s="51"/>
      <c r="R1026" s="51"/>
    </row>
    <row r="1027" spans="17:18" ht="12.5">
      <c r="Q1027" s="51"/>
      <c r="R1027" s="51"/>
    </row>
    <row r="1028" spans="17:18" ht="12.5">
      <c r="Q1028" s="51"/>
      <c r="R1028" s="51"/>
    </row>
    <row r="1029" spans="17:18" ht="12.5">
      <c r="Q1029" s="51"/>
      <c r="R1029" s="51"/>
    </row>
    <row r="1030" spans="17:18" ht="12.5">
      <c r="Q1030" s="51"/>
      <c r="R1030" s="51"/>
    </row>
    <row r="1031" spans="17:18" ht="12.5">
      <c r="Q1031" s="51"/>
      <c r="R1031" s="51"/>
    </row>
    <row r="1032" spans="17:18" ht="12.5">
      <c r="Q1032" s="51"/>
      <c r="R1032" s="51"/>
    </row>
    <row r="1033" spans="17:18" ht="12.5">
      <c r="Q1033" s="51"/>
      <c r="R1033" s="51"/>
    </row>
    <row r="1034" spans="17:18" ht="12.5">
      <c r="Q1034" s="51"/>
      <c r="R1034" s="51"/>
    </row>
    <row r="1035" spans="17:18" ht="12.5">
      <c r="Q1035" s="51"/>
      <c r="R1035" s="51"/>
    </row>
    <row r="1036" spans="17:18" ht="12.5">
      <c r="Q1036" s="51"/>
      <c r="R1036" s="51"/>
    </row>
    <row r="1037" spans="17:18" ht="12.5">
      <c r="Q1037" s="51"/>
      <c r="R1037" s="51"/>
    </row>
    <row r="1038" spans="17:18" ht="12.5">
      <c r="Q1038" s="51"/>
      <c r="R1038" s="51"/>
    </row>
    <row r="1039" spans="17:18" ht="12.5">
      <c r="Q1039" s="51"/>
      <c r="R1039" s="51"/>
    </row>
    <row r="1040" spans="17:18" ht="12.5">
      <c r="Q1040" s="51"/>
      <c r="R1040" s="51"/>
    </row>
    <row r="1041" spans="17:18" ht="12.5">
      <c r="Q1041" s="51"/>
      <c r="R1041" s="51"/>
    </row>
    <row r="1042" spans="17:18" ht="12.5">
      <c r="Q1042" s="51"/>
      <c r="R1042" s="51"/>
    </row>
    <row r="1043" spans="17:18" ht="12.5">
      <c r="Q1043" s="51"/>
      <c r="R1043" s="51"/>
    </row>
    <row r="1044" spans="17:18" ht="12.5">
      <c r="Q1044" s="51"/>
      <c r="R1044" s="51"/>
    </row>
    <row r="1045" spans="17:18" ht="12.5">
      <c r="Q1045" s="51"/>
      <c r="R1045" s="51"/>
    </row>
    <row r="1046" spans="17:18" ht="12.5">
      <c r="Q1046" s="51"/>
      <c r="R1046" s="51"/>
    </row>
    <row r="1047" spans="17:18" ht="12.5">
      <c r="Q1047" s="51"/>
      <c r="R1047" s="51"/>
    </row>
    <row r="1048" spans="17:18" ht="12.5">
      <c r="Q1048" s="51"/>
      <c r="R1048" s="51"/>
    </row>
    <row r="1049" spans="17:18" ht="12.5">
      <c r="Q1049" s="51"/>
      <c r="R1049" s="51"/>
    </row>
    <row r="1050" spans="17:18" ht="12.5">
      <c r="Q1050" s="51"/>
      <c r="R1050" s="51"/>
    </row>
    <row r="1051" spans="17:18" ht="12.5">
      <c r="Q1051" s="51"/>
      <c r="R1051" s="51"/>
    </row>
    <row r="1052" spans="17:18" ht="12.5">
      <c r="Q1052" s="51"/>
      <c r="R1052" s="51"/>
    </row>
    <row r="1053" spans="17:18" ht="12.5">
      <c r="Q1053" s="51"/>
      <c r="R1053" s="51"/>
    </row>
    <row r="1054" spans="17:18" ht="12.5">
      <c r="Q1054" s="51"/>
      <c r="R1054" s="51"/>
    </row>
    <row r="1055" spans="17:18" ht="12.5">
      <c r="Q1055" s="51"/>
      <c r="R1055" s="51"/>
    </row>
  </sheetData>
  <mergeCells count="1">
    <mergeCell ref="Q1:R1"/>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VIX</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Álvaro Schwiedop</dc:creator>
  <cp:lastModifiedBy>Álvaro Schwiedop</cp:lastModifiedBy>
  <dcterms:modified xsi:type="dcterms:W3CDTF">2026-05-22T20:34:25Z</dcterms:modified>
</cp:coreProperties>
</file>