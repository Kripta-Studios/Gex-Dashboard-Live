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<sst xmlns="http://schemas.openxmlformats.org/spreadsheetml/2006/main" count="734" uniqueCount="153">
  <si>
    <t>VIX</t>
  </si>
  <si>
    <t xml:space="preserve">IV </t>
  </si>
  <si>
    <t>Gamma</t>
  </si>
  <si>
    <t>Zomma</t>
  </si>
  <si>
    <t>Delta</t>
  </si>
  <si>
    <t>Vex</t>
  </si>
  <si>
    <t>Vega</t>
  </si>
  <si>
    <t>Vomma</t>
  </si>
  <si>
    <t>Market Phenominum</t>
  </si>
  <si>
    <t>Dealers Action</t>
  </si>
  <si>
    <t>Action</t>
  </si>
  <si>
    <t>Regime</t>
  </si>
  <si>
    <t>Tilt:</t>
  </si>
  <si>
    <t>Mx Vanna levels Work:</t>
  </si>
  <si>
    <t>IB Bounce levels Work:</t>
  </si>
  <si>
    <t>Dadu Pinning</t>
  </si>
  <si>
    <t>Spreads</t>
  </si>
  <si>
    <t>Enteries</t>
  </si>
  <si>
    <t>Trend Reversal Warning</t>
  </si>
  <si>
    <t>Speed</t>
  </si>
  <si>
    <t>What will elimatate structure.</t>
  </si>
  <si>
    <t>Best Entry</t>
  </si>
  <si>
    <t xml:space="preserve">Enter off levels confirmed with Stochastic </t>
  </si>
  <si>
    <t>VVIX &amp; VIX</t>
  </si>
  <si>
    <t xml:space="preserve">Reversal /Broken Trend Signal </t>
  </si>
  <si>
    <t>Current</t>
  </si>
  <si>
    <t>Current V Open</t>
  </si>
  <si>
    <t>High</t>
  </si>
  <si>
    <t>Neg</t>
  </si>
  <si>
    <t>Pos</t>
  </si>
  <si>
    <t>Vol of Vol /Fragile Long Vol</t>
  </si>
  <si>
    <t>Sell into Rally</t>
  </si>
  <si>
    <t>SELL</t>
  </si>
  <si>
    <t>Trend Day</t>
  </si>
  <si>
    <t>Fade Extremes</t>
  </si>
  <si>
    <t>Yes</t>
  </si>
  <si>
    <t>N/a</t>
  </si>
  <si>
    <t>No</t>
  </si>
  <si>
    <t>CCS</t>
  </si>
  <si>
    <t>Short Max Vanna</t>
  </si>
  <si>
    <t>5DMA/15DMA</t>
  </si>
  <si>
    <t>Trend Day (Not clean however; Can have compression characters)</t>
  </si>
  <si>
    <t>Choppy H pattern down , Pull backs are enteries</t>
  </si>
  <si>
    <t>Max Vanna</t>
  </si>
  <si>
    <t>Change in Mx Vanna</t>
  </si>
  <si>
    <t>Open</t>
  </si>
  <si>
    <t>VIX 5MA / 15MA</t>
  </si>
  <si>
    <t>Up</t>
  </si>
  <si>
    <t>Low</t>
  </si>
  <si>
    <t>The Melt Up</t>
  </si>
  <si>
    <t>Forced Buying</t>
  </si>
  <si>
    <t>BUY</t>
  </si>
  <si>
    <t>Momentum, Pull backs are enteries</t>
  </si>
  <si>
    <t>PCS</t>
  </si>
  <si>
    <t>Pinned long vol</t>
  </si>
  <si>
    <t>Dealer is Binary. Buys until the pin snaps. Then aggressively SELLS.</t>
  </si>
  <si>
    <t>BINARY</t>
  </si>
  <si>
    <t>Transitional</t>
  </si>
  <si>
    <t>Do not trade</t>
  </si>
  <si>
    <t>N/A</t>
  </si>
  <si>
    <t>Regime Change</t>
  </si>
  <si>
    <t>Vol-expansion pre-trend</t>
  </si>
  <si>
    <t>Compression</t>
  </si>
  <si>
    <t>Fade extremes while gamma exists</t>
  </si>
  <si>
    <t>Bounce off Max Vanna</t>
  </si>
  <si>
    <t>VIX above 5 DMA</t>
  </si>
  <si>
    <t>Bear trend coiled in a gamma pin / Pre breakdown structure</t>
  </si>
  <si>
    <t>Passive Buyers inside the Pin. (Synthetic, flow-driven bid, not a conviction bid).</t>
  </si>
  <si>
    <t>CHOP</t>
  </si>
  <si>
    <t>Fade Extremes / Break of gamma flip turns to Bear Trend</t>
  </si>
  <si>
    <t>Break of Gamma Flip</t>
  </si>
  <si>
    <t>VIX below 5 DMA</t>
  </si>
  <si>
    <t>Short Bearish Gamma Squeeze</t>
  </si>
  <si>
    <t>Mechanical Forced Sellers</t>
  </si>
  <si>
    <t>Trend Day , Pull backs are enteries</t>
  </si>
  <si>
    <t>Vol crush can lead to V shape recovery. The moment IV prints a lower high while spot prints a lower low — that is the turn, regardless of what price action looks like at that moment.</t>
  </si>
  <si>
    <t>Low IV positive gamma grind (mean-reverting compression)</t>
  </si>
  <si>
    <t>Buy the Dip/ Sell the Rally</t>
  </si>
  <si>
    <t>SELL LEAN</t>
  </si>
  <si>
    <t>Compression regime with asymmetric vol expansion payoff</t>
  </si>
  <si>
    <t>The Ceiling/ The Call Pin</t>
  </si>
  <si>
    <t>Forced Sellers on Rips (Break of Pin on flat IV is a genuine breakout — do not fade otherwise casues snapback)</t>
  </si>
  <si>
    <t>SELL / PIN</t>
  </si>
  <si>
    <t>High Confidence Grind / PIN</t>
  </si>
  <si>
    <t>Supportive Buyers</t>
  </si>
  <si>
    <t>BUY/ PIN</t>
  </si>
  <si>
    <t>Fade Extremes/ PIN</t>
  </si>
  <si>
    <t>Momentum</t>
  </si>
  <si>
    <t>Negative Convexity Vol Unwind</t>
  </si>
  <si>
    <t>Dealer Sells</t>
  </si>
  <si>
    <t>High Risk Fade Extremes</t>
  </si>
  <si>
    <t>IV</t>
  </si>
  <si>
    <t>Market Structure</t>
  </si>
  <si>
    <t>Tilt</t>
  </si>
  <si>
    <t>Short Gamma Squeeze/ Negative Convexity Feedback Loop</t>
  </si>
  <si>
    <t>Trend Day (Likely Violent)</t>
  </si>
  <si>
    <t>Can lead to V shape recovery. Usually a major strike (a "Gamma Wall") or when the regime shifts back to Positive Gamma.</t>
  </si>
  <si>
    <t>high</t>
  </si>
  <si>
    <t>Vanna-fueled Melt Up</t>
  </si>
  <si>
    <t xml:space="preserve">Yes - Works on Pullbacks. Pullbacks can be decent or small. </t>
  </si>
  <si>
    <t>VIX Down, VVIX down</t>
  </si>
  <si>
    <t>High Vol Pin/ Crash-to-Melt Vanna</t>
  </si>
  <si>
    <t>Binary at open.</t>
  </si>
  <si>
    <t>Binary</t>
  </si>
  <si>
    <t>Transitional/ Expansion</t>
  </si>
  <si>
    <t>Scalp Only</t>
  </si>
  <si>
    <t>Short Gamma Trap/ Melt up</t>
  </si>
  <si>
    <t>Chasing / Forced Buying</t>
  </si>
  <si>
    <t xml:space="preserve">No &amp; MX vanna should be unrealitsic level for confirmation of trend reversal. </t>
  </si>
  <si>
    <t>Short upside calls</t>
  </si>
  <si>
    <t>Yes - Works on Pullbacks</t>
  </si>
  <si>
    <t xml:space="preserve">Vanna Fulled Melt Up / Pre Gamma Squeeze </t>
  </si>
  <si>
    <t>The Waterfall Sell Off</t>
  </si>
  <si>
    <t>Forced Selling</t>
  </si>
  <si>
    <t>The Mean Reversion Anchor</t>
  </si>
  <si>
    <t>SELL/ BUY</t>
  </si>
  <si>
    <t>Short-Vol Capitulation / The Melt Up</t>
  </si>
  <si>
    <t>Orderly Sell Off/ Hedged Bear Market</t>
  </si>
  <si>
    <t>Fragile Vanna-Hollow Melt-Up/ Fragile Drift</t>
  </si>
  <si>
    <t>Forced Buying / Lazy squeeze</t>
  </si>
  <si>
    <t>Transitional/ Should become Momentum Chaser / Trend Day if IV stays flat or rises</t>
  </si>
  <si>
    <t>Volatility-Capped Slide/ The Gamma Trap (in Reverse)</t>
  </si>
  <si>
    <t xml:space="preserve">Chasing </t>
  </si>
  <si>
    <t>Trade in direction of the move.</t>
  </si>
  <si>
    <t>Trend Day (Fading)</t>
  </si>
  <si>
    <t>Spot Down + VIX Flat: Dealers are Sellers; Spot Down + VIX Exploding: Dealers are Confused/Neutral; Spot Up + VIX Dropping: Dealers are Aggressive Buyers</t>
  </si>
  <si>
    <t>Possible Volatility Expansion Engine (If IV wakes up)</t>
  </si>
  <si>
    <t>BUY/ SELL</t>
  </si>
  <si>
    <t>Approx bounce pts</t>
  </si>
  <si>
    <t>EMAS for Entry</t>
  </si>
  <si>
    <t>Orderly Bear Drift/ Mean-Reverting Slide</t>
  </si>
  <si>
    <t>The Waterfall</t>
  </si>
  <si>
    <t>Mean Reversion</t>
  </si>
  <si>
    <t>The Drag</t>
  </si>
  <si>
    <t>40 pts</t>
  </si>
  <si>
    <t>Use 8/20</t>
  </si>
  <si>
    <t>Liquidation</t>
  </si>
  <si>
    <t>Momentum , Pull backs are enteries</t>
  </si>
  <si>
    <t>The Fade</t>
  </si>
  <si>
    <t>V Bottom</t>
  </si>
  <si>
    <t>The Bleed</t>
  </si>
  <si>
    <t>Fragile Stabilisation / The Exhaustive Pin</t>
  </si>
  <si>
    <t>Dealer is Binary. Buys until the pin snaps, Then aggressively SELLS.</t>
  </si>
  <si>
    <t>Vol Spike with Spot Resilience</t>
  </si>
  <si>
    <t>Directionless Chop - Slight Bid</t>
  </si>
  <si>
    <t>Passive Buyers</t>
  </si>
  <si>
    <t>Forced Sellers</t>
  </si>
  <si>
    <t>Volatility Mean Reversion Sideways Grind</t>
  </si>
  <si>
    <t>SIDEWAYS GRIND</t>
  </si>
  <si>
    <t>Volatility Mean Reversion Crush</t>
  </si>
  <si>
    <t>Forced Sellers on Rips</t>
  </si>
  <si>
    <t>The Gamma Trap/ Crash-to-Melt Vanna</t>
  </si>
  <si>
    <t xml:space="preserve">Pre-breakout convexity pocket / Gamma Squeeze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</si>
</sst>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i/>
      <sz val="11.0"/>
      <color rgb="FF0000FF"/>
      <name val="Calibri"/>
    </font>
    <font>
      <i/>
      <color rgb="FF0000FF"/>
      <name val="Arial"/>
    </font>
    <font>
      <b/>
      <sz val="11.0"/>
      <color rgb="FF38761D"/>
      <name val="Calibri"/>
    </font>
    <font>
      <sz val="11.0"/>
      <color rgb="FF0000FF"/>
      <name val="Calibri"/>
    </font>
    <font>
      <b/>
      <i/>
      <color rgb="FF0000FF"/>
      <name val="Arial"/>
    </font>
    <font>
      <sz val="11.0"/>
      <color rgb="FF9933FF"/>
      <name val="Calibri"/>
    </font>
    <font>
      <sz val="11.0"/>
      <color rgb="FF7030A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FFFFCC"/>
        <bgColor rgb="FFFFFFCC"/>
      </patternFill>
    </fill>
  </fills>
  <borders count="9">
    <border/>
    <border>
      <left style="double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bottom style="double">
        <color rgb="FF000000"/>
      </bottom>
    </border>
    <border>
      <bottom style="double">
        <color rgb="FF000000"/>
      </bottom>
    </border>
    <border>
      <right style="double">
        <color rgb="FF000000"/>
      </right>
      <bottom style="double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2" fontId="3" numFmtId="0" xfId="0" applyAlignment="1" applyFill="1" applyFont="1">
      <alignment vertical="bottom"/>
    </xf>
    <xf borderId="0" fillId="2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10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2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2" fontId="5" numFmtId="0" xfId="0" applyAlignment="1" applyFont="1">
      <alignment vertical="bottom"/>
    </xf>
    <xf borderId="4" fillId="0" fontId="2" numFmtId="0" xfId="0" applyAlignment="1" applyBorder="1" applyFont="1">
      <alignment vertical="bottom"/>
    </xf>
    <xf borderId="5" fillId="0" fontId="2" numFmtId="0" xfId="0" applyAlignment="1" applyBorder="1" applyFont="1">
      <alignment horizontal="right" vertical="bottom"/>
    </xf>
    <xf borderId="0" fillId="0" fontId="6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5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7" fillId="0" fontId="2" numFmtId="10" xfId="0" applyAlignment="1" applyBorder="1" applyFont="1" applyNumberFormat="1">
      <alignment vertical="bottom"/>
    </xf>
    <xf borderId="8" fillId="0" fontId="2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0" fillId="2" fontId="7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0" fillId="4" fontId="3" numFmtId="0" xfId="0" applyAlignment="1" applyFill="1" applyFont="1">
      <alignment vertical="bottom"/>
    </xf>
    <xf borderId="5" fillId="4" fontId="3" numFmtId="0" xfId="0" applyAlignment="1" applyBorder="1" applyFont="1">
      <alignment vertical="bottom"/>
    </xf>
    <xf borderId="0" fillId="0" fontId="9" numFmtId="0" xfId="0" applyAlignment="1" applyFont="1">
      <alignment vertical="bottom"/>
    </xf>
    <xf borderId="7" fillId="0" fontId="2" numFmtId="0" xfId="0" applyAlignment="1" applyBorder="1" applyFont="1">
      <alignment vertical="bottom"/>
    </xf>
    <xf borderId="0" fillId="2" fontId="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3" fontId="10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2" fontId="4" numFmtId="0" xfId="0" applyAlignment="1" applyFont="1">
      <alignment vertical="bottom"/>
    </xf>
    <xf borderId="0" fillId="2" fontId="10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 t="s">
        <v>1</v>
      </c>
      <c r="U1" s="3" t="s">
        <v>2</v>
      </c>
      <c r="V1" s="3" t="s">
        <v>3</v>
      </c>
      <c r="W1" s="3" t="s">
        <v>4</v>
      </c>
      <c r="X1" s="3" t="s">
        <v>5</v>
      </c>
      <c r="Y1" s="3" t="s">
        <v>6</v>
      </c>
      <c r="Z1" s="3" t="s">
        <v>7</v>
      </c>
      <c r="AA1" s="3" t="s">
        <v>8</v>
      </c>
      <c r="AB1" s="3" t="s">
        <v>9</v>
      </c>
      <c r="AC1" s="3" t="s">
        <v>10</v>
      </c>
      <c r="AD1" s="3" t="s">
        <v>11</v>
      </c>
      <c r="AE1" s="3" t="s">
        <v>12</v>
      </c>
      <c r="AF1" s="3" t="s">
        <v>13</v>
      </c>
      <c r="AG1" s="3" t="s">
        <v>14</v>
      </c>
      <c r="AH1" s="3" t="s">
        <v>15</v>
      </c>
      <c r="AI1" s="3" t="s">
        <v>16</v>
      </c>
      <c r="AJ1" s="3" t="s">
        <v>17</v>
      </c>
      <c r="AK1" s="1" t="s">
        <v>18</v>
      </c>
      <c r="AM1" s="3" t="s">
        <v>1</v>
      </c>
      <c r="AN1" s="3" t="s">
        <v>2</v>
      </c>
      <c r="AO1" s="3" t="s">
        <v>3</v>
      </c>
      <c r="AP1" s="3" t="s">
        <v>4</v>
      </c>
      <c r="AQ1" s="3" t="s">
        <v>5</v>
      </c>
      <c r="AR1" s="3" t="s">
        <v>6</v>
      </c>
      <c r="AS1" s="3" t="s">
        <v>7</v>
      </c>
      <c r="AT1" s="3" t="s">
        <v>19</v>
      </c>
      <c r="AU1" s="3" t="s">
        <v>8</v>
      </c>
      <c r="AV1" s="3" t="s">
        <v>9</v>
      </c>
      <c r="AW1" s="4" t="s">
        <v>10</v>
      </c>
      <c r="AX1" s="4" t="s">
        <v>11</v>
      </c>
      <c r="AY1" s="3" t="s">
        <v>12</v>
      </c>
      <c r="AZ1" s="3" t="s">
        <v>13</v>
      </c>
      <c r="BA1" s="1" t="s">
        <v>20</v>
      </c>
      <c r="BB1" s="3" t="s">
        <v>14</v>
      </c>
      <c r="BC1" s="3" t="s">
        <v>16</v>
      </c>
      <c r="BD1" s="3" t="s">
        <v>21</v>
      </c>
      <c r="BE1" s="2" t="s">
        <v>22</v>
      </c>
      <c r="BF1" s="2" t="s">
        <v>23</v>
      </c>
      <c r="BG1" s="2"/>
      <c r="BH1" s="2" t="s">
        <v>24</v>
      </c>
      <c r="BI1" s="2"/>
      <c r="BJ1" s="2"/>
      <c r="BK1" s="2"/>
    </row>
    <row r="2">
      <c r="A2" s="2" t="s">
        <v>25</v>
      </c>
      <c r="B2" s="5"/>
      <c r="C2" s="2"/>
      <c r="D2" s="6" t="s">
        <v>26</v>
      </c>
      <c r="E2" s="7">
        <f>(B2/B3)-1</f>
        <v>-1</v>
      </c>
      <c r="F2" s="8" t="str">
        <f>IF(R[0]C[-1]&gt;0,"High","Low")</f>
        <v>#ERROR!</v>
      </c>
      <c r="G2" s="9"/>
      <c r="H2" s="10">
        <v>26.66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1" t="s">
        <v>27</v>
      </c>
      <c r="U2" s="11" t="s">
        <v>28</v>
      </c>
      <c r="V2" s="11" t="s">
        <v>29</v>
      </c>
      <c r="W2" s="11" t="s">
        <v>28</v>
      </c>
      <c r="X2" s="11" t="s">
        <v>29</v>
      </c>
      <c r="Y2" s="11" t="s">
        <v>29</v>
      </c>
      <c r="Z2" s="11" t="s">
        <v>29</v>
      </c>
      <c r="AA2" s="11" t="s">
        <v>30</v>
      </c>
      <c r="AB2" s="11" t="s">
        <v>31</v>
      </c>
      <c r="AC2" s="11" t="s">
        <v>32</v>
      </c>
      <c r="AD2" s="11" t="s">
        <v>33</v>
      </c>
      <c r="AE2" s="11" t="s">
        <v>34</v>
      </c>
      <c r="AF2" s="11" t="s">
        <v>35</v>
      </c>
      <c r="AG2" s="11" t="s">
        <v>36</v>
      </c>
      <c r="AH2" s="11" t="s">
        <v>37</v>
      </c>
      <c r="AI2" s="11" t="s">
        <v>38</v>
      </c>
      <c r="AJ2" s="11" t="s">
        <v>39</v>
      </c>
      <c r="AK2" s="12" t="s">
        <v>40</v>
      </c>
      <c r="AM2" s="13" t="s">
        <v>27</v>
      </c>
      <c r="AN2" s="13" t="s">
        <v>28</v>
      </c>
      <c r="AO2" s="13" t="s">
        <v>29</v>
      </c>
      <c r="AP2" s="13" t="s">
        <v>28</v>
      </c>
      <c r="AQ2" s="13" t="s">
        <v>29</v>
      </c>
      <c r="AR2" s="13" t="s">
        <v>29</v>
      </c>
      <c r="AS2" s="13" t="s">
        <v>29</v>
      </c>
      <c r="AT2" s="13" t="s">
        <v>29</v>
      </c>
      <c r="AU2" s="13" t="s">
        <v>30</v>
      </c>
      <c r="AV2" s="13" t="s">
        <v>31</v>
      </c>
      <c r="AW2" s="14" t="s">
        <v>32</v>
      </c>
      <c r="AX2" s="14" t="s">
        <v>41</v>
      </c>
      <c r="AY2" s="13" t="s">
        <v>42</v>
      </c>
      <c r="AZ2" s="13" t="s">
        <v>35</v>
      </c>
      <c r="BA2" s="2"/>
      <c r="BB2" s="2"/>
      <c r="BC2" s="13" t="s">
        <v>38</v>
      </c>
      <c r="BD2" s="13" t="s">
        <v>43</v>
      </c>
      <c r="BE2" s="2"/>
      <c r="BF2" s="2"/>
      <c r="BG2" s="2"/>
      <c r="BH2" s="13" t="s">
        <v>44</v>
      </c>
      <c r="BI2" s="2"/>
      <c r="BJ2" s="2"/>
      <c r="BK2" s="2"/>
    </row>
    <row r="3">
      <c r="A3" s="2" t="s">
        <v>45</v>
      </c>
      <c r="B3" s="10">
        <v>22.25</v>
      </c>
      <c r="C3" s="2"/>
      <c r="D3" s="15" t="s">
        <v>46</v>
      </c>
      <c r="E3" s="10" t="s">
        <v>47</v>
      </c>
      <c r="F3" s="16" t="str">
        <f>IF(TRIM(LOWER(R[0]C[-1]))="up", "Low", IF(TRIM(LOWER(R[0]C[-1]))="down", "High", ""))</f>
        <v>#ERROR!</v>
      </c>
      <c r="G3" s="2"/>
      <c r="H3" s="10">
        <v>26.65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11" t="s">
        <v>48</v>
      </c>
      <c r="U3" s="11" t="s">
        <v>28</v>
      </c>
      <c r="V3" s="11" t="s">
        <v>29</v>
      </c>
      <c r="W3" s="11" t="s">
        <v>28</v>
      </c>
      <c r="X3" s="11" t="s">
        <v>29</v>
      </c>
      <c r="Y3" s="11" t="s">
        <v>29</v>
      </c>
      <c r="Z3" s="11" t="s">
        <v>29</v>
      </c>
      <c r="AA3" s="12" t="s">
        <v>49</v>
      </c>
      <c r="AB3" s="11" t="s">
        <v>50</v>
      </c>
      <c r="AC3" s="11" t="s">
        <v>51</v>
      </c>
      <c r="AD3" s="11" t="s">
        <v>33</v>
      </c>
      <c r="AE3" s="11" t="s">
        <v>52</v>
      </c>
      <c r="AF3" s="12" t="s">
        <v>37</v>
      </c>
      <c r="AG3" s="12" t="s">
        <v>35</v>
      </c>
      <c r="AH3" s="12" t="s">
        <v>37</v>
      </c>
      <c r="AI3" s="12" t="s">
        <v>53</v>
      </c>
      <c r="AJ3" s="12"/>
      <c r="AK3" s="12" t="s">
        <v>40</v>
      </c>
      <c r="AM3" s="13" t="s">
        <v>27</v>
      </c>
      <c r="AN3" s="13" t="s">
        <v>29</v>
      </c>
      <c r="AO3" s="13" t="s">
        <v>28</v>
      </c>
      <c r="AP3" s="13" t="s">
        <v>28</v>
      </c>
      <c r="AQ3" s="13" t="s">
        <v>29</v>
      </c>
      <c r="AR3" s="13" t="s">
        <v>29</v>
      </c>
      <c r="AS3" s="13" t="s">
        <v>28</v>
      </c>
      <c r="AT3" s="13" t="s">
        <v>28</v>
      </c>
      <c r="AU3" s="17" t="s">
        <v>54</v>
      </c>
      <c r="AV3" s="13" t="s">
        <v>55</v>
      </c>
      <c r="AW3" s="14" t="s">
        <v>56</v>
      </c>
      <c r="AX3" s="14" t="s">
        <v>57</v>
      </c>
      <c r="AY3" s="13" t="s">
        <v>58</v>
      </c>
      <c r="AZ3" s="13" t="s">
        <v>59</v>
      </c>
      <c r="BA3" s="2"/>
      <c r="BB3" s="2"/>
      <c r="BC3" s="13" t="s">
        <v>59</v>
      </c>
      <c r="BD3" s="2"/>
      <c r="BE3" s="2"/>
      <c r="BF3" s="2"/>
      <c r="BG3" s="2"/>
      <c r="BH3" s="2"/>
      <c r="BI3" s="2"/>
      <c r="BJ3" s="2"/>
      <c r="BK3" s="2"/>
    </row>
    <row r="4">
      <c r="A4" s="2"/>
      <c r="B4" s="2"/>
      <c r="C4" s="2"/>
      <c r="D4" s="15" t="s">
        <v>60</v>
      </c>
      <c r="E4" s="18" t="str">
        <f>(GOOGLEFINANCE("VIX", "high") - GOOGLEFINANCE("VIX", "low")) / GOOGLEFINANCE("VIX", "price")</f>
        <v>#ERROR!</v>
      </c>
      <c r="F4" s="16" t="str">
        <f>IF(ABS(R[0]C[-1]) &lt; 0.05, "Stable regime", IF(ABS(R[0]C[-1]) &gt; 0.08, "Trend day", "Normal/Transition"))</f>
        <v>#ERROR!</v>
      </c>
      <c r="G4" s="9"/>
      <c r="H4" s="2"/>
      <c r="I4" s="2"/>
      <c r="J4" s="9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5"/>
      <c r="AD4" s="5"/>
      <c r="AE4" s="2"/>
      <c r="AF4" s="2"/>
      <c r="AG4" s="2"/>
      <c r="AH4" s="2"/>
      <c r="AI4" s="2"/>
      <c r="AJ4" s="2"/>
      <c r="AK4" s="2"/>
      <c r="AM4" s="13" t="s">
        <v>27</v>
      </c>
      <c r="AN4" s="13" t="s">
        <v>29</v>
      </c>
      <c r="AO4" s="13" t="s">
        <v>28</v>
      </c>
      <c r="AP4" s="13" t="s">
        <v>28</v>
      </c>
      <c r="AQ4" s="13" t="s">
        <v>29</v>
      </c>
      <c r="AR4" s="13" t="s">
        <v>29</v>
      </c>
      <c r="AS4" s="13" t="s">
        <v>29</v>
      </c>
      <c r="AT4" s="13" t="s">
        <v>28</v>
      </c>
      <c r="AU4" s="17" t="s">
        <v>61</v>
      </c>
      <c r="AV4" s="13" t="s">
        <v>31</v>
      </c>
      <c r="AW4" s="13" t="s">
        <v>32</v>
      </c>
      <c r="AX4" s="13" t="s">
        <v>62</v>
      </c>
      <c r="AY4" s="13" t="s">
        <v>63</v>
      </c>
      <c r="AZ4" s="13" t="s">
        <v>35</v>
      </c>
      <c r="BA4" s="2"/>
      <c r="BB4" s="13" t="s">
        <v>35</v>
      </c>
      <c r="BC4" s="2"/>
      <c r="BD4" s="2"/>
      <c r="BE4" s="2"/>
      <c r="BF4" s="2"/>
      <c r="BG4" s="2"/>
      <c r="BH4" s="13" t="s">
        <v>64</v>
      </c>
      <c r="BI4" s="2"/>
      <c r="BJ4" s="2"/>
      <c r="BK4" s="2"/>
    </row>
    <row r="5">
      <c r="A5" s="2" t="s">
        <v>65</v>
      </c>
      <c r="B5" s="2" t="s">
        <v>27</v>
      </c>
      <c r="C5" s="2"/>
      <c r="D5" s="15"/>
      <c r="E5" s="9"/>
      <c r="F5" s="19"/>
      <c r="G5" s="9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5"/>
      <c r="AD5" s="5"/>
      <c r="AE5" s="2"/>
      <c r="AF5" s="2"/>
      <c r="AG5" s="2"/>
      <c r="AH5" s="2"/>
      <c r="AI5" s="2"/>
      <c r="AJ5" s="2"/>
      <c r="AK5" s="2"/>
      <c r="AL5" s="2"/>
      <c r="AM5" s="13" t="s">
        <v>27</v>
      </c>
      <c r="AN5" s="13" t="s">
        <v>29</v>
      </c>
      <c r="AO5" s="13" t="s">
        <v>28</v>
      </c>
      <c r="AP5" s="13" t="s">
        <v>28</v>
      </c>
      <c r="AQ5" s="13" t="s">
        <v>28</v>
      </c>
      <c r="AR5" s="13" t="s">
        <v>29</v>
      </c>
      <c r="AS5" s="13" t="s">
        <v>29</v>
      </c>
      <c r="AT5" s="13" t="s">
        <v>28</v>
      </c>
      <c r="AU5" s="17" t="s">
        <v>66</v>
      </c>
      <c r="AV5" s="13" t="s">
        <v>67</v>
      </c>
      <c r="AW5" s="14" t="s">
        <v>68</v>
      </c>
      <c r="AX5" s="14" t="s">
        <v>62</v>
      </c>
      <c r="AY5" s="13" t="s">
        <v>69</v>
      </c>
      <c r="AZ5" s="2"/>
      <c r="BA5" s="13" t="s">
        <v>70</v>
      </c>
      <c r="BB5" s="2"/>
      <c r="BC5" s="2"/>
      <c r="BD5" s="2"/>
      <c r="BE5" s="2"/>
      <c r="BF5" s="2"/>
      <c r="BG5" s="2"/>
      <c r="BH5" s="2"/>
      <c r="BI5" s="2"/>
      <c r="BJ5" s="2"/>
      <c r="BK5" s="2"/>
    </row>
    <row r="6">
      <c r="A6" s="2" t="s">
        <v>71</v>
      </c>
      <c r="B6" s="2" t="s">
        <v>48</v>
      </c>
      <c r="C6" s="2"/>
      <c r="D6" s="15"/>
      <c r="E6" s="9"/>
      <c r="F6" s="19"/>
      <c r="G6" s="9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12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2"/>
      <c r="AL6" s="12"/>
      <c r="AM6" s="13" t="s">
        <v>27</v>
      </c>
      <c r="AN6" s="13" t="s">
        <v>28</v>
      </c>
      <c r="AO6" s="13" t="s">
        <v>29</v>
      </c>
      <c r="AP6" s="13" t="s">
        <v>28</v>
      </c>
      <c r="AQ6" s="13" t="s">
        <v>28</v>
      </c>
      <c r="AR6" s="13" t="s">
        <v>29</v>
      </c>
      <c r="AS6" s="13" t="s">
        <v>28</v>
      </c>
      <c r="AT6" s="13" t="s">
        <v>28</v>
      </c>
      <c r="AU6" s="13" t="s">
        <v>72</v>
      </c>
      <c r="AV6" s="13" t="s">
        <v>73</v>
      </c>
      <c r="AW6" s="14" t="s">
        <v>32</v>
      </c>
      <c r="AX6" s="14" t="s">
        <v>33</v>
      </c>
      <c r="AY6" s="13" t="s">
        <v>74</v>
      </c>
      <c r="AZ6" s="2"/>
      <c r="BA6" s="13" t="s">
        <v>75</v>
      </c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/>
      <c r="B7" s="2"/>
      <c r="C7" s="2"/>
      <c r="D7" s="20"/>
      <c r="E7" s="21"/>
      <c r="F7" s="22"/>
      <c r="G7" s="9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11"/>
      <c r="U7" s="11"/>
      <c r="V7" s="11"/>
      <c r="W7" s="11"/>
      <c r="X7" s="11"/>
      <c r="Y7" s="11"/>
      <c r="Z7" s="11"/>
      <c r="AA7" s="12"/>
      <c r="AB7" s="11"/>
      <c r="AC7" s="11"/>
      <c r="AD7" s="11"/>
      <c r="AE7" s="11"/>
      <c r="AF7" s="12"/>
      <c r="AG7" s="12"/>
      <c r="AH7" s="12"/>
      <c r="AI7" s="12"/>
      <c r="AJ7" s="12"/>
      <c r="AK7" s="12"/>
      <c r="AL7" s="12"/>
      <c r="AM7" s="13" t="s">
        <v>48</v>
      </c>
      <c r="AN7" s="13" t="s">
        <v>29</v>
      </c>
      <c r="AO7" s="13" t="s">
        <v>28</v>
      </c>
      <c r="AP7" s="13" t="s">
        <v>28</v>
      </c>
      <c r="AQ7" s="13" t="s">
        <v>28</v>
      </c>
      <c r="AR7" s="13" t="s">
        <v>29</v>
      </c>
      <c r="AS7" s="13" t="s">
        <v>28</v>
      </c>
      <c r="AT7" s="13" t="s">
        <v>28</v>
      </c>
      <c r="AU7" s="13" t="s">
        <v>76</v>
      </c>
      <c r="AV7" s="13" t="s">
        <v>77</v>
      </c>
      <c r="AW7" s="14" t="s">
        <v>78</v>
      </c>
      <c r="AX7" s="14" t="s">
        <v>62</v>
      </c>
      <c r="AY7" s="13" t="s">
        <v>34</v>
      </c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12"/>
      <c r="T8" s="23"/>
      <c r="U8" s="23"/>
      <c r="V8" s="23"/>
      <c r="W8" s="23"/>
      <c r="X8" s="23"/>
      <c r="Y8" s="23"/>
      <c r="Z8" s="23"/>
      <c r="AA8" s="23"/>
      <c r="AB8" s="23"/>
      <c r="AC8" s="24"/>
      <c r="AD8" s="24"/>
      <c r="AE8" s="23"/>
      <c r="AF8" s="2"/>
      <c r="AG8" s="2"/>
      <c r="AH8" s="2"/>
      <c r="AI8" s="2"/>
      <c r="AJ8" s="2"/>
      <c r="AK8" s="23"/>
      <c r="AL8" s="2"/>
      <c r="AM8" s="13" t="s">
        <v>48</v>
      </c>
      <c r="AN8" s="13" t="s">
        <v>29</v>
      </c>
      <c r="AO8" s="13" t="s">
        <v>28</v>
      </c>
      <c r="AP8" s="13" t="s">
        <v>28</v>
      </c>
      <c r="AQ8" s="13" t="s">
        <v>28</v>
      </c>
      <c r="AR8" s="13" t="s">
        <v>29</v>
      </c>
      <c r="AS8" s="13" t="s">
        <v>29</v>
      </c>
      <c r="AT8" s="13" t="s">
        <v>28</v>
      </c>
      <c r="AU8" s="13" t="s">
        <v>79</v>
      </c>
      <c r="AV8" s="13" t="s">
        <v>77</v>
      </c>
      <c r="AW8" s="14" t="s">
        <v>51</v>
      </c>
      <c r="AX8" s="14" t="s">
        <v>62</v>
      </c>
      <c r="AY8" s="13" t="s">
        <v>34</v>
      </c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3"/>
      <c r="U9" s="23"/>
      <c r="V9" s="23"/>
      <c r="W9" s="23"/>
      <c r="X9" s="23"/>
      <c r="Y9" s="23"/>
      <c r="Z9" s="23"/>
      <c r="AA9" s="23"/>
      <c r="AB9" s="23"/>
      <c r="AC9" s="24"/>
      <c r="AD9" s="24"/>
      <c r="AE9" s="23"/>
      <c r="AF9" s="2"/>
      <c r="AG9" s="2"/>
      <c r="AH9" s="2"/>
      <c r="AI9" s="2"/>
      <c r="AJ9" s="2"/>
      <c r="AK9" s="2"/>
      <c r="AL9" s="2"/>
      <c r="AM9" s="13" t="s">
        <v>48</v>
      </c>
      <c r="AN9" s="13" t="s">
        <v>29</v>
      </c>
      <c r="AO9" s="13" t="s">
        <v>28</v>
      </c>
      <c r="AP9" s="13" t="s">
        <v>29</v>
      </c>
      <c r="AQ9" s="13" t="s">
        <v>28</v>
      </c>
      <c r="AR9" s="13" t="s">
        <v>29</v>
      </c>
      <c r="AS9" s="13" t="s">
        <v>29</v>
      </c>
      <c r="AT9" s="13" t="s">
        <v>28</v>
      </c>
      <c r="AU9" s="13" t="s">
        <v>80</v>
      </c>
      <c r="AV9" s="13" t="s">
        <v>81</v>
      </c>
      <c r="AW9" s="14" t="s">
        <v>82</v>
      </c>
      <c r="AX9" s="14" t="s">
        <v>62</v>
      </c>
      <c r="AY9" s="13" t="s">
        <v>34</v>
      </c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AM10" s="13" t="s">
        <v>48</v>
      </c>
      <c r="AN10" s="13" t="s">
        <v>29</v>
      </c>
      <c r="AO10" s="13" t="s">
        <v>28</v>
      </c>
      <c r="AP10" s="13" t="s">
        <v>29</v>
      </c>
      <c r="AQ10" s="13" t="s">
        <v>29</v>
      </c>
      <c r="AR10" s="13" t="s">
        <v>29</v>
      </c>
      <c r="AS10" s="13" t="s">
        <v>28</v>
      </c>
      <c r="AT10" s="13" t="s">
        <v>28</v>
      </c>
      <c r="AU10" s="13" t="s">
        <v>83</v>
      </c>
      <c r="AV10" s="13" t="s">
        <v>84</v>
      </c>
      <c r="AW10" s="14" t="s">
        <v>85</v>
      </c>
      <c r="AX10" s="14" t="s">
        <v>62</v>
      </c>
      <c r="AY10" s="13" t="s">
        <v>86</v>
      </c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</row>
    <row r="11">
      <c r="A11" s="25" t="s">
        <v>87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"/>
      <c r="P11" s="2"/>
      <c r="Q11" s="2"/>
      <c r="R11" s="2"/>
      <c r="S11" s="2"/>
      <c r="AM11" s="13" t="s">
        <v>27</v>
      </c>
      <c r="AN11" s="13" t="s">
        <v>29</v>
      </c>
      <c r="AO11" s="13" t="s">
        <v>28</v>
      </c>
      <c r="AP11" s="13" t="s">
        <v>29</v>
      </c>
      <c r="AQ11" s="13" t="s">
        <v>29</v>
      </c>
      <c r="AR11" s="13" t="s">
        <v>29</v>
      </c>
      <c r="AS11" s="13" t="s">
        <v>29</v>
      </c>
      <c r="AT11" s="13" t="s">
        <v>28</v>
      </c>
      <c r="AU11" s="13" t="s">
        <v>88</v>
      </c>
      <c r="AV11" s="13" t="s">
        <v>89</v>
      </c>
      <c r="AW11" s="14" t="s">
        <v>32</v>
      </c>
      <c r="AX11" s="14" t="s">
        <v>62</v>
      </c>
      <c r="AY11" s="13" t="s">
        <v>90</v>
      </c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</row>
    <row r="12">
      <c r="A12" s="15" t="s">
        <v>26</v>
      </c>
      <c r="B12" s="10" t="str">
        <f>IF(R[-10]C[0]&gt;R[-4]C[0],"Climbing","Dropping")</f>
        <v>#ERROR!</v>
      </c>
      <c r="C12" s="2"/>
      <c r="D12" s="3" t="s">
        <v>91</v>
      </c>
      <c r="E12" s="3" t="s">
        <v>2</v>
      </c>
      <c r="F12" s="3" t="s">
        <v>3</v>
      </c>
      <c r="G12" s="3" t="s">
        <v>4</v>
      </c>
      <c r="H12" s="3" t="s">
        <v>5</v>
      </c>
      <c r="I12" s="3" t="s">
        <v>6</v>
      </c>
      <c r="J12" s="3" t="s">
        <v>7</v>
      </c>
      <c r="K12" s="3" t="s">
        <v>92</v>
      </c>
      <c r="L12" s="3" t="s">
        <v>9</v>
      </c>
      <c r="M12" s="3" t="s">
        <v>11</v>
      </c>
      <c r="N12" s="28" t="s">
        <v>93</v>
      </c>
      <c r="O12" s="2"/>
      <c r="P12" s="2"/>
      <c r="Q12" s="2"/>
      <c r="R12" s="2"/>
      <c r="S12" s="2"/>
      <c r="AM12" s="13" t="s">
        <v>27</v>
      </c>
      <c r="AN12" s="13" t="s">
        <v>28</v>
      </c>
      <c r="AO12" s="13" t="s">
        <v>29</v>
      </c>
      <c r="AP12" s="13" t="s">
        <v>28</v>
      </c>
      <c r="AQ12" s="13" t="s">
        <v>29</v>
      </c>
      <c r="AR12" s="13" t="s">
        <v>29</v>
      </c>
      <c r="AS12" s="13" t="s">
        <v>29</v>
      </c>
      <c r="AT12" s="13" t="s">
        <v>28</v>
      </c>
      <c r="AU12" s="13" t="s">
        <v>94</v>
      </c>
      <c r="AV12" s="13" t="s">
        <v>89</v>
      </c>
      <c r="AW12" s="14" t="s">
        <v>32</v>
      </c>
      <c r="AX12" s="14" t="s">
        <v>95</v>
      </c>
      <c r="AY12" s="13" t="s">
        <v>74</v>
      </c>
      <c r="AZ12" s="13" t="s">
        <v>37</v>
      </c>
      <c r="BA12" s="13" t="s">
        <v>96</v>
      </c>
      <c r="BB12" s="13" t="s">
        <v>35</v>
      </c>
      <c r="BC12" s="2"/>
      <c r="BD12" s="2"/>
      <c r="BE12" s="2"/>
      <c r="BF12" s="2"/>
      <c r="BG12" s="2"/>
      <c r="BH12" s="2"/>
      <c r="BI12" s="2"/>
      <c r="BJ12" s="2"/>
      <c r="BK12" s="2"/>
    </row>
    <row r="13">
      <c r="A13" s="15"/>
      <c r="B13" s="2"/>
      <c r="C13" s="2"/>
      <c r="D13" s="1" t="s">
        <v>97</v>
      </c>
      <c r="E13" s="29" t="s">
        <v>28</v>
      </c>
      <c r="F13" s="29" t="s">
        <v>29</v>
      </c>
      <c r="G13" s="29" t="s">
        <v>28</v>
      </c>
      <c r="H13" s="29" t="s">
        <v>29</v>
      </c>
      <c r="I13" s="29" t="s">
        <v>29</v>
      </c>
      <c r="J13" s="29" t="s">
        <v>29</v>
      </c>
      <c r="K13" s="30" t="str">
        <f>INDEX(C8:C8,
  MATCH(1,
    (C1:C1=R[0]C[-7])*
    (C2:C2=R[0]C[-6])*
    (C3:C3=R[0]C[-5])*
    (C4:C4=R[0]C[-4])*
    (C5:C5=R[0]C[-3])*
    (C6:C6=R[0]C[-2])*
    (C7:C7=R[0]C[-1]),
  0)
)</f>
        <v>#ERROR!</v>
      </c>
      <c r="L13" s="30" t="str">
        <f>INDEX(C9:C9,
  MATCH(1,
    (C1:C1=R[0]C[-8])*
    (C2:C2=R[0]C[-7])*
    (C3:C3=R[0]C[-6])*
    (C4:C4=R[0]C[-5])*
    (C5:C5=R[0]C[-4])*
    (C6:C6=R[0]C[-3])*
    (C7:C7=R[0]C[-2]),
  0)
)</f>
        <v>#ERROR!</v>
      </c>
      <c r="M13" s="30" t="str">
        <f>INDEX(C11:C11,
  MATCH(1,
    (C1:C1=R[0]C[-9])*
    (C2:C2=R[0]C[-8])*
    (C3:C3=R[0]C[-7])*
    (C4:C4=R[0]C[-6])*
    (C5:C5=R[0]C[-5])*
    (C6:C6=R[0]C[-4])*
    (C7:C7=R[0]C[-3]),
  0)
)</f>
        <v>#ERROR!</v>
      </c>
      <c r="N13" s="31" t="str">
        <f>INDEX(C12:C12,
  MATCH(1,
    (C1:C1=R[0]C[-10])*
    (C2:C2=R[0]C[-9])*
    (C3:C3=R[0]C[-8])*
    (C4:C4=R[0]C[-7])*
    (C5:C5=R[0]C[-6])*
    (C6:C6=R[0]C[-5])*
    (C7:C7=R[0]C[-4]),
  0)
)</f>
        <v>#ERROR!</v>
      </c>
      <c r="O13" s="2"/>
      <c r="P13" s="2"/>
      <c r="Q13" s="2"/>
      <c r="R13" s="2"/>
      <c r="S13" s="2"/>
      <c r="AM13" s="13" t="s">
        <v>48</v>
      </c>
      <c r="AN13" s="13" t="s">
        <v>29</v>
      </c>
      <c r="AO13" s="13" t="s">
        <v>28</v>
      </c>
      <c r="AP13" s="13" t="s">
        <v>29</v>
      </c>
      <c r="AQ13" s="13" t="s">
        <v>29</v>
      </c>
      <c r="AR13" s="13" t="s">
        <v>29</v>
      </c>
      <c r="AS13" s="13" t="s">
        <v>29</v>
      </c>
      <c r="AT13" s="13" t="s">
        <v>28</v>
      </c>
      <c r="AU13" s="13" t="s">
        <v>98</v>
      </c>
      <c r="AV13" s="13" t="s">
        <v>50</v>
      </c>
      <c r="AW13" s="14" t="s">
        <v>51</v>
      </c>
      <c r="AX13" s="14" t="s">
        <v>33</v>
      </c>
      <c r="AY13" s="13" t="s">
        <v>74</v>
      </c>
      <c r="AZ13" s="13" t="s">
        <v>37</v>
      </c>
      <c r="BA13" s="2"/>
      <c r="BB13" s="13" t="s">
        <v>35</v>
      </c>
      <c r="BC13" s="13" t="s">
        <v>53</v>
      </c>
      <c r="BD13" s="2"/>
      <c r="BE13" s="32" t="s">
        <v>99</v>
      </c>
      <c r="BF13" s="17" t="s">
        <v>100</v>
      </c>
      <c r="BG13" s="2"/>
      <c r="BH13" s="2"/>
      <c r="BI13" s="2"/>
      <c r="BJ13" s="2"/>
      <c r="BK13" s="2"/>
    </row>
    <row r="14">
      <c r="A14" s="15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9"/>
      <c r="O14" s="2"/>
      <c r="P14" s="2"/>
      <c r="Q14" s="2"/>
      <c r="R14" s="2"/>
      <c r="S14" s="2"/>
      <c r="AM14" s="13" t="s">
        <v>27</v>
      </c>
      <c r="AN14" s="13" t="s">
        <v>29</v>
      </c>
      <c r="AO14" s="13" t="s">
        <v>28</v>
      </c>
      <c r="AP14" s="13" t="s">
        <v>29</v>
      </c>
      <c r="AQ14" s="13" t="s">
        <v>29</v>
      </c>
      <c r="AR14" s="13" t="s">
        <v>29</v>
      </c>
      <c r="AS14" s="13" t="s">
        <v>29</v>
      </c>
      <c r="AT14" s="13" t="s">
        <v>29</v>
      </c>
      <c r="AU14" s="13" t="s">
        <v>101</v>
      </c>
      <c r="AV14" s="13" t="s">
        <v>102</v>
      </c>
      <c r="AW14" s="14" t="s">
        <v>103</v>
      </c>
      <c r="AX14" s="14" t="s">
        <v>104</v>
      </c>
      <c r="AY14" s="13" t="s">
        <v>58</v>
      </c>
      <c r="AZ14" s="13" t="s">
        <v>105</v>
      </c>
      <c r="BA14" s="2"/>
      <c r="BB14" s="13" t="s">
        <v>37</v>
      </c>
      <c r="BC14" s="13" t="s">
        <v>37</v>
      </c>
      <c r="BD14" s="2"/>
      <c r="BE14" s="2"/>
      <c r="BF14" s="2"/>
      <c r="BG14" s="2"/>
      <c r="BH14" s="2"/>
      <c r="BI14" s="2"/>
      <c r="BJ14" s="2"/>
      <c r="BK14" s="2"/>
    </row>
    <row r="15">
      <c r="A15" s="20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22"/>
      <c r="O15" s="2"/>
      <c r="P15" s="2"/>
      <c r="Q15" s="2"/>
      <c r="R15" s="2"/>
      <c r="S15" s="2"/>
      <c r="AM15" s="13" t="s">
        <v>48</v>
      </c>
      <c r="AN15" s="13" t="s">
        <v>28</v>
      </c>
      <c r="AO15" s="13" t="s">
        <v>29</v>
      </c>
      <c r="AP15" s="13" t="s">
        <v>28</v>
      </c>
      <c r="AQ15" s="13" t="s">
        <v>29</v>
      </c>
      <c r="AR15" s="13" t="s">
        <v>29</v>
      </c>
      <c r="AS15" s="13" t="s">
        <v>29</v>
      </c>
      <c r="AT15" s="13" t="s">
        <v>29</v>
      </c>
      <c r="AU15" s="13" t="s">
        <v>106</v>
      </c>
      <c r="AV15" s="13" t="s">
        <v>107</v>
      </c>
      <c r="AW15" s="14" t="s">
        <v>51</v>
      </c>
      <c r="AX15" s="14" t="s">
        <v>33</v>
      </c>
      <c r="AY15" s="13" t="s">
        <v>74</v>
      </c>
      <c r="AZ15" s="13" t="s">
        <v>108</v>
      </c>
      <c r="BA15" s="17" t="s">
        <v>109</v>
      </c>
      <c r="BB15" s="13" t="s">
        <v>35</v>
      </c>
      <c r="BC15" s="13" t="s">
        <v>53</v>
      </c>
      <c r="BD15" s="2"/>
      <c r="BE15" s="32" t="s">
        <v>110</v>
      </c>
      <c r="BF15" s="17" t="s">
        <v>100</v>
      </c>
      <c r="BG15" s="2"/>
      <c r="BH15" s="13" t="s">
        <v>44</v>
      </c>
      <c r="BI15" s="2"/>
      <c r="BJ15" s="2"/>
      <c r="BK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AM16" s="13" t="s">
        <v>48</v>
      </c>
      <c r="AN16" s="13" t="s">
        <v>29</v>
      </c>
      <c r="AO16" s="13" t="s">
        <v>28</v>
      </c>
      <c r="AP16" s="13" t="s">
        <v>29</v>
      </c>
      <c r="AQ16" s="13" t="s">
        <v>29</v>
      </c>
      <c r="AR16" s="13" t="s">
        <v>29</v>
      </c>
      <c r="AS16" s="13" t="s">
        <v>29</v>
      </c>
      <c r="AT16" s="13" t="s">
        <v>28</v>
      </c>
      <c r="AU16" s="13" t="s">
        <v>111</v>
      </c>
      <c r="AV16" s="13" t="s">
        <v>50</v>
      </c>
      <c r="AW16" s="14" t="s">
        <v>51</v>
      </c>
      <c r="AX16" s="14" t="s">
        <v>62</v>
      </c>
      <c r="AY16" s="13" t="s">
        <v>34</v>
      </c>
      <c r="AZ16" s="2"/>
      <c r="BA16" s="2"/>
      <c r="BB16" s="2"/>
      <c r="BC16" s="2"/>
      <c r="BD16" s="2"/>
      <c r="BE16" s="32" t="s">
        <v>110</v>
      </c>
      <c r="BF16" s="17" t="s">
        <v>100</v>
      </c>
      <c r="BG16" s="2"/>
      <c r="BH16" s="2"/>
      <c r="BI16" s="2"/>
      <c r="BJ16" s="2"/>
      <c r="BK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AM17" s="13" t="s">
        <v>27</v>
      </c>
      <c r="AN17" s="13" t="s">
        <v>28</v>
      </c>
      <c r="AO17" s="13" t="s">
        <v>29</v>
      </c>
      <c r="AP17" s="13" t="s">
        <v>29</v>
      </c>
      <c r="AQ17" s="13" t="s">
        <v>28</v>
      </c>
      <c r="AR17" s="13" t="s">
        <v>28</v>
      </c>
      <c r="AS17" s="13" t="s">
        <v>28</v>
      </c>
      <c r="AT17" s="13" t="s">
        <v>28</v>
      </c>
      <c r="AU17" s="13" t="s">
        <v>112</v>
      </c>
      <c r="AV17" s="13" t="s">
        <v>113</v>
      </c>
      <c r="AW17" s="14" t="s">
        <v>32</v>
      </c>
      <c r="AX17" s="14" t="s">
        <v>33</v>
      </c>
      <c r="AY17" s="13" t="s">
        <v>74</v>
      </c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</row>
    <row r="18">
      <c r="A18" s="2"/>
      <c r="B18" s="2"/>
      <c r="C18" s="2"/>
      <c r="D18" s="2" t="str">
        <f>IF(COUNTIF(R[-1]C[-2]:R[1]C[-2],"Climbing")&gt;=2,"High",
   IF(COUNTIF(R[-1]C[-2]:R[1]C[-2],"Dropping")&gt;=2,"Low",""))</f>
        <v>#ERROR!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AM18" s="13" t="s">
        <v>27</v>
      </c>
      <c r="AN18" s="13" t="s">
        <v>29</v>
      </c>
      <c r="AO18" s="13" t="s">
        <v>28</v>
      </c>
      <c r="AP18" s="13" t="s">
        <v>29</v>
      </c>
      <c r="AQ18" s="13" t="s">
        <v>29</v>
      </c>
      <c r="AR18" s="13" t="s">
        <v>29</v>
      </c>
      <c r="AS18" s="13" t="s">
        <v>29</v>
      </c>
      <c r="AT18" s="13" t="s">
        <v>29</v>
      </c>
      <c r="AU18" s="13" t="s">
        <v>114</v>
      </c>
      <c r="AV18" s="13" t="s">
        <v>77</v>
      </c>
      <c r="AW18" s="14" t="s">
        <v>115</v>
      </c>
      <c r="AX18" s="14" t="s">
        <v>62</v>
      </c>
      <c r="AY18" s="13" t="s">
        <v>34</v>
      </c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AM19" s="13" t="s">
        <v>27</v>
      </c>
      <c r="AN19" s="13" t="s">
        <v>28</v>
      </c>
      <c r="AO19" s="13" t="s">
        <v>29</v>
      </c>
      <c r="AP19" s="13" t="s">
        <v>28</v>
      </c>
      <c r="AQ19" s="13" t="s">
        <v>29</v>
      </c>
      <c r="AR19" s="13" t="s">
        <v>28</v>
      </c>
      <c r="AS19" s="13" t="s">
        <v>28</v>
      </c>
      <c r="AT19" s="13" t="s">
        <v>28</v>
      </c>
      <c r="AU19" s="13" t="s">
        <v>116</v>
      </c>
      <c r="AV19" s="13" t="s">
        <v>50</v>
      </c>
      <c r="AW19" s="14" t="s">
        <v>51</v>
      </c>
      <c r="AX19" s="14" t="s">
        <v>33</v>
      </c>
      <c r="AY19" s="13" t="s">
        <v>74</v>
      </c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AM20" s="13" t="s">
        <v>27</v>
      </c>
      <c r="AN20" s="13" t="s">
        <v>29</v>
      </c>
      <c r="AO20" s="13" t="s">
        <v>28</v>
      </c>
      <c r="AP20" s="13" t="s">
        <v>28</v>
      </c>
      <c r="AQ20" s="13" t="s">
        <v>29</v>
      </c>
      <c r="AR20" s="13" t="s">
        <v>29</v>
      </c>
      <c r="AS20" s="13" t="s">
        <v>29</v>
      </c>
      <c r="AT20" s="13" t="s">
        <v>29</v>
      </c>
      <c r="AU20" s="13" t="s">
        <v>117</v>
      </c>
      <c r="AV20" s="13" t="s">
        <v>31</v>
      </c>
      <c r="AW20" s="14" t="s">
        <v>32</v>
      </c>
      <c r="AX20" s="34" t="s">
        <v>62</v>
      </c>
      <c r="AY20" s="13" t="s">
        <v>34</v>
      </c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AM21" s="17" t="s">
        <v>48</v>
      </c>
      <c r="AN21" s="17" t="s">
        <v>28</v>
      </c>
      <c r="AO21" s="17" t="s">
        <v>28</v>
      </c>
      <c r="AP21" s="17" t="s">
        <v>28</v>
      </c>
      <c r="AQ21" s="17" t="s">
        <v>29</v>
      </c>
      <c r="AR21" s="17" t="s">
        <v>29</v>
      </c>
      <c r="AS21" s="17" t="s">
        <v>29</v>
      </c>
      <c r="AT21" s="17" t="s">
        <v>29</v>
      </c>
      <c r="AU21" s="17" t="s">
        <v>118</v>
      </c>
      <c r="AV21" s="13" t="s">
        <v>119</v>
      </c>
      <c r="AW21" s="14" t="s">
        <v>51</v>
      </c>
      <c r="AX21" s="14" t="s">
        <v>120</v>
      </c>
      <c r="AY21" s="13" t="s">
        <v>74</v>
      </c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2"/>
      <c r="AM22" s="17" t="s">
        <v>27</v>
      </c>
      <c r="AN22" s="17" t="s">
        <v>28</v>
      </c>
      <c r="AO22" s="17" t="s">
        <v>28</v>
      </c>
      <c r="AP22" s="17" t="s">
        <v>28</v>
      </c>
      <c r="AQ22" s="17" t="s">
        <v>29</v>
      </c>
      <c r="AR22" s="17" t="s">
        <v>29</v>
      </c>
      <c r="AS22" s="17" t="s">
        <v>29</v>
      </c>
      <c r="AT22" s="17" t="s">
        <v>29</v>
      </c>
      <c r="AU22" s="17" t="s">
        <v>121</v>
      </c>
      <c r="AV22" s="13" t="s">
        <v>122</v>
      </c>
      <c r="AW22" s="14" t="s">
        <v>123</v>
      </c>
      <c r="AX22" s="14" t="s">
        <v>124</v>
      </c>
      <c r="AY22" s="13" t="s">
        <v>125</v>
      </c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2"/>
      <c r="AM23" s="17" t="s">
        <v>48</v>
      </c>
      <c r="AN23" s="17" t="s">
        <v>29</v>
      </c>
      <c r="AO23" s="17" t="s">
        <v>29</v>
      </c>
      <c r="AP23" s="17" t="s">
        <v>29</v>
      </c>
      <c r="AQ23" s="17" t="s">
        <v>29</v>
      </c>
      <c r="AR23" s="17" t="s">
        <v>29</v>
      </c>
      <c r="AS23" s="17" t="s">
        <v>29</v>
      </c>
      <c r="AT23" s="17" t="s">
        <v>28</v>
      </c>
      <c r="AU23" s="17" t="s">
        <v>126</v>
      </c>
      <c r="AV23" s="13" t="s">
        <v>77</v>
      </c>
      <c r="AW23" s="14" t="s">
        <v>127</v>
      </c>
      <c r="AX23" s="34" t="s">
        <v>62</v>
      </c>
      <c r="AY23" s="13" t="s">
        <v>34</v>
      </c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</row>
    <row r="24">
      <c r="A24" s="3" t="s">
        <v>1</v>
      </c>
      <c r="B24" s="3" t="s">
        <v>2</v>
      </c>
      <c r="C24" s="3" t="s">
        <v>3</v>
      </c>
      <c r="D24" s="3" t="s">
        <v>4</v>
      </c>
      <c r="E24" s="3" t="s">
        <v>5</v>
      </c>
      <c r="F24" s="3" t="s">
        <v>6</v>
      </c>
      <c r="G24" s="3" t="s">
        <v>7</v>
      </c>
      <c r="H24" s="3" t="s">
        <v>8</v>
      </c>
      <c r="I24" s="3" t="s">
        <v>9</v>
      </c>
      <c r="J24" s="3" t="s">
        <v>10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128</v>
      </c>
      <c r="R24" s="2" t="s">
        <v>129</v>
      </c>
      <c r="S24" s="5"/>
      <c r="AM24" s="17" t="s">
        <v>48</v>
      </c>
      <c r="AN24" s="17" t="s">
        <v>29</v>
      </c>
      <c r="AO24" s="17" t="s">
        <v>28</v>
      </c>
      <c r="AP24" s="17" t="s">
        <v>28</v>
      </c>
      <c r="AQ24" s="17" t="s">
        <v>29</v>
      </c>
      <c r="AR24" s="17" t="s">
        <v>29</v>
      </c>
      <c r="AS24" s="17" t="s">
        <v>29</v>
      </c>
      <c r="AT24" s="17" t="s">
        <v>29</v>
      </c>
      <c r="AU24" s="17" t="s">
        <v>130</v>
      </c>
      <c r="AV24" s="13" t="s">
        <v>77</v>
      </c>
      <c r="AW24" s="14" t="s">
        <v>127</v>
      </c>
      <c r="AX24" s="34" t="s">
        <v>62</v>
      </c>
      <c r="AY24" s="13" t="s">
        <v>34</v>
      </c>
      <c r="AZ24" s="17" t="s">
        <v>37</v>
      </c>
      <c r="BA24" s="2"/>
      <c r="BB24" s="17" t="s">
        <v>35</v>
      </c>
      <c r="BC24" s="17" t="s">
        <v>53</v>
      </c>
      <c r="BD24" s="2"/>
      <c r="BE24" s="17" t="s">
        <v>110</v>
      </c>
      <c r="BF24" s="2"/>
      <c r="BG24" s="2"/>
      <c r="BH24" s="2"/>
      <c r="BI24" s="2"/>
      <c r="BJ24" s="2"/>
      <c r="BK24" s="2"/>
    </row>
    <row r="25">
      <c r="A25" s="35" t="s">
        <v>27</v>
      </c>
      <c r="B25" s="35" t="s">
        <v>28</v>
      </c>
      <c r="C25" s="35" t="s">
        <v>29</v>
      </c>
      <c r="D25" s="35" t="s">
        <v>29</v>
      </c>
      <c r="E25" s="35" t="s">
        <v>28</v>
      </c>
      <c r="F25" s="35" t="s">
        <v>28</v>
      </c>
      <c r="G25" s="35" t="s">
        <v>28</v>
      </c>
      <c r="H25" s="35" t="s">
        <v>131</v>
      </c>
      <c r="I25" s="35" t="s">
        <v>113</v>
      </c>
      <c r="J25" s="35" t="s">
        <v>32</v>
      </c>
      <c r="K25" s="2"/>
      <c r="L25" s="2"/>
      <c r="M25" s="2"/>
      <c r="N25" s="2"/>
      <c r="O25" s="2"/>
      <c r="P25" s="2"/>
      <c r="Q25" s="2"/>
      <c r="R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5"/>
      <c r="AX25" s="5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</row>
    <row r="26">
      <c r="A26" s="35" t="s">
        <v>27</v>
      </c>
      <c r="B26" s="35" t="s">
        <v>29</v>
      </c>
      <c r="C26" s="35" t="s">
        <v>28</v>
      </c>
      <c r="D26" s="35" t="s">
        <v>29</v>
      </c>
      <c r="E26" s="35" t="s">
        <v>29</v>
      </c>
      <c r="F26" s="35" t="s">
        <v>29</v>
      </c>
      <c r="G26" s="2"/>
      <c r="H26" s="35" t="s">
        <v>132</v>
      </c>
      <c r="I26" s="35" t="s">
        <v>77</v>
      </c>
      <c r="J26" s="35" t="s">
        <v>32</v>
      </c>
      <c r="K26" s="2"/>
      <c r="L26" s="2"/>
      <c r="M26" s="2"/>
      <c r="N26" s="2"/>
      <c r="O26" s="2"/>
      <c r="P26" s="2"/>
      <c r="Q26" s="2"/>
      <c r="R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5"/>
      <c r="AX26" s="5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</row>
    <row r="27">
      <c r="A27" s="35" t="s">
        <v>27</v>
      </c>
      <c r="B27" s="35" t="s">
        <v>28</v>
      </c>
      <c r="C27" s="35" t="s">
        <v>29</v>
      </c>
      <c r="D27" s="35" t="s">
        <v>28</v>
      </c>
      <c r="E27" s="35" t="s">
        <v>29</v>
      </c>
      <c r="F27" s="35" t="s">
        <v>28</v>
      </c>
      <c r="G27" s="2"/>
      <c r="H27" s="35" t="s">
        <v>49</v>
      </c>
      <c r="I27" s="35" t="s">
        <v>50</v>
      </c>
      <c r="J27" s="35" t="s">
        <v>51</v>
      </c>
      <c r="K27" s="2"/>
      <c r="L27" s="2"/>
      <c r="M27" s="2"/>
      <c r="N27" s="2"/>
      <c r="O27" s="2"/>
      <c r="P27" s="2"/>
      <c r="Q27" s="2"/>
      <c r="R27" s="2"/>
    </row>
    <row r="28">
      <c r="A28" s="35" t="s">
        <v>27</v>
      </c>
      <c r="B28" s="35" t="s">
        <v>29</v>
      </c>
      <c r="C28" s="35" t="s">
        <v>28</v>
      </c>
      <c r="D28" s="35" t="s">
        <v>28</v>
      </c>
      <c r="E28" s="35" t="s">
        <v>29</v>
      </c>
      <c r="F28" s="35" t="s">
        <v>29</v>
      </c>
      <c r="G28" s="2"/>
      <c r="H28" s="35" t="s">
        <v>133</v>
      </c>
      <c r="I28" s="35" t="s">
        <v>31</v>
      </c>
      <c r="J28" s="35" t="s">
        <v>32</v>
      </c>
      <c r="K28" s="2"/>
      <c r="L28" s="2"/>
      <c r="M28" s="2"/>
      <c r="N28" s="2"/>
      <c r="O28" s="2"/>
      <c r="P28" s="2"/>
      <c r="Q28" s="2"/>
      <c r="R28" s="2"/>
    </row>
    <row r="29">
      <c r="A29" s="11" t="s">
        <v>27</v>
      </c>
      <c r="B29" s="11" t="s">
        <v>28</v>
      </c>
      <c r="C29" s="11" t="s">
        <v>29</v>
      </c>
      <c r="D29" s="11" t="s">
        <v>28</v>
      </c>
      <c r="E29" s="11" t="s">
        <v>29</v>
      </c>
      <c r="F29" s="11" t="s">
        <v>29</v>
      </c>
      <c r="G29" s="11" t="s">
        <v>29</v>
      </c>
      <c r="H29" s="11" t="s">
        <v>30</v>
      </c>
      <c r="I29" s="11" t="s">
        <v>31</v>
      </c>
      <c r="J29" s="11" t="s">
        <v>32</v>
      </c>
      <c r="K29" s="11" t="s">
        <v>33</v>
      </c>
      <c r="L29" s="36" t="s">
        <v>52</v>
      </c>
      <c r="M29" s="11" t="s">
        <v>35</v>
      </c>
      <c r="N29" s="11" t="s">
        <v>36</v>
      </c>
      <c r="O29" s="11" t="s">
        <v>37</v>
      </c>
      <c r="P29" s="11" t="s">
        <v>59</v>
      </c>
      <c r="Q29" s="11" t="s">
        <v>134</v>
      </c>
      <c r="R29" s="12" t="s">
        <v>135</v>
      </c>
    </row>
    <row r="30">
      <c r="A30" s="35" t="s">
        <v>27</v>
      </c>
      <c r="B30" s="35" t="s">
        <v>28</v>
      </c>
      <c r="C30" s="35" t="s">
        <v>29</v>
      </c>
      <c r="D30" s="35" t="s">
        <v>28</v>
      </c>
      <c r="E30" s="35" t="s">
        <v>28</v>
      </c>
      <c r="F30" s="35" t="s">
        <v>28</v>
      </c>
      <c r="G30" s="35" t="s">
        <v>28</v>
      </c>
      <c r="H30" s="35" t="s">
        <v>136</v>
      </c>
      <c r="I30" s="35" t="s">
        <v>113</v>
      </c>
      <c r="J30" s="35" t="s">
        <v>32</v>
      </c>
      <c r="K30" s="2"/>
      <c r="L30" s="2"/>
      <c r="M30" s="2"/>
      <c r="N30" s="2"/>
      <c r="O30" s="2"/>
      <c r="P30" s="2"/>
      <c r="Q30" s="2"/>
      <c r="R30" s="2"/>
    </row>
    <row r="31">
      <c r="A31" s="36" t="s">
        <v>48</v>
      </c>
      <c r="B31" s="36" t="s">
        <v>28</v>
      </c>
      <c r="C31" s="36" t="s">
        <v>29</v>
      </c>
      <c r="D31" s="36" t="s">
        <v>28</v>
      </c>
      <c r="E31" s="36" t="s">
        <v>29</v>
      </c>
      <c r="F31" s="36" t="s">
        <v>29</v>
      </c>
      <c r="G31" s="36" t="s">
        <v>29</v>
      </c>
      <c r="H31" s="36" t="s">
        <v>49</v>
      </c>
      <c r="I31" s="36" t="s">
        <v>50</v>
      </c>
      <c r="J31" s="36" t="s">
        <v>51</v>
      </c>
      <c r="K31" s="36" t="s">
        <v>33</v>
      </c>
      <c r="L31" s="36" t="s">
        <v>137</v>
      </c>
      <c r="M31" s="36" t="s">
        <v>37</v>
      </c>
      <c r="N31" s="36" t="s">
        <v>35</v>
      </c>
      <c r="O31" s="36" t="s">
        <v>37</v>
      </c>
      <c r="P31" s="36" t="s">
        <v>53</v>
      </c>
      <c r="Q31" s="12"/>
      <c r="R31" s="12" t="s">
        <v>135</v>
      </c>
    </row>
    <row r="32">
      <c r="A32" s="35" t="s">
        <v>48</v>
      </c>
      <c r="B32" s="35" t="s">
        <v>29</v>
      </c>
      <c r="C32" s="35" t="s">
        <v>28</v>
      </c>
      <c r="D32" s="35" t="s">
        <v>28</v>
      </c>
      <c r="E32" s="35" t="s">
        <v>28</v>
      </c>
      <c r="F32" s="35" t="s">
        <v>28</v>
      </c>
      <c r="G32" s="2"/>
      <c r="H32" s="35" t="s">
        <v>138</v>
      </c>
      <c r="I32" s="35" t="s">
        <v>89</v>
      </c>
      <c r="J32" s="35" t="s">
        <v>32</v>
      </c>
      <c r="K32" s="2"/>
      <c r="L32" s="2"/>
      <c r="M32" s="2"/>
      <c r="N32" s="2"/>
      <c r="O32" s="2"/>
      <c r="P32" s="2"/>
      <c r="Q32" s="2"/>
      <c r="R32" s="2"/>
    </row>
    <row r="33">
      <c r="A33" s="35" t="s">
        <v>48</v>
      </c>
      <c r="B33" s="35" t="s">
        <v>28</v>
      </c>
      <c r="C33" s="35" t="s">
        <v>29</v>
      </c>
      <c r="D33" s="35" t="s">
        <v>29</v>
      </c>
      <c r="E33" s="35" t="s">
        <v>28</v>
      </c>
      <c r="F33" s="35" t="s">
        <v>29</v>
      </c>
      <c r="G33" s="35" t="s">
        <v>28</v>
      </c>
      <c r="H33" s="35" t="s">
        <v>139</v>
      </c>
      <c r="I33" s="35" t="s">
        <v>50</v>
      </c>
      <c r="J33" s="35" t="s">
        <v>51</v>
      </c>
      <c r="K33" s="2"/>
      <c r="L33" s="2"/>
      <c r="M33" s="2"/>
      <c r="N33" s="2"/>
      <c r="O33" s="2"/>
      <c r="P33" s="2"/>
      <c r="Q33" s="2"/>
      <c r="R33" s="2"/>
    </row>
    <row r="34">
      <c r="A34" s="35" t="s">
        <v>48</v>
      </c>
      <c r="B34" s="35" t="s">
        <v>29</v>
      </c>
      <c r="C34" s="35" t="s">
        <v>28</v>
      </c>
      <c r="D34" s="35" t="s">
        <v>29</v>
      </c>
      <c r="E34" s="35" t="s">
        <v>28</v>
      </c>
      <c r="F34" s="35" t="s">
        <v>28</v>
      </c>
      <c r="G34" s="2"/>
      <c r="H34" s="35" t="s">
        <v>140</v>
      </c>
      <c r="I34" s="35" t="s">
        <v>89</v>
      </c>
      <c r="J34" s="35" t="s">
        <v>32</v>
      </c>
      <c r="K34" s="2"/>
      <c r="L34" s="2"/>
      <c r="M34" s="2"/>
      <c r="N34" s="2"/>
      <c r="O34" s="2"/>
      <c r="P34" s="2"/>
      <c r="Q34" s="2"/>
      <c r="R34" s="2"/>
    </row>
    <row r="35">
      <c r="A35" s="37" t="s">
        <v>27</v>
      </c>
      <c r="B35" s="37" t="s">
        <v>29</v>
      </c>
      <c r="C35" s="37" t="s">
        <v>28</v>
      </c>
      <c r="D35" s="37" t="s">
        <v>28</v>
      </c>
      <c r="E35" s="37" t="s">
        <v>29</v>
      </c>
      <c r="F35" s="37" t="s">
        <v>29</v>
      </c>
      <c r="G35" s="37" t="s">
        <v>28</v>
      </c>
      <c r="H35" s="37" t="s">
        <v>141</v>
      </c>
      <c r="I35" s="37" t="s">
        <v>142</v>
      </c>
      <c r="J35" s="37" t="s">
        <v>103</v>
      </c>
      <c r="K35" s="37" t="s">
        <v>57</v>
      </c>
      <c r="L35" s="37" t="s">
        <v>58</v>
      </c>
      <c r="M35" s="2"/>
      <c r="N35" s="2"/>
      <c r="O35" s="2"/>
      <c r="P35" s="2"/>
      <c r="Q35" s="2"/>
      <c r="R35" s="2"/>
    </row>
    <row r="36">
      <c r="A36" s="37" t="s">
        <v>27</v>
      </c>
      <c r="B36" s="37" t="s">
        <v>29</v>
      </c>
      <c r="C36" s="37" t="s">
        <v>28</v>
      </c>
      <c r="D36" s="37" t="s">
        <v>28</v>
      </c>
      <c r="E36" s="37" t="s">
        <v>29</v>
      </c>
      <c r="F36" s="37" t="s">
        <v>29</v>
      </c>
      <c r="G36" s="37" t="s">
        <v>29</v>
      </c>
      <c r="H36" s="37" t="s">
        <v>143</v>
      </c>
      <c r="I36" s="37" t="s">
        <v>84</v>
      </c>
      <c r="J36" s="37" t="s">
        <v>51</v>
      </c>
      <c r="K36" s="37" t="s">
        <v>33</v>
      </c>
      <c r="L36" s="37" t="s">
        <v>52</v>
      </c>
      <c r="M36" s="2"/>
      <c r="N36" s="2"/>
      <c r="O36" s="2"/>
      <c r="P36" s="2"/>
      <c r="Q36" s="2"/>
      <c r="R36" s="2"/>
    </row>
    <row r="37">
      <c r="A37" s="37" t="s">
        <v>27</v>
      </c>
      <c r="B37" s="37" t="s">
        <v>29</v>
      </c>
      <c r="C37" s="37" t="s">
        <v>28</v>
      </c>
      <c r="D37" s="37" t="s">
        <v>28</v>
      </c>
      <c r="E37" s="37" t="s">
        <v>28</v>
      </c>
      <c r="F37" s="37" t="s">
        <v>29</v>
      </c>
      <c r="G37" s="37" t="s">
        <v>29</v>
      </c>
      <c r="H37" s="37" t="s">
        <v>144</v>
      </c>
      <c r="I37" s="37" t="s">
        <v>145</v>
      </c>
      <c r="J37" s="37" t="s">
        <v>68</v>
      </c>
      <c r="K37" s="37" t="s">
        <v>62</v>
      </c>
      <c r="L37" s="37" t="s">
        <v>34</v>
      </c>
      <c r="M37" s="2"/>
      <c r="N37" s="2"/>
      <c r="O37" s="2"/>
      <c r="P37" s="2"/>
      <c r="Q37" s="2"/>
      <c r="R37" s="2"/>
    </row>
    <row r="38">
      <c r="A38" s="37" t="s">
        <v>27</v>
      </c>
      <c r="B38" s="37" t="s">
        <v>28</v>
      </c>
      <c r="C38" s="37" t="s">
        <v>29</v>
      </c>
      <c r="D38" s="37" t="s">
        <v>28</v>
      </c>
      <c r="E38" s="37" t="s">
        <v>28</v>
      </c>
      <c r="F38" s="37" t="s">
        <v>29</v>
      </c>
      <c r="G38" s="37" t="s">
        <v>28</v>
      </c>
      <c r="H38" s="37" t="s">
        <v>72</v>
      </c>
      <c r="I38" s="37" t="s">
        <v>146</v>
      </c>
      <c r="J38" s="37" t="s">
        <v>32</v>
      </c>
      <c r="K38" s="37" t="s">
        <v>33</v>
      </c>
      <c r="L38" s="37" t="s">
        <v>52</v>
      </c>
      <c r="M38" s="2"/>
      <c r="N38" s="2"/>
      <c r="O38" s="2"/>
      <c r="P38" s="2"/>
      <c r="Q38" s="2"/>
      <c r="R38" s="2"/>
    </row>
    <row r="39">
      <c r="A39" s="37" t="s">
        <v>48</v>
      </c>
      <c r="B39" s="37" t="s">
        <v>29</v>
      </c>
      <c r="C39" s="37" t="s">
        <v>28</v>
      </c>
      <c r="D39" s="37" t="s">
        <v>28</v>
      </c>
      <c r="E39" s="37" t="s">
        <v>28</v>
      </c>
      <c r="F39" s="37" t="s">
        <v>29</v>
      </c>
      <c r="G39" s="37" t="s">
        <v>28</v>
      </c>
      <c r="H39" s="37" t="s">
        <v>147</v>
      </c>
      <c r="I39" s="37" t="s">
        <v>77</v>
      </c>
      <c r="J39" s="37" t="s">
        <v>148</v>
      </c>
      <c r="K39" s="37" t="s">
        <v>62</v>
      </c>
      <c r="L39" s="37" t="s">
        <v>34</v>
      </c>
      <c r="M39" s="2"/>
      <c r="N39" s="2"/>
      <c r="O39" s="2"/>
      <c r="P39" s="2"/>
      <c r="Q39" s="2"/>
      <c r="R39" s="2"/>
    </row>
    <row r="40">
      <c r="A40" s="37" t="s">
        <v>48</v>
      </c>
      <c r="B40" s="37" t="s">
        <v>29</v>
      </c>
      <c r="C40" s="37" t="s">
        <v>28</v>
      </c>
      <c r="D40" s="37" t="s">
        <v>28</v>
      </c>
      <c r="E40" s="37" t="s">
        <v>28</v>
      </c>
      <c r="F40" s="37" t="s">
        <v>29</v>
      </c>
      <c r="G40" s="37" t="s">
        <v>29</v>
      </c>
      <c r="H40" s="37" t="s">
        <v>149</v>
      </c>
      <c r="I40" s="37" t="s">
        <v>77</v>
      </c>
      <c r="J40" s="37" t="s">
        <v>51</v>
      </c>
      <c r="K40" s="37" t="s">
        <v>62</v>
      </c>
      <c r="L40" s="37" t="s">
        <v>34</v>
      </c>
      <c r="M40" s="2"/>
      <c r="N40" s="2"/>
      <c r="O40" s="2"/>
      <c r="P40" s="2"/>
      <c r="Q40" s="2"/>
      <c r="R40" s="2"/>
    </row>
    <row r="41">
      <c r="A41" s="37" t="s">
        <v>48</v>
      </c>
      <c r="B41" s="37" t="s">
        <v>29</v>
      </c>
      <c r="C41" s="37" t="s">
        <v>28</v>
      </c>
      <c r="D41" s="37" t="s">
        <v>29</v>
      </c>
      <c r="E41" s="37" t="s">
        <v>28</v>
      </c>
      <c r="F41" s="37" t="s">
        <v>29</v>
      </c>
      <c r="G41" s="37" t="s">
        <v>29</v>
      </c>
      <c r="H41" s="37" t="s">
        <v>80</v>
      </c>
      <c r="I41" s="37" t="s">
        <v>150</v>
      </c>
      <c r="J41" s="37" t="s">
        <v>82</v>
      </c>
      <c r="K41" s="37" t="s">
        <v>62</v>
      </c>
      <c r="L41" s="37" t="s">
        <v>34</v>
      </c>
      <c r="M41" s="2"/>
      <c r="N41" s="2"/>
      <c r="O41" s="2"/>
      <c r="P41" s="2"/>
      <c r="Q41" s="2"/>
      <c r="R41" s="2"/>
    </row>
    <row r="42">
      <c r="A42" s="37" t="s">
        <v>48</v>
      </c>
      <c r="B42" s="37" t="s">
        <v>29</v>
      </c>
      <c r="C42" s="37" t="s">
        <v>28</v>
      </c>
      <c r="D42" s="37" t="s">
        <v>29</v>
      </c>
      <c r="E42" s="37" t="s">
        <v>29</v>
      </c>
      <c r="F42" s="37" t="s">
        <v>29</v>
      </c>
      <c r="G42" s="37" t="s">
        <v>28</v>
      </c>
      <c r="H42" s="37" t="s">
        <v>83</v>
      </c>
      <c r="I42" s="37" t="s">
        <v>84</v>
      </c>
      <c r="J42" s="37" t="s">
        <v>85</v>
      </c>
      <c r="K42" s="37" t="s">
        <v>62</v>
      </c>
      <c r="L42" s="37" t="s">
        <v>86</v>
      </c>
      <c r="M42" s="2"/>
      <c r="N42" s="2"/>
      <c r="O42" s="2"/>
      <c r="P42" s="2"/>
      <c r="Q42" s="2"/>
      <c r="R42" s="2"/>
    </row>
    <row r="43">
      <c r="A43" s="37" t="s">
        <v>27</v>
      </c>
      <c r="B43" s="37" t="s">
        <v>29</v>
      </c>
      <c r="C43" s="37" t="s">
        <v>28</v>
      </c>
      <c r="D43" s="37" t="s">
        <v>29</v>
      </c>
      <c r="E43" s="37" t="s">
        <v>29</v>
      </c>
      <c r="F43" s="37" t="s">
        <v>29</v>
      </c>
      <c r="G43" s="37" t="s">
        <v>29</v>
      </c>
      <c r="H43" s="37" t="s">
        <v>88</v>
      </c>
      <c r="I43" s="37" t="s">
        <v>89</v>
      </c>
      <c r="J43" s="37" t="s">
        <v>32</v>
      </c>
      <c r="K43" s="37" t="s">
        <v>62</v>
      </c>
      <c r="L43" s="37" t="s">
        <v>90</v>
      </c>
      <c r="M43" s="2"/>
      <c r="N43" s="2"/>
      <c r="O43" s="2"/>
      <c r="P43" s="2"/>
      <c r="Q43" s="2"/>
      <c r="R43" s="2"/>
    </row>
    <row r="44">
      <c r="A44" s="37" t="s">
        <v>27</v>
      </c>
      <c r="B44" s="37" t="s">
        <v>28</v>
      </c>
      <c r="C44" s="37" t="s">
        <v>29</v>
      </c>
      <c r="D44" s="37" t="s">
        <v>28</v>
      </c>
      <c r="E44" s="37" t="s">
        <v>29</v>
      </c>
      <c r="F44" s="37" t="s">
        <v>29</v>
      </c>
      <c r="G44" s="37" t="s">
        <v>29</v>
      </c>
      <c r="H44" s="37" t="s">
        <v>88</v>
      </c>
      <c r="I44" s="37" t="s">
        <v>89</v>
      </c>
      <c r="J44" s="37" t="s">
        <v>32</v>
      </c>
      <c r="K44" s="37" t="s">
        <v>33</v>
      </c>
      <c r="L44" s="37" t="s">
        <v>52</v>
      </c>
      <c r="M44" s="37" t="s">
        <v>37</v>
      </c>
      <c r="N44" s="37" t="s">
        <v>35</v>
      </c>
      <c r="O44" s="2"/>
      <c r="P44" s="2"/>
      <c r="Q44" s="2"/>
      <c r="R44" s="2"/>
    </row>
    <row r="45">
      <c r="A45" s="38" t="s">
        <v>48</v>
      </c>
      <c r="B45" s="37" t="s">
        <v>29</v>
      </c>
      <c r="C45" s="37" t="s">
        <v>28</v>
      </c>
      <c r="D45" s="37" t="s">
        <v>29</v>
      </c>
      <c r="E45" s="37" t="s">
        <v>29</v>
      </c>
      <c r="F45" s="37" t="s">
        <v>29</v>
      </c>
      <c r="G45" s="37" t="s">
        <v>29</v>
      </c>
      <c r="H45" s="37" t="s">
        <v>98</v>
      </c>
      <c r="I45" s="37" t="s">
        <v>50</v>
      </c>
      <c r="J45" s="37" t="s">
        <v>51</v>
      </c>
      <c r="K45" s="37" t="s">
        <v>33</v>
      </c>
      <c r="L45" s="37" t="s">
        <v>52</v>
      </c>
      <c r="M45" s="37" t="s">
        <v>37</v>
      </c>
      <c r="N45" s="37" t="s">
        <v>35</v>
      </c>
      <c r="O45" s="37" t="s">
        <v>35</v>
      </c>
      <c r="P45" s="37" t="s">
        <v>53</v>
      </c>
      <c r="Q45" s="2"/>
      <c r="R45" s="2" t="s">
        <v>135</v>
      </c>
    </row>
    <row r="46">
      <c r="A46" s="37" t="s">
        <v>27</v>
      </c>
      <c r="B46" s="37" t="s">
        <v>29</v>
      </c>
      <c r="C46" s="37" t="s">
        <v>28</v>
      </c>
      <c r="D46" s="37" t="s">
        <v>29</v>
      </c>
      <c r="E46" s="37" t="s">
        <v>29</v>
      </c>
      <c r="F46" s="37" t="s">
        <v>29</v>
      </c>
      <c r="G46" s="37" t="s">
        <v>29</v>
      </c>
      <c r="H46" s="37" t="s">
        <v>151</v>
      </c>
      <c r="I46" s="37" t="s">
        <v>102</v>
      </c>
      <c r="J46" s="37" t="s">
        <v>103</v>
      </c>
      <c r="K46" s="37" t="s">
        <v>104</v>
      </c>
      <c r="L46" s="37" t="s">
        <v>58</v>
      </c>
      <c r="M46" s="37" t="s">
        <v>105</v>
      </c>
      <c r="N46" s="37" t="s">
        <v>37</v>
      </c>
      <c r="O46" s="37" t="s">
        <v>37</v>
      </c>
      <c r="P46" s="37" t="s">
        <v>59</v>
      </c>
      <c r="Q46" s="2"/>
      <c r="R46" s="2"/>
    </row>
    <row r="47">
      <c r="A47" s="39" t="s">
        <v>48</v>
      </c>
      <c r="B47" s="39" t="s">
        <v>29</v>
      </c>
      <c r="C47" s="39" t="s">
        <v>28</v>
      </c>
      <c r="D47" s="39" t="s">
        <v>28</v>
      </c>
      <c r="E47" s="39" t="s">
        <v>29</v>
      </c>
      <c r="F47" s="39" t="s">
        <v>29</v>
      </c>
      <c r="G47" s="39" t="s">
        <v>29</v>
      </c>
      <c r="H47" s="5" t="s">
        <v>152</v>
      </c>
      <c r="I47" s="39" t="s">
        <v>50</v>
      </c>
      <c r="J47" s="39" t="s">
        <v>51</v>
      </c>
      <c r="K47" s="39" t="s">
        <v>62</v>
      </c>
      <c r="L47" s="40" t="s">
        <v>34</v>
      </c>
      <c r="M47" s="5"/>
      <c r="N47" s="5"/>
      <c r="O47" s="5"/>
      <c r="P47" s="5"/>
      <c r="Q47" s="5"/>
      <c r="R47" s="5"/>
    </row>
  </sheetData>
  <drawing r:id="rId1"/>
</worksheet>
</file>