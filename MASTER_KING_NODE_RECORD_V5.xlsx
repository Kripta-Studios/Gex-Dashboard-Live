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5360" windowHeight="8130" tabRatio="500"/>
  </bookViews>
  <sheets>
    <sheet name="Master Dashboard" sheetId="1" r:id="rId1"/>
    <sheet name="Dashboard" sheetId="2" state="hidden" r:id="rId2"/>
    <sheet name="King Node Model" sheetId="3" r:id="rId3"/>
    <sheet name="GEX Depth" sheetId="4" r:id="rId4"/>
    <sheet name="Matrix" sheetId="5" r:id="rId5"/>
    <sheet name="How To Use" sheetId="6" r:id="rId6"/>
    <sheet name="Technical Analysis" sheetId="7" r:id="rId7"/>
    <sheet name="Level Test Log" sheetId="8" r:id="rId8"/>
    <sheet name="Level Engine" sheetId="9" r:id="rId9"/>
    <sheet name="Sheet1" sheetId="10" r:id="rId10"/>
    <sheet name="IV Regime Map" sheetId="11" r:id="rId11"/>
    <sheet name="Rule Log" sheetId="12" r:id="rId12"/>
  </sheets>
  <definedNames>
    <definedName name="_xlnm._FilterDatabase" localSheetId="4" hidden="1">Matrix!$C$1:$I$89</definedName>
    <definedName name="OLE_LINK41" localSheetId="4">Matrix!$U$13</definedName>
  </definedNames>
  <calcPr calcId="145621" fullCalcOnLoad="1"/>
  <extLst>
    <ext xmlns:loext="http://schemas.libreoffice.org/" uri="{7626C862-2A13-11E5-B345-FEFF819CDC9F}">
      <loext:extCalcPr stringRefSyntax="ExcelA1"/>
    </ext>
  </extLst>
</workbook>
</file>

<file path=xl/comments1.xml><?xml version="1.0" encoding="utf-8"?>
<comments xmlns="http://schemas.openxmlformats.org/spreadsheetml/2006/main">
  <authors>
    <author>Unknown Author</author>
  </authors>
  <commentList>
    <comment ref="C5" authorId="0">
      <text>
        <r>
          <rPr>
            <sz val="10"/>
            <rFont val="Arial"/>
            <family val="2"/>
          </rPr>
          <t>Blank = automatic IV direction (from VIX1D/VIX term structure: front above 30-day =&gt; UP, contango =&gt; DOWN, near parity =&gt; FLAT).
Type UP, DOWN, or FLAT here to override the automatic value.</t>
        </r>
      </text>
    </comment>
  </commentList>
</comments>
</file>

<file path=xl/sharedStrings.xml><?xml version="1.0" encoding="utf-8"?>
<sst xmlns="http://schemas.openxmlformats.org/spreadsheetml/2006/main" count="4926" uniqueCount="2804">
  <si>
    <t>GAMMA WALL PROFILE</t>
  </si>
  <si>
    <t>SPX KING NODE — LIVE DASHBOARD</t>
  </si>
  <si>
    <t>puts ◄</t>
  </si>
  <si>
    <t>► calls</t>
  </si>
  <si>
    <t>REGIME READ</t>
  </si>
  <si>
    <t>Phenomenon</t>
  </si>
  <si>
    <t>Dealer is</t>
  </si>
  <si>
    <t>Dealer action</t>
  </si>
  <si>
    <t>Tactical</t>
  </si>
  <si>
    <t>Regime</t>
  </si>
  <si>
    <t>Tilt</t>
  </si>
  <si>
    <t>Charm</t>
  </si>
  <si>
    <t>Vol regime</t>
  </si>
  <si>
    <t>Skew</t>
  </si>
  <si>
    <t>Gamma</t>
  </si>
  <si>
    <t>Zomma</t>
  </si>
  <si>
    <t>Dex</t>
  </si>
  <si>
    <t>Vex</t>
  </si>
  <si>
    <t>Vega</t>
  </si>
  <si>
    <t>Vomma</t>
  </si>
  <si>
    <t>Speed</t>
  </si>
  <si>
    <t>Signs</t>
  </si>
  <si>
    <t>KEY LEVELS</t>
  </si>
  <si>
    <t>SPX ↔ ES CONVERTER</t>
  </si>
  <si>
    <t>ES now (live)</t>
  </si>
  <si>
    <t>SPX now (live)</t>
  </si>
  <si>
    <t>Basis (ES − SPX)</t>
  </si>
  <si>
    <t>SPX target — type</t>
  </si>
  <si>
    <t>PLAY</t>
  </si>
  <si>
    <t>→ ES level</t>
  </si>
  <si>
    <t>Type SPX target — ES now &amp; basis update live.</t>
  </si>
  <si>
    <t>NEXT REACTION  (within 50 pts — nearest level first)</t>
  </si>
  <si>
    <t>NEXT RESISTANCE (above spot)</t>
  </si>
  <si>
    <t>Level</t>
  </si>
  <si>
    <t>Dist</t>
  </si>
  <si>
    <t>GEX</t>
  </si>
  <si>
    <t>Backers</t>
  </si>
  <si>
    <t>Confl</t>
  </si>
  <si>
    <t>Source</t>
  </si>
  <si>
    <t>Neg-γ</t>
  </si>
  <si>
    <t>Reversal / Type</t>
  </si>
  <si>
    <t>Vomma Trigger</t>
  </si>
  <si>
    <t>Cushion</t>
  </si>
  <si>
    <t>NEXT SUPPORT (below spot)</t>
  </si>
  <si>
    <t>ACCELERANT WALLS  (in range — violent)</t>
  </si>
  <si>
    <t>|Gamma|</t>
  </si>
  <si>
    <t>Side</t>
  </si>
  <si>
    <t>State</t>
  </si>
  <si>
    <t>VOMMA PEAK MONITOR</t>
  </si>
  <si>
    <t>GEX SHELF / WALL</t>
  </si>
  <si>
    <t>Status</t>
  </si>
  <si>
    <t>Edge</t>
  </si>
  <si>
    <t>Range</t>
  </si>
  <si>
    <t>Ref pk/tr</t>
  </si>
  <si>
    <t>Resist.</t>
  </si>
  <si>
    <t>Move %</t>
  </si>
  <si>
    <t>Support</t>
  </si>
  <si>
    <t>CHART KEY</t>
  </si>
  <si>
    <t>Vol dir</t>
  </si>
  <si>
    <t>█  call wall — positive GEX (resistance)</t>
  </si>
  <si>
    <t>█  put wall — negative GEX (support)</t>
  </si>
  <si>
    <t>GAMMA WALLS</t>
  </si>
  <si>
    <t>bar length = gamma (wall size), scaled to largest in view</t>
  </si>
  <si>
    <t>CALL WALLS · resistance</t>
  </si>
  <si>
    <t>PUT WALLS · support</t>
  </si>
  <si>
    <t>number = strike  (shows spot on the nearest strike)</t>
  </si>
  <si>
    <t>row shade:  pink = resistance · green = support (reaction levels) · double lines + blue text = spot</t>
  </si>
  <si>
    <t>☄ gravity pt = far tail (&gt;40 pts), fat Vega + extreme VEX (vanna) — vol-driven accelerant</t>
  </si>
  <si>
    <t>⟂ = min VEX (strike with most negative vanna)</t>
  </si>
  <si>
    <t>SPX KING NODE FINDER</t>
  </si>
  <si>
    <t>LEVEL ENGINE  —  live S/R (mirrors Level Engine sheet)</t>
  </si>
  <si>
    <t>Regime is auto-derived from the Market Phenoms matrix. Two King Nodes shown: your Weighted model + the Matrix-driven model.</t>
  </si>
  <si>
    <t>IV REGIME ENGINE</t>
  </si>
  <si>
    <t>Spot Price:</t>
  </si>
  <si>
    <t>Lambda (pts):</t>
  </si>
  <si>
    <t>Hrs to Close:</t>
  </si>
  <si>
    <t>DTE boost:</t>
  </si>
  <si>
    <t>VIX dir:</t>
  </si>
  <si>
    <t>Flat</t>
  </si>
  <si>
    <t>VIX:</t>
  </si>
  <si>
    <t>VVIX:</t>
  </si>
  <si>
    <t>VIX1D:</t>
  </si>
  <si>
    <t>NEUTRAL tiebreak VIX&gt;=:</t>
  </si>
  <si>
    <t>IV raw:</t>
  </si>
  <si>
    <t>IV (matrix):</t>
  </si>
  <si>
    <t>IVintensity:</t>
  </si>
  <si>
    <t>VVIX dir:</t>
  </si>
  <si>
    <t>BOOK-LEVEL GREEK SIGNS (type Pos/Neg) -&gt; auto-matches Market Phenoms:</t>
  </si>
  <si>
    <t>VIX1D dir:</t>
  </si>
  <si>
    <t>matrix key</t>
  </si>
  <si>
    <t>VIX@open+5:</t>
  </si>
  <si>
    <t>Pos</t>
  </si>
  <si>
    <t>Box key:</t>
  </si>
  <si>
    <t>Box regime:</t>
  </si>
  <si>
    <t>AUTO-DERIVED REGIME (from Market Phenoms):</t>
  </si>
  <si>
    <t>Box IV:</t>
  </si>
  <si>
    <t>Phenomenon:</t>
  </si>
  <si>
    <t>Dealer Is:</t>
  </si>
  <si>
    <t>Dealer Action:</t>
  </si>
  <si>
    <t>Tactical (Action):</t>
  </si>
  <si>
    <t>Regime:</t>
  </si>
  <si>
    <t>Tilt:</t>
  </si>
  <si>
    <t>Delta:</t>
  </si>
  <si>
    <t>KEY LEVELS &amp; WALLS</t>
  </si>
  <si>
    <t>Vomma Peak Monitor</t>
  </si>
  <si>
    <t>Strike</t>
  </si>
  <si>
    <t>Gamma$/GEX$</t>
  </si>
  <si>
    <t>Strike@</t>
  </si>
  <si>
    <t>Max GEX</t>
  </si>
  <si>
    <t>Ref:</t>
  </si>
  <si>
    <t>Max</t>
  </si>
  <si>
    <t>Min GEX</t>
  </si>
  <si>
    <t>Vol:</t>
  </si>
  <si>
    <t>Min</t>
  </si>
  <si>
    <t>Gamma Flip</t>
  </si>
  <si>
    <t>Dex white if |dex| &lt;</t>
  </si>
  <si>
    <t>GEX shelf / wall (edge → mass)</t>
  </si>
  <si>
    <t>AUTO GAMMA FLIP -&gt;</t>
  </si>
  <si>
    <t>ZERO GAMMA -&gt;</t>
  </si>
  <si>
    <t>(cumulative GEX crosses zero)</t>
  </si>
  <si>
    <t>Choppy unless coloured run each side ≥</t>
  </si>
  <si>
    <t>Call OI</t>
  </si>
  <si>
    <t>Put OI</t>
  </si>
  <si>
    <t>Spot</t>
  </si>
  <si>
    <t>S/R
Level</t>
  </si>
  <si>
    <t>Shelf/Wall</t>
  </si>
  <si>
    <t>CumGEX</t>
  </si>
  <si>
    <t>boxTier</t>
  </si>
  <si>
    <t>GEX+</t>
  </si>
  <si>
    <t>GEX-</t>
  </si>
  <si>
    <t>revFlag(helper)</t>
  </si>
  <si>
    <t>dex▲run</t>
  </si>
  <si>
    <t>dex▼run</t>
  </si>
  <si>
    <t>g|GEX+</t>
  </si>
  <si>
    <t>g|GEX-</t>
  </si>
  <si>
    <t>cOI&gt;sp</t>
  </si>
  <si>
    <t>pOI&lt;sp</t>
  </si>
  <si>
    <t>Gamma Shelves</t>
  </si>
  <si>
    <t>|γ|</t>
  </si>
  <si>
    <t>GRAVITY POINTS (tails: fat Vega + extreme VEX)</t>
  </si>
  <si>
    <t>Tail</t>
  </si>
  <si>
    <t>VEX</t>
  </si>
  <si>
    <t>Type</t>
  </si>
  <si>
    <t>Reaction</t>
  </si>
  <si>
    <t>Above 1</t>
  </si>
  <si>
    <t>ACCEL (throws/reacts)</t>
  </si>
  <si>
    <t>Extreme</t>
  </si>
  <si>
    <t>Above 2</t>
  </si>
  <si>
    <t>Moderate</t>
  </si>
  <si>
    <t>Below 1</t>
  </si>
  <si>
    <t>-</t>
  </si>
  <si>
    <t>Below 2</t>
  </si>
  <si>
    <t>cushFrac</t>
  </si>
  <si>
    <t>cushSlope</t>
  </si>
  <si>
    <t>raw R level (pre peak-guard)</t>
  </si>
  <si>
    <t>strike key (helper)</t>
  </si>
  <si>
    <t>raw S level (pre peak-guard)</t>
  </si>
  <si>
    <t>NON-VIOLENT WALLS (in range — quiet, no active signal)</t>
  </si>
  <si>
    <t>ACCELERANT WALLS (in range — violent, excluded from NEXT REACTION)</t>
  </si>
  <si>
    <t>floor candidates (strike|gex|type)</t>
  </si>
  <si>
    <t>SELL-STOP FLOOR  (neg gamma — where the sell is likely to stop)</t>
  </si>
  <si>
    <t>VOMMA PEAK MONITOR  —  near-spot vomma momentum</t>
  </si>
  <si>
    <t>Status:</t>
  </si>
  <si>
    <t>Peak:</t>
  </si>
  <si>
    <t>Off pk %:</t>
  </si>
  <si>
    <t>Vol dir:</t>
  </si>
  <si>
    <t>GEX DEPTH  (live)</t>
  </si>
  <si>
    <t>NET DEALER FLOW  (all Greeks → one signed flow)</t>
  </si>
  <si>
    <t>— SCENARIO —</t>
  </si>
  <si>
    <t>DEALER HEDGING  (cumulative GEX)</t>
  </si>
  <si>
    <t>DEALER Δ-HEDGING  (cumulative DEX)</t>
  </si>
  <si>
    <t>◄ Put side  (−GEX)</t>
  </si>
  <si>
    <t>Call side  (+GEX) ►</t>
  </si>
  <si>
    <t>◄ Sell / resist (−)</t>
  </si>
  <si>
    <t>Buy / support (+) ►</t>
  </si>
  <si>
    <t>Net flow</t>
  </si>
  <si>
    <t>ΔS move (%)</t>
  </si>
  <si>
    <t>◄ Short γ (−)</t>
  </si>
  <si>
    <t>Long γ (+) ►</t>
  </si>
  <si>
    <t>Cum GEX</t>
  </si>
  <si>
    <t>◄ Short Δ (−)</t>
  </si>
  <si>
    <t>Long Δ (+) ►</t>
  </si>
  <si>
    <t>Cum DEX</t>
  </si>
  <si>
    <t>Δvol (pts)</t>
  </si>
  <si>
    <t>wt vanna (VEX)</t>
  </si>
  <si>
    <t>wt speed</t>
  </si>
  <si>
    <t>wt zomma</t>
  </si>
  <si>
    <t>flow sign ±1</t>
  </si>
  <si>
    <t>VOMMA PEAK MONITOR  —  near-spot vomma momentum (script-fed, live)</t>
  </si>
  <si>
    <t>Ref (pk/tr):</t>
  </si>
  <si>
    <t>Move %:</t>
  </si>
  <si>
    <t>Time</t>
  </si>
  <si>
    <t>Near Vomma</t>
  </si>
  <si>
    <t>Δ</t>
  </si>
  <si>
    <t>MOVE VELOCITY &amp; LEVEL PRESSURE</t>
  </si>
  <si>
    <t>Spot velocity (pts/min):</t>
  </si>
  <si>
    <t>Acceleration:</t>
  </si>
  <si>
    <t>Heading toward:</t>
  </si>
  <si>
    <t>Verdict:</t>
  </si>
  <si>
    <t>Nearest resistance:</t>
  </si>
  <si>
    <t>gap GEX:</t>
  </si>
  <si>
    <t>Nearest support:</t>
  </si>
  <si>
    <t>Δ pts</t>
  </si>
  <si>
    <t>KEY</t>
  </si>
  <si>
    <t>IV</t>
  </si>
  <si>
    <t>DealersAction</t>
  </si>
  <si>
    <t>Action</t>
  </si>
  <si>
    <t>CharmNeg</t>
  </si>
  <si>
    <t>CharmPos</t>
  </si>
  <si>
    <t>SupportLvls</t>
  </si>
  <si>
    <t>ResistLvls</t>
  </si>
  <si>
    <t>High|Neg|Pos|Neg|Pos|Pos|Pos|Pos</t>
  </si>
  <si>
    <t>High</t>
  </si>
  <si>
    <t>Neg</t>
  </si>
  <si>
    <t>Fragile Long Vol / Bearish Vol Expansion Regime with Mean-Reversion at Extremes</t>
  </si>
  <si>
    <t>Short ATM/near-ATM calls (dominant gamma) + Long OTM puts</t>
  </si>
  <si>
    <t>SELL the rally dominant. Pro-cyclical gamma hedging. Vanna piles on as buyer on selloffs — cushions the move and drives mean-reversion at extremes.</t>
  </si>
  <si>
    <t>SELL LEAN. Sell the Rally. But DON'T chase breakdowns.</t>
  </si>
  <si>
    <t>Volatile bearish drift with bounded downside / Mean-reverting within bearish regime</t>
  </si>
  <si>
    <t>Fade both extremes but lean short. Volatile, Expect Whipsaw</t>
  </si>
  <si>
    <t>Charm buys, active. Small counter-flow against the chase, gets overrun. Pos Vex + Pos Vomma are the real defense. SELL LEAN, fade rallies. Don't chase breakdowns — but charm won't save you either.</t>
  </si>
  <si>
    <t>Charm sells, active. Stacks with the chase → compounds the breakdown. Dangerous downside cell. SELL LEAN harder. Don't fade the break — let it run. Cover at exhaustion.</t>
  </si>
  <si>
    <t>Put wall → Largest Pos Vomma → Largest Pos Vex → Largest Pos Zomma</t>
  </si>
  <si>
    <t>Largest Neg Gamma →Flip → Largest Pos Zomma → Largest Pos Vanna→ Largest Pos Vega</t>
  </si>
  <si>
    <t>Low|Neg|Pos|Neg|Pos|Pos|Pos|Pos</t>
  </si>
  <si>
    <t>Low</t>
  </si>
  <si>
    <t>Low-Vol Grind-Up / Melt-Up — Dealers Comfortable with Upside Drift</t>
  </si>
  <si>
    <t>BUY the dip dominant. Pro-cyclical hedging — buying into strength, chase accelerates on rallies. Ride the trend — on IV spike trend changes to dominant selling.</t>
  </si>
  <si>
    <t>BUY on Pullback. Pullbacks are generally shallow.</t>
  </si>
  <si>
    <t>Trend Day - Pos Speed grind.</t>
  </si>
  <si>
    <t>Trend Day , Pull backs are enteries</t>
  </si>
  <si>
    <t>Charm buys, dormant. Aligned with melt-up but too small to matter. Ignore charm. BUY-the-pullback per row. Max Vanna if above, can act as magnet.</t>
  </si>
  <si>
    <t>Charm sells, small but active. Mild headwind on the chase — caps rallies, deepens dips slightly. Melt-up still wins. BUY-the-pullback per row. Grind slower than typical melt-up.</t>
  </si>
  <si>
    <t>Largest Pos Gamma →Flip→ Largest Pos Vex → Largest Pos Vomma</t>
  </si>
  <si>
    <t>Dex drop-off → Largest Pos Vomma → none beyond</t>
  </si>
  <si>
    <t>High|Pos|Neg|Neg|Pos|Pos|Neg|Neg</t>
  </si>
  <si>
    <t>High-IV Bearish Pin — Vanna-Cushioned Drift with Tail Exposure</t>
  </si>
  <si>
    <t>Long ATM Straddle / Short OTM Wings (put-skewed Short Iron Butterfly)</t>
  </si>
  <si>
    <t>Sell rallies / Buy dips weakly (gamma pin with bearish lean). On IV lifts, Vex pos adds vanna buying — cushions downside moves at pin. But no wing catch if spot breaches tail.</t>
  </si>
  <si>
    <t>Fade extremes while pin holds. SELL LEAN on IV expansion — pin breaks down with no wing catch (Vomma Neg). Ride the break — no recovery mechanism.</t>
  </si>
  <si>
    <t>Fragile Compression</t>
  </si>
  <si>
    <t>Fade extremes. On gamma-flip breakdown: SELL trend, ride to exhaustion (no wing catch).</t>
  </si>
  <si>
    <t>Charm buys, active. Small support, floor erodes anyway. No catch at tail. SELL LEAN. Mean-reversion AM only. Don't buy late breakdowns expecting a bounce.</t>
  </si>
  <si>
    <t>Charm sells, active. Hardens ceiling, weakens floor. Retail: SELL LEAN, fade rallies aggressively — ceiling fails early. Breakdown uncaught at tail. Cover at exhaustion.</t>
  </si>
  <si>
    <t>Put wall → Largest Pos Vex → none beyond</t>
  </si>
  <si>
    <t>Call wall → Largest Pos Gamma → Max pain (or Gamma flip)</t>
  </si>
  <si>
    <t>Low|Pos|Neg|Neg|Pos|Pos|Neg|Neg</t>
  </si>
  <si>
    <t>Low-IV Bearish Drift Pin — Vanna Cushion Loaded</t>
  </si>
  <si>
    <t>Dormant while vol compressed. Sell rallies / Buy dips weakly (gamma pin with bearish lean). On IV lifts,Vex pos adds vanna buying — cushions downside moves at pin. But no wing catch if spot breaches tail.</t>
  </si>
  <si>
    <t>Neutral /Small BUY LEAN - Buy the dip while the market is calm.</t>
  </si>
  <si>
    <t>Charm buys, small but active. Thin pin support — overrun when Neg Vex fires, no Vomma catch. Range trade to NEUTRAL while VIX low. Exit dip-buys on first IV tick — trap is charm's grip breaking.</t>
  </si>
  <si>
    <t>Charm sells, small but active. Slow drag against row's BUY LEAN; pin holds in compressed vol. BUY LEAN / Neutral per row, mild tilt only. Exit on first vol tick — charm is the slow leak.</t>
  </si>
  <si>
    <t>Put wall → Largest Pos Gamma → Largest Pos Vex</t>
  </si>
  <si>
    <t>High|Pos|Neg|Neg|Pos|Pos|Pos|Neg</t>
  </si>
  <si>
    <t>High-IV Long Vol Bearish Skew — Vanna-Cushioned Drift</t>
  </si>
  <si>
    <t>Long Strangle asymmetric — Long Puts near ATM (dominant, downside-biased) + Long Calls further OTM (upside tail). Robust long-vol book (Vomma Pos) positioned for vol expansion.</t>
  </si>
  <si>
    <t>Sells rallies / Buys dips (gamma pin with bearish lean). On IV lifts, Vex pos adds vanna buying — cushions downside moves during vol expansion.</t>
  </si>
  <si>
    <t>SELL LEAN into PIN — PIN holds with bearish drift. On vol expansion, expect vanna-cushioned descent (not waterfall).</t>
  </si>
  <si>
    <t>Compression</t>
  </si>
  <si>
    <t>Fade both extremes — vanna cushion protects downside, pin caps upside.</t>
  </si>
  <si>
    <t>Charm buys, active. Small support; Vex + Vomma do the work. SELL LEAN, cushioned descent not waterfall. Cover at IV peak.</t>
  </si>
  <si>
    <t>Charm sells, active. Hardens ceiling, weakens floor — but Vomma catches at tail. SELL LEAN, fade rallies aggressively. Defined-move trade.</t>
  </si>
  <si>
    <t>Put wall → Largest Pos Vex → Largest Pos Vomma</t>
  </si>
  <si>
    <t>Low|Pos|Neg|Neg|Pos|Pos|Pos|Neg</t>
  </si>
  <si>
    <t>Long Vol Convexity Book - Loaded with Vanna Cushion on Downside</t>
  </si>
  <si>
    <t>Passive / Dormant while vol compressed. On IV expansion, Vex pos triggers forced buying — cushions any downside move.</t>
  </si>
  <si>
    <t>BUY LEAN into PIN</t>
  </si>
  <si>
    <t>Charm buys, dormant. Aligned with BUY LEAN, too small to matter. Wing caught structurally. BUY LEAN per row. Cushioned dip on vol expansion.</t>
  </si>
  <si>
    <t>Charm sells, small but active. Slow drag against BUY LEAN; Vomma still catches. Retail: BUY LEAN, mild tilt only. Exit dip-buys on first vol tick.</t>
  </si>
  <si>
    <t>Put wall → Largest Pos Gamma → Largest Pos Vomma</t>
  </si>
  <si>
    <t>High|Pos|Neg|Neg|Neg|Pos|Pos|Neg</t>
  </si>
  <si>
    <t>High-IV Bearish Pin with Pre-Breakdown Structure — Coiled for downside vol expansion</t>
  </si>
  <si>
    <t>Long near-dated ATM body (Gamma+) + Long far-dated OTM put-skewed wings (Vega+, Vomma+, Vex−).</t>
  </si>
  <si>
    <t>Sell rallies / Buy dips weakly (gamma pin with bearish lean). Vex Neg compounds selling on IV lifts — pin breaks down on vol expansion.</t>
  </si>
  <si>
    <t>SELL LEAN into PIN on IV expansion — pin breaks down. Chop otherwise.</t>
  </si>
  <si>
    <t>Compression — Bear-Coiled</t>
  </si>
  <si>
    <t>Fade upside extremes while pin holds. On gamma-flip breakdown: SELL trend, ride the bear move.</t>
  </si>
  <si>
    <t>Charm buys, active. Small support but overrun. Neg Vex fires the break, Vomma catches only at tail. SELL LEAN, ride don't fade. Fast descent. Cover at IV peak.</t>
  </si>
  <si>
    <t>Charm sells, active. Stacks with Neg Vex on rallies; floor weaker, ceiling harder. Vomma backstops. SELL LEAN, fade rallies aggressively. Defined-move trade.</t>
  </si>
  <si>
    <t>Put wall → Largest Pos Vomma → Largest Neg Vex</t>
  </si>
  <si>
    <t>Call wall → Largest Pos Gamma → Largest Pos Vomma (invalidation level: Largest Dex above spot)</t>
  </si>
  <si>
    <t>Low|Pos|Neg|Neg|Neg|Pos|Pos|Neg</t>
  </si>
  <si>
    <t>Low-IV Bearish Compression — Loaded for Downside with Wing Convexity Payoff</t>
  </si>
  <si>
    <t>Buy dips weakly / Sell rallies (gamma pin with bearish lean). Vex Neg compounds selling on IV lifts — pin breaks down on vol expansion.</t>
  </si>
  <si>
    <t>AVOID Buys. Neutral / Small SELL LEAN on rally— pin holds while vol compressed. Await vol expansion trigger for size.</t>
  </si>
  <si>
    <t>Compression — Bear-Coiled (Latent)</t>
  </si>
  <si>
    <t>Fade upside extremes with bearish lean. Don't fade downside — break risk on vol expansion.</t>
  </si>
  <si>
    <t>Charm buys, small but active. Thin pin grip — overrun when Neg Vex fires; Vomma catches at tail. AVOID buys hard. First vol tick = size short to Vomma catch.</t>
  </si>
  <si>
    <t>Charm sells, small but active. Slow bearish drag; pin holds for now. Small SELL LEAN on rallies — escalate on first vol tick. Don't get long the range.</t>
  </si>
  <si>
    <t>Call wall → Largest Pos Gamma → Max pain (or Gamma flip) (invalidation level: Largest Dex above spot)</t>
  </si>
  <si>
    <t>High|Neg|Pos|Neg|Neg|Pos|Neg|Neg</t>
  </si>
  <si>
    <t>Short-Call Gamma Squeeze — Upside Cascade at High IV</t>
  </si>
  <si>
    <t>Short near-dated calls (above ATM) + Short far-dated OTM put wings + Long near-dated ATM puts.</t>
  </si>
  <si>
    <t>Mechanical forced BUYING. Pro-cyclical chase on rallies (short-call squeeze). Passive on downside. Dormant while vol compressed.</t>
  </si>
  <si>
    <t>AVOID Shorts. BUY LEAN on rally confirmation — squeeze risk. Vex Neg catches the squeeze at top.</t>
  </si>
  <si>
    <t>Trend Day (Upside Squeeze)</t>
  </si>
  <si>
    <t>Trend Day , Pullbacks are entries</t>
  </si>
  <si>
    <t>Charm fuels the squeeze, no ceiling. Charm buying stacks with chase; Neg Vomma = no catch. BUY LEAN, ride to organic exhaustion. Cover at IV peak.</t>
  </si>
  <si>
    <t>Charm slows the squeeze, doesn't catch it. The top comes from squeeze exhaustion, not from charm/vex defense. Reduce long size into rallies but don't flip short.</t>
  </si>
  <si>
    <t>Largest Pos Gamma → Max pain → Gamma flip</t>
  </si>
  <si>
    <t>Largest Neg Vex → Dex drop-off → Largest Neg Gamma → Largest Pos Zomma</t>
  </si>
  <si>
    <t>Low|Neg|Pos|Neg|Neg|Pos|Neg|Neg</t>
  </si>
  <si>
    <t>Dealer Short Gamma Trap — Loaded for Upside Squeeze</t>
  </si>
  <si>
    <t>Dormant while vol compressed. Pro-cyclical chase on rallies (short-call squeeze loaded). Passive on downside.</t>
  </si>
  <si>
    <t>BUY LEAN (small) on upside trigger. Avoid shorts — squeeze loaded. No directional edge in dormant state — await IV trigger.</t>
  </si>
  <si>
    <t>Transitional / Coiled — Pre-Trend Day</t>
  </si>
  <si>
    <t>Transitional — squeeze loaded. Await entry.</t>
  </si>
  <si>
    <t>Charm is a non-factor here. Latent buying drip too small to matter against the loaded short-call book. Real danger: squeeze trigger . First IV tick = size long.</t>
  </si>
  <si>
    <t>Weak ceiling, overrun on trigger. Charm + Vex dormant in compressed vol; squeeze overrides both. Don't fade rallies — charm caps nothing.</t>
  </si>
  <si>
    <t>High|Pos|Neg|Pos|Pos|Pos|Pos|Pos</t>
  </si>
  <si>
    <t>Dealer-Overwhelmed Bearish Drift — Pos dealer book absorbs but doesn't reverse external selling</t>
  </si>
  <si>
    <t>Long ATM Straddle / Long OTM Wings</t>
  </si>
  <si>
    <t>Sells rallies/ Buys dips. IV spike causes deep retracements that do not recover.</t>
  </si>
  <si>
    <t>SELL LEAN. Dips are Deep &amp; dip-buying is WEAK. Dealer book absorbs but doesn't reverse. Don't fight the external flow.</t>
  </si>
  <si>
    <t>Compression with bearish drift</t>
  </si>
  <si>
    <t>Fade Extremes. Don't expect bounces on dips.</t>
  </si>
  <si>
    <t>Charm sells, active. Stacks ceiling, erodes floor through session. Vomma catches at tail. Mean-reversion works AM, fails PM — don't buy late breakdowns expecting bounce.— bearish drift gets help.</t>
  </si>
  <si>
    <t>Charm buys, active. Floor doubly defended; ceiling leaks. SELL LEAN, but delay entry. Wait for rally exhaustion. Squeeze risk into close.</t>
  </si>
  <si>
    <t>Low|Pos|Neg|Pos|Pos|Pos|Pos|Pos</t>
  </si>
  <si>
    <t>BUY LEAN. Dips shallow, dip-buying strong, max-gamma magnet above. (You almost always get a tradeable pullback. Watch Vwap).</t>
  </si>
  <si>
    <t>Compression with bullish drift</t>
  </si>
  <si>
    <t>Fade Extremes.</t>
  </si>
  <si>
    <t>High|Pos|Neg|Neg|Neg|Pos|Neg|Neg</t>
  </si>
  <si>
    <t>Bearish Pin — Vol compression with downside drift risk</t>
  </si>
  <si>
    <t>Sell the Rally aggressively / Buy the Dip weakly (gamma pin with bearish lean). On IV lifts, Vex Neg compounds selling. Pin holds while vol compressed.</t>
  </si>
  <si>
    <t>SELL LEAN - Neg Vex means IV spikes force additional selling</t>
  </si>
  <si>
    <t>Compression with bearish drift — downside break risk</t>
  </si>
  <si>
    <t>Fade upside extremes. Don't fade downside — break risk on vol expansion.</t>
  </si>
  <si>
    <t>Charm buys, active. Too small to defend; floor erodes. Pos Vega cushions briefly, Neg Vomma reverses → no catch at tail. SELL LEAN. Don't fade the break. Cover at exhaustion only.</t>
  </si>
  <si>
    <t>Charm sells, active. Hardens ceiling, weakens floor; downside still uncaught (Neg Vomma). SELL LEAN, fade rallies confidently — ceiling fails early. Size shorts for runaway move on breakdown.</t>
  </si>
  <si>
    <t>Put wall → Largest Neg Vex → none beyond</t>
  </si>
  <si>
    <t>Low|Pos|Neg|Neg|Neg|Pos|Neg|Neg</t>
  </si>
  <si>
    <t>Low-IV Compression with Bearish Skew — Fragile Pin</t>
  </si>
  <si>
    <t>Sell the rally aggressively / Buy the dip weakly (gamma pin with bearish lean). On IV lifts, Vex Neg compounds selling. Pin holds while vol compressed.</t>
  </si>
  <si>
    <t>AVOID BUYS. Neutral. Pin likely below (dex neg). Await the SELL in high IV. Pin holds while vol compressed but bearish drift within compression — downside cascade risk (no wing catch).</t>
  </si>
  <si>
    <t>Charm buys, small but active. Thin pin grip — overrun when Neg Vex fires; loaded cascade, no catch below. AVOID buys hard. First IV tick = size short, ride uncaught.</t>
  </si>
  <si>
    <t>Charm sells, small but active. Stacks with Neg Vex on rallies → ceiling hardens; downside undefended on break. Fade rallies on vol wake. Never buy dips — no floor below.</t>
  </si>
  <si>
    <t>High|Neg|Neg|Neg|Neg|Neg|Neg|Neg</t>
  </si>
  <si>
    <t>The Waterfall Sell- Off</t>
  </si>
  <si>
    <t>Short ATM Straddle / Short OTM Wings (no wing protection)</t>
  </si>
  <si>
    <t>Forced pro-cyclical selling on every downtick.Acceleration as spot moves. No flow reversal at tails. in low IV the dealer is dormant - dealer does minimal flow.</t>
  </si>
  <si>
    <t>SELL the breakdown. Trend-follow aggressively. Don't catch the knife but watch for exhaustion.</t>
  </si>
  <si>
    <t>Trend Day no V-recovery, ride to exhaustion.</t>
  </si>
  <si>
    <t>Trend Day , bounces are entries</t>
  </si>
  <si>
    <t>Charm buys, swamped. Counter-flow can't arrest the cascade. SELL the breakdown. Don't fade — charm can't help. Cover at organic exhaustion only.</t>
  </si>
  <si>
    <t>Charm sells, active. Every flow aligned, no counter-flow exists. SELL harder than Neg Charm version. Ride to organic exhaustion.</t>
  </si>
  <si>
    <t>Dex drop-off → none beyond</t>
  </si>
  <si>
    <t>Largest Neg Gamma → Dex drop-off → Largest Neg Vex</t>
  </si>
  <si>
    <t>Low|Neg|Neg|Neg|Neg|Neg|Neg|Neg</t>
  </si>
  <si>
    <t>Volmageddon Setup / Complacency Trap</t>
  </si>
  <si>
    <t>Dormant - dealer does minimal flow because IV is low and price isn't moving much. BUT the book is primed: any IV spike triggers forced pro-cyclical selling</t>
  </si>
  <si>
    <t>Dormant - Await the SELL. Expected move is small - Cascade Risk if IV spikes. Don't Front run. No directional edge for futures in low IV. Option traders can buy cheap long puts.</t>
  </si>
  <si>
    <t>Dormant - Coiled with Trend Day cascasde Risk</t>
  </si>
  <si>
    <t>Wait for IV wake-up (transition to High IV row). Don't fade the eventual breakdown.</t>
  </si>
  <si>
    <t>Charm buys, small but active. Thin pin support — overrun on IV expansion, no defense anywhere. Await the SELL. First IV tick = size short, runaway move.</t>
  </si>
  <si>
    <t>Charm sells, small but active. Slow drag now, accelerant on trigger. Every flow loaded the same direction. Most dangerous loaded setup. First IV tick = size short aggressively.</t>
  </si>
  <si>
    <t>Max pain → Gamma flip → none beyond</t>
  </si>
  <si>
    <t>Largest Neg Gamma → Max pain (or Gamma flip) → Largest Neg Vex</t>
  </si>
  <si>
    <t>High|Pos|Neg|Pos|Neg|Pos|Pos|Neg</t>
  </si>
  <si>
    <t>High-IV Long Gamma Compression — Fragile Pin with downside break risk (Vex Neg)</t>
  </si>
  <si>
    <t>Buy the dip / Sell the rally (gamma pin). On IV lifts, Vex Neg forces dealer selling — vanna flow breaks the pin to the downside. Pin stable while vol compressed.</t>
  </si>
  <si>
    <t>SELL LEAN — dips are deep. Break-down leads to controlled descent toward wing strike. Slow U, not sharp V. Pre-break level typically not recovered.</t>
  </si>
  <si>
    <t>Fragile Compression — pin-break risk on IV expansion.</t>
  </si>
  <si>
    <t>Fade upside extremes — break risk on vol expansion.</t>
  </si>
  <si>
    <t>Charm sells, active. Stacks with Neg Vex on rallies, erodes floor; Vomma catches at wing. SELL LEAN. Fade rallies aggressively. Defined descent to wing strike.</t>
  </si>
  <si>
    <t>Charm buys, active. Floor doubly defended; ceiling leaks. SELL LEAN, delay entry. Wait for rally exhaustion. Vomma catches breakdown at wing.</t>
  </si>
  <si>
    <t>Put wall → Largest Pos Vomma → Largest Neg Vex (invalidation level: Largest Dex below spot)</t>
  </si>
  <si>
    <t>Low|Pos|Neg|Pos|Neg|Pos|Pos|Neg</t>
  </si>
  <si>
    <t>Long Gamma Pin — downside break on vol expansion</t>
  </si>
  <si>
    <t>Neutral/Cautious BUY Lean into Pin. Pin holds while vol compressed. Exit on IV expansion — downside break risk. Don't chase upside</t>
  </si>
  <si>
    <t>Charm sells, small but active. Slow bearish drag; pin holds for now. Retail: Cautious BUY Lean per row, mild tilt only. Exit on IV expansion.</t>
  </si>
  <si>
    <t>Charm buys, small but active. Slow floor reinforcement, pin migrates higher session-over-session. BUY Lean per row with mild long tilt. Exit on IV expansion —— charm doesn't save the floor but Vomma catches at wing.</t>
  </si>
  <si>
    <t>High|Pos|Neg|Pos|Pos|Pos|Neg|Neg</t>
  </si>
  <si>
    <t>Compression / Pin Day (with squeeze potential)</t>
  </si>
  <si>
    <t>Short Strangle / Long ATM Straddle (Short Iron Butterfly)</t>
  </si>
  <si>
    <t>Buy the dip aggressively / Sell the rally weakly. Wing breach either side flips dealer to forced chaser — upside biased due to Pos Delta.. Respect the PIN</t>
  </si>
  <si>
    <t>Cautious SELL LEAN into PIN. Respect the PIN. Squeeze risk bias to upside.</t>
  </si>
  <si>
    <t>Compression — vol-crush risk. Pin until wing breach</t>
  </si>
  <si>
    <t>Fade Extremes</t>
  </si>
  <si>
    <t>Charm sells, active. Stacks with rally-cap; mild offset against squeeze bias. Cautious SELL LEAN. Respect PIN. Downside uncaught if pin fails although bias is upside squeeze.</t>
  </si>
  <si>
    <t>Charm buys, active. Amplifies upside squeeze risk; no catch above. Retail: Cautious SELL LEAN, size shorts smaller — squeeze risk elevated. Don't fade rallies aggressively.</t>
  </si>
  <si>
    <t>Put wall → Largest Pos Vex → Largest Pos Gamma</t>
  </si>
  <si>
    <t>Low|Pos|Neg|Pos|Pos|Pos|Neg|Neg</t>
  </si>
  <si>
    <t>High Confidence Grind / PIN</t>
  </si>
  <si>
    <t>BUY LEAN with conviction. Respect the PIN.</t>
  </si>
  <si>
    <t>Fade Extremes/ PIN</t>
  </si>
  <si>
    <t>Charm sells, small but active. Slow bearish drag; pin holds for now, breaks fast on expansion (no Vomma catch). BUY LEAN per row, mild tilt only. Exit on first vol tick — downside wing breach uncaught.</t>
  </si>
  <si>
    <t>Charm buys, small but active. Slow floor reinforcement; loads upside squeeze. Retail: BUY LEAN with conviction. Size for asymmetric upside on wing breach.</t>
  </si>
  <si>
    <t>High|Pos|Neg|Pos|Pos|Pos|Pos|Neg</t>
  </si>
  <si>
    <t>Possible Short-Cover Cascade / Upside Gamma Squeeze</t>
  </si>
  <si>
    <t>Long ATM Straddle / Short OTM Wings</t>
  </si>
  <si>
    <t>Pre-cascade: sells rallies, buys dips (gamma pinning). Post-trigger: forced buyer. Low IV vanna melt up.</t>
  </si>
  <si>
    <t>AVOID Short or size small. Buy dips aggressively — Squeeze risk to upside. Assumes short-cover catalyst active. Pre-catalyst: pin/range regime.</t>
  </si>
  <si>
    <t>Transitional Compression - Trend Day (Violent Upside) with squeeze mechanics. But squeeze requires a catalyst like news.</t>
  </si>
  <si>
    <t>Fade Extremes with upside lean (Squeeze risk)</t>
  </si>
  <si>
    <t>Charm sells, swamped. Counter-flow drowned by squeeze cascade; full defense absorbs downside. Retail: AVOID Short. Buy dips aggressively.</t>
  </si>
  <si>
    <t>Charm buys, active. Apex bullish setup. Every flow aligned up; full defense supports. Retail: AVOID Shorts hard. Buy dips aggressively, ride to organic exhaustion or wing strike.</t>
  </si>
  <si>
    <t>Dex drop-off → Call wall → Largest Pos Vomma</t>
  </si>
  <si>
    <t>Low|Pos|Neg|Pos|Pos|Pos|Pos|Neg</t>
  </si>
  <si>
    <t>Vanna-fueled Melt Up (Index can push far beyond expectations)</t>
  </si>
  <si>
    <t>Low IV vanna melt up. High IV sells rallies, buys dips pre-cascade. On news post cascade: buys dips aggressively.</t>
  </si>
  <si>
    <t>BUY with conviction — vanna-fueled melt-up</t>
  </si>
  <si>
    <t>Compression with upward drift</t>
  </si>
  <si>
    <t>Fade Extremes with upside lean</t>
  </si>
  <si>
    <t>Charm sells, small but active. Slow bearish drag against the vanna-fueled melt-up — too small to fight the dominant flow. BUY with conviction per row. Charm provides minor pullbacks that get bought instantly. Don't wait for deeper dips — they won't come.</t>
  </si>
  <si>
    <t>Charm buys, active — IS the melt-up. Sustained grind up. BUY with conviction. Face-ripper grind — index can push far beyond expectations. Chase or sit out.</t>
  </si>
  <si>
    <t>High|Neg|Pos|Neg|Pos|Pos|Pos|Neg</t>
  </si>
  <si>
    <t>Short Gamma Cascade / Negative Convexity Unwind with built-in Feedback Loop ( V-recovery mechanism)</t>
  </si>
  <si>
    <t>Short ATM Straddle / Long OTM Wings (both sides).</t>
  </si>
  <si>
    <t>Active / Forced pro-cyclical selling on every downtick in High IV. Short ATM gamma drives selling into the cascade until OTM wings activate near IV peak — dealer flow flips from selling to buying, fueling V-recovery. Decays to inactive as IV normalizes.</t>
  </si>
  <si>
    <t>Trend Day (Likely Violent) with with built in V-recovery mechanism</t>
  </si>
  <si>
    <t>Trend Day — pullbacks are entries during the cascade. BUT V-recovery comes faster than Waterfall due to tail activation.</t>
  </si>
  <si>
    <t>Charm buys, swamped. Counter-flow drowned by cascade; Vex + Vega + Vomma drive V-recovery. SELL per row. Cover at IV peak / V-recovery point. Recovery comes faster than Waterfall.</t>
  </si>
  <si>
    <t>Charm sells, active. Stacks with cascade; caps V-recovery bounce. SELL harder. On V-recovery, don't flip long aggressively — ceiling hardened. Cover short at IV peak.</t>
  </si>
  <si>
    <t>Largest Pos Vomma → Dex drop-off → Largest Pos Vex → Largest Pos Zomma</t>
  </si>
  <si>
    <t>Largest Neg Gamma → Dex drop-off → Largest Dex above spot</t>
  </si>
  <si>
    <t>Low|Neg|Pos|Neg|Pos|Pos|Pos|Neg</t>
  </si>
  <si>
    <t>Low Vol Coiled Spring — Bearish Skew with latent V-recovery mechanism (armed but not triggered)</t>
  </si>
  <si>
    <t>Inactive / position carrying in Low IV. Short ATM straddle dormant, OTM wings cheap and armed awaiting vol expansion trigger. On IV breakout, flips to forced pro-cyclical selling with V-recovery mechanism latent until activated.</t>
  </si>
  <si>
    <t>Awaiting Trigger/ IV Spike. Minimal hedging pressure in low IV.</t>
  </si>
  <si>
    <t>Transitional / Coiled — Pre-Trend Day — Bearish Bias</t>
  </si>
  <si>
    <t>Neutral</t>
  </si>
  <si>
    <t>Charm buys, small but active. Thin pin grip; cascade fires on vol expansion, V-recovery still activates. Awaiting trigger. First IV tick = size short, cover at V-recovery.</t>
  </si>
  <si>
    <t>Charm sells, small but active. Slow drag; on trigger, caps V-recovery bounce. Awaiting trigger. First IV tick = size short. V-recovery long weaker here — size smaller.</t>
  </si>
  <si>
    <t>Max pain (or Gamma flip) → Largest Pos Vomma → Largest Pos Zomma → Dex drop-off</t>
  </si>
  <si>
    <t>Largest Neg Gamma → Max pain (or Gamma flip) → Dex drop-off</t>
  </si>
  <si>
    <t>High|Neg|Pos|Pos|Neg|Neg|Neg|Neg</t>
  </si>
  <si>
    <t>Active Short-Vol Cascade / Volatile Bearish Drift</t>
  </si>
  <si>
    <t>Put-skewed short strangle</t>
  </si>
  <si>
    <t>Forced seller on IV lift (Neg Vex). Cascade risk on IV wake-up or break. Passive theta collection in calm.</t>
  </si>
  <si>
    <t>SELL LEAN on rallies. Bearish drift dominant despite Pos Zomma cushion.</t>
  </si>
  <si>
    <t>Trend Day</t>
  </si>
  <si>
    <t>Trend Day , Bounces are entries</t>
  </si>
  <si>
    <t>Charm sells, active. Stacks with bearish drift; weakens Pos Delta cushion; no Vomma catch. SELL LEAN on rallies aggressively. Cushion fragile — no floor below.</t>
  </si>
  <si>
    <t>Charm buys, active. Adds to dip-cushion; cushion still fragile (Neg Vomma). SELL LEAN per row, less aggressively. Don't over-size shorts — minor dip support.</t>
  </si>
  <si>
    <t>Low|Neg|Pos|Pos|Neg|Neg|Neg|Neg</t>
  </si>
  <si>
    <t>Dormant Short-Vol Collector / Pre-Cascade Setup (Bearish Trigger)</t>
  </si>
  <si>
    <t>Passive theta collection in calm. Forced seller on IV lift (Neg Vex). Cascade risk on IV wake-up or break.</t>
  </si>
  <si>
    <t>Small size BUY LEAN in calm (Pos Delta bias). AVOID heavy long positions — regime is cascade-capable on IV wake-up. Options: buy cheap tail protection</t>
  </si>
  <si>
    <t>Buy dips small in dormant state. Watch IV — cascade fires bearishly on IV wake-up.</t>
  </si>
  <si>
    <t>Charm sells, small but active. Slow bearish drag; pin holds for now, breaks fast on trigger. Retail: Small BUY LEAN per row, mild bearish tilt. Buy tail protection. Exit on first vol tick.</t>
  </si>
  <si>
    <t>Charm buys, small but active. Minor cushion reinforcement; doesn't save floor on trigger. Retail: Small BUY LEAN, mild long tilt. Buy tail protection. Exit on first vol tick.</t>
  </si>
  <si>
    <t>Max pain → Gamma flip → Largest Pos Zomma</t>
  </si>
  <si>
    <t>High|Neg|Pos|Neg|Pos|Neg|Neg|Neg</t>
  </si>
  <si>
    <t>Active Squeeze / Short-Vol Capitulation — Melt-Up Cascade</t>
  </si>
  <si>
    <t>Short Calls (dominant) / Short Puts (smaller).</t>
  </si>
  <si>
    <t>Forced buying/ squeeze. Passive hedging in calm.</t>
  </si>
  <si>
    <t>AVOID Shorts. BUY the breakout — short-covering cascade</t>
  </si>
  <si>
    <t>Charm buys, active. Fuels the squeeze. Aligned with cascade + Pos Vex; no Vomma cap above. Retail: AVOID Shorts hard. BUY breakout, ride to exhaustion. Cover at IV peak.</t>
  </si>
  <si>
    <t>Charm sells, active. Headwind on squeeze, overrun. Squeeze runs anyway. Still AVOID Shorts. Don't fade rallies — charm doesn't cap.</t>
  </si>
  <si>
    <t>Largest Pos Zomma → Max pain → Gamma flip</t>
  </si>
  <si>
    <t>Dex drop-off → Largest Neg Gamma → Largest Pos Vex</t>
  </si>
  <si>
    <t>Low|Neg|Pos|Neg|Pos|Neg|Neg|Neg</t>
  </si>
  <si>
    <t>Pre-Squeeze Setup / Short-Vol Capitulation Primer (Dormant)</t>
  </si>
  <si>
    <t>Passive hedging in calm. Primed for forced bullish squeeze on IV lift or rally into gamma zone.</t>
  </si>
  <si>
    <t>BUY LEAN on dips. Dormant squeeze setup</t>
  </si>
  <si>
    <t>Transitional / Coiled — Pre-Trend Day — dormant bullish pre-squeeze setup</t>
  </si>
  <si>
    <t>Fade Extremes with upside lean.</t>
  </si>
  <si>
    <t>Charm buys, small but active. Loaded squeeze fuel; fires on trigger, no cap above. Awaiting trigger. First IV tick = size long. Apex squeeze setup on this row.</t>
  </si>
  <si>
    <t>Charm sells, small but active. Slow counter-flow against latent squeeze loading; pin holds for now. On trigger, charm overrun. Awaiting trigger per row. First IV tick = size long, but less aggressively than Neg Charm version — charm provides small headwind.</t>
  </si>
  <si>
    <t>Max pain → Largest Pos Zomma → Gamma flip</t>
  </si>
  <si>
    <t>Largest Neg Gamma → Dex drop-off → Largest Pos Vex</t>
  </si>
  <si>
    <t>High|Pos|Neg|Neg|Pos|Pos|Pos|Pos</t>
  </si>
  <si>
    <t>Orderly Sell Off (grind) / Hedged Bear Market</t>
  </si>
  <si>
    <t>Long Puts / Long Calls (put-skew bias)</t>
  </si>
  <si>
    <t>Buy the dip/ Sell the rally</t>
  </si>
  <si>
    <t>SELL LEAN on rallies.</t>
  </si>
  <si>
    <t>Charm buys, active. Stacks with Pos Vex on dips; Vomma catches at wing. SELL LEAN on rallies. Cushioned descent to wing strike. Cover at Vomma activation.</t>
  </si>
  <si>
    <t>Charm sells, active. Hardens cap modestly; floor still defended by Pos Vex + Vomma. Retail: SELL LEAN on rallies, pin holds longer. Wait for rally exhaustion.</t>
  </si>
  <si>
    <t>Low|Pos|Neg|Neg|Pos|Pos|Pos|Pos</t>
  </si>
  <si>
    <t>Hedged Long-Vol Compression / Orderly Grind Higher</t>
  </si>
  <si>
    <t>BUY LEAN on dips.</t>
  </si>
  <si>
    <t>Compression with upside drift</t>
  </si>
  <si>
    <t>Charm buys, small but active. Aligned with BUY LEAN bias; Pos Vex + Vomma defend dips. BUY LEAN on dips per row. Floor robust.</t>
  </si>
  <si>
    <t>Charm sells, small but active. Slow bearish drag; floor still defended structurally. BUY LEAN on dips per row, mild bearish tilt only. Don't oversize long — charm provides slow headwind. Floor defended structurally.</t>
  </si>
  <si>
    <t>High|Neg|Neg|Neg|Pos|Pos|Pos|Pos</t>
  </si>
  <si>
    <t>Active Vanna-Hollow Squeeze / Spot-Vol Correlation Trend Day</t>
  </si>
  <si>
    <t>Reverse call calendar</t>
  </si>
  <si>
    <t>Pro-cyclical hedging / Chasing. Passive hedging in calm.</t>
  </si>
  <si>
    <t>Correlation matrix in Tilt determines tactical direction.</t>
  </si>
  <si>
    <t>Trend Day — spot-vol correlation dependent (squeeze firing)</t>
  </si>
  <si>
    <t>Spot Down + VIX Flat: Dealers are Sellers; Spot Down + VIX Exploding: Dealers are Confused/Neutral; Spot Up + VIX Dropping: Dealers are Aggressive Buyers; Spot Up + VIX Flat/Rising slightly: Dealers are Moderate Buyers</t>
  </si>
  <si>
    <t>Charm buys, active. Aligned with bullish squeeze; fights bearish scenarios weakly. Await correlation confirmation. Bullish regime: BUY. Bearish regime: cascade dominates.</t>
  </si>
  <si>
    <t>Charm sells, active. Helps shorts if bearish regime fires; fights longs if bullish regime fires. Await correlation confirmation. Bullish regime: BUY. Bearish regime: cascade dominates.</t>
  </si>
  <si>
    <t>Largest Pos Gamma (bullish-correlation regime) → No structural level (bearish-correlation regime — cascade dominates)</t>
  </si>
  <si>
    <t>Dex drop-off (bullish-correlation regime) → Largest Neg Gamma (bearish-correlation regime)</t>
  </si>
  <si>
    <t>Low|Neg|Neg|Neg|Pos|Pos|Pos|Pos</t>
  </si>
  <si>
    <t>Vanna-Hollow Coiled — Direction Unconfirmed</t>
  </si>
  <si>
    <t>Passive hedging in calm.Pro-cyclical hedging / Chasing if IV wakes up.</t>
  </si>
  <si>
    <t>Dormant. Await spot-vol correlation confirmation. No directional trade — correlation matrix not yet revealed.</t>
  </si>
  <si>
    <t>Dormant — Vanna Coiled. Trend Day Risk in Either Direction</t>
  </si>
  <si>
    <t>Transitional — not yet trend day. Neutral. Do not front run. Wait for spot-vol correlation to confirm direction.</t>
  </si>
  <si>
    <t>Charm buys, small but active. Pre-melt-up bid building; bullish-correlation-conditional. Dormant, await correlation. Don't front-run.</t>
  </si>
  <si>
    <t>Charm sells, small but active. Light cap; direction-conditional. Dormant, await correlation. Don't front-run.</t>
  </si>
  <si>
    <t>Largest Pos Vomma (bullish-correlation regime) → No structural level (bearish-correlation regime — cascade dominates)</t>
  </si>
  <si>
    <t>High|Pos|Pos|Pos|Pos|Pos|Pos|Pos</t>
  </si>
  <si>
    <t>Long convexity, Long volatility / Coiled Spring</t>
  </si>
  <si>
    <t>Long Calls (dominant) + Long Puts (smaller hedge)</t>
  </si>
  <si>
    <t>Buy the dip aggressively. Sell the rally weakly. (Waiting for the breakout).</t>
  </si>
  <si>
    <t>AVOID the Short. BUY the Dips with conviction. Coiled bullish spring — upside break most likely, short trades have no edge.</t>
  </si>
  <si>
    <t>Fade Extremes, waiting for breakout</t>
  </si>
  <si>
    <t>Charm sells, swamped. Counter-flow drowned by every-Greek-aligned bullish setup. AVOID Short. BUY Dips with conviction — coiled spring still triggers upside.</t>
  </si>
  <si>
    <t>Charm buys, active. Apex bullish setup. Every flow aligned up with full defense. AVOID Shorts hard. BUY Dips aggressively, ride to organic exhaustion or wing strike.</t>
  </si>
  <si>
    <t>Low|Pos|Pos|Pos|Pos|Pos|Pos|Pos</t>
  </si>
  <si>
    <t>Vanna-fueled Melt Up / Expansion</t>
  </si>
  <si>
    <t>Buy the dip aggressively. Sell the rally weakly. Aggressive upward drift.</t>
  </si>
  <si>
    <t>BUY with conviction. Avoid shorts.</t>
  </si>
  <si>
    <t>Compression with aggressive upside drift (vanna-fueled). Active melt-up</t>
  </si>
  <si>
    <t>Buy pullbacks aggressively, ride the vanna grind. No structural ceiling.</t>
  </si>
  <si>
    <t>Charm sells, small but active. Minor counter-flow; defense stack defends pullbacks. BUY with conviction per row. Pullbacks bought instantly — don't wait for deeper dips.</t>
  </si>
  <si>
    <t>Charm buys, active — IS the melt-up. Sustained grind with Pos Vomma defining upside; full defense cushions pullbacks. BUY with conviction. Face-ripper grind — index can push far beyond expectations. Chase or sit out.</t>
  </si>
  <si>
    <t>High|Pos|Pos|Pos|Pos|Pos|Pos|Neg</t>
  </si>
  <si>
    <t>High-IV Call Magnet (Pin) / Active Magnet Grind</t>
  </si>
  <si>
    <t>Long Calls (dominant) + Long Puts (smaller)</t>
  </si>
  <si>
    <t>Buy the dip aggressively. Sell the rally weakly. Dealer positioned for active magnet/pin.</t>
  </si>
  <si>
    <t>SELL LEAN on extension only into pin strike. Neg Speed punishes extension.</t>
  </si>
  <si>
    <t>Compression with mechanical drift into Pin.</t>
  </si>
  <si>
    <t>Fade Extremes with lean towards PIN</t>
  </si>
  <si>
    <t>Charm sells, active. Stacks with Pos Vex on rallies away from pin; combined with Neg Speed (gamma shrinks on extension), upside extensions fail back to pin. Pin defends. SELL LEAN into pin strike. Fade upside extensions confidently. Don't fade dips back to pin.</t>
  </si>
  <si>
    <t>Charm buys, active. Reinforces floor on dips; magnet caps extensions regardless. Retail: SELL LEAN into pin strike per row. Buy dips back to pin with confidence. Magnet does the capping.</t>
  </si>
  <si>
    <t>Low|Pos|Pos|Pos|Pos|Pos|Pos|Neg</t>
  </si>
  <si>
    <t>Possible Volatility Expansion Setup (If IV wakes up)</t>
  </si>
  <si>
    <t>Buy the dip aggressively. Sell the rally weakly. Dealer positioned for vol expansion.</t>
  </si>
  <si>
    <t>BUY LEAN with conviction on dips. Coiled setup.</t>
  </si>
  <si>
    <t>Compression / coiled pre-expansion. Aggressive upside drift (Pin above)</t>
  </si>
  <si>
    <t>Fade Extremes - Buy dips with upside lean into the coil.</t>
  </si>
  <si>
    <t>Charm sells, small but active. Minor headwind against bullish bias; magnet holds pin. Retail: BUY LEAN on dips per row. Charm provides drag but doesn't threaten the setup.</t>
  </si>
  <si>
    <t>Charm buys, small but active. Slow floor reinforcement; loads bullish breakout if IV wakes. Retail: BUY LEAN with conviction. Coiled bullish — charm loads the floor for the vol expansion trigger.</t>
  </si>
  <si>
    <t>High|Neg|Neg|Pos|Pos|Pos|Pos|Neg</t>
  </si>
  <si>
    <t>Machine Driven Short Squeeze</t>
  </si>
  <si>
    <t>Call Calendar — short near-dated calls (near gamma), long back-dated calls</t>
  </si>
  <si>
    <t>Aggressive chasing. Passive pinning in calm</t>
  </si>
  <si>
    <t>AVOID Shorts. BUY pullbacks aggressively — squeeze is mechanical. DO NOT CHASE at the highs — wait for the dip.</t>
  </si>
  <si>
    <t>Momentum Breakout, High Probability Upside, Pullbacks are enteries</t>
  </si>
  <si>
    <t>Charm sells, active. Headwind on squeeze; deepens pullbacks, better entries. Vomma catches at wing. AVOID Shorts. BUY pullbacks aggressively — charm makes dips deeper. Don't chase highs.</t>
  </si>
  <si>
    <t>Charm buys, active. Every flow aligned up; Vomma catches at wing, Neg Speed produces dip. AVOID Shorts hard. DO NOT CHASE highs — wait for the dip, next leg is explosive.</t>
  </si>
  <si>
    <t>Largest Pos Vomma → Max pain → Gamma flip</t>
  </si>
  <si>
    <t>Low|Neg|Neg|Pos|Pos|Pos|Pos|Neg</t>
  </si>
  <si>
    <t>Pre-Squeeze Setup / Machine-Driven Squeeze Primer</t>
  </si>
  <si>
    <t>Passive pinning in calm. Primed for bullish agressive chasing on IV lift</t>
  </si>
  <si>
    <t>BUY LEAN on dips. Dormant bullish squeeze setup.</t>
  </si>
  <si>
    <t>Transitional / Coiled — Pre-Trend Day — dormant, pre-squeeze setup</t>
  </si>
  <si>
    <t>Charm sells, small but active. Slow headwind delays trigger; pin holds for now. BUY LEAN on dips per row. Headwind doesn't prevent the squeeze.</t>
  </si>
  <si>
    <t>Charm buys, small but active. Loads squeeze; pin migrates higher session-over-session. BUY LEAN on dips with conviction. Loaded bullish setup — first IV tick fires the cascade.</t>
  </si>
  <si>
    <t>Max pain → Largest Pos Vomma → Gamma flip</t>
  </si>
  <si>
    <t>High|Pos|Pos|Pos|Neg|Pos|Pos|Pos</t>
  </si>
  <si>
    <t>Long Convexity Melt-Up</t>
  </si>
  <si>
    <t>Long Puts / Long Calls</t>
  </si>
  <si>
    <t>AVOID Shorts. BUY the dip with conviction.</t>
  </si>
  <si>
    <t>Charm sells, active. Stacks with Neg Vex caps; deepens dips. Vomma catches wing. Retail: AVOID Shorts. BUY the dip — charm makes dips deeper, better entries. Don't chase rallies.</t>
  </si>
  <si>
    <t>Charm buys, active. Every flow except Neg Vex aligned up; mechanical rally-caps via Vex. AVOID Shorts hard. BUY the dip aggressively — next leg explosive. Don't chase, wait for Vex retracement.</t>
  </si>
  <si>
    <t>Put wall → Largest Pos Vomma → Largest Pos Zomma</t>
  </si>
  <si>
    <t>Call wall → Largest Neg Vex → Largest Pos Gamma</t>
  </si>
  <si>
    <t>Low|Pos|Pos|Pos|Neg|Pos|Pos|Pos</t>
  </si>
  <si>
    <t>Pre-Ignition Setup / Low-IV Long-Gamma Compression with Bullish Coil</t>
  </si>
  <si>
    <t>BUY LEAN/ Buy the Dip</t>
  </si>
  <si>
    <t>Charm sells, small but active. Minor headwind delays ignition; floor defended structurally. BUY LEAN per row. Headwind doesn't prevent the coil.</t>
  </si>
  <si>
    <t>Charm buys, small but active. Loads bullish coil; pin migrates higher session-over-session. BUY LEAN with conviction. Loaded bullish coil — charm pre-loads the ignition.</t>
  </si>
  <si>
    <t>High|Pos|Pos|Neg|Neg|Pos|Pos|Pos</t>
  </si>
  <si>
    <t>High Volatility Grind Up</t>
  </si>
  <si>
    <t>Long Puts dominant + Long Calls</t>
  </si>
  <si>
    <t>Buy the dip aggressively. Sell the rally weakly. Mild upward drift.</t>
  </si>
  <si>
    <t>AVOID Shorts. BUY LEAN on dips. High-IV grind up with IV-crush tailwind.</t>
  </si>
  <si>
    <t>Compression with Upside Drift</t>
  </si>
  <si>
    <t>Fade Extremes with upside lean. Strong Floor.</t>
  </si>
  <si>
    <t>Charm buys, active. Fuels grind; Pos Speed amplifies; IV-crush removes Vex cap. AVOID Shorts. BUY LEAN on dips with conviction.</t>
  </si>
  <si>
    <t>Charm sells, active. Mechanical rally caps via charm + Neg Vex; floor defended. AVOID Shorts. BUY LEAN on dips — rrally retracements ARE the dip entries. Don't short the cap.</t>
  </si>
  <si>
    <t>Call wall → Largest Pos Gamma → Largest Neg Vex (invalidation level: Largest Dex above spot)</t>
  </si>
  <si>
    <t>Low|Pos|Pos|Neg|Neg|Pos|Pos|Pos</t>
  </si>
  <si>
    <t>Dealer Long Gamma/ Low Volatility Grind Up</t>
  </si>
  <si>
    <t>Charm buys, small but active. Aligned with grind; pin migrates higher. BUY LEAN on dips. Slow grind.</t>
  </si>
  <si>
    <t>Charm sells, small but active. Caps rallies on vol wake; floor defended. Retail: AVOID Shorts. BUY LEAN on dips.</t>
  </si>
  <si>
    <t>High|Neg|Pos|Pos|Neg|Pos|Pos|Pos</t>
  </si>
  <si>
    <t>Gamma Drain Short Squeeze</t>
  </si>
  <si>
    <t>Short Calls dominant (being squeezed) / Long Puts hedge</t>
  </si>
  <si>
    <t>Forced buying - Delta buffer consumed by gamma drain — mechanical buying as delta flips. In low IV dealers are mostly dormant.</t>
  </si>
  <si>
    <t>BUY</t>
  </si>
  <si>
    <t>Momentum Chasing, Trend Day.</t>
  </si>
  <si>
    <t>Charm sells, active. Accelerates Pos Delta buffer consumption — getting the dealer to the delta-flip point faster. Once flipped, forced covering squeeze fires. BUY per row. Neg Charm accelerates the squeeze trigger timing. Charm helps the squeeze fire sooner; don't wait for ideal entry — chase the breakout when delta flips.</t>
  </si>
  <si>
    <t>Charm buys, active. Reinforces buffer → delays trigger, more violent squeeze when fires. BUY per row. Size for asymmetric upside — Pos Charm cell produces the most violent squeeze.</t>
  </si>
  <si>
    <t>Dex drop-off → Largest Neg Gamma → Largest Neg Vex → Largest Pos Zomma</t>
  </si>
  <si>
    <t>Low|Neg|Pos|Pos|Neg|Pos|Pos|Pos</t>
  </si>
  <si>
    <t>Low Vol Coiled — Upside Squeeze Risk (dormant)</t>
  </si>
  <si>
    <t>Short Calls dominant (theta harvesting, squeeze risk latent) / Long Puts hedge</t>
  </si>
  <si>
    <t>Quiet theta harvest. If triggered: forced buying — gamma drain consumes delta, mechanical squeeze up.</t>
  </si>
  <si>
    <t>BUY but future traders await trigger. Can chop until trigger. Option traders can buy cheap calls/call spreads while IV is suppressed.</t>
  </si>
  <si>
    <t>Dormant — Squeeze Risk</t>
  </si>
  <si>
    <t>Neutral at rest; bullish if squeeze fires.</t>
  </si>
  <si>
    <t>Charm sells, small but active. Pre-loads buffer consumption. BUY but await trigger. First IV tick = squeeze fires sooner. Buy cheap calls while IV suppressed.</t>
  </si>
  <si>
    <t>Charm buys, small but active. Reinforces buffer; violent squeeze on trigger. BUY but await trigger. Size for asymmetric upside on trigger fire.</t>
  </si>
  <si>
    <t>Largest Neg Gamma → Dex drop-off → Largest Neg Vex → Largest Pos Zomma</t>
  </si>
  <si>
    <t>High|Pos|Pos|Neg|Pos|Pos|Pos|Pos</t>
  </si>
  <si>
    <t>Mechanical Melt-Up / Vanna-Driven Grind Higher</t>
  </si>
  <si>
    <t>Long Straddle (Uncoiled Convexity)</t>
  </si>
  <si>
    <t>BUY PULLBACKS aggressively; rip-selling is overwhelmed by vanna + delta hedging flows</t>
  </si>
  <si>
    <t>AVOID Shorts / BUY the Dip</t>
  </si>
  <si>
    <t>Fade downside extreme only; ride upside extension already in motion. Strong Floor, weak ceiling.</t>
  </si>
  <si>
    <t>Charm buys, active. Aligned with melt-up; every flow stacks up; strong floor, weak ceiling. AVOID Shorts. BUY the Dip aggressively — sustained melt-up.</t>
  </si>
  <si>
    <t>Charm sells, active. Small headwind on melt-up; vanna + speed override. Choppier grind with retracements. AVOID Shorts. BUY the Dip — retracements are better entries. Don't fade rallies.</t>
  </si>
  <si>
    <t>Low|Pos|Pos|Neg|Pos|Pos|Pos|Pos</t>
  </si>
  <si>
    <t>Positive Gamma Coil with Bull Volatility Trigger Risk</t>
  </si>
  <si>
    <t>Long Straddle (Coiled Convexity)</t>
  </si>
  <si>
    <t>BUY the dip / Sell the rally with caution — Bull vol upside squeeze risk. In high IV rip-selling is overwhelmed by vanna + delta hedging flows</t>
  </si>
  <si>
    <t>BUY the Dip</t>
  </si>
  <si>
    <t>Compression with Explosive Bullish Risk</t>
  </si>
  <si>
    <t>Fade downside extreme only; respect upside trigger — squeeze ignites on IV expansion. Strong Floor, fragile ceiling.</t>
  </si>
  <si>
    <t>Charm buys, small but active. Pre-loads the bullish trigger; pin migrates higher session-over-session. BUY the Dip per row. Charm loads the trigger for vol expansion.</t>
  </si>
  <si>
    <t>Charm sells, small but active. Minor delay to bullish trigger; vanna overruns on vol wake. BUY the Dip per row. Vol wake = melt-up regardless.</t>
  </si>
  <si>
    <t>High|Neg|Neg|Pos|Pos|Pos|Pos|Pos</t>
  </si>
  <si>
    <t>Vol-Expanded Downside Trend / Self-Accelerating Breakdown via Zomma</t>
  </si>
  <si>
    <t>Short ATM Straddle + Long OTM Wings</t>
  </si>
  <si>
    <t>At High IV, pro-cyclical selling on weakness dominates. Reluctant buying on bounces (Neg Delta hedge) gets overwhelmed by Neg Gamma + Vega flow. At Low IV the book is dormant.</t>
  </si>
  <si>
    <t>SELL LEAN. SELL Bounces, Avoid Longs.</t>
  </si>
  <si>
    <t>Trend Day. Forced-Flow Trend with Whipsaw Risk</t>
  </si>
  <si>
    <t>Trend with whipsaw — chase weakness, don't fade. Pullbacks are NOT safe entries.</t>
  </si>
  <si>
    <t>Charm sells, active. Stacks with cascade; Vex + Vomma defense overrun on real moves. SELL LEAN. SELL bounces, avoid longs. Pullbacks NOT safe entries.</t>
  </si>
  <si>
    <t>Charm buys, active. Counter-flow, soft floor intraday; overrun on real moves. SELL LEAN, bounces hold briefly but still SELL. Whipsaw risk elevated.</t>
  </si>
  <si>
    <t>Largest Pos Vomma → Dex drop-off → none beyond</t>
  </si>
  <si>
    <t>Low|Neg|Neg|Pos|Pos|Pos|Pos|Pos</t>
  </si>
  <si>
    <t>The Silent Trap / High Probability Coiled Breakdown</t>
  </si>
  <si>
    <t>At Low IV the book is dormant until a vol trigger fires. At High IV, pro-cyclical selling on weakness dominates. Reluctant buying on bounces (Neg Delta hedge) gets overwhelmed by Neg Gamma + Vega flow.</t>
  </si>
  <si>
    <t>Pre-trigger the book is dormant. Don't pre-empt the break; chase it.</t>
  </si>
  <si>
    <t>Transition - Trend Day , Coiled — wait for break. Bounces are short entries, not longs. Don't fade range pre-trigger.</t>
  </si>
  <si>
    <t>Charm sells, small but active. Slow bearish drag pre-loading the trigger. Retail: Don't pre-empt; chase the break. First IV tick = size short.</t>
  </si>
  <si>
    <t>Charm buys, small but active. Slow floor support pre-trigger; overrun when vol expands. Don't pre-empt; chase the break. Pre-trigger floor breaks on first IV tick.</t>
  </si>
  <si>
    <t>High|Neg|Pos|Pos|Pos|Pos|Pos|Pos</t>
  </si>
  <si>
    <t>High-Vol Short-Put Book Under Pressure — Trend Day with Sold Bounces</t>
  </si>
  <si>
    <t>Short ATM Puts dominant + Long OTM Call Wings</t>
  </si>
  <si>
    <t>Pro-cyclical: sell weakness, buy strength reluctantly. At Low IV book is dormant.</t>
  </si>
  <si>
    <t>SELL LEAN. SELL bounces into resistance. Trend continues — don't fade.</t>
  </si>
  <si>
    <t>Trend Day , bounces are short entries</t>
  </si>
  <si>
    <t>Charm sells, active. Stacks with Neg Gamma sell-into-weakness; bounces shallow, breaks accelerate late. SELL LEAN, SELL bounces. Don't fade. Trend day with weak retracements.</t>
  </si>
  <si>
    <t>Charm buys, active. Stacks with Neg Gamma buy-into-strength on bounces; sold bounces get bought back. SELL LEAN but size shorts smaller — squeeze risk into close. Don't fade rallies aggressively.</t>
  </si>
  <si>
    <t>Dex drop-off → Gamma flip → none beyond</t>
  </si>
  <si>
    <t>Largest Pos Vomma → Largest Neg Gamma → Dex drop-off</t>
  </si>
  <si>
    <t>Low|Neg|Pos|Pos|Pos|Pos|Pos|Pos</t>
  </si>
  <si>
    <t>Hedged Short-Put Book at Low Vol — Upside Grind, Downside Trap</t>
  </si>
  <si>
    <t>Pro-cyclical: sell weakness, buy strength reluctantly. At Low IV book is dormant; at High IV pro-cyclical flow fires. Pos Delta + Neg Gamma compound on rallies (sold) and breaks lower (chased).</t>
  </si>
  <si>
    <t>BUY grind cautiously; flip short on put-strike break</t>
  </si>
  <si>
    <t>Transitional — Pre-Trend Day - . Pin / Upside Grind with Latent Downside Trap</t>
  </si>
  <si>
    <t>Cautious lean long on grind. Possible transition to bear Trend Day.</t>
  </si>
  <si>
    <t>Charm sells, small but active. Pre-loaded bearish bias; vol shock = trap fires (charm + Neg Gamma compound). BUY grind cautiously, flip short on put-strike break. Apex downside trap on this row.</t>
  </si>
  <si>
    <t>Charm buys, small but active. Caps the grind via accumulated dealer length; vol spike = forced unwind downside. BUY grind cautiously, flip short on put-strike break. Vol spike fires trap from this side too.</t>
  </si>
  <si>
    <t>Max pain → Gamma flip → Dex drop-off</t>
  </si>
  <si>
    <t>Largest Pos Vomma → Call wall → Largest Pos Gamma</t>
  </si>
  <si>
    <t>High|Pos|Pos|Pos|Neg|Pos|Pos|Neg</t>
  </si>
  <si>
    <t>Compressed Range — Long Gamma Floor, IV Mean-Reverting Lower</t>
  </si>
  <si>
    <t>Long Straddle, call-heavy / call ITM</t>
  </si>
  <si>
    <t>Buy the dip / Sell the rally — counter-cyclical dampening (book dormant at Low IV)</t>
  </si>
  <si>
    <t>SELL LEAN towards PIN</t>
  </si>
  <si>
    <t>Fade near extremes. Caution at far extremes — Neg Speed weakens dampening</t>
  </si>
  <si>
    <t>Charm sells, active. Stacks with Neg Vex + Neg Speed; reinforces rally cap. Floor defended by Vega + Vomma. SELL LEAN towards PIN. Fade upside extensions confidently. Don't fade dips.</t>
  </si>
  <si>
    <t>Charm buys, active. Reinforces floor on dips; magnet caps extensions regardless. SELL LEAN towards PIN per row. Buy dips back to pin confidently — floor doubly defended.</t>
  </si>
  <si>
    <t>Call wall → Largest Neg Vex → Max pain (or Gamma flip)</t>
  </si>
  <si>
    <t>Low|Pos|Pos|Pos|Neg|Pos|Pos|Neg</t>
  </si>
  <si>
    <t>Quiet Pin / Dormant Range — Long Gamma at rest, breakouts fail</t>
  </si>
  <si>
    <t>BUY LEAN towards PIN</t>
  </si>
  <si>
    <t>Charm sells, small but active. Minor headwind against BUY LEAN; pin holds via Pos Gamma + Neg Speed. BUY LEAN towards PIN per row. Headwind doesn't threaten pin.</t>
  </si>
  <si>
    <t>Charm buys, small but active. Slow floor reinforcement; pin migrates higher session-over-session. BUY LEAN towards PIN per row. Charm reinforces buy-dip leg.</t>
  </si>
  <si>
    <t>High|Pos|Pos|Neg|Neg|Pos|Pos|Neg</t>
  </si>
  <si>
    <t>Long Put Book Engaged — High IV Reinforces the Floor</t>
  </si>
  <si>
    <t>Long Put-Heavy Strangle (put-skew dominant — defensive floor)</t>
  </si>
  <si>
    <t>SELL LEAN. Sell the rally. However,defended floor active — don't chase shorts into dealer support.</t>
  </si>
  <si>
    <t>Fade extremes - Defended floor</t>
  </si>
  <si>
    <t>Charm buys, active. Aligned with defended floor; long puts + Pos Vega + Vomma reinforce. SELL LEAN, sell rally. Don't chase shorts — floor robust, cover at put-strike.</t>
  </si>
  <si>
    <t>Charm sells, active. Stacks with Neg Vex on rallies → cap; floor still defended structurally. SELL LEAN, sell rally. Floor robust. Defined-move trade.</t>
  </si>
  <si>
    <t>Call wall → Largest Pos Gamma → Largest Neg Vex</t>
  </si>
  <si>
    <t>Low|Pos|Pos|Neg|Neg|Pos|Pos|Neg</t>
  </si>
  <si>
    <t>Compressed Range — Long Put Floor Loaded but Idle</t>
  </si>
  <si>
    <t>BUY LEAN. BUY shallow dips — long-put floor + Neg Delta hedge support. IV expansion is tailwind. Defended floor is robust at Low IV.</t>
  </si>
  <si>
    <t>Charm buys, small but active. Aligned with defended floor; pin holds via loaded long-put hedge. BUY LEAN, buy shallow dips. IV expansion = tailwind. Floor robust.</t>
  </si>
  <si>
    <t>Charm sells, small but active. Slow drag; long put floor + Pos Vega defend on vol shock.BUY LEAN, buy shallow dips. Charm headwind doesn't threaten floor.</t>
  </si>
  <si>
    <t>High|Pos|Neg|Pos|Neg|Pos|Pos|Pos</t>
  </si>
  <si>
    <t>High-IV Compression with Breakout Risk — Dealer Dampening Fading</t>
  </si>
  <si>
    <t>Long Call-Heavy Strangle</t>
  </si>
  <si>
    <t>BUY the dip / Sell the rally — counter-cyclical dampening. Slight buy-lean on dips.</t>
  </si>
  <si>
    <t>SELL LEAN towards Pin. CAUTION: Zomma Neg weakens dampening; ceiling dissolves on breakout. Don't fade conviction breakouts.</t>
  </si>
  <si>
    <t>Fade Extremes; Bias Upside Risk</t>
  </si>
  <si>
    <t>Charm sells, active. Stacks with Neg Vex; reinforces rally cap during compression. SELL LEAN towards Pin. CAUTION: ceiling dissolves on conviction breakouts. Don't fade.</t>
  </si>
  <si>
    <t>Charm buys, active. Reinforces floor; amplifies upside breakout risk via Pos Delta + Pos Speed. SELL LEAN towards Pin but size shorts smaller — breakout risk elevated. Don't fade conviction breakouts.</t>
  </si>
  <si>
    <t>Call wall → Largest Pos Gamma → Largest Neg Zomma (invalidation level: Largest Dex above spot)</t>
  </si>
  <si>
    <t>Low|Pos|Neg|Pos|Neg|Pos|Pos|Pos</t>
  </si>
  <si>
    <t>Long Gamma Pin</t>
  </si>
  <si>
    <t>BUY LEAN</t>
  </si>
  <si>
    <t>Charm sells, small but active. Minor headwind; pin holds. BUY LEAN per row. Charm doesn't threaten pin. Watch for upside breakouts.</t>
  </si>
  <si>
    <t>Charm buys, small but active. Floor reinforced; pre-loads upside breakout potential. BUY LEAN with conviction. Loaded bullish bias for vol-expansion trigger.</t>
  </si>
  <si>
    <t>High|Pos|Neg|Neg|Neg|Pos|Pos|Pos</t>
  </si>
  <si>
    <t>High-IV Compression — Strong Ceiling, Weakening Floor</t>
  </si>
  <si>
    <t>Long Puts dominant near ATM / Long Calls further OTM above (downward-lean pin with upside gamma wall)</t>
  </si>
  <si>
    <t>Buy the dip (Pos Gamma counter-cyclical) + buy rallies (Neg Delta hedge). Ceiling holds via Pos Speed gamma wall. Retail can fade rallies into wall towards PIN.</t>
  </si>
  <si>
    <t>SELL LEAN. FADE rallies into wall towards PIN. Don't chase shorts — long-put floor still active.</t>
  </si>
  <si>
    <t>Charm buys, active. Aligned with floor defense — vega and vomma support dips. But Neg Zomma weakens floor support faster than expected, so charm-driven floor can dissolve. SELL LEAN, fade rallies into wall toward PIN per row. Don't chase shorts — long-put floor still active. But don't expect the floor to hold indefinitely either.</t>
  </si>
  <si>
    <t>Charm sells, active. Stacks with Neg Vex on rallies → reinforces the upside gamma wall ceiling. Same flow weakens floor on dips; Pos Vega + Pos Vomma defend but Neg Zomma erodes faster than the wall. Pin-break risk skewed to downside on vol shock. SELL LEAN, fade rallies into wall confidently. Downside break is the bigger risk — exit shorts cautiously on vol expansion (downside may run faster than expected).</t>
  </si>
  <si>
    <t>Put wall → Largest Pos Vomma → Largest Neg Zomma</t>
  </si>
  <si>
    <t>Low|Pos|Neg|Neg|Neg|Pos|Pos|Pos</t>
  </si>
  <si>
    <t>Long Gamma Pin — Downward Lean with Upside Gamma Wall</t>
  </si>
  <si>
    <t>BUY LEAN. Buy the dip into the wall.</t>
  </si>
  <si>
    <t>Charm buys, small but active. Aligned with the long-put floor defense in compressed vol; pin holds. BUY LEAN, buy the dip into the wall per row. Floor reinforced but Neg Zomma flag — don't oversize dip-buys, floor may weaken faster than apparent.</t>
  </si>
  <si>
    <t>Charm sells, small but active. Reinforces wall; pin-break skewed downside on vol shock. Retail: BUY LEAN per row, flag downside risk on vol expansion.</t>
  </si>
  <si>
    <t>Put wall → Largest Pos Gamma → Largest Neg Zomma</t>
  </si>
  <si>
    <t>High|Neg|Pos|Neg|Neg|Pos|Pos|Pos</t>
  </si>
  <si>
    <t>Neg Gamma Trend — Bearish Lean via Vol-Expansion Tailwind</t>
  </si>
  <si>
    <t>Short Front-Dated / Long Back-Dated Calls (calendar structure)</t>
  </si>
  <si>
    <t>Pro-cyclical hedging — sell into weakness (dominant), buy into strength (secondary). Bias toward selling due to positive Vega which favors IV expansion, which empirically correlates with downside.</t>
  </si>
  <si>
    <t>SELL LEAN — Follow Trend — Bearish lean structurally- Bounces can be deep.</t>
  </si>
  <si>
    <t>Trend Day , Bounces are short entries</t>
  </si>
  <si>
    <t>Charm buys, active. Counter-flow overwhelmed by cascade + Pos Vega + Neg Vex; Vomma catches wing.Charm doesn't help shorts but doesn't save them either. SELL LEAN follow trend. Cover at Vomma activation. Bounces deep — charm occasional support.</t>
  </si>
  <si>
    <t>Charm sells, active. Stacks with cascade; bounces shallower than Neg Charm version. SELL LEAN harder. Cover at Vomma activation.</t>
  </si>
  <si>
    <t>Largest Pos Vomma → Dex drop-off → Largest Pos Zomma</t>
  </si>
  <si>
    <t>Low|Neg|Pos|Neg|Neg|Pos|Pos|Pos</t>
  </si>
  <si>
    <t>Short Gamma Slow Bleed — Dampened Cascade. Downward Lean.</t>
  </si>
  <si>
    <t>AVOID LONGS. SELL LEAN - Sell bounces with patience — slow bleed regime. Wait for confirmed downside expansion before chasing. Don't pre-empt — book mostly dormant at Low IV.</t>
  </si>
  <si>
    <t>Transitional — Pre-Trend Day</t>
  </si>
  <si>
    <t>Transitional - Trend Day, Bounces are short entries - Bearish drift</t>
  </si>
  <si>
    <t>Charm buys, small but active. Counter-flow; late session: gamma exhausts, charm dominates, modest upside drift. AVOID LONGS per row, SELL bounces with patience. Charm's late-session lift provides better bounce-sell entries; don't pre-empt the break.</t>
  </si>
  <si>
    <t>Charm sells, small but active. Stacks with bleed; late session: charm grinds tape lower, no natural floor. Retail: AVOID LONGS, SELL bounces. Confident short once expansion confirmed.</t>
  </si>
  <si>
    <t>Largest Neg Gamma → Max pain (or Gamma flip) → Largest Pos Zomma</t>
  </si>
  <si>
    <t>High|Neg|Neg|Pos|Neg|Pos|Pos|Neg</t>
  </si>
  <si>
    <t>High-IV Liquidation Cascade — Pos Delta Capitulation, Vanna Unwind Down</t>
  </si>
  <si>
    <t>Short Front-Month Puts + Long Back-Month Calls</t>
  </si>
  <si>
    <t>Pro-cyclical selling on weakness + forced selling on rallies (Pos Delta hedge). Net flow: persistent downward pressure.</t>
  </si>
  <si>
    <t>SELL LEAN - Follow Trend — Bounces will be shallow (Zomma Neg accelerates selloff).</t>
  </si>
  <si>
    <t>Trend Day — Liquidation Cascade, Bearish Lean</t>
  </si>
  <si>
    <t>Trend Day — Bounces are shorting opportunities</t>
  </si>
  <si>
    <t>Charm sells, active. Stacks with cascade + Pos Vega unwind + Neg Vex; Vomma catches at wing. SELL LEAN follow trend. Bounces shallow — charm compounds the selloff momentum. Cover at Pos Vomma activation / IV peak.</t>
  </si>
  <si>
    <t>Charm buys, active. Counter-flow overrun by cascade; deeper bounces than Neg Charm version. SELL LEAN. Bounces = short entries. Cover at Vomma activation.</t>
  </si>
  <si>
    <t>Largest Neg Gamma → Largest Pos Vomma → Dex drop-off</t>
  </si>
  <si>
    <t>Low|Neg|Neg|Pos|Neg|Pos|Pos|Neg</t>
  </si>
  <si>
    <t>Coiled Short-Put Book — Pre-Liquidation Drift</t>
  </si>
  <si>
    <t>Pro-cyclical hedging — sell weakness, sell rallies (Pos Delta hedge). Book dormant at Low IV until vol expands.</t>
  </si>
  <si>
    <t>AVOID BUYS. Sell bounces with patience — book dormant at Low IV. Wait for confirmed downside vol expansion before chasing shorts.</t>
  </si>
  <si>
    <t>Transitional / Coiled — Pre-Trend Day - Slow Drift — Pre-Liquidation</t>
  </si>
  <si>
    <t>Transitional - Trend Day , Bounces are short entries. Bearish drift.</t>
  </si>
  <si>
    <t>Charm sells, small but active. Pre-loads bearish bias; pin holds for now. AVOID BUYS, sell bounces with patience. Wait for confirmed expansion.</t>
  </si>
  <si>
    <t>Charm buys, small but active. Soft floor breaks on first IV tick; cascade overruns. AVOID BUYS. Don't trust the floor — wait for confirmed expansion to chase shorts.</t>
  </si>
  <si>
    <t>High|Neg|Neg|Neg|Neg|Pos|Pos|Neg</t>
  </si>
  <si>
    <t>Gamma Acceleration Selloff — Short-Vol Book Bleeding</t>
  </si>
  <si>
    <t>Pro-cyclical hedging — sell weakness , buy rallies reluctantly. Net flow: bearish asymmetry on breakdowns.</t>
  </si>
  <si>
    <t>SELL LEAN — Follow Trend — Bounces will be shallow (Zomma Neg accelerates selloff). Avoid the Long</t>
  </si>
  <si>
    <t>Trend Day - Bearish Asymmetry</t>
  </si>
  <si>
    <t>Trend Day , Bounces are shorting opportunities</t>
  </si>
  <si>
    <t>Charm buys, swamped. Counter-flow overrun by cascade; Pos Vega cushions briefly, Vomma catches at wing. SELL LEAN follow trend. Charm provides occasional soft bounces — those are shorting opportunities, not long entries. Cover at Vomma activation.</t>
  </si>
  <si>
    <t>Charm sells, active. Stacks with cascade; Pos Vega briefly cushions; Vomma catches at wing. SELL LEAN harder. Bounces shallow — charm compounds the selloff momentum. Cover at Vomma activation.</t>
  </si>
  <si>
    <t>Largest Neg Gamma → Largest Neg Vex → Dex drop-off</t>
  </si>
  <si>
    <t>Low|Neg|Neg|Neg|Neg|Pos|Pos|Neg</t>
  </si>
  <si>
    <t>Coiled Gamma Trap — Latent Cascade Risk</t>
  </si>
  <si>
    <t>Pro-cyclical hedging — sell weakness , buy rallies reluctantly. Net flow: bearish asymmetry on breakdowns. Book dormant at Low IV until vol expands.</t>
  </si>
  <si>
    <t>AVOID BUYS. Sell bounces with patience — book dormant at Low IV. Wait for confirmed downside vol expansion before chasing.</t>
  </si>
  <si>
    <t>Transitional / Coiled — Pre-Trend Day - Pre-Cascade</t>
  </si>
  <si>
    <t>Coiled — bounces are short entries with patience. Bearish asymmetry latent.</t>
  </si>
  <si>
    <t>Charm buys, small but active. Thin range support; overrun on trigger. AVOID BUYS, sell bounces with patience. Charm holds the range until trigger. First IV tick = size short to Vomma.</t>
  </si>
  <si>
    <t>Charm sells, small but active. Pre-loads bearish bias; on trigger, stacks with cascade. Retail: AVOID BUYS, sell bounces. First IV tick = confident short.</t>
  </si>
  <si>
    <t>High|Pos|Pos|Neg|Pos|Pos|Pos|Neg</t>
  </si>
  <si>
    <t>Long Downside Tail — Dealer Crash-Hedged at High Vol</t>
  </si>
  <si>
    <t>Long ATM/ITM Put-Heavy Strangle</t>
  </si>
  <si>
    <t>Buy the Dip (Pos Gamma) + Buy rallies (Neg Delta hedge). At Low IV book is dormant; at High IV the floor engages and Pos Zomma reinforces</t>
  </si>
  <si>
    <t>AVOID SELL or FADE rallies cautiously into the PIN — floor strong, ceiling weak.</t>
  </si>
  <si>
    <t>Compression — not pure Compression, because the range is asymmetric (harder floor than ceiling)</t>
  </si>
  <si>
    <t>Fade extremes towards PIN — floor robust, ceiling fragile</t>
  </si>
  <si>
    <t>Charm buys, active. Aligned with structurally strong floor; ceiling weak. (no structural cap) AVOID SELL or fade rallies cautiously into PIN. Floor robust, don't chase shorts.</t>
  </si>
  <si>
    <t>Charm sells, active. Only cap mechanism on rallies — easily broken on conviction. Floor still defended. Fade rallies even more cautiously than Neg Charm version. Buy dips with confidence.</t>
  </si>
  <si>
    <t>Low|Pos|Pos|Neg|Pos|Pos|Pos|Neg</t>
  </si>
  <si>
    <t>Quiet Pin with Positive Gamma Pinning</t>
  </si>
  <si>
    <t>BUY the Dip — Respect the Pin</t>
  </si>
  <si>
    <t>Charm buys, small but active. Aligned with long-put defended floor; pin holds. BUY the Dip, Respect the Pin. Floor robust.</t>
  </si>
  <si>
    <t>Charm sells, small but active. Soft ceiling via charm + Neg Speed magnet. BUY the Dip per row. Fade upside extensions back to pin cautiously — charm + Neg Speed combine to cap extensions, but be cautious on conviction breakouts (ceiling structurally fragile).</t>
  </si>
  <si>
    <t>High|Neg|Pos|Pos|Pos|Pos|Pos|Neg</t>
  </si>
  <si>
    <t>High-Vol Short-Put Unwind — Zomma-Dampened Floor Reinforcement</t>
  </si>
  <si>
    <t>Short puts (unwinding) + Long Call Wings.</t>
  </si>
  <si>
    <t>Pro-cyclical: Buys dips (dominant — short-put unwind covers into weakness) / Chases rallies lightly. Vex+ adds buying on IV lifts. Speed− means dips get more bid as they extend. Zomma+ dampens at the tails — chase exhausts</t>
  </si>
  <si>
    <t>BUY LEAN — buy dips, do not chase at extension. Zomma+ dampens the bounce extension; take profits as gamma exhausts. Floor is being actively rebuilt by the unwind</t>
  </si>
  <si>
    <t>Trend Day with built-in Floor — Unwind-Reinforced Bid → Compression Transition</t>
  </si>
  <si>
    <t>Self-limiting trend day. Dips are buying opportunities until compression confirms</t>
  </si>
  <si>
    <t>Charm sells, but the short-put unwind out-buys it. Net: floor still holds, just slower repair. BUY LEAN, buy dips, take profits as gamma exhausts. Charm fights the unwind — dips are deeper but still bid</t>
  </si>
  <si>
    <t>Charm buys, stacks with the put-unwind bid. Strong floor, dips shallow. BUY LEAN aggressively on dips — best entries of the family. Take profits as Zomma+ exhausts the move</t>
  </si>
  <si>
    <t>Largest Dex below spot → Largest Pos Vex → Largest Pos Vomma</t>
  </si>
  <si>
    <t>Dex drop-off → Largest Pos Zomma → Largest Neg Gamma</t>
  </si>
  <si>
    <t>Low|Neg|Pos|Pos|Pos|Pos|Pos|Neg</t>
  </si>
  <si>
    <t>Low-Vol Short-Call Unwind — Zomma-Dampened Squeeze</t>
  </si>
  <si>
    <t>Short calls (unwinding, within strangle) + Long Put Wings.</t>
  </si>
  <si>
    <t>Pro-cyclical chase up: covering short calls on rallies → squeeze fades mechanically and regime will switche to compression.</t>
  </si>
  <si>
    <t>BUY LEAN — Pullbacks deepen as squeeze fades. Take profits into strength. Don't short until compression confirms</t>
  </si>
  <si>
    <t>Trend Day with built-in Ceiling — Squeeze-to-Compression Transition.</t>
  </si>
  <si>
    <t>Self-limiting trend day. Pullbacks are buying opportunities until compression confirms.</t>
  </si>
  <si>
    <t>Charm sells, small but active. Adds to squeeze fade; pullbacks deepen. BUY LEAN, take profits into strength. Don't short until compression confirms.</t>
  </si>
  <si>
    <t>Charm buys, small but active. Counter-flow against squeeze fade; pullbacks shallower. BUY LEAN, take profits into strength. Entries less attractive than Neg Charm version.</t>
  </si>
  <si>
    <t>Largest Dex above spot → Largest Pos Zomma → Dex drop-off</t>
  </si>
  <si>
    <t>High|Neg|Pos|Pos|Neg|Pos|Pos|Neg</t>
  </si>
  <si>
    <t>High-Vol Short-Put Unwind / Vanna-Compounded Cascade</t>
  </si>
  <si>
    <t>Short Puts dominant + Long-Put Tail</t>
  </si>
  <si>
    <t>Pro-cyclical: Chase breakdowns (dominant) / Chase rallies lightly. Breakdown is vanna-amplified. Cascade exhausts on either gamma exhaustion OR IV crush (vanna flip).</t>
  </si>
  <si>
    <t>SELL LEAN — short bounces. Two exits: (a) Zomma+ / Neg Speed exhaust gamma at the tails; (b) IV crush flips vanna to buying.</t>
  </si>
  <si>
    <t>Trend Day — Short-Duration Cascade (self-limiting via Zomma ). Cascade-to-Compression Transition.</t>
  </si>
  <si>
    <t>Bounces are short entries until gamma exhausts</t>
  </si>
  <si>
    <t>Charm sells, active. Stacks with vanna-compounded cascade; Vomma catches at wing. SELL LEAN, short bounces. Exit on gamma exhaust or IV crush trigger. Bounces shallow.</t>
  </si>
  <si>
    <t>Charm buys, active. Counter-flow; bounces deeper, better short entries. SELL LEAN, don't chase at extension. Cover on IV crush — charm + vanna flip drive recovery.</t>
  </si>
  <si>
    <t>Dex drop-off → Largest Pos Vomma → Largest Pos Zomma</t>
  </si>
  <si>
    <t>Low|Neg|Pos|Pos|Neg|Pos|Pos|Neg</t>
  </si>
  <si>
    <t>Low-Vol Short-Gamma Breakdown / Zomma-Dampened, Vanna-Dormant Selloff</t>
  </si>
  <si>
    <t>Mechanical Forced Selling — moderating as Zomma Pos kicks in. Any IV expansion will activate vanna selling.</t>
  </si>
  <si>
    <t>AVOID BUYS. SELL LEAN —short bounces. Reduce size as bounces deepen. Watch for IV lift: Neg Vex means any IV expansion will activate vanna selling .</t>
  </si>
  <si>
    <t>Trend Day with built in Floor - Cascade-to-Compression Transition.</t>
  </si>
  <si>
    <t>Charm sells, small but active. Pre-loads bearish trigger; no V-recovery mechanism. AVOID BUYS, SELL LEAN short bounces. Reduce size as bounces deepen.</t>
  </si>
  <si>
    <t>Charm buys, small but active. Counter-flow against bearish bias; bounces slightly deeper. AVOID BUYS, SELL LEAN short bounces. Better short entries via deeper bounces.</t>
  </si>
  <si>
    <t>Max pain (or Gamma flip) → Largest Pos Vomma → Largest Pos Zomma</t>
  </si>
  <si>
    <t>High|Neg|Pos|Neg|Neg|Pos|Pos|Neg</t>
  </si>
  <si>
    <t>High-Vol Short-Call Unwind / Vanna-Dampened Squeeze</t>
  </si>
  <si>
    <t>Short Calls dominant + Long Put Tail Hedge</t>
  </si>
  <si>
    <t>Mechanical Forced Buying.</t>
  </si>
  <si>
    <t>AVOID SHORTS. BUY LEAN — buy dips. Flat at IV peak or gamma exhaust. Neg Speed kills the tail. Built in ceiling.</t>
  </si>
  <si>
    <t>Trend Day — Gamma-Driven Squeeze with Vanna Headwind. Squeeze-to-Compression Transition.</t>
  </si>
  <si>
    <t>Pullbacks are long entries until IV peaks or gamma exhausts.</t>
  </si>
  <si>
    <t>Charm buys, active. Fuels the squeeze; Neg Vex dampens, Neg Speed kills tail, Vomma catches wing. AVOID SHORTS, BUY LEAN. Buy dips. Flat at IV peak.</t>
  </si>
  <si>
    <t>Charm sells, active. Stacks with Neg Vex on rallies; gamma covering overrides. AVOID SHORTS, BUY LEAN. Dips deeper, better entries. Flat at IV peak.</t>
  </si>
  <si>
    <t>Largest Neg Vex → Dex drop-off → Largest Pos Zomma</t>
  </si>
  <si>
    <t>Low|Neg|Pos|Neg|Neg|Pos|Pos|Neg</t>
  </si>
  <si>
    <t>Low-Vol Short-Call Unwind / Vanna-Dormant Squeeze</t>
  </si>
  <si>
    <t>BUY LEAN — buy dips early, reduce size as pullbacks deepen.</t>
  </si>
  <si>
    <t>Trend Day — Gamma-Driven Squeeze, Vanna Dormant. Squeeze-to-Compression.</t>
  </si>
  <si>
    <t>Pullbacks are long entries until gamma exhausts.</t>
  </si>
  <si>
    <t>Charm buys, small but active. Pre-loads squeeze fuel; aligned with latent upside. BUY LEAN, buy dips early. Reduce size as pullbacks deepen.</t>
  </si>
  <si>
    <t>Charm sells, small but active. Counter-flow overridden on trigger; dips slightly deeper. BUY LEAN, buy dips early — better entries via deeper dips. Reduce size as pullbacks deepen.</t>
  </si>
  <si>
    <t>Largest Neg Vex → Largest Neg Gamma → Largest Pos Zomma</t>
  </si>
  <si>
    <t>High|Neg|Neg|Neg|Pos|Pos|Pos|Neg</t>
  </si>
  <si>
    <t>High-Vol Vanna-Fueled Melt-Up with no Ceiling</t>
  </si>
  <si>
    <t>Short Calls dominant + Long Put Tail</t>
  </si>
  <si>
    <t>Mechanical gamma covering drives the rip; vanna buying amplifies on IV expansion. No ceiling.</t>
  </si>
  <si>
    <t>AVOID SHORTS. BUY LEAN — buy dips. No built-in ceiling. Flat on first IV roll-over (IV stops rising, starts falling) or use external stops.</t>
  </si>
  <si>
    <t>Trend Day - No structural exhaustion</t>
  </si>
  <si>
    <t>Pullbacks are long entries.</t>
  </si>
  <si>
    <t>Charm buys, active. Fuels vanna-fueled melt-up; no built-in ceiling. AVOID SHORTS, BUY LEAN. Flat on IV roll-over or use external stops.</t>
  </si>
  <si>
    <t>Charm sells, active. Counter-flow overrun by vanna + gamma; ceiling fails until external supply emerges. AVOID SHORTS, BUY LEAN. Dips deeper, better entries. Use external stops.</t>
  </si>
  <si>
    <t>Max pain (or Gamma flip) → Largest Pos Vomma → Largest Pos Vex</t>
  </si>
  <si>
    <t>Low|Neg|Neg|Neg|Pos|Pos|Pos|Neg</t>
  </si>
  <si>
    <t>BUY LEAN- buy the Dip. IV lift = Vanna Squeeze to the upside with no ceiling. Use external stops.</t>
  </si>
  <si>
    <t>Charm buys, small but active. Pre-loads upside bias; IV lift = Vanna Squeeze with no ceiling. BUY LEAN, buy dip. Use external stops on trigger.</t>
  </si>
  <si>
    <t>Charm sells, small but active. Counter-flow overridden on trigger; dips slightly deeper. BUY LEAN, buy dip — better entries via deeper dips. Use external stops.</t>
  </si>
  <si>
    <t>Largest Neg Gamma → Dex drop-off → none beyond</t>
  </si>
  <si>
    <t>High|Neg|Neg|Neg|Neg|Pos|Pos|Pos</t>
  </si>
  <si>
    <t>Crisis-Continuation Short-Gamma Cascade — Downside Acceleration at High Vol</t>
  </si>
  <si>
    <t>Put calendar/diagonal — Short near-dated puts + Long back-dated puts (hedge leg)</t>
  </si>
  <si>
    <t>Pro-cyclical Forced Selling</t>
  </si>
  <si>
    <t>SELL LEAN</t>
  </si>
  <si>
    <t>Trend Day — No Floor</t>
  </si>
  <si>
    <t>Charm buys, swamped. Counter-flow drowned by violent cascade; Vomma catches at wing. SELL LEAN per row. Don't fade — charm too small to provide floor in this regime. Trend Day — No Floor. Cover at Pos Vomma activation.</t>
  </si>
  <si>
    <t>Charm sells, active. Apex-danger. Stacks with cascade; every flow aligned down. SELL LEAN harder. Bounces shallow. Cover at Vomma activation or organic exhaustion.</t>
  </si>
  <si>
    <t>Low|Neg|Neg|Neg|Neg|Pos|Pos|Pos</t>
  </si>
  <si>
    <t>Coiled with risk of downside cascade (primed for violent vol expansion)</t>
  </si>
  <si>
    <t>Put calendar/diagonal — Short near-dated puts + Long back-dated deeper puts.</t>
  </si>
  <si>
    <t>Quiet at flat Low IV (theta harvest on short puts). If triggered: pro-cyclical forced selling — short-put gamma chase intensifies with IV expansion (Zomma Neg accelerant) + long-put tail vanna selling compounds. No built-in brake.</t>
  </si>
  <si>
    <t>Dormant - Coiled with cascasde Risk</t>
  </si>
  <si>
    <t>Pre-trigger: No trade. Post-trigger: Bounces are shorting entries</t>
  </si>
  <si>
    <t>Charm buys, small but active. Thin floor; overrun on cascade trigger. Dormant per row, don't front-run. First IV tick = size short. Buy cheap puts.</t>
  </si>
  <si>
    <t>Charm sells, small but active. Apex-danger latent. Compounds bearish bias; accelerant on trigger. Dormant per row, don't front-run. First IV tick = confident short aggressively.</t>
  </si>
  <si>
    <t>Max pain → Gamma flip → Largest Pos Vomma</t>
  </si>
  <si>
    <t>High|Neg|Neg|Pos|Neg|Pos|Pos|Pos</t>
  </si>
  <si>
    <t>High-Vol Coiled Cascade - Accelerating Breakdown Risk</t>
  </si>
  <si>
    <t>Put diagonal — short near puts + long back puts</t>
  </si>
  <si>
    <t>Pro-cyclical: Chase / SELL Breakdowns (dominant). Delta bleeding lower as spot falls. Zomma Neg amplifies, vanna selling on IV expansion compounds. Positive delta buffer being consumed. No brake. In Low IV dealers are moistly dormant.</t>
  </si>
  <si>
    <t>Charm sells, active. Accelerates Pos Delta buffer consumption; no brake once consumed. SELL LEAN. Trend Day — No Floor. Charm accelerates breakdown timing. Don't fade. Cover at Pos Vomma activation.</t>
  </si>
  <si>
    <t>Charm buys, active. Delays trigger by reinforcing Pos Delta buffer; violent unwind when buffer exhausts. SELL LEAN, timing later than Neg Charm version. Bounces deeper, better short entries.</t>
  </si>
  <si>
    <t>Low|Neg|Neg|Pos|Neg|Pos|Pos|Pos</t>
  </si>
  <si>
    <t>Dormant; Pre-Cascade Setup</t>
  </si>
  <si>
    <t>Minimal directional flow. Quiet at flat Low IV (theta harvest). If triggered: pro-cyclical chase — breakdowns dominant, Zomma Neg amplifies, vanna selling on IV expansion compounds. No brake.</t>
  </si>
  <si>
    <t>Dormant - Coiled Low-Vol. Latent Downside Cascade Risk.</t>
  </si>
  <si>
    <t>Neutral at rest; bearish if IV spikes. Bounces fade if cascade fires.</t>
  </si>
  <si>
    <t>Charm sells, small but active. Pre-loads buffer consumption. Dormant, await SELL. First IV tick = size short.</t>
  </si>
  <si>
    <t>Charm buys, small but active. Reinforces buffer in compressed vol; violent unwind on trigger. Dormant, await SELL. First IV tick = size short, expect violent unwind.</t>
  </si>
  <si>
    <t>SPX KING NODE FINDER v2 — Guide</t>
  </si>
  <si>
    <t>WHAT CHANGED FROM v1</t>
  </si>
  <si>
    <t>• No more 'Vanna Sup / Charm Sup (1=buy)' tags. Your dashboard can't give</t>
  </si>
  <si>
    <t xml:space="preserve">  reliable buy/sell tags, so signed numbers now carry direction instead.</t>
  </si>
  <si>
    <t>• Dealer action is NO LONGER hand-typed. It is auto-derived by matching the</t>
  </si>
  <si>
    <t xml:space="preserve">  8 Greek signs against an embedded copy of your Market Phenoms matrix.</t>
  </si>
  <si>
    <t>• Column 'Vanna' = your dashboard's Vex; column 'Delta' = your dashboard's Dex.</t>
  </si>
  <si>
    <t xml:space="preserve">  Labels kept familiar; the matrix lookups treat them as Vex/Dex internally.</t>
  </si>
  <si>
    <t>WHAT YOU UPDATE EACH SESSION (blue cells)</t>
  </si>
  <si>
    <t>1. Spot (B4), Lambda (F4), Hrs-to-Close (H4).</t>
  </si>
  <si>
    <t>2. VIX / VVIX / VIX1D (row 5). IV High/Low is DERIVED — dashboard flag ignored.</t>
  </si>
  <si>
    <t>3. The 8 book-level Greek SIGNS (row 8): Gamma, Zomma, Delta(Dex), Vex(Vanna),</t>
  </si>
  <si>
    <t xml:space="preserve">   Vega, Vomma, Speed — type Pos or Neg. Plus the Charm sign (H8).</t>
  </si>
  <si>
    <t>4. The per-strike Greek numbers in the data table.</t>
  </si>
  <si>
    <t>THE REGIME READOUT (rows 10-21)</t>
  </si>
  <si>
    <t>Once the 8 signs are set, the sheet looks up and displays the matching:</t>
  </si>
  <si>
    <t>Phenomenon, Dealer position, Dealer Action, Tactical lean, Regime, Tilt,</t>
  </si>
  <si>
    <t>the correct Charm guidance (Neg vs Pos), and the Support/Resistance Greek</t>
  </si>
  <si>
    <t>priority strings. The colored banner summarizes SELL-LEAN / BUY-LEAN.</t>
  </si>
  <si>
    <t>TWO KING NODES (the whole point)</t>
  </si>
  <si>
    <t>Weighted KING (★ red, gold row): your tunable weighted model (weights row 25).</t>
  </si>
  <si>
    <t>Matrix KING (★ blue): ranks strikes by the Greeks the MATCHED REGIME says matter</t>
  </si>
  <si>
    <t xml:space="preserve">  (from the Support/Resistance priority strings), per-side, distance-decayed.</t>
  </si>
  <si>
    <t>Agree? column: BOTH = the two models picked the same strike (high confidence);</t>
  </si>
  <si>
    <t xml:space="preserve">  split = they disagree (let the Daily Log tell you which to trust).</t>
  </si>
  <si>
    <t>S/R Level column: the top-4 support and top-4 resistance strikes are tagged by</t>
  </si>
  <si>
    <t xml:space="preserve">  the MATRIX score (the regime-aware ranking), numbered by proximity to spot.</t>
  </si>
  <si>
    <t>STRUCTURAL LEVEL PROXIES</t>
  </si>
  <si>
    <t>Your dashboard does not export Put wall / Call wall / Max pain / Dex drop-off</t>
  </si>
  <si>
    <t>as strike values, so where the matrix references those, the sheet uses proxies:</t>
  </si>
  <si>
    <t xml:space="preserve">  Put wall ~ largest +Gamma below spot; Call wall ~ largest +Gamma above spot;</t>
  </si>
  <si>
    <t xml:space="preserve">  Gamma flip is auto-detected. These are APPROXIMATIONS, labeled as such.</t>
  </si>
  <si>
    <t>IMPORTANT</t>
  </si>
  <si>
    <t>Starting per-strike values came off your screenshot and may contain errors.</t>
  </si>
  <si>
    <t>Correct them; trust the recalculated Kings, not the pre-filled ones.</t>
  </si>
  <si>
    <t>In a SELL-LEAN regime the King is where dealers absorb, NOT a bounce target.</t>
  </si>
  <si>
    <t>Positioning heuristic, not financial advice.</t>
  </si>
  <si>
    <t>VOL SIGNALS — plain english (observation only, never a direction)</t>
  </si>
  <si>
    <t>▲ CONFIRMED VOL BIDDING — VIX1D (same-day vol) rising and VVIX (vol-of-vol) confirms: real front-end bid building. Respect it if the pin is weak or negative; a strong building pin usually absorbs it.</t>
  </si>
  <si>
    <t>△ VOL BIDDING — VIX1D rising but VVIX not rising: shallow bid, likely noise. Usually eaten by a positive-gamma pin.</t>
  </si>
  <si>
    <t>▽ VOL TOP — VIX1D faded 10%+ off a high that was itself a real bid (10%+ above the prior low): front-end fading. In our 11-day sample vol tops marked spot lows that bounced more often than not — still read the pin.</t>
  </si>
  <si>
    <t>VOL BOTTOM — VIX1D turned up 10%+ off its session low and still bidding: front-end just lifted off a low. Provisional until the low stops falling.</t>
  </si>
  <si>
    <t>⚠ vol-bid tension — Net GEX slope rising while VIX1D rises and VVIX does not: a bid exists but dealer gamma is building against it. Tension, not direction.</t>
  </si>
  <si>
    <t>FLAT — no front-end bid.</t>
  </si>
  <si>
    <t>Direction never comes from these flags: the 11-day test showed vol bottoms preceded spot DOWN 10/11 and vol tops spot UP 9/11 — structure (pin strength + regime) decides the day.</t>
  </si>
  <si>
    <t>TECHNICAL ANALYSIS — AMT OVERLAY (BUILD-READY SPEC)</t>
  </si>
  <si>
    <t>All decisions locked. Documents the ES-native AMT + TA overlay. live_king_node.py not yet modified — this is the spec for the build.</t>
  </si>
  <si>
    <t>CORE DESIGN</t>
  </si>
  <si>
    <t>LIVE TA REFERENCE (ES)</t>
  </si>
  <si>
    <t>•  Purpose: surface the Technical Analysis levels that line up with the Greek-derived levels — as a read-only annotation.</t>
  </si>
  <si>
    <t>Live ES (last)</t>
  </si>
  <si>
    <t>live</t>
  </si>
  <si>
    <t>•  A new TECHNICAL ANALYSIS column sits NEXT TO the existing backers. It does not replace or alter them.</t>
  </si>
  <si>
    <t>Daily VWAP</t>
  </si>
  <si>
    <t>developing</t>
  </si>
  <si>
    <t>•  It does NOT change how the NEXT REACTION table works, and does NOT feed the confluence count or draw new lines.</t>
  </si>
  <si>
    <t>Weekly VWAP</t>
  </si>
  <si>
    <t>•  A TA level is shown ONLY when it falls inside a BOXED level (the +/-5pt zone). The box is the alignment gate — no new tolerance knob.</t>
  </si>
  <si>
    <t>Overnight High</t>
  </si>
  <si>
    <t>•  When TA levels land in a box, the cell STACKS them all, highest-priority first, each shown in ES — the values you would trade in that zone.</t>
  </si>
  <si>
    <t>Overnight Low</t>
  </si>
  <si>
    <t>•  All TA levels are computed off ES futures. Reasons in SOURCE DECISION below.</t>
  </si>
  <si>
    <t>IB High</t>
  </si>
  <si>
    <t>IB Low</t>
  </si>
  <si>
    <t>POINTS OF INTEREST</t>
  </si>
  <si>
    <t>IB Mid</t>
  </si>
  <si>
    <t>T/A Level</t>
  </si>
  <si>
    <t>Meaning</t>
  </si>
  <si>
    <t>Dev / Settled</t>
  </si>
  <si>
    <t>Priority</t>
  </si>
  <si>
    <t>In T/A column?</t>
  </si>
  <si>
    <t>Notes</t>
  </si>
  <si>
    <t>Fib up -0.27</t>
  </si>
  <si>
    <t>POC (intraday)</t>
  </si>
  <si>
    <t>Point of Control — price with most traded volume today. Strongest single AMT level.</t>
  </si>
  <si>
    <t>Line</t>
  </si>
  <si>
    <t>Developing</t>
  </si>
  <si>
    <t>1</t>
  </si>
  <si>
    <t>Yes</t>
  </si>
  <si>
    <t>Moves all session; tag provisional.</t>
  </si>
  <si>
    <t>Fib up -0.618</t>
  </si>
  <si>
    <t>Prior-day POC</t>
  </si>
  <si>
    <t>Yesterday's settled Point of Control.</t>
  </si>
  <si>
    <t>Settled</t>
  </si>
  <si>
    <t>Fixed; doesn't move intraday.</t>
  </si>
  <si>
    <t>Fib up -1.0</t>
  </si>
  <si>
    <t>VAH / VAL</t>
  </si>
  <si>
    <t>Value Area High / Low — edges of the ~70% volume range.</t>
  </si>
  <si>
    <t>2</t>
  </si>
  <si>
    <t>The intraday value band.</t>
  </si>
  <si>
    <t>Fib dn 1.27</t>
  </si>
  <si>
    <t>Prior-day VAH / VAL</t>
  </si>
  <si>
    <t>Yesterday's settled value-area edges.</t>
  </si>
  <si>
    <t>Strong settled references.</t>
  </si>
  <si>
    <t>Fib dn 1.618</t>
  </si>
  <si>
    <t>Volume-weighted avg price. Intraday fair value / mean-reversion magnet.</t>
  </si>
  <si>
    <t>3</t>
  </si>
  <si>
    <t>Anchored 18:00 ET Globex open.</t>
  </si>
  <si>
    <t>Fib dn 2.0</t>
  </si>
  <si>
    <t>VWAP across the trading week. Bigger-picture fair value.</t>
  </si>
  <si>
    <t>Anchored Sun 18:00 ET Globex open.</t>
  </si>
  <si>
    <t>POC (dev)</t>
  </si>
  <si>
    <t>High of the overnight (Globex) session before the RTH open.</t>
  </si>
  <si>
    <t>Settled @open</t>
  </si>
  <si>
    <t>Fixed once RTH opens.</t>
  </si>
  <si>
    <t>VAH (dev)</t>
  </si>
  <si>
    <t>Low of the overnight (Globex) session before the RTH open.</t>
  </si>
  <si>
    <t>VAL (dev)</t>
  </si>
  <si>
    <t>IB High / Low</t>
  </si>
  <si>
    <t>High &amp; low of the first 60 min after RTH open (09:30-10:30 ET).</t>
  </si>
  <si>
    <t>Locked +60m</t>
  </si>
  <si>
    <t>Undefined until 10:30 ET, then fixed.</t>
  </si>
  <si>
    <t>Prior POC</t>
  </si>
  <si>
    <t>—</t>
  </si>
  <si>
    <t>Midpoint of the IB range.</t>
  </si>
  <si>
    <t>Common rotation pivot.</t>
  </si>
  <si>
    <t>Prior VAH</t>
  </si>
  <si>
    <t>IB Fib ext — UP</t>
  </si>
  <si>
    <t>Above IB high: -0.27, -0.618, -1 extensions.</t>
  </si>
  <si>
    <t>Bounce zones on the up leg.</t>
  </si>
  <si>
    <t>Prior VAL</t>
  </si>
  <si>
    <t>IB Fib ext — DOWN</t>
  </si>
  <si>
    <t>Below IB low: 1.27, 1.618, 2 extensions.</t>
  </si>
  <si>
    <t>Bounce zones on the down leg.</t>
  </si>
  <si>
    <t>Balance flag</t>
  </si>
  <si>
    <t>Stage 3</t>
  </si>
  <si>
    <t>HVN</t>
  </si>
  <si>
    <t>High Volume Node — acceptance; price consolidates/chops.</t>
  </si>
  <si>
    <t>Zone</t>
  </si>
  <si>
    <t>4</t>
  </si>
  <si>
    <t>Zone, not an exact line.</t>
  </si>
  <si>
    <t>LVN</t>
  </si>
  <si>
    <t>Low Volume Node — rejection / fast-travel.</t>
  </si>
  <si>
    <t>Backs reachability of a level.</t>
  </si>
  <si>
    <t>Balance / Imbalance</t>
  </si>
  <si>
    <t>Whole-session regime: rotational vs directional auction.</t>
  </si>
  <si>
    <t>n/a</t>
  </si>
  <si>
    <t>Status cell</t>
  </si>
  <si>
    <t>Included as a separate status cell.</t>
  </si>
  <si>
    <t>ALIGNMENT &amp; OUTPUT RULES</t>
  </si>
  <si>
    <t>Alignment gate</t>
  </si>
  <si>
    <t>A TA level "lines up" only if it falls inside a boxed level's edges (the +/-5pt box). Outside the box -&gt; blank for that row.</t>
  </si>
  <si>
    <t>Reference vs confluence</t>
  </si>
  <si>
    <t>You can always SEE every computed level in a reference panel (like your TradingView draw). The T/A column only flags the ones that coincide with a box.</t>
  </si>
  <si>
    <t>Output value</t>
  </si>
  <si>
    <t>Each flagged level shows in ES, rounded to the 0.25 tick. Box says the zone is hot; the TA gives the precise entry inside it.</t>
  </si>
  <si>
    <t>Stacking &amp; priority</t>
  </si>
  <si>
    <t>When several TA land in one box, STACK them all, ordered: POC &gt; IB Fib / IB hi-lo &gt; VAH/VAL &gt; VWAP &gt; overnight &gt; prior-day. Highest sits on top.</t>
  </si>
  <si>
    <t>Developing vs Settled</t>
  </si>
  <si>
    <t>Each value carries a tag. Developing = moving. Settled/Locked = fixed. IB &amp; its fibs do not exist until +60m, then lock for the day.</t>
  </si>
  <si>
    <t>Stays read-only</t>
  </si>
  <si>
    <t>Does NOT feed confluence count, draw new lines, touch NEXT REACTION, or change wall logic. Confirmation only — never a standalone entry.</t>
  </si>
  <si>
    <t>INITIAL BALANCE &amp; FIB EXTENSIONS  (ES)</t>
  </si>
  <si>
    <t>•  IB window: first 60 minutes after RTH open (09:30-10:30 ET).</t>
  </si>
  <si>
    <t>•  IB High = highest ES print in the window;  IB Low = lowest;  IB Mid = (High + Low) / 2;  Range R = IB High - IB Low.</t>
  </si>
  <si>
    <t>•  UP extensions (above IB high), labelled -0.27 / -0.618 / -1:   IB High + {0.27, 0.618, 1.0} x R.</t>
  </si>
  <si>
    <t>•  DOWN extensions (below IB low), labelled 1.27 / 1.618 / 2:    IB Low - {0.27, 0.618, 1.0} x R.</t>
  </si>
  <si>
    <t>•  Availability: undefined until 10:30 ET, then LOCKED for the rest of the session. Computed off ES only.</t>
  </si>
  <si>
    <t>WORKED EXAMPLE — Fib math shown with earlier 30-min IB values; the formula is identical for the 60-min window (only the IB hi/lo inputs change).</t>
  </si>
  <si>
    <t>ES value (formula)</t>
  </si>
  <si>
    <t>Your chart showed</t>
  </si>
  <si>
    <t>IB High (input)</t>
  </si>
  <si>
    <t>rth.IB.hi 7581.75</t>
  </si>
  <si>
    <t>IB Low (input)</t>
  </si>
  <si>
    <t>rth.IB.lo 7535.5</t>
  </si>
  <si>
    <t>IB Range (R)</t>
  </si>
  <si>
    <t>46.25</t>
  </si>
  <si>
    <t>rth.IB.mid 7558.75</t>
  </si>
  <si>
    <t>-0.27 (up)</t>
  </si>
  <si>
    <t>7594.00</t>
  </si>
  <si>
    <t>-0.618 (up)</t>
  </si>
  <si>
    <t>7610.00</t>
  </si>
  <si>
    <t>-1 (up)</t>
  </si>
  <si>
    <t>7627.50</t>
  </si>
  <si>
    <t>1.27 (down)</t>
  </si>
  <si>
    <t>7523.00</t>
  </si>
  <si>
    <t>1.618 (down)</t>
  </si>
  <si>
    <t>7507.00</t>
  </si>
  <si>
    <t>2 (down)</t>
  </si>
  <si>
    <t>7489.50</t>
  </si>
  <si>
    <t>Reproduces the chart to within a tick; tiny upside differences are display-rounding of the IB hi/lo. Live version MROUNDs each to 0.25.</t>
  </si>
  <si>
    <t>SOURCE DECISION — everything off ES</t>
  </si>
  <si>
    <t>•  SPX is an index with no traded volume, so VWAP, the volume profile (POC/VA), and HVN/LVN must be built on ES.</t>
  </si>
  <si>
    <t>•  Overnight high/low only exist on the futures (SPX cash does not trade overnight) -&gt; ES.</t>
  </si>
  <si>
    <t>•  IB and its Fib extensions are explicitly ES, as you trade them.</t>
  </si>
  <si>
    <t>•  IBKR has no POC / VWAP / IB endpoint. The volume profile is built from a tick-by-tick AllLast feed on ES, binned by price; levels convert back to the SPX axis via the existing basis.</t>
  </si>
  <si>
    <t>CONFIRMED BUILD SPEC</t>
  </si>
  <si>
    <t>1.  IB duration: 60 minutes (09:30-10:30 ET).</t>
  </si>
  <si>
    <t>2.  Display: stack every TA that lands inside a box, highest-priority first.</t>
  </si>
  <si>
    <t>3.  HVN / LVN: included.</t>
  </si>
  <si>
    <t>4.  Balance / Imbalance: included as a separate status cell.</t>
  </si>
  <si>
    <t>5.  Daily VWAP anchor: 18:00 ET Globex open.</t>
  </si>
  <si>
    <t>6.  Weekly VWAP anchor: Sunday 18:00 ET Globex open.</t>
  </si>
  <si>
    <t>7.  VAP build: tick-by-tick (reqTickByTickData, AllLast) on ES.</t>
  </si>
  <si>
    <t>LEVEL TEST LOG  —  is the engine ranking levels correctly?</t>
  </si>
  <si>
    <t>Log every level price actually TESTED. Goal: find levels that HELD but ranked low (esp. light-gamma / high-backer) — that's the evidence to retune.</t>
  </si>
  <si>
    <t>CURRENT STATE (live — changes each refresh)</t>
  </si>
  <si>
    <t>TUNING SIGNAL</t>
  </si>
  <si>
    <t>Spot:</t>
  </si>
  <si>
    <t>IV:</t>
  </si>
  <si>
    <t>Levels logged:</t>
  </si>
  <si>
    <t>Held:</t>
  </si>
  <si>
    <t>Strike+box</t>
  </si>
  <si>
    <t>Vol</t>
  </si>
  <si>
    <t>Failed:</t>
  </si>
  <si>
    <t>R1</t>
  </si>
  <si>
    <t>HELD but ranked too low:</t>
  </si>
  <si>
    <t>R2</t>
  </si>
  <si>
    <t>FAILED but ranked top:</t>
  </si>
  <si>
    <t>R3</t>
  </si>
  <si>
    <t>S1</t>
  </si>
  <si>
    <t>↑ if these climb, raise confluence boost (E6)</t>
  </si>
  <si>
    <t>S2</t>
  </si>
  <si>
    <t>S3</t>
  </si>
  <si>
    <t>LOG  (one row per level price tested)</t>
  </si>
  <si>
    <t>Date</t>
  </si>
  <si>
    <t>Lean</t>
  </si>
  <si>
    <t>Outcome</t>
  </si>
  <si>
    <t>Held</t>
  </si>
  <si>
    <t>LEVEL ENGINE  (gamma · vanna · delta · zomma + confluence)</t>
  </si>
  <si>
    <t>resShelf</t>
  </si>
  <si>
    <t>supShelf</t>
  </si>
  <si>
    <t>badge sources</t>
  </si>
  <si>
    <t>SHELF DEBUG</t>
  </si>
  <si>
    <t>resLocked (hysteresis)</t>
  </si>
  <si>
    <t>supLocked (hysteresis)</t>
  </si>
  <si>
    <t>Auto-ranked support/resistance from the 4 Greeks. Validated 22 May. Watch alongside your own read until the log proves it.</t>
  </si>
  <si>
    <t>maxGamma</t>
  </si>
  <si>
    <t>spot (B4 on this sheet)</t>
  </si>
  <si>
    <t>maxAbsVex</t>
  </si>
  <si>
    <t>maxGEX</t>
  </si>
  <si>
    <t>--- SUPPORT side ---</t>
  </si>
  <si>
    <t>Flip:</t>
  </si>
  <si>
    <t>IV level:</t>
  </si>
  <si>
    <t>IV override:</t>
  </si>
  <si>
    <t>Threshold:</t>
  </si>
  <si>
    <t>maxAbsSpeed</t>
  </si>
  <si>
    <t>minGEX</t>
  </si>
  <si>
    <t>edge / firstS (CN7)</t>
  </si>
  <si>
    <t>IV direction (auto):</t>
  </si>
  <si>
    <t>override:</t>
  </si>
  <si>
    <t>Zomma strengthen x:</t>
  </si>
  <si>
    <t>weaken x:</t>
  </si>
  <si>
    <t>(High+falling=1.0)</t>
  </si>
  <si>
    <t>Speed active:</t>
  </si>
  <si>
    <t>maxAbsGEX</t>
  </si>
  <si>
    <t>grav1</t>
  </si>
  <si>
    <t>GEX at firstS</t>
  </si>
  <si>
    <t>Reversal boost:</t>
  </si>
  <si>
    <t>Confl boost  High | Low IV:</t>
  </si>
  <si>
    <t>Vomma fragile x:</t>
  </si>
  <si>
    <t>maxAbsZom</t>
  </si>
  <si>
    <t>grav2</t>
  </si>
  <si>
    <t>sign at firstS (CN8)</t>
  </si>
  <si>
    <t>— RESISTANCE (above spot, strongest first) —</t>
  </si>
  <si>
    <t>Near window (pts)</t>
  </si>
  <si>
    <t>grav3</t>
  </si>
  <si>
    <t>run length</t>
  </si>
  <si>
    <t>Reversal?</t>
  </si>
  <si>
    <t>medDexR</t>
  </si>
  <si>
    <t>strike</t>
  </si>
  <si>
    <t>GEX</t>
  </si>
  <si>
    <t>|gamma|</t>
  </si>
  <si>
    <t>dex</t>
  </si>
  <si>
    <t>zomma</t>
  </si>
  <si>
    <t>side</t>
  </si>
  <si>
    <t>gammaRank</t>
  </si>
  <si>
    <t>vexAct</t>
  </si>
  <si>
    <t>dexDrop</t>
  </si>
  <si>
    <t>dexExc</t>
  </si>
  <si>
    <t>zomMark</t>
  </si>
  <si>
    <t>confl</t>
  </si>
  <si>
    <t>revFlag</t>
  </si>
  <si>
    <t>iDex</t>
  </si>
  <si>
    <t>GEXmir</t>
  </si>
  <si>
    <t>Gsh</t>
  </si>
  <si>
    <t>Zsh</t>
  </si>
  <si>
    <t>Flip retest (R/S/blank)</t>
  </si>
  <si>
    <t>Spi</t>
  </si>
  <si>
    <t>absorbed (pos gamma: a Dex↓ strike is never absorbed, 2026-10-01)</t>
  </si>
  <si>
    <t>Vegamir</t>
  </si>
  <si>
    <t>vegaRank</t>
  </si>
  <si>
    <t>vexRank</t>
  </si>
  <si>
    <t>Vgf</t>
  </si>
  <si>
    <t>gravity</t>
  </si>
  <si>
    <t>gravAbove</t>
  </si>
  <si>
    <t>gravBelow</t>
  </si>
  <si>
    <t>|vex|</t>
  </si>
  <si>
    <t>|dex|</t>
  </si>
  <si>
    <t>ZGflag</t>
  </si>
  <si>
    <t>rankScore</t>
  </si>
  <si>
    <t>nextQual</t>
  </si>
  <si>
    <t>zGtrend</t>
  </si>
  <si>
    <t>zGtag</t>
  </si>
  <si>
    <t>ZomState</t>
  </si>
  <si>
    <t>accAccel</t>
  </si>
  <si>
    <t>qDist</t>
  </si>
  <si>
    <t>inRunR</t>
  </si>
  <si>
    <t>inRunS</t>
  </si>
  <si>
    <t>grav4</t>
  </si>
  <si>
    <t>max |GEX| in run</t>
  </si>
  <si>
    <t>resQual(R)</t>
  </si>
  <si>
    <t>supQual(S)</t>
  </si>
  <si>
    <t>NVwall</t>
  </si>
  <si>
    <t>NVrank</t>
  </si>
  <si>
    <t>dEdge</t>
  </si>
  <si>
    <t>gShelfR</t>
  </si>
  <si>
    <t>gShelfS</t>
  </si>
  <si>
    <t>γSh</t>
  </si>
  <si>
    <t>runUp</t>
  </si>
  <si>
    <t>runDn</t>
  </si>
  <si>
    <t>gShLo</t>
  </si>
  <si>
    <t>gShHi</t>
  </si>
  <si>
    <t>dexFrac</t>
  </si>
  <si>
    <t>dexSlope</t>
  </si>
  <si>
    <t>dexPeak</t>
  </si>
  <si>
    <t>brkRiskS</t>
  </si>
  <si>
    <t>killWhy</t>
  </si>
  <si>
    <t>oEdge</t>
  </si>
  <si>
    <t>nVanna</t>
  </si>
  <si>
    <t>rejReason</t>
  </si>
  <si>
    <t>resCand</t>
  </si>
  <si>
    <t>supCand</t>
  </si>
  <si>
    <t>boxAnchor</t>
  </si>
  <si>
    <t>medDexS</t>
  </si>
  <si>
    <t>R/S flip threshold (pts)</t>
  </si>
  <si>
    <t>mass floor (BG22)</t>
  </si>
  <si>
    <t>zomThr</t>
  </si>
  <si>
    <t>Gamma floor for NEXT — POS gamma</t>
  </si>
  <si>
    <t>edge floor (BG23)</t>
  </si>
  <si>
    <t>maxGam</t>
  </si>
  <si>
    <t>Min confluences for NEXT — POS gamma</t>
  </si>
  <si>
    <t>edge distance</t>
  </si>
  <si>
    <t>warn hold cycles</t>
  </si>
  <si>
    <t>medVomma</t>
  </si>
  <si>
    <t>Gamma floor for NEXT — NEG gamma</t>
  </si>
  <si>
    <t>dist cap (BG24)</t>
  </si>
  <si>
    <t>Speed%pos</t>
  </si>
  <si>
    <t>Min confluences for NEXT — NEG gamma</t>
  </si>
  <si>
    <t>VALID (CN2)</t>
  </si>
  <si>
    <t>resWarnActive</t>
  </si>
  <si>
    <t>Speed%neg</t>
  </si>
  <si>
    <t>Neg wt: flip proximity</t>
  </si>
  <si>
    <t>--- RESISTANCE side ---</t>
  </si>
  <si>
    <t>&lt;-- SPOT</t>
  </si>
  <si>
    <t>Speed active?</t>
  </si>
  <si>
    <t>Neg wt: |VEX|</t>
  </si>
  <si>
    <t>edge / firstR (CM7)</t>
  </si>
  <si>
    <t>warn threshold (pts)</t>
  </si>
  <si>
    <t>— SUPPORT (below spot, strongest first) —</t>
  </si>
  <si>
    <t>Neg wt: |DEX|</t>
  </si>
  <si>
    <t>sign at firstR (CM8)</t>
  </si>
  <si>
    <t>Neg wt: |gamma|</t>
  </si>
  <si>
    <t>Neg flip-proximity range (pts)</t>
  </si>
  <si>
    <t>(auto) active gamma floor — don’t edit</t>
  </si>
  <si>
    <t>VALID (CM2)</t>
  </si>
  <si>
    <t>nearCharm</t>
  </si>
  <si>
    <t>(auto) active min confluences — don’t edit</t>
  </si>
  <si>
    <t>|nearCharm|</t>
  </si>
  <si>
    <t>Zomma γ-trend tilt (±frac)</t>
  </si>
  <si>
    <t>posGammaReg?</t>
  </si>
  <si>
    <t>(auto) Shelf mass floor — by regime (edit BG30/BG31)</t>
  </si>
  <si>
    <t>(auto) Shelf edge floor — by regime (edit BG32/BG33)</t>
  </si>
  <si>
    <t>Shelf max edge distance (pts) — how far a shelf can sit from spot</t>
  </si>
  <si>
    <t>Backers key:  δDex = boxed by a sharp Δ/Dex drop-off to the adjacent strike (dex cliff), not standalone dex backing.</t>
  </si>
  <si>
    <t>Delta middle half-width (pts)</t>
  </si>
  <si>
    <t>rollReclaimObs</t>
  </si>
  <si>
    <t>Delta sparse floor (|DEX|)</t>
  </si>
  <si>
    <t>(auto) dominant |DEX|</t>
  </si>
  <si>
    <t>(auto) dominant DEX strike</t>
  </si>
  <si>
    <t>(auto) GEX-peak midpoint</t>
  </si>
  <si>
    <t>Shelf mass floor (peak GEX) — POS gamma</t>
  </si>
  <si>
    <t>Shelf mass floor (peak GEX) — NEG gamma</t>
  </si>
  <si>
    <t>Shelf edge floor (GEX/strike) — POS gamma</t>
  </si>
  <si>
    <t>Shelf edge floor (GEX/strike) — NEG gamma</t>
  </si>
  <si>
    <t>Shelf/wall min strikes in run</t>
  </si>
  <si>
    <t>Shelf/wall drop-off frac (run ends if |GEX| falls &gt; this vs inner strike)</t>
  </si>
  <si>
    <t>(auto) revFlag rank cap — by regime (edit BG37/BG38)</t>
  </si>
  <si>
    <t>revFlag rank cap (top-N gamma) — POS gamma</t>
  </si>
  <si>
    <t>revFlag rank cap (top-N gamma) — NEG gamma</t>
  </si>
  <si>
    <t>Vomma absolute floor (|vomma|) — kills near-expiry noise in fragile/accel</t>
  </si>
  <si>
    <t>Shelf min |gamma| per strike — POS gex (shelf members only)</t>
  </si>
  <si>
    <t>Gsh |gamma| floor</t>
  </si>
  <si>
    <t>dEdge collapse frac</t>
  </si>
  <si>
    <t>dEdge inner |dex| floor</t>
  </si>
  <si>
    <t>dEdge gate: mean-revert[chop|+gamma](1)/always(0)</t>
  </si>
  <si>
    <t>dEdge min dist from dex peak (pts)</t>
  </si>
  <si>
    <t>DEX-in-middle tolerance (pts from GEX midpoint)</t>
  </si>
  <si>
    <t>VIX</t>
  </si>
  <si>
    <t>VVIX</t>
  </si>
  <si>
    <t>VIX1D</t>
  </si>
  <si>
    <t>My Regime (IV)</t>
  </si>
  <si>
    <t>Key (auto)</t>
  </si>
  <si>
    <t>IV (auto)</t>
  </si>
  <si>
    <t>Positive</t>
  </si>
  <si>
    <t>Up</t>
  </si>
  <si>
    <t>Stable Regime.</t>
  </si>
  <si>
    <t>Long bias. Buy dips to VWAP/prior support. AVOID fading of strength. Expect slow follow through.</t>
  </si>
  <si>
    <t>Slow grind up; shallow pullbacks bought</t>
  </si>
  <si>
    <t>Baseline grind. Today's wiggle is noise inside a calm tape.</t>
  </si>
  <si>
    <t>Low IV</t>
  </si>
  <si>
    <t>No directional conviction. But check GAMMA pull, flip and Max..</t>
  </si>
  <si>
    <t>Sideways / Pin</t>
  </si>
  <si>
    <t>Pure equilibrium. Dealer gamma pins price; intraday mean reversion works.</t>
  </si>
  <si>
    <t>Down</t>
  </si>
  <si>
    <t>Deep Calm</t>
  </si>
  <si>
    <t>Long bias but small size — range is tiny. Buy any dip, take profits quickly. AVOID holding for big moves.</t>
  </si>
  <si>
    <t>Slow quiet drift up, minimal two-way action, low volume</t>
  </si>
  <si>
    <t>Theta-burn day. Premium sellers love it; daytraders should size down or pass.</t>
  </si>
  <si>
    <t>Hidden Tail Bid</t>
  </si>
  <si>
    <t>REDUCE SIZE. Don't chase strength. Buy dips smaller than usual, take profits faster. Watch for late-day break of pin.</t>
  </si>
  <si>
    <t>Quiet morning, then expanding ranges; afternoon breakdown risk</t>
  </si>
  <si>
    <t>RARE: VVIX rising = pin can crack. Daytrader's warning to tighten stops.</t>
  </si>
  <si>
    <t>High IV</t>
  </si>
  <si>
    <t>Stealth Hedging</t>
  </si>
  <si>
    <t>Neutral to slight long. Smaller size. - storm brewing.</t>
  </si>
  <si>
    <t>Choppy tape with brewing storm</t>
  </si>
  <si>
    <t>VVIX bid means realized vol &gt; implied. Don't get lulled by flat VIX.</t>
  </si>
  <si>
    <t>Latent Risk Build</t>
  </si>
  <si>
    <t>Defensive bias, fade rips into resistance, AVOID adding longs.</t>
  </si>
  <si>
    <t>Calm surface, rising undercurrent</t>
  </si>
  <si>
    <t>Don't carry size into close.</t>
  </si>
  <si>
    <t>Event Pop, Tail Crush</t>
  </si>
  <si>
    <t>FADE morning vol spike. Long bias once spike resolves (~10-11am ET).</t>
  </si>
  <si>
    <t>Spike at open then mean revert hard; afternoon grind back</t>
  </si>
  <si>
    <t>Classic news-pop fade setup. Tail being unwound = bullish resolution.</t>
  </si>
  <si>
    <t>Quiet Unwind</t>
  </si>
  <si>
    <t>Long bias. Buy dips with confidence. — moves extend.</t>
  </si>
  <si>
    <t>Steady drift up, end-of-day strength</t>
  </si>
  <si>
    <t>Carry runners through afternoon.</t>
  </si>
  <si>
    <t>Full Vol Crush</t>
  </si>
  <si>
    <t>Aggressive long bias. Buy first dip, hold longer than usual. AVOID fading strength.</t>
  </si>
  <si>
    <t>Strong grind up, minimal pullbacks, late-day melt-up common</t>
  </si>
  <si>
    <t>Don't scalp out early.</t>
  </si>
  <si>
    <t>Localized Stress</t>
  </si>
  <si>
    <t>Reduce size. Don't fade morning weakness immediately — wait for stabilization. Buy second dip, not first.</t>
  </si>
  <si>
    <t>Gap down or weak open, midday basing, partial recovery</t>
  </si>
  <si>
    <t>Contained stress. Often a buyable dip but not a knife-catch.</t>
  </si>
  <si>
    <t>Slow Vol Rise</t>
  </si>
  <si>
    <t>Trim size. Tighter stops on longs. AVOID adding into strength. Two-way trading.</t>
  </si>
  <si>
    <t>Sloppy tape, false breakouts both ways, no clean trend</t>
  </si>
  <si>
    <t>Drift higher in vol with no panic. Whippy — cut losers fast.</t>
  </si>
  <si>
    <t>Term Structure Tension</t>
  </si>
  <si>
    <t>Neutral. Trade levels not direction. AVOID conviction trades.</t>
  </si>
  <si>
    <t>Calm intraday but heavy underneath; closes weak</t>
  </si>
  <si>
    <t>UNUSUAL: today benign, forward repricing. Daytrade levels only.</t>
  </si>
  <si>
    <t>Regime Shift Beginning</t>
  </si>
  <si>
    <t>SHORT BIAS or flat. Fade rips, don't buy dips reflexively. Wider ranges — bigger stops, smaller size.</t>
  </si>
  <si>
    <t>Gap-and-go down, weak rallies sold, expanding ranges, trend day potential</t>
  </si>
  <si>
    <t>Positive gamma may be FLIPPING. Treat dip-buy logic as broken until VVIX eases.</t>
  </si>
  <si>
    <t>Building Concern</t>
  </si>
  <si>
    <t>Defensive. Short rips into resistance. Long only on flush-and-recover. Reduce size.</t>
  </si>
  <si>
    <t>Lower with widening intraday ranges; rallies sold</t>
  </si>
  <si>
    <t>VVIX confirming = trust the down move. Don't fight it intraday.</t>
  </si>
  <si>
    <t>Forward Event Pricing</t>
  </si>
  <si>
    <t>Neutral intraday. Don't size up. AVOID complacency on calm tape — repricing happens fast.</t>
  </si>
  <si>
    <t>Today quiet but sells off into close as hedges go on</t>
  </si>
  <si>
    <t>RARE: today calm, end-of-day weakness as positioning shifts.</t>
  </si>
  <si>
    <t>Spot Spike, Tail Calm</t>
  </si>
  <si>
    <t>FADE the VIX spike intraday. Buy morning weakness, sell into recovery. Classic mean-reversion day.</t>
  </si>
  <si>
    <t>Sharp open move, full reversal by midday, recovery into close</t>
  </si>
  <si>
    <t>Best fade setup. VVIX falling = headline noise, not regime.</t>
  </si>
  <si>
    <t>Fear Without Conviction</t>
  </si>
  <si>
    <t>Long bias on weakness. Buy first real dip.</t>
  </si>
  <si>
    <t>Weak open, recovery, close near highs of day</t>
  </si>
  <si>
    <t>Dislocation</t>
  </si>
  <si>
    <t>Strong long bias. Aggressively fade weakness. Buy any flush.</t>
  </si>
  <si>
    <t>Fakeout down, sharp V-recovery, strong close</t>
  </si>
  <si>
    <t>RARE/CONTRADICTORY: VIX print likely stale. Mean revert hard.</t>
  </si>
  <si>
    <t>Today Noisy, Trend Calming</t>
  </si>
  <si>
    <t>Long bias. Fade intraday weakness, especially morning. Hold winners into afternoon.</t>
  </si>
  <si>
    <t>Choppy AM, clean trend up PM</t>
  </si>
  <si>
    <t>Vol Bleed</t>
  </si>
  <si>
    <t>Long bias. Standard dip-buy. Hold runners.</t>
  </si>
  <si>
    <t>Quiet drift up, VWAP-respecting, late-day strength</t>
  </si>
  <si>
    <t>Healthy compression. Reliable daytrade setup for longs.</t>
  </si>
  <si>
    <t>Cooling Off</t>
  </si>
  <si>
    <t>Long bias but smaller — range is shrinking. Quick scalps, take profits early.</t>
  </si>
  <si>
    <t>Steady grind up with very tight ranges</t>
  </si>
  <si>
    <t>Spot Calms, Tail Worries</t>
  </si>
  <si>
    <t>Cautious long. Smaller size. Fade extremes but expect bigger ranges than VIX suggests.</t>
  </si>
  <si>
    <t>Calm-looking tape with surprise candles; ranges expand intraday</t>
  </si>
  <si>
    <t>RARE: VVIX up under falling VIX = next-event hedging. Stay nimble.</t>
  </si>
  <si>
    <t>Suspicious Calm</t>
  </si>
  <si>
    <t>Trim longs into strength. Don't chase. Neutral to slight short bias on rips.</t>
  </si>
  <si>
    <t>Topping behavior, failed breakouts to upside, late-day fade</t>
  </si>
  <si>
    <t>WARNING: classic late-cycle tell. Daytraders should fade strength, not buy it.</t>
  </si>
  <si>
    <t>Forward-Hedged Calm</t>
  </si>
  <si>
    <t>Neutral. Don't chase strength. Trade range, not trend.</t>
  </si>
  <si>
    <t>Range-bound with topping bias; rejection at highs</t>
  </si>
  <si>
    <t>Surface calm masking event hedging. VVIX is the signal — respect it.</t>
  </si>
  <si>
    <t>Vol Crush, Local Wiggle</t>
  </si>
  <si>
    <t>Long bias. Fade today's noise — likely a one-day event. Buy dips aggressively after morning settles.</t>
  </si>
  <si>
    <t>Volatile open, full recovery, strong close</t>
  </si>
  <si>
    <t>Macro vol unwinding while today has a small event. Buyable.</t>
  </si>
  <si>
    <t>Clean Vol Compression</t>
  </si>
  <si>
    <t>Long bias. Buy dips, hold runners.</t>
  </si>
  <si>
    <t>Steady grind up, low two-way volume</t>
  </si>
  <si>
    <t>Healthy vol unwind. Classic risk-on regime continuation.</t>
  </si>
  <si>
    <t>Maximum Risk-On</t>
  </si>
  <si>
    <t>Aggressive long bias. Buy first dip, hold all day. AVOID profit-taking too early.</t>
  </si>
  <si>
    <t>Strong melt-up, minimal pullbacks, every dip bought, late-day acceleration</t>
  </si>
  <si>
    <t>All vol compressing across tenors. Mirror image of full-fear regime.</t>
  </si>
  <si>
    <t>Negative</t>
  </si>
  <si>
    <t>Coiled Spring</t>
  </si>
  <si>
    <t>Reduce size. AVOID range-trade fades — breakouts succeed under neg gamma. Wait for direction, then chase.</t>
  </si>
  <si>
    <t>Tight range that breaks violently; one-way move once it goes</t>
  </si>
  <si>
    <t>Negative gamma + flat vol = compression before expansion. Don't fight the eventual break.</t>
  </si>
  <si>
    <t>Pull from + 5 min after open</t>
  </si>
  <si>
    <t>False Calm</t>
  </si>
  <si>
    <t>Neutral, small size. AVOID standard range-trade — fades get run over. Wait for break, follow it.</t>
  </si>
  <si>
    <t>Looks quiet but breakouts hold; no mean-reversion to VWAP</t>
  </si>
  <si>
    <t>Most dangerous regime for dip-buyers. Surface looks like positive gamma; mechanics aren't.</t>
  </si>
  <si>
    <t>Stealth Coiling</t>
  </si>
  <si>
    <t>Small size. AVOID adding into either direction until break confirmed. Wait and watch.</t>
  </si>
  <si>
    <t>Very tight range, low volume, sudden directional pop</t>
  </si>
  <si>
    <t>Dangerous — looks dead, then moves hard. Lean toward whatever direction breaks first.</t>
  </si>
  <si>
    <t>Building Pressure</t>
  </si>
  <si>
    <t>SHORT BIAS on rallies. Don't buy dips. Wider stops, smaller size. Follow trend once established.</t>
  </si>
  <si>
    <t>Failed bounces, expanding ranges, late-day acceleration down</t>
  </si>
  <si>
    <t>VVIX rising under neg gamma = fuel for downside trend day. Fade rallies, not flushes.</t>
  </si>
  <si>
    <t>Quiet Accumulating Risk</t>
  </si>
  <si>
    <t>Defensive. Reduce size. AVOID counter-trend trades. Wait for direction.</t>
  </si>
  <si>
    <t>Sloppy with one-way bias emerging; fades fail</t>
  </si>
  <si>
    <t>VVIX bid is the warning. Today's calm is deceptive.</t>
  </si>
  <si>
    <t>Tomorrow's Risk Today</t>
  </si>
  <si>
    <t>Neutral today, defensive into close. AVOID overnight long exposure.</t>
  </si>
  <si>
    <t>Calm intraday but closes weak; gap-down risk</t>
  </si>
  <si>
    <t>RARE: today contained, hedging next session under neg gamma. Get flat by close.</t>
  </si>
  <si>
    <t>Exhaustion Pop</t>
  </si>
  <si>
    <t>FADE-the-fade — i.e. buy weakness if VVIX confirms unwind. Long bias on resolution.</t>
  </si>
  <si>
    <t>One-day flush that recovers; tail unwinds</t>
  </si>
  <si>
    <t>VVIX falling under neg gamma = hedges coming off. Often marks intraday low.</t>
  </si>
  <si>
    <t>Vol Bleed in Neg Gamma</t>
  </si>
  <si>
    <t>Long bias but cautious — neg gamma still amplifies. Buy strength, not weakness.</t>
  </si>
  <si>
    <t>Drift-up tape but ranges still wider than positive gamma equivalent</t>
  </si>
  <si>
    <t>Transition regime — neg gamma may be flipping back to positive soon.</t>
  </si>
  <si>
    <t>Capitulation Aftermath</t>
  </si>
  <si>
    <t>Long bias. Buy strength, hold runners. AVOID fading rallies.</t>
  </si>
  <si>
    <t>Strong recovery after recent flush; momentum upward</t>
  </si>
  <si>
    <t>Classic post-flush regime. Vol crushing as fear unwinds. Trend-follow longs.</t>
  </si>
  <si>
    <t>Active Stress</t>
  </si>
  <si>
    <t>SHORT BIAS. Sell rallies, don't fade flushes. Wider stops, smaller size.</t>
  </si>
  <si>
    <t>Trend-day potential to downside; rallies fail at lower highs</t>
  </si>
  <si>
    <t>Standard neg gamma sell-off in progress. Trade with the trend.</t>
  </si>
  <si>
    <t>Slow Bleed</t>
  </si>
  <si>
    <t>Short bias on rallies. Reduce size. AVOID dip-buying.</t>
  </si>
  <si>
    <t>Lower highs, lower lows, no clean trend but persistent down drift</t>
  </si>
  <si>
    <t>Grinding selloff. Patience pays — don't catch knives.</t>
  </si>
  <si>
    <t>Selling Without Today's Catalyst</t>
  </si>
  <si>
    <t>Neutral to short. Wait for confirmation. AVOID conviction trades.</t>
  </si>
  <si>
    <t>Sloppy chop with downside skew; no obvious catalyst</t>
  </si>
  <si>
    <t>UNUSUAL: vol up over time, today calm. Forward repricing under neg gamma.</t>
  </si>
  <si>
    <t>Full Panic Mode</t>
  </si>
  <si>
    <t>STRONG SHORT BIAS or flat. Sell rallies aggressively. AVOID dip-buying entirely. Use wider stops.</t>
  </si>
  <si>
    <t>Trend day down with capitulation potential; expanding ranges all day</t>
  </si>
  <si>
    <t>Worst-case for longs. All vol expanding under neg gamma = unhedged dealers selling.</t>
  </si>
  <si>
    <t>Sustained Selling</t>
  </si>
  <si>
    <t>Short bias. Sell rallies. Long only on clear capitulation + reversal.</t>
  </si>
  <si>
    <t>Lower with widening ranges; rallies sold hard</t>
  </si>
  <si>
    <t>VVIX confirming = not over yet. Don't try to call the bottom.</t>
  </si>
  <si>
    <t>Forward Crash Pricing</t>
  </si>
  <si>
    <t>Short rallies. Defensive into close. AVOID overnight longs.</t>
  </si>
  <si>
    <t>Today calm-ish but closes very weak; overnight gap-down risk</t>
  </si>
  <si>
    <t>RARE: positioning for next-day shock. Get flat by close.</t>
  </si>
  <si>
    <t>Flush Climax</t>
  </si>
  <si>
    <t>BUY weakness — fade the panic. Long bias once VVIX confirms unwind.</t>
  </si>
  <si>
    <t>Sharp flush in AM, V-recovery, strong close</t>
  </si>
  <si>
    <t>Best long setup in neg gamma. VVIX falling = forced selling exhausting.</t>
  </si>
  <si>
    <t>Bottoming Process</t>
  </si>
  <si>
    <t>Long bias on weakness. Buy first dip after VVIX-down confirmed. Tighter stops than usual.</t>
  </si>
  <si>
    <t>Volatile but constructive; lower wicks bought</t>
  </si>
  <si>
    <t>Transition out of stress. Smart money done hedging.</t>
  </si>
  <si>
    <t>Capitulation Already Done</t>
  </si>
  <si>
    <t>Strong long bias. Aggressively buy dips. AVOID shorting.</t>
  </si>
  <si>
    <t>Sharp recovery, strong close, momentum building</t>
  </si>
  <si>
    <t>RARE/CONTRADICTORY: VIX up but everything else unwinding. Likely lagging VIX print.</t>
  </si>
  <si>
    <t>Recovering But Wobbly</t>
  </si>
  <si>
    <t>Cautious long. Buy dips but smaller. Take profits faster than positive gamma.</t>
  </si>
  <si>
    <t>Choppy recovery; not yet a clean trend up</t>
  </si>
  <si>
    <t>VIX falling but neg gamma still active. Range-aware longs only.</t>
  </si>
  <si>
    <t>Stress Receding</t>
  </si>
  <si>
    <t>Long bias. Buy dips. Tighter stops than positive gamma equivalent.</t>
  </si>
  <si>
    <t>Constructive drift up, occasional larger candles still</t>
  </si>
  <si>
    <t>Healing tape. Approaching gamma flip — could go positive soon.</t>
  </si>
  <si>
    <t>Vol Compression in Neg Gamma</t>
  </si>
  <si>
    <t>Steady recovery, ranges shrinking</t>
  </si>
  <si>
    <t>Late-stage healing. Watch for gamma flip and regime change.</t>
  </si>
  <si>
    <t>Relief Rally with Doubt</t>
  </si>
  <si>
    <t>Cautious long. Smaller size. AVOID chasing strength.</t>
  </si>
  <si>
    <t>Up day but with surprise downside candles; not clean</t>
  </si>
  <si>
    <t>RARE: VIX down but VVIX up = market not trusting the bounce. Take profits.</t>
  </si>
  <si>
    <t>Bear Trap or Top</t>
  </si>
  <si>
    <t>Neutral to short bias on rips. Trim into strength. AVOID adding longs.</t>
  </si>
  <si>
    <t>Failed rallies, rejection at resistance, late-day weakness</t>
  </si>
  <si>
    <t>WARNING: under neg gamma, this often precedes another leg down.</t>
  </si>
  <si>
    <t>Surface Calm with Hidden Risk</t>
  </si>
  <si>
    <t>Neutral. Hold hedges. Don't chase strength.</t>
  </si>
  <si>
    <t>Quiet tape but VVIX bid; range-bound with topping bias</t>
  </si>
  <si>
    <t>Late-stage warning. Smart money still hedging.</t>
  </si>
  <si>
    <t>Recovery Day with Local Wiggle</t>
  </si>
  <si>
    <t>Long bias. Fade today's noise — VVIX unwind is the tell. Buy dips after AM settles.</t>
  </si>
  <si>
    <t>Stress unwinding but neg gamma still active — use tighter stops than positive gamma.</t>
  </si>
  <si>
    <t>Healing Rally</t>
  </si>
  <si>
    <t>Steady up tape, two-way volume diminishing</t>
  </si>
  <si>
    <t>Approaching transition to positive gamma. Trade longer timeframes.</t>
  </si>
  <si>
    <t>Full Recovery Mode</t>
  </si>
  <si>
    <t>Aggressive long bias. Buy dips, hold all day. AVOID profit-taking too early.</t>
  </si>
  <si>
    <t>Strong recovery, expanding upside, late-day acceleration</t>
  </si>
  <si>
    <t>Best-case neg gamma regime for longs. All vol unwinding = relief rally.</t>
  </si>
  <si>
    <t>ES SMA200 (5m)</t>
  </si>
  <si>
    <t>ES SMA400 (5m)</t>
  </si>
  <si>
    <t>ATM IV dir (engine):</t>
  </si>
  <si>
    <t>NEG-γ DEBUG  —  why UNSAFE·neg-γ ?</t>
  </si>
  <si>
    <t>net gamma sign (A8)</t>
  </si>
  <si>
    <t>R1 level (AL42)</t>
  </si>
  <si>
    <t>S1 level (AL49)</t>
  </si>
  <si>
    <t>GEX @ R1</t>
  </si>
  <si>
    <t>GEX @ S1</t>
  </si>
  <si>
    <t>P66 |GEX|  (OLD broken construct — ref only)</t>
  </si>
  <si>
    <t>R1 |GEX| pct-rank (SUMPRODUCT, array-safe)</t>
  </si>
  <si>
    <t>S1 |GEX| pct-rank (SUMPRODUCT, array-safe)</t>
  </si>
  <si>
    <t>gate3 R1  GEX&gt;0 AND |GEX|&gt;=P66</t>
  </si>
  <si>
    <t>gate3 S1  GEX&gt;0 AND |GEX|&gt;=P66</t>
  </si>
  <si>
    <t>P66 |zomma| (OLD broken construct — ref only)</t>
  </si>
  <si>
    <t>zomma @ S1</t>
  </si>
  <si>
    <t>firm state @ S1 (CG)</t>
  </si>
  <si>
    <t>Neg-γ SHOWN @ R1</t>
  </si>
  <si>
    <t>Neg-γ SHOWN @ S1</t>
  </si>
  <si>
    <t>LEVEL EXCLUSION DEBUG  —  why is a level not listed?</t>
  </si>
  <si>
    <t>strike to inspect  (blank = max-gamma node)</t>
  </si>
  <si>
    <t>→ inspecting</t>
  </si>
  <si>
    <t>spot</t>
  </si>
  <si>
    <t>side  AG</t>
  </si>
  <si>
    <t>GEX  (AB)</t>
  </si>
  <si>
    <t>|gamma|  (AC)</t>
  </si>
  <si>
    <t>confl  (AM)   [floor = BG20]</t>
  </si>
  <si>
    <t>revFlag?  (AN)</t>
  </si>
  <si>
    <t>zomma state  (CG)</t>
  </si>
  <si>
    <t>strength score  (AR)</t>
  </si>
  <si>
    <t>EXCLUDED by BK ?  (1 = yes)</t>
  </si>
  <si>
    <t xml:space="preserve">  BK neighbour strike</t>
  </si>
  <si>
    <t xml:space="preserve">  neighbour revFlag?  (AN)</t>
  </si>
  <si>
    <t xml:space="preserve">  neighbour strength  (AR)</t>
  </si>
  <si>
    <t xml:space="preserve">  -&gt; BK fires if nbr AN=1 AND nbr AR &gt; this AR</t>
  </si>
  <si>
    <t>rank tag  (BB)</t>
  </si>
  <si>
    <t>in LOCKED R list (W9:W14)?</t>
  </si>
  <si>
    <t>in LOCKED S list (W18:W23)?</t>
  </si>
  <si>
    <t>valid-R gate  (CU)</t>
  </si>
  <si>
    <t>valid-S gate  (CV)</t>
  </si>
  <si>
    <t>reaction rank R  (BT)</t>
  </si>
  <si>
    <t>reaction rank S  (DN)</t>
  </si>
  <si>
    <t>VERDICT</t>
  </si>
  <si>
    <t>mgDist</t>
  </si>
  <si>
    <t>mgMaxPosR</t>
  </si>
  <si>
    <t>mgMaxPosS</t>
  </si>
  <si>
    <t>resExempt</t>
  </si>
  <si>
    <t>supExempt</t>
  </si>
  <si>
    <t>⟂ = min VEX (strike with most negative vanna)</t>
  </si>
  <si>
    <t>LIVE GAMMA REGIME</t>
  </si>
  <si>
    <t>net GEX @ spot</t>
  </si>
  <si>
    <t>regime</t>
  </si>
  <si>
    <t>prio</t>
  </si>
  <si>
    <t>TA-&gt;SPX</t>
  </si>
  <si>
    <t>display</t>
  </si>
  <si>
    <t>key</t>
  </si>
  <si>
    <t>ord</t>
  </si>
  <si>
    <t>r1</t>
  </si>
  <si>
    <t>r2</t>
  </si>
  <si>
    <t>r3</t>
  </si>
  <si>
    <t>s1</t>
  </si>
  <si>
    <t>s2</t>
  </si>
  <si>
    <t>s3</t>
  </si>
  <si>
    <t>Box tol (pts)</t>
  </si>
  <si>
    <t>stack -&gt;</t>
  </si>
  <si>
    <t>T/A PRIORITY TABLE   1 = highest, 0 = exclude, unknown label defaults to 5</t>
  </si>
  <si>
    <t>panel label</t>
  </si>
  <si>
    <t>Vol Tension</t>
  </si>
  <si>
    <t>rev+stable R (from S4-9 mirror, nearest-first)</t>
  </si>
  <si>
    <t>rev+stable/VOMMA-BID S (from S-mirror, nearest-first)</t>
  </si>
  <si>
    <t>flip (D26)</t>
  </si>
  <si>
    <t>shelf firstFail</t>
  </si>
  <si>
    <t>shelf top</t>
  </si>
  <si>
    <t>shelf width</t>
  </si>
  <si>
    <t>shelf strength</t>
  </si>
  <si>
    <t>gateQual</t>
  </si>
  <si>
    <t>gateToDest (latch)</t>
  </si>
  <si>
    <t>supGate(S)</t>
  </si>
  <si>
    <t>supSlot(S)</t>
  </si>
  <si>
    <t>boxSetQual</t>
  </si>
  <si>
    <t>ftouch</t>
  </si>
  <si>
    <t>brkSupp</t>
  </si>
  <si>
    <t>gateRaw</t>
  </si>
  <si>
    <t>shelfInner</t>
  </si>
  <si>
    <t>enProx</t>
  </si>
  <si>
    <t>resRank</t>
  </si>
  <si>
    <t>nGexBox</t>
  </si>
  <si>
    <t>inBox</t>
  </si>
  <si>
    <t>zomDisp</t>
  </si>
  <si>
    <t>zomWin</t>
  </si>
  <si>
    <t>zomThr8win (display)</t>
  </si>
  <si>
    <t>GEX SLOPE TAPE  (the line directly under GEX SLOPE)</t>
  </si>
  <si>
    <t>one bar per 5 minutes, oldest left, newest right — last 2 hours shown</t>
  </si>
  <si>
    <t>bar height ▁▃▅▇█ = size of the slope, tiered against the WHOLE session</t>
  </si>
  <si>
    <t>█=x.xM in the label = what the tallest bar is worth today (M per 15 min)</t>
  </si>
  <si>
    <t>green = slope positive  ·  purple = slope negative</t>
  </si>
  <si>
    <t>dark = the move is growing  ·  light = it is fading  ·  peach = flat</t>
  </si>
  <si>
    <t>│ = half hour   ╎ = feed gap, slope window restarted (next bar reads small)</t>
  </si>
  <si>
    <t>◄ = newest bucket, still filling — not a settled reading</t>
  </si>
  <si>
    <t>GEX SLOPE TAPE — the line under GEX SLOPE</t>
  </si>
  <si>
    <t>One bar per 5-minute bucket, oldest left, newest right. The bucket carries the</t>
  </si>
  <si>
    <t>LAST slope reading inside its window — its close, not its average.</t>
  </si>
  <si>
    <t>Bar height is tiered against EVERY bucket of the session, but only the last 24</t>
  </si>
  <si>
    <t>are drawn. Tiering session-wide keeps the meaning of a tall bar stable all day;</t>
  </si>
  <si>
    <t>a rolling basis would rescale a quiet afternoon back up to look like the</t>
  </si>
  <si>
    <t>morning. Drawing only 24 keeps the line readable. The label █=x.xM publishes</t>
  </si>
  <si>
    <t>today's top-tier edge in M per 15 min, and rises as bigger buckets arrive.</t>
  </si>
  <si>
    <t>Hue is the SIGN of the slope: green positive, purple negative.</t>
  </si>
  <si>
    <t>Shade is the DIRECTION of the move: dark = growing, light = fading.</t>
  </si>
  <si>
    <t>Peach = flat (change under 10% vs the previous bucket). Flat has its own</t>
  </si>
  <si>
    <t>colour rather than inheriting the last one, so a stalled slope stays visible.</t>
  </si>
  <si>
    <t>╎ marks a feed gap — a recentre or reconnect restarted the slope window, so</t>
  </si>
  <si>
    <t>the first bar after it is mechanically small and is NOT a collapse in slope.</t>
  </si>
  <si>
    <t>◄ is the newest bucket. It is still filling and will change; not settled.</t>
  </si>
  <si>
    <t>SPOT UP / VOL UP — rally with front-end vol bid, not a calm advance (since 14:36)   ·   vol rose with every push earlier today, from 16:36 — not true now</t>
  </si>
  <si>
    <t>SQUEEZE CONDITIONS 5/5 — pos gamma, spot above node, thin overhead, DEX one-way, front-end vol expanding from cheap (since 16:23)  ·  OBSERVATION ONLY, untested</t>
  </si>
  <si>
    <t>IV TRACKER</t>
  </si>
  <si>
    <t>Direction</t>
  </si>
  <si>
    <t>ATM IV</t>
  </si>
  <si>
    <t>settled @open</t>
  </si>
  <si>
    <t>IV MATRIX</t>
  </si>
  <si>
    <t>Reading</t>
  </si>
  <si>
    <t>Tracker</t>
  </si>
  <si>
    <t>Volatility Compression Grind / Compression Melt Up Drift - Generally more Compression than Melt up. Can form F pattern.</t>
  </si>
  <si>
    <t>γ</t>
  </si>
  <si>
    <t>NOTE</t>
  </si>
  <si>
    <t>SELL LEAN. SELL the breakdown. Trend-follow aggressively but watch for IV peak — the tail hedge activates V-recovery earlier than pure Waterfall. Don't ride to exhaustion.</t>
  </si>
  <si>
    <t>Vol split</t>
  </si>
  <si>
    <t>Dealer long gamma / Positive delta exposure</t>
  </si>
  <si>
    <t>Buy weakness / Sell strength</t>
  </si>
  <si>
    <t>Compression with drift dependent on call/put positioning</t>
  </si>
  <si>
    <t>Dealers</t>
  </si>
  <si>
    <t>Play the drift &amp;  mean reversion Max Gamma</t>
  </si>
  <si>
    <r>
      <t>Charm sells.</t>
    </r>
    <r>
      <rPr>
        <sz val="11"/>
        <color theme="1"/>
        <rFont val="Calibri"/>
        <family val="2"/>
        <charset val="1"/>
      </rPr>
      <t xml:space="preserve"> Erodes the floor through the session and strengthens into the close. Mean-reversion works early and fails late — don't buy late breakdowns expecting the dip-buying to hold.</t>
    </r>
  </si>
  <si>
    <t>Charm buys. Adds a steady bid that builds toward the close, reinforcing the long-gamma book. Pullbacks get absorbed faster as the session runs on.</t>
  </si>
  <si>
    <t>Charm sells. Erodes the floor through the session and strengthens into the close. Mean-reversion works early and fails late — don't buy late breakdowns expecting the dip-buying to hold.</t>
  </si>
  <si>
    <t>Charm buys. Builds through the session, so the pin stops capping and starts pulling. Dips get shallower as the close approaches.</t>
  </si>
  <si>
    <t>BUY LEAN. Buy Dips max-gamma magnet above. (You almost always get a deep tradeable pullback). Watch positioning Drift.</t>
  </si>
  <si>
    <t>Compression with call /put positioning drift</t>
  </si>
  <si>
    <t>High-IV Dealer Absorption Grind / Coiled Spring
High-IV Dealer Absorption Grind / Coiled Spring. Moves are increasingly absorbed → compression develops → expansion risk rises if the absorption breaks</t>
  </si>
  <si>
    <t>Buy the dip. Sell the rally . (Waiting for the breakout. Expansion risk rises if the absorption breaks).</t>
  </si>
  <si>
    <t>AVOID the Short. BUY the Dips . Coiled bullish spring — upside break most likely, short trades have no edge.</t>
  </si>
  <si>
    <t>Open vol response (engine):</t>
  </si>
  <si>
    <t>vSharp</t>
  </si>
  <si>
    <t>Grade</t>
  </si>
  <si>
    <t>% of pos GEX</t>
  </si>
  <si>
    <t>Conditions met</t>
  </si>
  <si>
    <t>Vol tension</t>
  </si>
  <si>
    <t>DEX at strike</t>
  </si>
  <si>
    <t>Max gamma strike</t>
  </si>
  <si>
    <t>Max GEX strike</t>
  </si>
  <si>
    <t>Min GEX strike</t>
  </si>
  <si>
    <t>21/08/2026</t>
  </si>
  <si>
    <t>~15:40</t>
  </si>
  <si>
    <t>Neg gamma</t>
  </si>
  <si>
    <t>Long</t>
  </si>
  <si>
    <t>A+</t>
  </si>
  <si>
    <t>6.2%</t>
  </si>
  <si>
    <t>Entered 15:40 with spot 7663.42; low 7660.71 at 15:42, then rallied to 7696.54 by 16:54 (+33 from entry)</t>
  </si>
  <si>
    <t>Positive GEX; Low IV band (Coiled Spring); lone positive-gamma strike below spot; support slot with exemption; shelf beneath; confluence 6</t>
  </si>
  <si>
    <t>Only positive-gamma strike below spot against -13.3M net negative GEX. Small in absolute size (6.2% of all positive gamma) - a lone strike, not a wall. COUNTER-SIGNAL: positive DEX at the strike below spot, historically a break tell (~67%). Graded A+ retrospectively - carries selection bias until live-logged setups accumulate.</t>
  </si>
  <si>
    <t>(not recoverable from archive - fill from live read)</t>
  </si>
  <si>
    <t>STEEP PUT SKEW - put skew 1.85, RR -2.7vp. Against the long.</t>
  </si>
  <si>
    <t>FLAT - no front-end bid. VIX1D/VIX 0.50, well under 0.75. ATM IV falling (Down). Supported the long.</t>
  </si>
  <si>
    <t>+218,716 at 15:40. Positive, and the only positive-DEX strike below spot.</t>
  </si>
  <si>
    <t>7700  (4,383,380)</t>
  </si>
  <si>
    <t>7700  (+881,813)</t>
  </si>
  <si>
    <t>7640  (-3,457,894)</t>
  </si>
  <si>
    <t>~16:54</t>
  </si>
  <si>
    <t>Neg gamma at entry</t>
  </si>
  <si>
    <t>Short</t>
  </si>
  <si>
    <t>31.7%</t>
  </si>
  <si>
    <t>Spot stalled at 7696.54, 3.5 points short of the line; faded to ~7676 by 17:15</t>
  </si>
  <si>
    <t>Largest positive gamma wall on the board (approx 4x next largest at entry planning); peak delta strike; top-tier zomma; R2 with resistance slot; confluence 5</t>
  </si>
  <si>
    <t>Figures shown are the 16:54 approach snapshot, by which point the surface had flipped to net positive gamma (+4.05M) and 7700 held 31.7% of all positive gamma. At the 15:42 planning snapshot 7700 was +787,577 GEX in a -14.2M net-negative tape - the dominant wall. Never touched; graded on the approach and rejection.</t>
  </si>
  <si>
    <t>Skew flattening - put skew 1.89, RR -1.31vp, call skew turned positive (+0.58) on the approach.</t>
  </si>
  <si>
    <t>FLAT - no front-end bid. VIX1D/VIX 0.53. ATM IV flat, down to 11.6% from 13.2%.</t>
  </si>
  <si>
    <t>-3,676,683 at 15:42 (largest negative DEX on the board); flipped to +241,447 by the 16:54 approach.</t>
  </si>
  <si>
    <t>7700  (16,911,751)</t>
  </si>
  <si>
    <t>7700  (+3,402,171)</t>
  </si>
  <si>
    <t>7685  (-1,820,645)</t>
  </si>
  <si>
    <t>Node taken (my read)</t>
  </si>
  <si>
    <t>Node type at entry (archive)</t>
  </si>
  <si>
    <t/>
  </si>
  <si>
    <t>Box - box low and box high both 7660 (single-strike box). Not a chop edge; no chop band set. Zomma wall rank 15, tier 3. Reversal flag set. Shelf beneath.</t>
  </si>
  <si>
    <t>Gamma wall / pin. Pin state active. Zomma wall rank 1, tier 1. No chop band, no box. Shelf beneath.</t>
  </si>
  <si>
    <t>24/08/2026</t>
  </si>
  <si>
    <t>~14:40</t>
  </si>
  <si>
    <t>n/a - negative GEX strike</t>
  </si>
  <si>
    <t>Low 7640.08 at 14:47, then back to 7655.69 by 15:20</t>
  </si>
  <si>
    <t>S2 with support slot and gate passed; shelf beneath; zomma marked; confluence 6; AR 2.74; 10 pts below spot at entry</t>
  </si>
  <si>
    <t>GEX -1,253,153 - this is a NEGATIVE gamma strike, not a positive floor. It was also one strike above the min-GEX strike (7630) and the max-gamma strike (7630), i.e. buying directly on top of the deepest negative node on the board. Held on the day, but the archive shows an accelerant profile rather than a floor. The single 14:40:40 snapshot showed the chop band at 7655-7670 only because the wall band had not yet printed; it opened one cycle later. Point-in-time reads of the chop columns can lag the ladder glyph by a cycle or two.</t>
  </si>
  <si>
    <t>(fill from live read)</t>
  </si>
  <si>
    <t>Put skew 1.53, call skew -0.92, RR -2.45vp - mild downside demand, not supportive of the long.</t>
  </si>
  <si>
    <t>FLAT - no front-end bid. VIX1D/VIX 0.44. ATM IV 13.96% and falling.</t>
  </si>
  <si>
    <t>-405,388 - negative, in line with the board.</t>
  </si>
  <si>
    <t>7630  (2,626,051)</t>
  </si>
  <si>
    <t>7710  (+599,834)</t>
  </si>
  <si>
    <t>7630  (-2,363,869)</t>
  </si>
  <si>
    <t>Chop edge</t>
  </si>
  <si>
    <t>CHOP EDGE - confirmed. From 14:41:55 the chop wall band opened at 7640-7650, putting 7640 on its lower edge, and it remained an edge for the whole hold. At 14:45, as price reached 7640.08, the chop band moved to 7645-7650 with the wall band at 7630-7640, so 7640 was the edge on both. Also box low (box 7640/7645). Reversal flag set. Zomma wall rank 3, tier 1. Shelf beneath.</t>
  </si>
  <si>
    <t>~17:15</t>
  </si>
  <si>
    <t>High 7669.91 at 17:19 - never traded through; faded to 7657.43 by 18:05</t>
  </si>
  <si>
    <t>R2 with shelf and zomma mark; confluence 7 (highest of the three); AR 2.95; built into the level on the approach - gamma 1.85M to 2.82M and confluence 3 to 7 between 16:30 and 17:15</t>
  </si>
  <si>
    <t>The build into this level is proximity-driven on frozen OI (see 24/08 analysis), so treat the build itself as descriptive rather than predictive. Note also this level did NOT appear on the 14:56 board - it ranked R5 with confluence 3 at the open.</t>
  </si>
  <si>
    <t>Put skew 2.22, RR -1.16vp, call skew positive (+1.07) - upside demand present, mildly against the short.</t>
  </si>
  <si>
    <t>FLAT - no front-end bid. VIX1D/VIX 0.48. ATM IV 10.79%, flat.</t>
  </si>
  <si>
    <t>-494,969 - negative, in line with the board.</t>
  </si>
  <si>
    <t>7675  (3,308,055)</t>
  </si>
  <si>
    <t>7710  (+801,827)</t>
  </si>
  <si>
    <t>7630  (-1,248,860)</t>
  </si>
  <si>
    <t>CHOP EDGE (upper) - chop band 7665-7670, 7670 is the high edge. Chop wall band 7640-7660 beneath. Zomma wall rank 3, tier 1. Shelf beneath.</t>
  </si>
  <si>
    <t>~18:45</t>
  </si>
  <si>
    <t>Entry was the session low for the segment; ran to 7665.83 by 19:30, closed 7661.02 (+12)</t>
  </si>
  <si>
    <t>Max gamma strike on the board (5,333,421); largest zomma on the board (20.4M); shelf beneath; zomma marked; S4; AR 2.05; spot sitting 1 pt above the level</t>
  </si>
  <si>
    <t>Lowest confluence of the three (4) yet the largest move. GEX -2,200,478 - again a negative node, not a positive floor. Net charm had turned positive (+1.4M) by this point in the session, unlike the 14:40 entry.</t>
  </si>
  <si>
    <t>STEEPEST SKEW OF THE DAY - put skew 3.60, RR -2.34vp, call skew +1.25. Strong downside demand at the point of buying.</t>
  </si>
  <si>
    <t>FLAT - no front-end bid. VIX1D/VIX 0.53. ATM IV 10.99% and falling.</t>
  </si>
  <si>
    <t>-504,123 - negative, in line with the board.</t>
  </si>
  <si>
    <t>7650  (5,333,421)  - the level itself</t>
  </si>
  <si>
    <t>7710  (+275,927)</t>
  </si>
  <si>
    <t>7630  (-2,730,976)</t>
  </si>
  <si>
    <t>CHOP WALL HIGH - chop wall band 7640-7650, 7650 is the upper wall. Chop band 7655-7660 above. Zomma wall rank 2, tier 1. Shelf beneath.</t>
  </si>
  <si>
    <t>25/08/2026</t>
  </si>
  <si>
    <t>~15:50</t>
  </si>
  <si>
    <t>Pos gamma</t>
  </si>
  <si>
    <t>Low 7659.89 shortly after entry; ran to 7674.33 by 17:00 (+14)</t>
  </si>
  <si>
    <t>S2 with support slot held; shelf beneath; box at 7660; upper edge of chop wall band 7650-7660; confluence 4; AR 1.27</t>
  </si>
  <si>
    <t>GEX -246,489 - a NEGATIVE gamma strike. Max gamma, max GEX and max zomma were ALL at 7665, five points above. In positive gamma the node is a magnet, so this was long into the node from below rather than a floor holding. Giggles took 7665 rather than 7660.</t>
  </si>
  <si>
    <t>Put skew 1.85, call skew 0.38, RR -1.47vp - mild downside demand.</t>
  </si>
  <si>
    <t>FLAT - no front-end bid. ATM IV 11.53%, flat. Net charm -1,186,193 (deeply negative through the whole recovery).</t>
  </si>
  <si>
    <t>-64,861 - negative, in line with the board.</t>
  </si>
  <si>
    <t>7665  (4,840,123)</t>
  </si>
  <si>
    <t>7665  (+2,132,844)</t>
  </si>
  <si>
    <t>7650  (-990,842)</t>
  </si>
  <si>
    <t>CHOP WALL HIGH - chop wall band 7650-7660, 7660 is the upper edge. Box 7660/7660 (single strike). Zomma wall rank 11, tier 3. Shelf beneath. ADJACENT - node was 7665, one strike above.</t>
  </si>
  <si>
    <t>~17:35</t>
  </si>
  <si>
    <t>2.3%</t>
  </si>
  <si>
    <t>High 7677.22 - capped within 2.2 pts; faded to 7664.69 by 19:00</t>
  </si>
  <si>
    <t>R1; upper edge of chop wall band 7665-7675; box high (box 7650-7675); shelf; confluence 5; AR 1.46; chop band 7680-7690 directly above</t>
  </si>
  <si>
    <t>GEX +390,568, only 2.3% of positive gamma on the board - a small level by size. Max GEX was 7690 at +3.83M and max gamma 7665, so 7675 was neither. It held on structure (wall edge + box high), not on size.</t>
  </si>
  <si>
    <t>Long Gamma Compression - Reinforced - Stronger / more persistent compression - Positioning Drift</t>
  </si>
  <si>
    <t>Put skew 1.91, call skew 1.71, RR -0.20vp - near neutral.</t>
  </si>
  <si>
    <t>FLAT - no front-end bid. ATM IV 9.28% and falling. Net charm -212,363.</t>
  </si>
  <si>
    <t>+111,058 - positive, modest.</t>
  </si>
  <si>
    <t>7665  (5,559,112)</t>
  </si>
  <si>
    <t>7690  (+3,829,791)</t>
  </si>
  <si>
    <t>7650  (-483,926)</t>
  </si>
  <si>
    <t>CHOP WALL HIGH - chop wall band 7665-7675, 7675 is the upper edge. Also box high (box 7650-7675). Chop band 7680-7690 above. Zomma wall rank 12, tier 3. Shelf beneath. ADJACENT - node was 7665.</t>
  </si>
  <si>
    <t>~19:50</t>
  </si>
  <si>
    <t>3.5%</t>
  </si>
  <si>
    <t>High 7676.18 after entry; closed 7670.95</t>
  </si>
  <si>
    <t>R2; same box high and same chop wall edge as the 17:35 entry, but 7675 had BECOME the max gamma strike by now; shelf; confluence 4; AR 1.60</t>
  </si>
  <si>
    <t>Structurally the strongest of the three - short the dominant node at its own box high. Note the backdrop had changed from the 17:35 entry despite the identical level and read: put skew jumped to 4.39, call skew to 5.36, and the risk reversal turned POSITIVE (+0.97) for the first time.</t>
  </si>
  <si>
    <t>Two-Way Long-Gamma Vol Compression - can develop a downward drift with bearish call/put positioning</t>
  </si>
  <si>
    <t>Put skew 4.39, call skew 5.36, RR +0.97vp - steepest of the day and the only positive RR.</t>
  </si>
  <si>
    <t>FLAT - no front-end bid. ATM IV 10.22% and RISING (Up) - the only entry today with IV rising. Net charm -117,104.</t>
  </si>
  <si>
    <t>+169,087 - positive.</t>
  </si>
  <si>
    <t>7675  (6,036,741)  - the level itself</t>
  </si>
  <si>
    <t>7690  (+3,652,831)</t>
  </si>
  <si>
    <t>7650  (-269,682)</t>
  </si>
  <si>
    <t>ON THE NODE - 7675 was the max gamma strike. Chop wall band 7665-7675, upper edge. Box high (box 7650-7675). Chop band 7680-7690 above. Zomma wall rank 9, tier 3. Shelf beneath.</t>
  </si>
  <si>
    <t>~14:59</t>
  </si>
  <si>
    <t>not graded</t>
  </si>
  <si>
    <t>FAILED - cut</t>
  </si>
  <si>
    <t>Bought falling into 7675 from 7685. Went straight through: 7670 by 15:08, 7667 by 15:23, flushed to 7651 at 15:30. Cut on the way down.</t>
  </si>
  <si>
    <t>S3 rank. HELD A SUPPORT SLOT from 14:33 to 14:56 while price was still above it - it was in the reaction table and would have shown green on the ladder on the approach. Lost the slot at 14:58, the moment spot dropped through. Shelf beneath; confluence rose 3 to 5 across the approach; AR 2.42.</t>
  </si>
  <si>
    <t>WHY IT FAILED: thin level between two much heavier ones. GEX +228,600 vs 7665 immediately below at +1,726,506 (7.5x larger, holding S1) and 7690 above at +3,169,014. In positive gamma price is pulled to the heavy node, and it was. Also the LOW edge of box 7675-7700 and the LOW edge of chop band 7675-7690 - buying the bottom of both ranges, not the top of a wall band. Max gamma and max GEX both 7690, fifteen points overhead, while drift was down.</t>
  </si>
  <si>
    <t>Dealer-Overwhelmed Bearish Drift - Pos dealer book absorbs but does not reverse external selling. The phenomenon named this case explicitly: positive gamma cushions the fall without stopping it. A long on a thin support in that regime fights the stated read.</t>
  </si>
  <si>
    <t>Put skew steep, RR -1.92vp.</t>
  </si>
  <si>
    <t>ATM IV 11.94% and falling. Net charm +235,721 (positive, unlike the later entries).</t>
  </si>
  <si>
    <t>+81,048 - positive but small.</t>
  </si>
  <si>
    <t>7690  (4,360,226)</t>
  </si>
  <si>
    <t>7690  (+3,169,014)</t>
  </si>
  <si>
    <t>7650  (-610,028)</t>
  </si>
  <si>
    <t>Support in the next reaction table</t>
  </si>
  <si>
    <t>BOX LOW (box 7675-7700) and CHOP BAND LOW (7675-7690). Chop wall band was 7665-7670, BELOW this level. Zomma wall rank 12, tier 3. ADJACENT and thin - node was 7690. NOTE: the slot was real on the approach and vanished on the touch, which the table itself cannot warn you about.</t>
  </si>
  <si>
    <t>26/08/2026</t>
  </si>
  <si>
    <t>~15:15</t>
  </si>
  <si>
    <t>WORST LOSS - cut</t>
  </si>
  <si>
    <t>Fell to 7667.48 within the window (-8 from entry, -12 from spot at entry). Cut.</t>
  </si>
  <si>
    <t>NO RANK TAG AT ALL - 7675 held no support rank, no slot, no exemption. Shelf only. Zomma wall rank 19, tier 3. Chop band was 7685-7690, ABOVE the level.</t>
  </si>
  <si>
    <t>This was not a level. GEX +96,330 - the smallest positive reading of any strike traded today, and it carried NO rank. Max gamma was 7680 (6.67M) one strike above and min GEX 7655 below. Bought into empty space between the two.</t>
  </si>
  <si>
    <t>RR -1.79vp.</t>
  </si>
  <si>
    <t>ATM IV 11.71% and RISING. Net charm +864,764 (strongly positive).</t>
  </si>
  <si>
    <t>+374,007</t>
  </si>
  <si>
    <t>7680  (6,666,123)</t>
  </si>
  <si>
    <t>7700  (+1,950,726)</t>
  </si>
  <si>
    <t>7655  (-2,134,856)</t>
  </si>
  <si>
    <t>NO STRUCTURE. Not a box edge, not a chop edge (chop band 7685-7690 sat above it), no slot. Backers only Gam gSh Vgf.</t>
  </si>
  <si>
    <t>~15:30</t>
  </si>
  <si>
    <t>Held - closed 7680</t>
  </si>
  <si>
    <t>Ran to 7679.21 (+9). Closed at 7680.</t>
  </si>
  <si>
    <t>S2 with support exemption; shelf; LOW EDGE of chop band 7670-7690; chop wall band 7655-7665 beneath; confluence 6; AR 1.21.</t>
  </si>
  <si>
    <t>GEX +124,281 in a net NEGATIVE tape (-1.80M). Max gamma was 7650, max GEX 7680. Long from the low edge of the chop band toward its high edge - the trade the band itself describes.</t>
  </si>
  <si>
    <t>Low-Vol Grind-Up / Melt-Up - Dealers Comfortable with Upside Drift</t>
  </si>
  <si>
    <t>RR -2.02vp.</t>
  </si>
  <si>
    <t>ATM IV 12.10% and rising. Net charm -553,524.</t>
  </si>
  <si>
    <t>+30,646</t>
  </si>
  <si>
    <t>7650  (6,473,806)</t>
  </si>
  <si>
    <t>7680  (+1,325,524)</t>
  </si>
  <si>
    <t>7655  (-2,952,813)</t>
  </si>
  <si>
    <t>CHOP BAND LOW (7670-7690). Chop wall band 7655-7665 below. Zomma wall rank 17, tier 3. Backers Gam Vex iDex gSh Vgf Gxp Gfx.</t>
  </si>
  <si>
    <t>~16:00</t>
  </si>
  <si>
    <t>100%</t>
  </si>
  <si>
    <t>Held - closed 7670 at 16:10</t>
  </si>
  <si>
    <t>High 7682.30, then back to 7673.88 by 16:15. Covered 7670.</t>
  </si>
  <si>
    <t>NO RANK TAG - but it WAS the max gamma AND max GEX strike on the board, zomma wall rank 1 tier 1, and the LOW EDGE of chop band 7680-7690. Shelf. Confluence 4.</t>
  </si>
  <si>
    <t>The dominant node on the board by every size measure (gamma 8.29M, GEX +1.81M) yet carrying no rank tag. Shorting the node from just below it.</t>
  </si>
  <si>
    <t>RR -0.93vp.</t>
  </si>
  <si>
    <t>ATM IV 9.96% and FALLING. Net charm -645,777.</t>
  </si>
  <si>
    <t>+169,040</t>
  </si>
  <si>
    <t>7680  (8,287,011)  - the level itself</t>
  </si>
  <si>
    <t>7680  (+1,807,497)  - the level itself</t>
  </si>
  <si>
    <t>7655  (-2,473,293)</t>
  </si>
  <si>
    <t>ON THE NODE - max gamma and max GEX. Chop band low edge (7680-7690). Zomma wall rank 1, tier 1.</t>
  </si>
  <si>
    <t>~16:35</t>
  </si>
  <si>
    <t>Ran to 7678.76 (+7). Closed at 7680.</t>
  </si>
  <si>
    <t>S1 WITH SLOT AND EXEMPTION - the only entry today holding a support slot outright. Box 7670 (single strike). Shelf. Confluence 7, the highest of the day. AR 1.77.</t>
  </si>
  <si>
    <t>Best-structured long of the day on paper. Net tape negative (-1.67M) with max gamma and max GEX both at 7680 - the target, ten points up. Backers list the longest of any trade: Gam Vex Dex-dn iDex gSh oEdge Vgf Gxp Gfx.</t>
  </si>
  <si>
    <t>ATM IV 9.75% and falling. Net charm +45,447 (had turned positive).</t>
  </si>
  <si>
    <t>+176,621</t>
  </si>
  <si>
    <t>7680  (8,179,466)</t>
  </si>
  <si>
    <t>7680  (+1,784,040)</t>
  </si>
  <si>
    <t>7655  (-3,201,869)</t>
  </si>
  <si>
    <t>BOX (single strike 7670) - no ladder glyph under the current rule. Chop band 7675-7690 above. Zomma wall rank 19, tier 3. oEdge in backers.</t>
  </si>
  <si>
    <t>~16:45</t>
  </si>
  <si>
    <t>Held - closed 7670 at 16:50</t>
  </si>
  <si>
    <t>High 7680.94 - capped within a point; back to 7671.44 by 17:00.</t>
  </si>
  <si>
    <t>R1 WITH RESISTANCE SLOT. Max gamma AND max GEX strike. Zomma wall rank 1, tier 1. Box 7680 (single strike). Low edge of chop band 7680-7690. Shelf. Confluence 5.</t>
  </si>
  <si>
    <t>Second short of the same node, this time WITH the rank tag the 16:00 short lacked - gamma had grown from 8.29M to 9.28M and GEX from 1.81M to 2.02M as price came back to it.</t>
  </si>
  <si>
    <t>RR -0.68vp - the flattest of the day.</t>
  </si>
  <si>
    <t>ATM IV 9.62%, flat. Net charm -172,025.</t>
  </si>
  <si>
    <t>+389,133</t>
  </si>
  <si>
    <t>7680  (9,282,499)  - the level itself</t>
  </si>
  <si>
    <t>7680  (+2,024,625)  - the level itself</t>
  </si>
  <si>
    <t>7655  (-2,131,583)</t>
  </si>
  <si>
    <t>ON THE NODE with R1 slot. Box single strike 7680. Chop band low edge. Zomma wall rank 1, tier 1.</t>
  </si>
  <si>
    <t>~17:00</t>
  </si>
  <si>
    <t>FAILED - cut 17:37</t>
  </si>
  <si>
    <t>Held briefly to 7672.50 then rolled over; 7665 by 17:30 and 7658 by 17:37. Cut for a loss.</t>
  </si>
  <si>
    <t>S1 with slot and exemption - the SAME structural read as the 16:35 long that worked. Box 7670 single strike. Shelf. Confluence 6.</t>
  </si>
  <si>
    <t>SAME LEVEL, SAME SLOT, SAME PHENOMENON as the 16:35 winner, and it failed. The differences: net charm had gone from +45,447 to -131,263, and the level had already been used twice. Nothing in the structural columns separates this from the trade an hour earlier - this is the natural experiment the log needed.</t>
  </si>
  <si>
    <t>RR -1.75vp.</t>
  </si>
  <si>
    <t>ATM IV 10.10%, flat. Net charm -131,263 (negative again).</t>
  </si>
  <si>
    <t>+195,971</t>
  </si>
  <si>
    <t>7680  (8,384,644)</t>
  </si>
  <si>
    <t>7680  (+1,828,792)</t>
  </si>
  <si>
    <t>7655  (-3,184,420)</t>
  </si>
  <si>
    <t>BOX (single strike 7670). Chop band 7675-7690 above. Zomma wall rank 19, tier 3. Backers Gam Dex-dn gSh oEdge Vgf Gxp Gfx.</t>
  </si>
  <si>
    <t>~17:38</t>
  </si>
  <si>
    <t>Low 7657.93 right at entry; ran to 7668.53 by 18:09 (+10).</t>
  </si>
  <si>
    <t>S3, no slot. Shelf. UPPER EDGE of chop wall band 7655-7665. Zomma wall rank 2, tier 1. Confluence 6. AR 0.94, the lowest of the day.</t>
  </si>
  <si>
    <t>GEX -3,068,319 - a deeply NEGATIVE strike in a heavily negative tape (net -8.92M), one strike above the min-GEX strike at 7655 (-4.70M) and ten above max gamma at 7650. Near-node-in-negative-gamma, the ~75% break profile. It held. Net charm -1,866,154, by far the most negative reading of the day.</t>
  </si>
  <si>
    <t>RR -2.10vp - steepest of the day.</t>
  </si>
  <si>
    <t>ATM IV 10.28% and falling. Net charm -1,866,154.</t>
  </si>
  <si>
    <t>-570,937 - negative, in line with the board.</t>
  </si>
  <si>
    <t>7650  (9,467,268)</t>
  </si>
  <si>
    <t>7680  (+1,235,262)</t>
  </si>
  <si>
    <t>7655  (-4,699,732)</t>
  </si>
  <si>
    <t>CHOP WALL HIGH (7655-7665). Chop band 7670-7680 above. Zomma wall rank 2, tier 1. ZG in backers - zero gamma at this strike.</t>
  </si>
  <si>
    <t>27/08/2026</t>
  </si>
  <si>
    <t>~14:39</t>
  </si>
  <si>
    <t>FAILED</t>
  </si>
  <si>
    <t>Spot ran from 7697.69 to 7714.26 within the hour. Failed.</t>
  </si>
  <si>
    <t>R2 with resistance slot; box 7700 single strike; zomma wall rank 1 tier 1; confluence 4; AR 1.72.</t>
  </si>
  <si>
    <t>Shorting the MAX GAMMA strike in positive gamma with net GEX at +5.35M and rising. In positive gamma the node is a magnet, not a ceiling. POSITIVE GAMMA EXPANDING ALL SESSION. Net GEX +6.4M at the open to +32.6M by 18:00 while ATM IV fell 17.1% to 12.7% — cushion growing, fear fading. Max GEX sat at 7740 at EVERY entry today and never moved; spot printed 7740.72. All four early trades were placed below that magnet.</t>
  </si>
  <si>
    <t>(not archived — md_phenom empty all session)</t>
  </si>
  <si>
    <t>Put skew steep, RR -1.80vp.</t>
  </si>
  <si>
    <t>ATM IV 17.09% and falling. Net charm -1,511,404.</t>
  </si>
  <si>
    <t>+371,772</t>
  </si>
  <si>
    <t>7700  (4,343,417)  - the level itself</t>
  </si>
  <si>
    <t>7740  (max GEX all day)</t>
  </si>
  <si>
    <t>7715</t>
  </si>
  <si>
    <t>BOX single strike 7700. No chop band set at this cycle. Zomma wall rank 1, tier 1. Backers Gam Dex Dex-dn Zom Vgf.</t>
  </si>
  <si>
    <t>~14:58</t>
  </si>
  <si>
    <t>FAILED - stopped out</t>
  </si>
  <si>
    <t>Direction was right — spot reached 7740.72 later in the session — but the stop was hit on the 15:20 pullback to 7708.63.</t>
  </si>
  <si>
    <t>S1; box 7700-7705; zomma wall rank 1 tier 1; confluence 5; AR 1.82. Still the max gamma strike.</t>
  </si>
  <si>
    <t>The only trade today aligned with the regime, and the only one that would have paid. Entered 40 pts below the 7740 magnet with a stop tight enough that a normal pullback removed it. Sizing/stop issue rather than a level-selection issue. POSITIVE GAMMA EXPANDING ALL SESSION. Net GEX +6.4M at the open to +32.6M by 18:00 while ATM IV fell 17.1% to 12.7% — cushion growing, fear fading. Max GEX sat at 7740 at EVERY entry today and never moved; spot printed 7740.72. All four early trades were placed below that magnet.</t>
  </si>
  <si>
    <t>RR -1.99vp.</t>
  </si>
  <si>
    <t>ATM IV 17.89% and falling. Net charm -1,435,040.</t>
  </si>
  <si>
    <t>+507,637</t>
  </si>
  <si>
    <t>7700  (4,316,739)  - the level itself</t>
  </si>
  <si>
    <t>7740</t>
  </si>
  <si>
    <t>BOX 7700-7705. Zomma wall rank 1, tier 1. Backers Gam Dex Dex-dn Zom Vgf.</t>
  </si>
  <si>
    <t>FAILED - cut, BE was available</t>
  </si>
  <si>
    <t>Spot pushed to 7721.71 in the same window. Cut for a loss; break-even was available on the pullback.</t>
  </si>
  <si>
    <t>R2 with resistance slot; shelf; box 7715 single strike; confluence 7 — the highest of the day; AR 1.75.</t>
  </si>
  <si>
    <t>7715 was the MIN GEX strike (-1,121,037) in a +12.19M positive-gamma tape. That is the strike price is pulled THROUGH, not stopped at. Highest confluence of the day on the worst-placed trade — another instance of confluence not tracking quality. POSITIVE GAMMA EXPANDING ALL SESSION. Net GEX +6.4M at the open to +32.6M by 18:00 while ATM IV fell 17.1% to 12.7% — cushion growing, fear fading. Max GEX sat at 7740 at EVERY entry today and never moved; spot printed 7740.72. All four early trades were placed below that magnet.</t>
  </si>
  <si>
    <t>Put skew 2.92 RR, the steepest of the day at that point.</t>
  </si>
  <si>
    <t>ATM IV 14.67%, flat. Net charm -572,522.</t>
  </si>
  <si>
    <t>-643,798</t>
  </si>
  <si>
    <t>7725</t>
  </si>
  <si>
    <t>7715  - the level itself (min GEX)</t>
  </si>
  <si>
    <t>BOX single strike 7715. Zomma wall rank 3, tier 1. Backers Gam Dex-dn Zom iDex gSh Vgf Gfx.</t>
  </si>
  <si>
    <t>~16:17</t>
  </si>
  <si>
    <t>10.3%</t>
  </si>
  <si>
    <t>Spot held above and went on to 7740.72. Failing at the time of logging.</t>
  </si>
  <si>
    <t>R1; shelf; box 7720-7725; chop band 7730-7750 directly above; confluence 6; AR 1.92. Max gamma strike at this cycle.</t>
  </si>
  <si>
    <t>NET CHARM HAD TURNED POSITIVE (+1,836,894) — the pin releasing upward, which is the specific signal against a short here. Net GEX +21.46M. Shorting the max gamma strike again, 15 pts below the 7740 magnet. POSITIVE GAMMA EXPANDING ALL SESSION. Net GEX +6.4M at the open to +32.6M by 18:00 while ATM IV fell 17.1% to 12.7% — cushion growing, fear fading. Max GEX sat at 7740 at EVERY entry today and never moved; spot printed 7740.72. All four early trades were placed below that magnet.</t>
  </si>
  <si>
    <t>RR -2.93vp.</t>
  </si>
  <si>
    <t>ATM IV 12.72% and falling. Net charm +1,836,894 (POSITIVE).</t>
  </si>
  <si>
    <t>+1,135,150</t>
  </si>
  <si>
    <t>7725  (6,597,895)  - the level itself</t>
  </si>
  <si>
    <t>BOX 7720-7725. Chop band 7730-7750 ABOVE the level. Zomma wall rank 3, tier 1. Backers Gam Vex Dex-dn Zom gSh Vgf.</t>
  </si>
  <si>
    <t>~18:10</t>
  </si>
  <si>
    <t>22.5%</t>
  </si>
  <si>
    <t>Entered at 7740.06, one cycle off the session high of 7740.72. Faded to 7711.57 and closed 7719.58 (~20 pts).</t>
  </si>
  <si>
    <t>R2; shelf; NO box; chop band 7740-7750 with the level on its LOW edge; chop wall band 7725-7735 beneath; zomma wall rank 1 tier 1; confluence 5; AR 1.37.</t>
  </si>
  <si>
    <t>The one short that worked, and the only one placed AT the magnet rather than below it. GEX +7,627,420 — 22.5% of all positive gamma on the board and the max GEX strike. Net charm +6,451,503, far above the 16:17 reading, which is consistent with the pin having completed rather than still pulling.</t>
  </si>
  <si>
    <t>Put skew 3.03, call skew 1.75, RR -1.28vp.</t>
  </si>
  <si>
    <t>ATM IV 10.94% and falling. Net charm +6,451,503.</t>
  </si>
  <si>
    <t>+1,869,076</t>
  </si>
  <si>
    <t>7735  (8,521,332)</t>
  </si>
  <si>
    <t>7740  (+7,627,420)  - the level itself</t>
  </si>
  <si>
    <t>7715  (-698,095)</t>
  </si>
  <si>
    <t>CHOP BAND LOW EDGE (7740-7750). Chop wall band 7725-7735 below. No box. Zomma wall rank 1, tier 1. Backers Gam Dex Zom gSh Vgf.</t>
  </si>
  <si>
    <t>01/09/2026</t>
  </si>
  <si>
    <t>~15:45</t>
  </si>
  <si>
    <t>Spot 7657.05 at entry; level gave way and spot worked down to 7650 within the following 10 minutes.</t>
  </si>
  <si>
    <t>S5 rank. Weakest-ranked level of the five taken today.</t>
  </si>
  <si>
    <t>Heavy level (|gamma| 1.63M) taken as a support in negative gamma - the size rule says these break, not hold. GEX -1,261,513.</t>
  </si>
  <si>
    <t>Low-Vol Grind-Up / Melt-Up. Dealers Comfortable with Upside</t>
  </si>
  <si>
    <t>Put skew 1.69, call skew 0.09, RR -1.60.</t>
  </si>
  <si>
    <t>ATM IV 12.09% and falling. Vol ratio 0.455, flat-to-rising.</t>
  </si>
  <si>
    <t>-437,202 - negative.</t>
  </si>
  <si>
    <t>7675  (3,769,005)</t>
  </si>
  <si>
    <t>7705  (+300,469)</t>
  </si>
  <si>
    <t>7660  (-1,610,503)</t>
  </si>
  <si>
    <t>Not a box edge. No box at this strike.</t>
  </si>
  <si>
    <t>~15:55</t>
  </si>
  <si>
    <t>Held only briefly; spot rolled over into the 16:05 low at 7644.33.</t>
  </si>
  <si>
    <t>S1 with box low and box high both at 7650. Highest confluence of the day at 7.</t>
  </si>
  <si>
    <t>MAX GAMMA STRIKE and MIN GEX STRIKE simultaneously - the heaviest thing on the ladder, bought as a floor in negative gamma. GEX -1,705,628. Confluence 7 and it still failed - consistent with the standing finding that confluence does not track trade quality.</t>
  </si>
  <si>
    <t>Fragile Long Vol / Bearish Vol Expansion Regime with Mean-Reversion</t>
  </si>
  <si>
    <t>Put skew 1.89, call skew -0.20, RR -2.08.</t>
  </si>
  <si>
    <t>ATM IV 12.01% and falling. Vol ratio 0.458.</t>
  </si>
  <si>
    <t>-502,549 - negative.</t>
  </si>
  <si>
    <t>7650  (4,019,457)  - the level itself</t>
  </si>
  <si>
    <t>7705  (+220,928)</t>
  </si>
  <si>
    <t>7650  (-1,705,628)  - the level itself</t>
  </si>
  <si>
    <t>Box single strike 7650.</t>
  </si>
  <si>
    <t>FAILED - took time rather than failing outright</t>
  </si>
  <si>
    <t>Spot pushed through to 7663.03 by 16:49 and held above for roughly 25 minutes before rolling back under. Direction eventually came good but not inside the trade.</t>
  </si>
  <si>
    <t>R1 with box low and box high both at 7660. Confluence 7.</t>
  </si>
  <si>
    <t>MIN GEX STRIKE. The only short of the five. Penetration was ~4 points, in line with the ~3.56 median resistance-edge penetration already logged - the level was not wrong, the stop was inside the normal noise band.</t>
  </si>
  <si>
    <t>Put skew 1.69, call skew 0.26, RR -1.43.</t>
  </si>
  <si>
    <t>ATM IV 11.01% and falling. Vol ratio 0.479 and rising.</t>
  </si>
  <si>
    <t>-651,912 - negative.</t>
  </si>
  <si>
    <t>7650  (4,325,146)</t>
  </si>
  <si>
    <t>7705  (+266,937)</t>
  </si>
  <si>
    <t>7660  (-1,997,339)  - the level itself</t>
  </si>
  <si>
    <t>Box single strike 7660.</t>
  </si>
  <si>
    <t>~17:19</t>
  </si>
  <si>
    <t>Spot cut straight through and was at 7640 within seven minutes.</t>
  </si>
  <si>
    <t>S1, logged as a chop edge. No box at this strike by this cycle.</t>
  </si>
  <si>
    <t>MAX GAMMA and MIN GEX strike again, GEX -2,021,624 - the heaviest level on the board taken long in negative gamma for the second time today. Net charm +1,410,281, the highest of any entry today.</t>
  </si>
  <si>
    <t>Put skew 2.60, call skew -0.48, RR -3.08 - steepest of the day.</t>
  </si>
  <si>
    <t>ATM IV 12.46% and RISING. Vol ratio 0.527 and rising. Regime read had moved to Active Stress.</t>
  </si>
  <si>
    <t>-678,055 - negative.</t>
  </si>
  <si>
    <t>7650  (4,764,127)  - the level itself</t>
  </si>
  <si>
    <t>7705  (+136,961)</t>
  </si>
  <si>
    <t>7650  (-2,021,624)  - the level itself</t>
  </si>
  <si>
    <t>CHOP EDGE. Box high/low absent at this cycle.</t>
  </si>
  <si>
    <t>~17:26</t>
  </si>
  <si>
    <t>Spot reached 7640.01 then continued to 7634.30 by 17:30. No bounce.</t>
  </si>
  <si>
    <t>S1 with box low and box high both at 7640.</t>
  </si>
  <si>
    <t>Fifth long of the day into a falling tape. GEX -1,777,650. Taken with the session read already at Full Panic Mode.</t>
  </si>
  <si>
    <t>Put skew 2.62, call skew -0.90, RR -3.52 - steepest of the day.</t>
  </si>
  <si>
    <t>ATM IV 13.44% and RISING fast. Vol ratio 0.540 and rising.</t>
  </si>
  <si>
    <t>-485,130 - negative.</t>
  </si>
  <si>
    <t>7650  (4,455,880)</t>
  </si>
  <si>
    <t>7700  (+56,509)</t>
  </si>
  <si>
    <t>7650  (-1,890,821)</t>
  </si>
  <si>
    <t>Box single strike 7640.</t>
  </si>
  <si>
    <t>dexTilt</t>
  </si>
  <si>
    <t>sandwich</t>
  </si>
  <si>
    <t>Hide unsafe</t>
  </si>
  <si>
    <t>warnExempt</t>
  </si>
  <si>
    <t>trough depth (frac below both)</t>
  </si>
  <si>
    <t>qualTag</t>
  </si>
  <si>
    <t>boxLo</t>
  </si>
  <si>
    <t>boxHi</t>
  </si>
  <si>
    <t>inTol</t>
  </si>
  <si>
    <t>contigDn</t>
  </si>
  <si>
    <t>contigUp</t>
  </si>
  <si>
    <t>memberIdx</t>
  </si>
  <si>
    <t>inTolS</t>
  </si>
  <si>
    <t>contigDnS</t>
  </si>
  <si>
    <t>contigUpS</t>
  </si>
  <si>
    <t>memberIdxS</t>
  </si>
  <si>
    <t>qualHold</t>
  </si>
  <si>
    <t>offset</t>
  </si>
  <si>
    <t>one-sided cut |GEX/gamma|</t>
  </si>
  <si>
    <t>offset margin (x better than both nbrs)</t>
  </si>
  <si>
    <t>callOI</t>
  </si>
  <si>
    <t>putOI</t>
  </si>
  <si>
    <t>volDelta</t>
  </si>
  <si>
    <t>oiBal</t>
  </si>
  <si>
    <t>oiOffset</t>
  </si>
  <si>
    <t>gexPerGamma</t>
  </si>
  <si>
    <t>minVexExempt</t>
  </si>
  <si>
    <t>peakGeo</t>
  </si>
  <si>
    <t>clAbsGamma</t>
  </si>
  <si>
    <t>clGrp</t>
  </si>
  <si>
    <t>clElig</t>
  </si>
  <si>
    <t>clAnchor</t>
  </si>
  <si>
    <t>clUp</t>
  </si>
  <si>
    <t>clDn</t>
  </si>
  <si>
    <t>clMember</t>
  </si>
  <si>
    <t>clSize</t>
  </si>
  <si>
    <t>clMass</t>
  </si>
  <si>
    <t>clLo</t>
  </si>
  <si>
    <t>clHi</t>
  </si>
  <si>
    <t>clReport</t>
  </si>
  <si>
    <t>clKnobs</t>
  </si>
  <si>
    <t>clTerm</t>
  </si>
  <si>
    <t>heldSpot</t>
  </si>
  <si>
    <t>grankHold</t>
  </si>
  <si>
    <t>grankEnter/Release</t>
  </si>
  <si>
    <t>gexShelfHold</t>
  </si>
  <si>
    <t>zomShelfHold</t>
  </si>
  <si>
    <t>nearestQual R/S</t>
  </si>
  <si>
    <t>gapGeo</t>
  </si>
  <si>
    <t>edgeGeo</t>
  </si>
  <si>
    <t>geoPresent</t>
  </si>
  <si>
    <t>swUnsafe</t>
  </si>
  <si>
    <t>swUpper</t>
  </si>
  <si>
    <t>Sandwich approach window (pts)</t>
  </si>
  <si>
    <t>vannaOK</t>
  </si>
  <si>
    <t>revStableW</t>
  </si>
  <si>
    <t>revNoneW</t>
  </si>
  <si>
    <t>γWall</t>
  </si>
  <si>
    <t>γShEdge</t>
  </si>
  <si>
    <t>leanFlag</t>
  </si>
  <si>
    <t>clustOK</t>
  </si>
  <si>
    <t>γShEdgeUnsafe</t>
  </si>
  <si>
    <t>gexPer15</t>
  </si>
  <si>
    <t>boxHasEdge</t>
  </si>
  <si>
    <t>boxLoRaw</t>
  </si>
  <si>
    <t>boxHiRaw</t>
  </si>
  <si>
    <t>boxMinCluster</t>
  </si>
  <si>
    <t>troughGeo</t>
  </si>
  <si>
    <t>troughUnsafe</t>
  </si>
  <si>
    <t>vex (dealer-signed)</t>
  </si>
  <si>
    <t>pPeakGeo</t>
  </si>
  <si>
    <t>troughDeep</t>
  </si>
  <si>
    <t>fallback 3rd slot  R: HR3   S: HR4</t>
  </si>
  <si>
    <t>unsafe audit: slot mismatches</t>
  </si>
  <si>
    <t>unsafe sources (see HQ8)</t>
  </si>
  <si>
    <t>unsafeFlag</t>
  </si>
  <si>
    <t>unsafeSrc</t>
  </si>
  <si>
    <t>fbDist</t>
  </si>
  <si>
    <t>edgeRaw</t>
  </si>
  <si>
    <t>troughRaw</t>
  </si>
  <si>
    <t>edgeHeld</t>
  </si>
  <si>
    <t>troughHeld</t>
  </si>
  <si>
    <t>peakPlusUnsafe</t>
  </si>
  <si>
    <t>cliffFrac</t>
  </si>
  <si>
    <t>cliffHeld</t>
  </si>
  <si>
    <t>cliffCand</t>
  </si>
  <si>
    <t>gapOut</t>
  </si>
  <si>
    <t>dEdge |gamma| floor (cliff strikes only; replaces BG19 when dEdge=1)</t>
  </si>
  <si>
    <t>dEdge revFlag rank cap (top-N gamma, cliff strikes only, both regimes)</t>
  </si>
  <si>
    <t>DEX drop-off UNSAFE spot gate allowance (pts past the drop-off strike)</t>
  </si>
  <si>
    <t>Slot-eligible gamma rank (top-N |gamma| on the level's own side; qualifies a slot regardless of locked position)</t>
  </si>
  <si>
    <t>dEdge cliff hold: immediate release below this collapse frac (engine; on = BG42)</t>
  </si>
  <si>
    <t>(engine) HELD DEX peak -- BG28 uses this when set; a new peak must lead 3 cycles</t>
  </si>
  <si>
    <t>DEX peak hold margin (engine): challenger |DEX| must exceed held peak by this fraction (0 = off; 0.25 tested best on 17 Sep)</t>
  </si>
  <si>
    <t>tag2</t>
  </si>
  <si>
    <t>Vxi min |vex| (x near-spot median)</t>
  </si>
  <si>
    <t>Vxi size test skipped within (pts of spot)</t>
  </si>
  <si>
    <t>(auto) near-spot median |vex| — don’t edit</t>
  </si>
  <si>
    <t>chopZone (box)</t>
  </si>
  <si>
    <t>chopRaw (stack interior)</t>
  </si>
  <si>
    <t>gHeavy</t>
  </si>
  <si>
    <t>gRunUp</t>
  </si>
  <si>
    <t>gRunDn</t>
  </si>
  <si>
    <t>zHeavy</t>
  </si>
  <si>
    <t>zRunUp</t>
  </si>
  <si>
    <t>zRunDn</t>
  </si>
  <si>
    <t>stackPos</t>
  </si>
  <si>
    <t>gHeavyHeld (engine)</t>
  </si>
  <si>
    <t>zHeavyHeld (engine)</t>
  </si>
  <si>
    <t>Stack: window (pts either side of spot)</t>
  </si>
  <si>
    <t>Stack: heavy = |gamma| or |zomma| &gt;= this x window peak</t>
  </si>
  <si>
    <t>Stack: min heavy strikes in a run</t>
  </si>
  <si>
    <t>(auto) window peak |gamma| — don’t edit</t>
  </si>
  <si>
    <t>(auto) window peak |zomma| — don’t edit</t>
  </si>
  <si>
    <t>(auto) window low</t>
  </si>
  <si>
    <t>(auto) window high</t>
  </si>
  <si>
    <t>Stack: stays heavy until below this x window peak (engine hold)</t>
  </si>
  <si>
    <r>
      <t>Two-Way Long-Gamma Vol Compression</t>
    </r>
    <r>
      <rPr>
        <sz val="11"/>
        <color theme="1"/>
        <rFont val="Calibri"/>
        <family val="2"/>
        <charset val="1"/>
      </rPr>
      <t xml:space="preserve"> — can develop a </t>
    </r>
    <r>
      <rPr>
        <b/>
        <sz val="11"/>
        <color theme="1"/>
        <rFont val="Calibri"/>
        <family val="2"/>
        <charset val="1"/>
      </rPr>
      <t>downward drift with bearish call/put positioning</t>
    </r>
    <r>
      <rPr>
        <sz val="11"/>
        <color theme="1"/>
        <rFont val="Calibri"/>
        <family val="2"/>
        <charset val="1"/>
      </rPr>
      <t xml:space="preserve"> or an </t>
    </r>
    <r>
      <rPr>
        <b/>
        <sz val="11"/>
        <color theme="1"/>
        <rFont val="Calibri"/>
        <family val="2"/>
        <charset val="1"/>
      </rPr>
      <t>upward drift with bullish positioning.</t>
    </r>
  </si>
  <si>
    <t>Testing Results</t>
  </si>
  <si>
    <t xml:space="preserve"> *Price finished higher 58.5% of the time, by 9.7 pts when DEX is bearish (More DEX below us than above us, does not matter if pos of neg dex.), Max gamma in the AM is below us!! Short the AM, Long the PM!!</t>
  </si>
  <si>
    <t>contested</t>
  </si>
  <si>
    <t>fallback dist (any locked, not displayed)</t>
  </si>
  <si>
    <t>Fragile pos-γ: net GEX below this treated as neg γ for the reaction table</t>
  </si>
  <si>
    <t>(auto) fragile pos-γ flag: net GEX &lt; BG71, or net + 15-min slope (HC9) &lt; 0 — don’t edit</t>
  </si>
  <si>
    <t>noRevUnsafe (neg/fragile γ, no reversal flag)</t>
  </si>
  <si>
    <t>Fragile pos-γ EXIT: net GEX must be at or above this</t>
  </si>
  <si>
    <t>Fragile pos-γ EXIT: net + 15-min slope must be at or above this</t>
  </si>
  <si>
    <t>Fragile pos-γ hold: consecutive cycles to switch on or off</t>
  </si>
  <si>
    <t>(engine) held fragile flag 1/0 — blank = BG72 uses the raw test. Don’t edit</t>
  </si>
  <si>
    <t>γWall held (engine) — blank = GY uses the raw test</t>
  </si>
  <si>
    <t>minVexRes (Min VEX above spot, VEX&lt;0, IV High)</t>
  </si>
  <si>
    <t>γWall hold: keeps the tag until gamma falls below this × either neighbour (enter at FA7)</t>
  </si>
  <si>
    <t>vTopGreen (vanna SELL support, IV topped)</t>
  </si>
  <si>
    <t>(engine) IV-top flag 1/0: ATM IV set a session high in the last 30 min and is &gt;= 0.3 vol pts below it for 2 cycles. Don’t edit</t>
  </si>
  <si>
    <t>vexActFast (dealer vanna BUY/SELL on the fast IV direction)</t>
  </si>
  <si>
    <t>(engine) FAST ATM IV direction UP/DOWN/FLAT, last 5 min, 0.1 vol pt dead zone. Blank = building (vanna then uses D5). Don’t edit</t>
  </si>
  <si>
    <t>Melt-up check</t>
  </si>
  <si>
    <t>NEAR-VANNA ZONE  (candidates -- Ⓥ only when confirmed)</t>
  </si>
  <si>
    <t>★ GEX extreme   ◆ max gamma (node)   ☄ gravity pt   Ⓥ confirmed vol bounce (S) / vol rejection (R)   ║n GEX wall   ▣n OI wall (1 = biggest)   ⟂ min VEX</t>
  </si>
  <si>
    <t>Ⓥ = CONFIRMED vol bounce (support: IV High + falling) / vol rejection (resistance: IV Low + rising). Unconfirmed near-vanna zones show no symbol</t>
  </si>
  <si>
    <t>★ GEX extreme   ◆ max gamma (node)   ☄ gravity pt   Ⓥ confirmed vol bounce (S) / vol rejection (R)   ║n GEX wall   ▣n OI wall (1 = biggest)</t>
  </si>
  <si>
    <t>DEX pocket beyond each reaction level (ladder shading)</t>
  </si>
  <si>
    <t>vbFail -- RETIRED 2026-09-27 (Giggles): the vol-bounce symbol only shows when confirmed</t>
  </si>
  <si>
    <t>dexWallCap (S under a -DEX wall / R over a +DEX wall)</t>
  </si>
  <si>
    <t>safeFbDist (3rd-row fallback: nearest SAFE locked level)</t>
  </si>
  <si>
    <t>domVbuySafe (DOM support with vanna BUY of at least BG92: clears every UNSAFE)</t>
  </si>
  <si>
    <t>oiSkew (P = put-heavy / C = call-heavy vs strikes within 10 pts; backer P-OI / C-OI)</t>
  </si>
  <si>
    <t>putOI (from KNM L)</t>
  </si>
  <si>
    <t>callOI (from KNM K)</t>
  </si>
  <si>
    <t>put/call</t>
  </si>
  <si>
    <t>call/put</t>
  </si>
  <si>
    <t>(engine) ATM IV reference high the IV-top flag measures from: the session high, or the rebound level once IV has bounced 0.3 vol pts off its low (2026-09-27)</t>
  </si>
  <si>
    <t>Vanna column (reaction table J): |dealer vanna| below this shows ORANGE = neutral</t>
  </si>
  <si>
    <t>IV-top green / vanna-SELL clear: support alerts only with spot at most this many pts BELOW the level</t>
  </si>
  <si>
    <t>IV-top green / vanna-SELL clear: "at the level" tolerance ABOVE the level (pts)</t>
  </si>
  <si>
    <t>DEX wall cap: level is UNSAFE when the strike this many pts beyond it (above a support, below a resistance) carries an opposing DEX wall</t>
  </si>
  <si>
    <t>DEX wall cap: opposing DEX size -- support needs DEX at or below MINUS this above it; resistance needs DEX at or above PLUS this below it</t>
  </si>
  <si>
    <t>Vanna SELL warning: DOM and put-wall exemptions do NOT apply when dealer vanna at the level is at or above this</t>
  </si>
  <si>
    <t>Ladder DEX pocket (∅): strike is not itself a DEX wall and its |DEX| is at most this fraction of a neighbour carrying at least BG85 DEX. Display only</t>
  </si>
  <si>
    <t>OI skew backer: minimum open interest on the heavy side (contracts)</t>
  </si>
  <si>
    <t>OI skew backer: put/call (or call/put) ratio must be at least this multiple of the median of the strikes within 10 pts</t>
  </si>
  <si>
    <t>geoFallback (display only: shape of a strike with no other geometry tag -- Hollow = less gamma than both neighbours, Crest = more than both but under the Knoll threshold, Ramp = in between / ladder end)</t>
  </si>
  <si>
    <t>domWallFlat (neg/fragile γ: DOM that is also a γWall whose dealer vanna is under BG91 either way or flat -- no flow behind the wall. Opposed vanna has its own warnings)</t>
  </si>
  <si>
    <t>domPull (neg/fragile γ: level on the SPOT side of the DOM and within BG93 pts of it -- price tends to be pulled to the node)</t>
  </si>
  <si>
    <t>DOM vanna threshold (neg/fragile γ): a DOM needs dealer vanna aligned to its side (BUY support / SELL resistance) at or above this to be SAFE -- clears the DOM-wall warning, the BG91 named list, and (support) every UNSAFE. Separate from BG91</t>
  </si>
  <si>
    <t>DOM pull distance (neg/fragile γ): a level on the spot side of the DOM and within this many pts of it is UNSAFE -- price tends to be pulled to the node</t>
  </si>
  <si>
    <t>PRIOR-DAY PROFILE  (SPX · 30-min TPO · settled)</t>
  </si>
  <si>
    <t>Price</t>
  </si>
  <si>
    <t>Session</t>
  </si>
  <si>
    <t>POC</t>
  </si>
  <si>
    <t>VAH</t>
  </si>
  <si>
    <t>VAL</t>
  </si>
  <si>
    <t>minVexOpposed (neg/fragile γ: the Min VEX strike with opposed vanna at or above BG94 -- its blanket exemption does NOT apply)</t>
  </si>
  <si>
    <t>Opposed-vanna noise floor (neg/fragile γ): vanna BUY on a resistance / SELL on a support is UNSAFE only at or above this size; below it no vanna warning</t>
  </si>
  <si>
    <t>oiSafe (ALL regimes since 2026-10-01: reversal-flagged SUPPORT that is call-heavy (JD = C), or reversal-flagged RESISTANCE that is put- OR call-heavy (JD = P or C) -- clears every GEOMETRY warning -- king node, accelerant (max gamma / min GEX alone), gamma peak, trough, sandwich, bump, gamma-shelf edge, Peak+; also passes the neg-gamma support gate (DM). Opposed vanna and the rest still stand)</t>
  </si>
  <si>
    <t>oiZommaOff (OI level, ALL regimes; in POSITIVE gamma a Dex↓ (AJ) level is exempt, 2026-10-01: UNSAFE unless the zomma reading FIRMS the level -- zomma sign x slow ATM IV direction, the same test as the EQ zomma line "firming / strengthening / fading"; any magnitude)</t>
  </si>
  <si>
    <t>oiDexOff (oiSafe level whose DEX is not aligned by BG95: support needs DEX &gt;= +BG95, resistance DEX &lt;= -BG95)</t>
  </si>
  <si>
    <t>OI-level DEX alignment (neg/fragile γ): a C-OI support needs DEX &gt;= +this, an OI resistance DEX &lt;= -this, or it is UNSAFE ("Dex not aligned")</t>
  </si>
  <si>
    <t>UNUSED since 2026-10-01 (OI rule now uses zomma, not vanna). Was: OI-level vanna alignment (neg/fragile γ): a C-OI support needs vanna BUY / an OI resistance vanna SELL at or above this, or it is UNSAFE ("Vanna not aligned"). Separate from the BG94 opposed floor</t>
  </si>
  <si>
    <t>Long Gamma Compression — Reinforced - Stronger / more persistent compression -Positioning Drift (Can form F pattern) (Vwap can give enteries)</t>
  </si>
  <si>
    <t>dexDrain (ENGINE-WRITTEN, POS gamma only): 1 = strike within 10 pts of spot whose |DEX| is at or below 50% of its peak over the last 10 cycles, peak &gt;= 150K, AND |VEX| at the strike &lt; 100K (weak VEX). UNSAFE reason DEXDRAIN (HP/HQ). UNTESTED as a rule, 2026-09-30</t>
  </si>
  <si>
    <t>cliffUnsafe (POS gamma only): 1 = dEdge Cliff geometry (CZ) with POSITIVE GEX at the strike (cliff on a put wall / negative GEX is exempt: held 62%, n=26). Backtest 2026-09-30, side-aligned cliff touches in pos gamma: held 28% / broke 39% (196 touches); aligned Greeks made breaks MORE likely. UNSAFE reason DEDGECLIFF (HP/HQ), REVERSAL label removed on the Master Dashboard. Neg gamma unchanged.</t>
  </si>
  <si>
    <t>Min Zomma strike (auto, both regimes): most negative zomma on the board. Drives the zeta markers: ladder and key-levels card in both regimes, reaction table in POS gamma only. 2026-09-30</t>
  </si>
  <si>
    <t>vSellUnsafe (neg/fragile γ: SUPPORT whose ARRIVAL vanna (JV) reads SELL &gt;= BG94; IV top at the level clears it)</t>
  </si>
  <si>
    <t>vBuyResUnsafe (neg/fragile γ: RESISTANCE whose ARRIVAL vanna (JV) reads BUY &gt;= BG94 -- vanna opposes the rejection. Min VEX NOT exempt)</t>
  </si>
  <si>
    <t>Vanna ARRIVAL reading (neg/fragile γ): within this many pts of spot a level uses the CURRENT vanna reading -- at the level the current IV direction IS the arrival direction. 2026-10-01, Giggles. UNTESTED</t>
  </si>
  <si>
    <t>(auto) Spot Up / Vol Up active 1/0 -- the Master Dashboard E28 line. Single source for the SPOTUPVOLUP token (HQ). Neg/fragile γ resistances: arrival vanna switches to current (JV), Min VEX exemption lifted (JN), vol-bounce clear blocked (GV). Don't edit</t>
  </si>
  <si>
    <t>locked</t>
  </si>
  <si>
    <t>Zomma  now → arrival</t>
  </si>
  <si>
    <t>γ CALL WALLS · resistance</t>
  </si>
  <si>
    <t>γ PUT WALLS · support</t>
  </si>
  <si>
    <t>γ Call Wall 1</t>
  </si>
  <si>
    <t>γ Call Wall 2</t>
  </si>
  <si>
    <t>γ Call Wall 3</t>
  </si>
  <si>
    <t>γ Put Wall 1</t>
  </si>
  <si>
    <t>γ Put Wall 2</t>
  </si>
  <si>
    <t>γ Put Wall 3</t>
  </si>
  <si>
    <t>Vxi (2026-10-02, Giggles, both regimes): VEX sign-isolated vs both neighbours (either sign, size floor BG55-57 unchanged) AND the vanna reading aligned to the side -- SELL on a resistance, BUY on a support, read from JV (arrival in neg/fragile γ, current fast in pos γ), the same reading as the Vex backer. Was a fixed sign test (positive at support / negative at resistance) that assumed IV falling.</t>
  </si>
  <si>
    <t>vAlignSafe (neg/fragile γ, simplified 2026-10-02): 1 = override ON -- engine latch JR (blank JR = raw test: reversal flag, aligned arrival vanna &gt;= BG94, DEX aligned &gt;= BG100). Clears AMPLIFY, TROUGH, SANDWICH, BUMP, EDGE, LOWIVFALL, HIGHIVFALL, CHOPEDGEIV, ZACCEL. Never clears VFLAT. UNTESTED</t>
  </si>
  <si>
    <t>vLatch (ENGINE-WRITTEN, neg/fragile γ, simplified 2026-10-02): ARMS after BG101 cycles of reversal flag + aligned arrival vanna &gt;= BG94 + DEX aligned &gt;= BG100; RELEASES at once on a break &gt;= BG9 pts, opposed vanna &gt;= BG94, lost reversal flag, regime leaving neg/fragile or new session; after BG101 cycles of flat/weak vanna, misaligned DEX, or off the locked list</t>
  </si>
  <si>
    <t>zomDomSafe (POSITIVE gamma, 2026-10-02 Giggles): 1 = SAFE zomma-dominant level, either side, positive GEX, no other UNSAFE reason, and EITHER Min Zomma (most negative, outweighs the max) with the zomma IV reading (KC, on ARRIVAL) falling, OR Max Zomma (most positive, outweighs the min) with KC rising. Was Min Zomma only on the current fast IV. UNTESTED</t>
  </si>
  <si>
    <t>vexActArr (2026-10-01; BOTH regimes since 2026-10-02, Giggles): dealer vanna BUY/SELL expected ON ARRIVAL at the level -- resistance assumes IV FALLS on the rally to it, support assumes IV RISES on the drop to it; switches back to the current reading (IY) on an IV top (BG78), within BG98 pts of spot, and on resistances while Spot Up / Vol Up (BG99) is on. Drives every vanna rule (IW, JK, JI, JL, JC -- those stay neg/fragile only), the Vex backer / confluence point and Vxi in BOTH regimes. UNTESTED</t>
  </si>
  <si>
    <t>zshBack (2026-10-01, Giggles, BOTH regimes): 1 = the Zsh backer counts -- zomma-shelf edge (BE, or the GP hold) AND zomma firming on the FAST IV direction (BG80, else D5), the same test as the Zom backer (JW). Flat IV = not counted. Read by confluence (AM), backer text (C) and the reaction-table backers (KNM V/BQ). UNTESTED</t>
  </si>
  <si>
    <t>vFlatUnsafe (neg/fragile γ, 2026-10-02, Giggles): 1 = spot within BG98 pts of the level and the FAST ATM IV direction (BG80; slow D5 while building) is flat -- no dealer vanna flow at the level. UNSAFE on EVERY level, no exemptions (Min VEX, DOM, vol bounce, put walls all yield). HQ token VFLAT. UNTESTED</t>
  </si>
  <si>
    <t>callWall (neg/fragile γ resistance, 2026-10-02, Giggles): 1 = positive GEX among the top BG102 positive-GEX strikes on the board AND call-heavy (call OI &gt;= BG103 and more calls than puts). Positive DEX counts as ALIGNED (JI / engine latch); exempt from BUMP, SANDWICH and OIDEX; never absorbed into a negative-GEX neighbour (BK). Opposed / flat vanna and every other warning still apply. Prompted by 7645 on 2026-10-01. UNTESTED</t>
  </si>
  <si>
    <t>accUnderCW (neg/fragile γ resistance, 2026-10-02, Giggles): the call-wall strike (JZ) within BG104 pts ABOVE this negative-GEX resistance, else 0. The level STAYS in the reaction table but is UNSAFE (hard reason, no exemptions): 'Accelerant under call wall -- price runs through to it'. HQ token ACCUNDERCW. Prompted by 7640 under 7645 on 2026-10-01. UNTESTED</t>
  </si>
  <si>
    <t>accBelow (display): on a call wall, the accelerating wall it sits on (KA points here), else 0 -- shown on the call wall's line as '▲ accelerant N below'</t>
  </si>
  <si>
    <t>zomIVarr (2026-10-02/03, Giggles; BOTH regimes): IV direction every ZOMMA reading uses (CF/CG/CH, EQ + Zomma column, JW Zom, JX Zsh, JP OI rule, GT sandwich, ZACCEL, IV-falling warnings). ON ARRIVAL -- support assumes IV RISES (UP), resistance assumes IV FALLS (DOWN); back to the current FAST reading within BG98 pts and on resistances while Spot Up / Vol Up (BG99) is on. NEG/FRAGILE gamma, 2026-10-03: the Max Zomma strike (BG105) reads UP and the Min Zomma strike (BG87) reads DOWN beyond BG98 pts, either side -- mirrors the positive-gamma Max/Min rules (always firming). UNTESTED</t>
  </si>
  <si>
    <t>(spare)</t>
  </si>
  <si>
    <t>vexArrDisp (display, both regimes, 2026-10-02): the vanna reading expected ON ARRIVAL, as JV but in positive gamma too -- drives the reaction-table Vanna column 'now → arrival'. Positive-gamma vanna RULES still read JV (= current there)</t>
  </si>
  <si>
    <t>gDex (2026-10-03, Giggles; BOTH regimes): isolated DEX at a POSITIVE-GEX strike -- the strike's DEX has the opposite sign to both neighbours (which share a sign) and |DEX| &gt; 10% of their average |DEX| (iDex's size floor); either DEX sign, supports and resistances alike. +1 confluence (backer token gDex), sets the reversal flag in any regime, and SUPPRESSES iDex at the same strike (one island counted once). Top/bottom rows can't qualify. Evidence: 50 touches -- UNTESTED, on the pre-registration list</t>
  </si>
  <si>
    <t>safeSrc (2026-10-03, Giggles; for the archive safe_src column): which rule makes this level SAFE when it is not UNSAFE -- WZDOM (KM), VLATCH (vanna override, JI), ZOMSAFE (Min/Max Zomma, JS), DOMBUY (JC), OIRULE (JO, OI rule), VOLBOUNCE (GV), MINVEX, CALLWALL; blank otherwise TROUGHNEG (trough, neg/fragile gamma).</t>
  </si>
  <si>
    <t>clearedSrc (2026-10-03, Giggles; for the archive cleared_src column): UNSAFE reasons the vanna override (JI) switched off on this level -- HQ tokens on the JI clear list, plus HIGHIVFALL for the reaction-table 'IV High + ATM IV falling (melt-up risk)' resistance warning. Never the chop edge (it is part of the reversal)</t>
  </si>
  <si>
    <t>dataInc (2026-10-03, Giggles): 1 = this strike's option-chain data is incomplete -- no open interest on either side (empty strike), or within BG106 pts of spot one side of OI is zero while the other is not (half-loaded). Prompted by 7660/7655 on 2026-10-01 14:52-14:58 (puts not loaded) and 7620 at that day's open</t>
  </si>
  <si>
    <t>dataGapLvl: 1 = this strike or a neighbour 5 pts either side is incomplete (KJ). No reversal flag; the structure backers (Dex↓, γSh, Zsh, dEdge, oEdge, iDex, gDex, Vxi, Spi) do not count; UNSAFE 'Data incomplete' (HQ token DATAGAP, hard, no exemptions). UNTESTED</t>
  </si>
  <si>
    <t>dataGapOI: 1 = any strike within 10 pts is incomplete -- the P-OI / C-OI skew backer (median of strikes within 10 pts) does not count</t>
  </si>
  <si>
    <t>wzDom (2026-10-04, Giggles; NEG/FRAGILE gamma only; UNTESTED, pre-registered): 1 = SUPPORT that is a put OPEN-INTEREST wall (Master Dashboard AN16:AN18; a gamma put wall alone does not qualify) + the Max Zomma strike (BG105) + DOM tag (FA), or RESISTANCE that is a call OI wall (AN13:AN15) + the Min Zomma strike (BG87) + DOM. Sets the reversal flag (AN) and makes the level SAFE irrespective of vanna (incl. vanna flat); clears every UNSAFE reason except Data incomplete (KK). safe_src WZDOM. 2026-10-01 7650 19:00-19:14</t>
  </si>
  <si>
    <t>gDexVannaRaw (2026-10-05, Giggles; POSITIVE gamma only, not fragile): 1 = reversal-flagged level (AN) whose flag comes from gDex (KG) and whose ARRIVAL vanna (JV) does not support the move (resistance not SELL / support not BUY, any size). Prompted by 7710 on 2026-10-02. UNTESTED</t>
  </si>
  <si>
    <t>gDexVannaLatch (2026-10-05, Giggles): written by the engine -- KN held with hysteresis, on after 2 cycles in a row, off after 2 cycles without it (GDV_HOLD). Blank = no engine latch -&gt; KP uses the raw KN. Do not type here.</t>
  </si>
  <si>
    <t>gDexVanna (effective, any reversal source; read by KR / KS): KO when the engine wrote it -- still gated on positive gamma, not fragile, and no data gap (KK) -- else the raw KN. UNTESTED</t>
  </si>
  <si>
    <t>gDexOnly (2026-10-05, Giggles): 1 = gDex (KG) is the ONLY source of this strike's reversal flag (AN) -- no dexDrop, dEdge, oEdge or iDex clause of AN fires. KR needs it. Not latched</t>
  </si>
  <si>
    <t>gDexRule (2026-10-05, Giggles): 1 = KP (gDex level, vanna not aligned, latched) AND gDex is the ONLY reversal source (KQ). This is the UNSAFE reason: read by HP, HQ (token GDEXVANNA) and the reaction table. UNTESTED</t>
  </si>
  <si>
    <t>gDexAlso (2026-10-05, Giggles; display only): 1 = KP but gDex is NOT the only reversal source, and the level is UNSAFE anyway (HP) -- the reaction table then also lists 'Vanna not aligned (gDex rule)' for the full picture. Never makes a level UNSAFE</t>
  </si>
  <si>
    <t>dexDrainEff (2026-10-05, Giggles; POSITIVE gamma, supports and resistances): 1 = the engine's DEX-drain flag (JT) AND the strike's |DEX| is still under BG108 (1,000K). At or above BG108 the strike is still a wall (call wall and such) and stays SAFE despite the drain. Read by HP, HQ (token DEXDRAIN) and the reaction-table DEX-draining warning. Size gate not latched. UNTESTED</t>
  </si>
  <si>
    <t>DOM wall flat (JL): opposed vanna at or above this is left to its own warning (VBUYRES / VSELL). Since 2026-10-02 the vanna override no longer reads this cell</t>
  </si>
  <si>
    <t>VANNA RULES (neg / fragile gamma only): 1) Opposed vanna &gt;= BG94 (100K) (SELL on a support, BUY on a resistance) = UNSAFE, every level incl. DOM, put walls, Min VEX. 2) 2026-10-02 SIMPLIFIED override (Giggles): reversal flag + aligned arrival vanna &gt;= BG94 + DEX aligned &gt;= BG100 (negative on resistance, positive on support) for BG101 (2) cycles LATCHES (JR, engine) and clears the geometry, IV-falling, chop-edge IV and Zomma ACCEL warnings. Releases at once on a break of BG9 (3) pts or more, opposed vanna &gt;= BG94 or a lost reversal flag; after BG101 cycles of flat/weak vanna, misaligned DEX, or off the table. 3) Vanna FLAT at the level (JY): within BG98 pts with fast IV flat = UNSAFE on every level, no exemptions. 4) A DOM needs aligned vanna &gt;= BG92 to be SAFE. 5) OI levels: aligned zomma and DEX &gt;= BG95. 6) Every rule reads the ARRIVAL vanna (JV).</t>
  </si>
  <si>
    <t>Merged vanna override (2026-10-02, simplified): DEX noise floor -- DEX at the strike must be at or below MINUS this on a resistance / at or above this on a support to count as aligned. Vanna uses the BG94 noise floor. UNTESTED</t>
  </si>
  <si>
    <t>Merged vanna override: cycles to switch ON, and cycles of flat / weak / misaligned vanna, misaligned DEX, or off the table before it switches OFF</t>
  </si>
  <si>
    <t>Call-wall resistance (neg/fragile γ): a positive-GEX resistance must rank in the top this-many positive-GEX strikes on the board (1 = the largest only; 2 lets a pair of call walls both qualify). UNTESTED</t>
  </si>
  <si>
    <t>Call-wall resistance: minimum call open interest at the strike (and calls must outnumber puts)</t>
  </si>
  <si>
    <t>Accelerant under call wall (neg/fragile γ): a negative-GEX resistance with a call wall (JZ) at most this many pts above it is UNSAFE. 5 = the strike directly above only. UNTESTED</t>
  </si>
  <si>
    <t>Max Zomma strike (auto, both regimes): most POSITIVE zomma on the board. Shares the ζ glyph with Min Zomma (BG87) on the ladder and the key-levels card (Master Dashboard L34). Credit (Zom backer) only when the zomma reading supports the move -- in negative gamma on the ARRIVAL reading (KC). 2026-10-02</t>
  </si>
  <si>
    <t>Data-incomplete guard: a strike within this many pts of spot with one side of open interest zero (the other not) counts as half-loaded (KJ). Empty strikes (both sides zero) count anywhere. 2026-10-03, UNTESTED</t>
  </si>
  <si>
    <t>Near-king-node support warning (KINGNODE / 'Level sits on the king node'): fires only on a negative-gamma support within this many pts of the king node (King Node Model B23, the max-gamma strike). Was missing -- the warning fired on any unexempted neg-gamma support. 2026-10-03 bug fix, Giggles</t>
  </si>
  <si>
    <t>DEX-drain wall floor (2026-10-05, Giggles): a drained level (JT) is UNSAFE only while |DEX| is under this. At or above it the strike still counts as a wall and stays SAFE -- supports and resistances alike (size, either sign). UNTESTED</t>
  </si>
  <si>
    <t xml:space="preserve">In this regime the big up moves came before 18:00 and the afternoon gave a little back. Can go 10 pts beyond DOM before reversal. </t>
  </si>
  <si>
    <t>dexDropUnsafe (REWRITTEN 2026-10-05, Giggles; POSITIVE gamma, not fragile): compares the DEX fall-off ABOVE (KU) with BELOW (KV) -- the whole picture, not one side. Sharper fall-off ABOVE (&gt;= BG114 and &gt;= below + BG115) = leans DOWN, the level acts as resistance: a SUPPORT is UNSAFE (1). Sharper BELOW = leans UP: a RESISTANCE is UNSAFE (-1). |DEX| &gt;= BG113. Exempt: DOM, Min GEX, put wall (support) / call wall (resistance), Min VEX only if BG116 = 1. Max GEX NOT exempt. Replaced the one-sided resistance rule (and its IV / spot gates): Giggles -- it looked at half the data and its success was luck. Archive: supports 15% vs 30% clean (p 0.009); both-sides shape 70% broke vs 47%. UNTESTED as built</t>
  </si>
  <si>
    <t>zomBack ARRIVAL (reads KC, the assumed arrival IV direction): kept for reference only since 2026-10-05 -- the confluence count, backer text, resistance qualification (CU) and neg-gamma support gate (DM) all read LA (fast IV) now</t>
  </si>
  <si>
    <t>zomNowArr (display, both regimes; wording 2026-10-05, Giggles): 'Now: strengthening/weakening the floor (or ceiling) (IV falling/rising) · if IV rises/falls: the opposite · expected on arrival: STRENGTHENS/WEAKENS ✓/✗'. Arrival uses KC (IV usually rises as price falls into a support, ~7 in 10 in Low IV too). Shown on the reaction-table Zomma column</t>
  </si>
  <si>
    <t>dexFallAbove (2026-10-05, Giggles): (|DEX here| - |DEX at the strike 5 pts ABOVE|) / |DEX here|. 1 = DEX vanishes above, 0 = same, negative = more DEX above. Read by HW</t>
  </si>
  <si>
    <t>dexFallBelow (2026-10-05, Giggles): (|DEX here| - |DEX at the strike 5 pts BELOW|) / |DEX here|. Read by HW</t>
  </si>
  <si>
    <t>dexLeanRaw (2026-10-05, Giggles): the two-sided DEX lean BEFORE the reversal-wall check -- same test as HW (1 = support leaning down, -1 = resistance leaning up). Read by KX</t>
  </si>
  <si>
    <t>dexLeanWall (2026-10-05, Giggles): 1 = the DEX lean (KW) would make this level UNSAFE, but the strike directly BEHIND it (below a support, above a resistance) carries the reversal flag (AN) AND more |DEX| than the level itself -- so HW does NOT mark it UNSAFE and the reaction table shows 'SAFE' with the reason. 7615 on 2026-09-17 qualifies (7610 behind: 906K &gt; 577K); 7690 on 2026-09-30 does not (7685 behind: 783K &lt; 4.28M) and stays UNSAFE. safe_src DEXLEANWALL. UNTESTED</t>
  </si>
  <si>
    <t>spdStar (2026-10-05; hold 2026-10-07, Giggles): 1 = Spd★ backer -- support at the Min Speed strike (BG119) or resistance at the Max Speed strike (BG118). POSITIVE gamma (not fragile) only: also 1 when the strike was Min/Max Speed in either of the previous 2 cycles (engine-written BG123:BG126) and its speed is still side-aligned (negative on a support, positive on a resistance); switch BG127. Negative/fragile gamma unchanged. +1 confluence and the reversal flag. UNTESTED</t>
  </si>
  <si>
    <t>dexLeanPosSafe (2026-10-05, Giggles; POSITIVE gamma): 1 = support with the DEX lean (KW = 1, sharper fall-off above) but POSITIVE DEX at the level -- not UNSAFE; reaction table shows SAFE with 'clean bounces less likely in positive gamma · however DEX supportive'. Archive: such supports broke 46% vs 46% (no more often), clean 15% vs 30%</t>
  </si>
  <si>
    <t>zomBackNow (2026-10-05, Giggles; BOTH regimes): 1 = Zom backer -- zomma size mark (AL) AND zomma firming the level on the FAST IV direction (BG80, else D5) right now. Read by the confluence count (AM), the backer text (C, KNM V/BQ), the resistance qualification (CU) and the neg-gamma support gate (DM) -- one Zom reading everywhere. Max/Min Zomma rules unchanged. Archive: arrival-Zom 23.8% vs 30.9% clean (p 0.05, wrong way); fast-IV Zom broke 48% vs 56% (p 0.08). UNTESTED as built</t>
  </si>
  <si>
    <t>inRBox (2026-10-06): 1 = this strike lies inside a resistance's box (positive gamma: it cannot qualify as a support -- e.g. 7750 inside 7755's 7750-7755 box). Used by the blue-reclaim ladder exception</t>
  </si>
  <si>
    <t>blueAt (2026-10-06, Giggles): 1 = the blue reclaim + vol-rolled marker (CT26) is on, the level is a SUPPORT and spot is within BG9 (3) pts of it. Exception: switches off the Max Gamma support UNSAFE (LD) and lets the ladder show the level green</t>
  </si>
  <si>
    <t>kgSupUnsafe (2026-10-06, Giggles; POSITIVE gamma, not fragile): 1 = SUPPORT at the Max Gamma strike (king node) that is NOT Max GEX or Min GEX -- UNSAFE 'fails ~66% of the time in positive gamma' (archive, 31 sessions: 60% failed vs 47%, n=30; supports 67%, n=15). Off while LC = 1. HQ token KGSUPFAIL. UNTESTED as a rule</t>
  </si>
  <si>
    <t>kgResLeak (2026-10-06, Giggles; POSITIVE gamma, not fragile): 1 = RESISTANCE at the Max Gamma strike (king node) that is NOT Max GEX or Min GEX while the Vol Tension line (KNM AB17) says 'resistance leaks' -- UNSAFE 'resistance leaks · Max Gamma fails as resistance ~50% of the time' (archive, 31 sessions: Max Gamma resistances failed 53%, n=15). HQ token KGRESLEAK. UNTESTED as a rule</t>
  </si>
  <si>
    <t>spdHeld (2026-10-07, Giggles): 1 = Spd★ (KY) is on only because of the positive-gamma 2-cycle hold -- the strike is not Min/Max Speed this cycle. UNTESTED</t>
  </si>
  <si>
    <t>nearTie / stacked (2026-10-07, Giggles; DISPLAY ONLY, both regimes): ladder tag = LH &amp; LI &amp; LJ -- only a strike directly next to the extreme (within BG136 pts) and within BG128 of its value; VEX also needs |VEX| &gt;= BG135. The ladder shades a tagged strike (green below spot, pink above). Not counted anywhere</t>
  </si>
  <si>
    <t>nearTie speed: within BG128 of Max (≈S↑) / Min (≈S↓) Speed, with the gap</t>
  </si>
  <si>
    <t>nearTie VEX: within BG128 of Max (≈⫪) / Min (≈⟂) VEX, with the gap</t>
  </si>
  <si>
    <t>nearTie zomma: within BG128 of Max / Min Zomma (≈ζ), with the gap</t>
  </si>
  <si>
    <t>spdText (2026-10-07): backer text for Spd★ -- 'Spd★(held) ' when LF = 1, 'Spd★ ' when KY = 1, else blank (read by the backer lists)</t>
  </si>
  <si>
    <t>stackShade (2026-10-07, Giggles; display only): ladder shading for a STACKED Speed or VEX strike -- copies its extreme's shading: 1 = green (extreme is a support row in the reaction table), 2 = pink (resistance row), 0 = none (extreme not shaded, or hidden by Hide unsafe). Zomma stacks are tagged but never shaded (heavy zomma stacks chop)</t>
  </si>
  <si>
    <t>DEX drift obs (Giggles's sign rule, 2026-10-05): window (pts either side of spot). Display only; the sign rule had no edge over 15-60 min (archive) -- read it over the day</t>
  </si>
  <si>
    <t>DEX drift obs: when net DEX is negative, one side's NEGATIVE DEX must be &gt;= this x the other to call a direction</t>
  </si>
  <si>
    <t>(auto) negative DEX BELOW spot in window (size)</t>
  </si>
  <si>
    <t>(auto) negative DEX ABOVE spot in window (size)</t>
  </si>
  <si>
    <t>(auto) DEX drift obs label (shown after KNM A20): net DEX &gt; 0 -&gt; Upward drift; net &lt; 0 -&gt; the side with &gt;= BG67 x the negative DEX decides (more below = Downward, more above = Upward), else unclear. Replaced the |DEX| below-vs-above 'Bearish/Bullish' tag on 2026-10-05: it read 'Bearish' through the 10-05 up-drift</t>
  </si>
  <si>
    <t>Positive-GEX dEdge Cliff UNSAFE switch (JU): 1 = on (the 2026-09-30 rule: UNSAFE 'cliffs break more than they hold' and the REVERSAL label hidden), 0 = off. 2026-10-05, Giggles: OFF -- archive (25 pos-gamma sessions): cliffs broke 45% vs 51% for other levels, clean 30% vs 27%. The reversal flag itself is unchanged.</t>
  </si>
  <si>
    <t>Quick reclaim (POSITIVE gamma, engines): pts back past the bare strike, on the level's ORIGINAL side, after a &gt; BG9 flip. 2026-10-05, Giggles. UNTESTED</t>
  </si>
  <si>
    <t>Quick reclaim: cycles in a row back on the original side needed to restore it (3 chosen over 2: fewer failed reclaims, ~40 s later)</t>
  </si>
  <si>
    <t>Quick reclaim: window in MINUTES after the flip; outside it the normal &gt; BG9 crossing rule applies</t>
  </si>
  <si>
    <t>DEX lean rule: minimum |DEX| at the level (HW)</t>
  </si>
  <si>
    <t>DEX lean rule: the sharper side must fall off by at least this share (0.4 = 40%)</t>
  </si>
  <si>
    <t>DEX lean rule: the sharper side must exceed the other side's fall-off by at least this (0.10 = 10 points)</t>
  </si>
  <si>
    <t>DEX lean rule: exempt the Min VEX strike? 1 = yes, 0 = no (2026-10-05 default no)</t>
  </si>
  <si>
    <t>(auto) DEX drift obs: NET DEX within BG66 pts of spot (sign kept)</t>
  </si>
  <si>
    <t>(auto) MAX SPEED strike (largest speed on the ladder; Spd★ on a resistance)</t>
  </si>
  <si>
    <t>(auto) MIN SPEED strike (most negative speed on the ladder; Spd★ on a support)</t>
  </si>
  <si>
    <t>(auto) MAX DEX strike (most positive DEX on the ladder; key table I36)</t>
  </si>
  <si>
    <t>(auto) MIN DEX strike (most negative DEX on the ladder; key table I36)</t>
  </si>
  <si>
    <t>(auto) MAX VEX strike (largest VEX on the ladder; key table K36)</t>
  </si>
  <si>
    <t>(engine) MAX SPEED strike 1 cycle ago -- Spd★ 2-cycle hold (POSITIVE gamma only). Written each cycle by the engine; blank = no history. Don't edit</t>
  </si>
  <si>
    <t>(engine) MAX SPEED strike 2 cycles ago -- Spd★ hold. Don't edit</t>
  </si>
  <si>
    <t>(engine) MIN SPEED strike 1 cycle ago -- Spd★ hold. Don't edit</t>
  </si>
  <si>
    <t>(engine) MIN SPEED strike 2 cycles ago -- Spd★ hold. Don't edit</t>
  </si>
  <si>
    <t>Spd★ 2-cycle hold switch (POSITIVE gamma, not fragile): 1 = on, 0 = off. Negative/fragile gamma never held. 2026-10-07, Giggles. Archive: held strikes 45% clean (n=11) vs 26% at-the-touch. UNTESTED</t>
  </si>
  <si>
    <t>Stacked ladder tag threshold (display only): a strike next to the Max/Min Speed, VEX or Zomma strike and within this fraction of its value is tagged (0.12 = 12%; Giggles raised from 0.10 on 2026-10-07)</t>
  </si>
  <si>
    <t>(auto) MAX SPEED value (near-tie tag)</t>
  </si>
  <si>
    <t>(auto) MIN SPEED value (near-tie tag)</t>
  </si>
  <si>
    <t>(auto) MAX VEX value (near-tie tag)</t>
  </si>
  <si>
    <t>(auto) MIN VEX value (near-tie tag)</t>
  </si>
  <si>
    <t>(auto) MAX ZOMMA value (near-tie tag)</t>
  </si>
  <si>
    <t>(auto) MIN ZOMMA value (near-tie tag)</t>
  </si>
  <si>
    <t>Stacked VEX tag: minimum |VEX| at the tagged strike (2026-10-07, Giggles)</t>
  </si>
  <si>
    <t>Stacked tag: max distance in pts from the extreme strike (5 = the strike directly next to it)</t>
  </si>
  <si>
    <t>(auto) ladder shading of the MAX SPEED strike: 1 green (support row), 2 pink (resistance row), 0 none -- read by LL</t>
  </si>
  <si>
    <t>(auto) ladder shading of the MIN SPEED strike (1/2/0)</t>
  </si>
  <si>
    <t>(auto) ladder shading of the MAX VEX strike (1/2/0)</t>
  </si>
  <si>
    <t>(auto) ladder shading of the MIN VEX strike (1/2/0)</t>
  </si>
  <si>
    <t>Newest first. Every rule change and the reason for it. Kept by Claude when a rule is changed; edit freely.</t>
  </si>
  <si>
    <t>Rule</t>
  </si>
  <si>
    <t>Change</t>
  </si>
  <si>
    <t>Why (Giggles / prompt)</t>
  </si>
  <si>
    <t>Evidence</t>
  </si>
  <si>
    <t>Where</t>
  </si>
  <si>
    <t>2026-10-07</t>
  </si>
  <si>
    <t>Spd★ 2-cycle hold</t>
  </si>
  <si>
    <t>A strike that was the Min Speed (support) or Max Speed (resistance) strike in either of the previous 2 cycles keeps Spd★ (+1 confluence, reversal flag) while its speed stays side-aligned; backer shows 'Spd★(held)'. Positive gamma only, not fragile. Negative/fragile gamma unchanged (Giggles: leave as is). Engines write the history to Level Engine BG123:BG126; switch BG127</t>
  </si>
  <si>
    <t>7730 on 10-05 was Min Speed every cycle 14:50-15:11 except 15:01:20 and 15:02:07 (7725 by 63/83) -- exactly the touch; it bounced</t>
  </si>
  <si>
    <t>Archive first touches, pos gamma: held (not extreme at the touch) 45% clean n=11, 10-min hold 39% n=23, vs 26% at-the-touch n=23 and ~28-30% other levels. Neg gamma: held 0% n=6, 10-min 14% n=21 -- not built there</t>
  </si>
  <si>
    <t>Level Engine KY, LF, LK, BG123:BG127; KNM backers; LE C; both engines</t>
  </si>
  <si>
    <t>Untested</t>
  </si>
  <si>
    <t>All</t>
  </si>
  <si>
    <t>Near-tie ladder tag</t>
  </si>
  <si>
    <t>STACKED levels only: a strike directly next to (BG136 = 5 pts) the Max/Min Speed, VEX or Zomma strike and within 12% (BG128) of its value is tagged ≈S↑ / ≈S↓ / ≈⫪ / ≈⟂ / ≈ζ with the gap (e.g. 7730 ≈S↓6%); the VEX tag also needs |VEX| &gt;= 100K (BG135). A stacked Speed or VEX strike copies its extreme's ladder shading (shaded only when the Max/Min Speed or Max/Min VEX strike is itself shaded as a reaction level, e.g. speed with its 3 backers; same colour; follows Hide unsafe). Stacked Zomma is tagged but never shaded (heavy zomma stacks tend to chop). Display only -- not counted</t>
  </si>
  <si>
    <t>Giggles: near-equal stacked levels (7725/7730 speed and VEX) should at least be highlighted and shaded; threshold raised to 12%, stacked-only and VEX &gt;= 100K added the same day</t>
  </si>
  <si>
    <t>Not counted: near-tie 2nd speed added 0 cases beyond the hold; Min VEX strike shows no edge (27-30% vs 29%); near-tie zomma n=4</t>
  </si>
  <si>
    <t>Level Engine LG:LJ, LL, BG128:BG140; Master Dashboard DJ (ladder text) + 2 ladder shading rules A3:C64</t>
  </si>
  <si>
    <t>Display</t>
  </si>
  <si>
    <t>2026-10-06</t>
  </si>
  <si>
    <t>Blue reclaim exception: support table</t>
  </si>
  <si>
    <t>While the blue reclaim + vol-rolled marker is on and spot is within 3 pts, the Max Gamma support is no longer blocked by sitting inside a resistance's box -- it can qualify for the support rows of the Next Reaction table</t>
  </si>
  <si>
    <t>Giggles: 7750 (Max Gamma, inside 7755's box) at 15:41 on 10-05 should be back in the support table</t>
  </si>
  <si>
    <t>Level Engine CV9:CV55</t>
  </si>
  <si>
    <t>Max Gamma resistance + resistance leaks</t>
  </si>
  <si>
    <t>A resistance at the Max Gamma strike (not Max GEX or Min GEX) is UNSAFE while the Vol Tension line says 'resistance leaks': 'Resistance leaks · Max Gamma fails as resistance ~50% of the time'</t>
  </si>
  <si>
    <t>Giggles, after 7750 leaked to 7757 on 10-05</t>
  </si>
  <si>
    <t>31 sessions: Max Gamma (not Max/Min GEX) resistances failed 53% (n=15) -- small sample; the leak reading itself is only archived from 10-07</t>
  </si>
  <si>
    <t>Level Engine LE, HP, HQ KGRESLEAK; reaction table DB/CZ</t>
  </si>
  <si>
    <t>Ladder: stacked-level shading REMOVED</t>
  </si>
  <si>
    <t>The dark/light shading for stacked ranked levels is removed; ladder colours are back to how they were before</t>
  </si>
  <si>
    <t>Giggles: does not like the deeper shading</t>
  </si>
  <si>
    <t>Master Dashboard CF A3:C64</t>
  </si>
  <si>
    <t>Removed</t>
  </si>
  <si>
    <t>Blue reclaim exception</t>
  </si>
  <si>
    <t>While the blue reclaim + vol-rolled marker is on, a SUPPORT within 3 pts of spot that is the king node or sits inside a resistance's box is shaded green on the ladder, and the Max Gamma support UNSAFE is off for it</t>
  </si>
  <si>
    <t>Giggles: 7750 at 15:41 on 10-05 -- reclaimed with vol rolled, absorbed into 7755's box, should show as support</t>
  </si>
  <si>
    <t>Level Engine LB, LC; Master Dashboard DM, CF A3:C64 priority 1</t>
  </si>
  <si>
    <t>Max Gamma support UNSAFE</t>
  </si>
  <si>
    <t>A support at the Max Gamma strike that is not Max GEX or Min GEX is UNSAFE: 'fails ~66% of the time in positive gamma' (positive gamma, not fragile)</t>
  </si>
  <si>
    <t>Giggles, after the king-node test</t>
  </si>
  <si>
    <t>31 sessions: Max Gamma (not Max/Min GEX) failed 60% vs 47% (n=30, p 0.24); as support 67% (n=15)</t>
  </si>
  <si>
    <t>Level Engine LD, HP, HQ KGSUPFAIL; reaction table DB/CZ</t>
  </si>
  <si>
    <t>Archive: vol tension</t>
  </si>
  <si>
    <t>Live engine archives the Vol Tension line (King Node Model AB17, e.g. '... resistance leaks — dips shallow') as a new column vol_tension</t>
  </si>
  <si>
    <t>Giggles's idea: when resistance leaks, a negative-DEX strike within 10 pts above becomes the resistance -- untestable without this reading</t>
  </si>
  <si>
    <t>Archive (72 sessions) without the leak condition: negative DEX above didn't change breaks (44% vs 45%) and broken levels stopped at it only 30%</t>
  </si>
  <si>
    <t>live_king_node.py ARCHIVE_HEADER / archive_snapshot</t>
  </si>
  <si>
    <t>Record (test at ~20 sessions)</t>
  </si>
  <si>
    <t>Ladder: stacked levels font</t>
  </si>
  <si>
    <t>Dark stacked-level shading no longer forces white bold text -- the normal ladder font shows (navy at the spot level, black otherwise)</t>
  </si>
  <si>
    <t>Giggles found the white off-putting</t>
  </si>
  <si>
    <t>Master Dashboard CF dark stacked rules</t>
  </si>
  <si>
    <t>Ladder: stacked levels (bug fix)</t>
  </si>
  <si>
    <t>Stacked-level shading now only applies to levels shown in the Next Reaction table (lines 45-47 / 52-54); ranked levels outside the table are no longer shaded</t>
  </si>
  <si>
    <t>Giggles: levels not in the reaction table were appearing on the ladder</t>
  </si>
  <si>
    <t>Master Dashboard DK3:DL64</t>
  </si>
  <si>
    <t>Fix</t>
  </si>
  <si>
    <t>Ladder: stacked levels (fix)</t>
  </si>
  <si>
    <t>The STRONGER of two stacked ranked levels now gets a dark fill (raspberry C2185B / green 2E7D32, white bold text); the weaker keeps the light fill (E98AA4 / 9FCC7E). The first build only lightened the weaker one -- but the normal ladder fill is already light, so both looked the same</t>
  </si>
  <si>
    <t>7755 r6 over 7750 r1 at 15:12 on 10-05 showed the same shade</t>
  </si>
  <si>
    <t>Master Dashboard CF A3:C64 priority 1-4</t>
  </si>
  <si>
    <t>Key table heights</t>
  </si>
  <si>
    <t>Key-table rows 34 and 36 raised to 48 so every line shows in full (Speed and DEX lines wrap to three lines)</t>
  </si>
  <si>
    <t>Giggles: make sure the key tables can be read</t>
  </si>
  <si>
    <t>Master Dashboard rows 34, 36</t>
  </si>
  <si>
    <t>Ladder: stacked levels</t>
  </si>
  <si>
    <t>Where two ranked levels of the same side sit on neighbouring ladder rows, the weaker rank is shaded LIGHT (raspberry E98AA4 / green 9FCC7E) and the stronger keeps the dark colour</t>
  </si>
  <si>
    <t>7755 r1 directly above 7750 r6 on 10-05 -- Giggles wants the stronger one to stand out</t>
  </si>
  <si>
    <t>Master Dashboard CF A3:C64 (priority 1-2), helpers DK/DL</t>
  </si>
  <si>
    <t>Ladder formula size (fix)</t>
  </si>
  <si>
    <t>Max VEX / Speed / DEX glyphs and the rank tag moved from the ladder label formula (B) into helper column DJ -- B was 8,110 of Excel's 8,192-character limit; now 7,793. Key lines no longer show '-0 pts'</t>
  </si>
  <si>
    <t>Bug sweep: one more glyph would have stopped Excel opening the file</t>
  </si>
  <si>
    <t>Master Dashboard B3:B49, DJ3:DJ49, I34, I36, K36</t>
  </si>
  <si>
    <t>Ladder: Max VEX glyph and rank tags</t>
  </si>
  <si>
    <t>Ladder shows ⫪ on the Max VEX strike (key line '⫪ MAX VEX') and a rank tag r1-r6 / s1-s6 for strikes in the locked resistance / support lists (same numbering as the reaction table)</t>
  </si>
  <si>
    <t>Giggles: 7750 (r6) under 7755 (r1) -- wants rank visible on the ladder; blanking/UNSAFE not supported by the archive (resistance 25% vs 25% clean)</t>
  </si>
  <si>
    <t>Archive 72 sessions: lower-ranked resistance 5 pts under a better one rejected/broke at the normal rate</t>
  </si>
  <si>
    <t>Master Dashboard B3:B49, K36</t>
  </si>
  <si>
    <t>Key table: Max VEX</t>
  </si>
  <si>
    <t>MAX VEX in K36 under MIN VEX (same purple); FLIP moved to G36:H36 under Min GEX; E36:F36 left empty</t>
  </si>
  <si>
    <t>Giggles wants Max VEX visible but kept separate from Min VEX</t>
  </si>
  <si>
    <t>Master Dashboard K36, G36:H36; Level Engine BG122</t>
  </si>
  <si>
    <t>King-node PIN icon</t>
  </si>
  <si>
    <t>The ⊙/⚡ PIN icon (reaction table column M and the king-node ⊙ on the ladder) shows only when the level has NO reversal flag; with a flag it reads REVERSAL -- the reversal flag takes priority</t>
  </si>
  <si>
    <t>Giggles's call</t>
  </si>
  <si>
    <t>Master Dashboard M45:M47, M52:M54, B3:B49</t>
  </si>
  <si>
    <t>REVERSAL shown on PIN labels</t>
  </si>
  <si>
    <t>Column M adds 'REVERSAL · ' when the level carries the reversal flag but its label does not say so (e.g. the king node's '⚡ ⊙ PIN')</t>
  </si>
  <si>
    <t>7750 at 14:53 had the reversal flag (dEdge) but showed only '⚡ ⊙ PIN'</t>
  </si>
  <si>
    <t>Master Dashboard M45:M47, M52:M54</t>
  </si>
  <si>
    <t>Ladder glyphs D↑ / D↓</t>
  </si>
  <si>
    <t>Ladder shows D↑ on the Max DEX strike and D↓ on the Min DEX strike; key-table lines read 'D↑ MAX DEX' / 'D↓ MIN DEX'</t>
  </si>
  <si>
    <t>Giggles chose option A (matches S↑/S↓)</t>
  </si>
  <si>
    <t>Max/Min DEX strikes: no significant hold/break difference either regime (71 sessions, n 3-20)</t>
  </si>
  <si>
    <t>Master Dashboard B3:B49, I36</t>
  </si>
  <si>
    <t>Key table: Max/Min DEX</t>
  </si>
  <si>
    <t>New merged box I36:J36 (light yellow like Max GEX): 'MAX DEX strike +x.xxM · pts' / 'MIN DEX …'</t>
  </si>
  <si>
    <t>Giggles wanted Max/Min DEX on the key table</t>
  </si>
  <si>
    <t>Master Dashboard I36:J36; Level Engine BG120/BG121</t>
  </si>
  <si>
    <t>3rd-row fallback backer gate (bug fix)</t>
  </si>
  <si>
    <t>In positive gamma (not fragile) the 3rd-row fallback only picks a level with at least BG20 (3) backers -- the same bar as qualification</t>
  </si>
  <si>
    <t>7735 (2 backers: Dex↓ dEdge) reached row 47 via the fallback at 14:48 on 10-05</t>
  </si>
  <si>
    <t>Level Engine HR9:HR14, HR18:HR23, IR9:IR14, IR18:IR23</t>
  </si>
  <si>
    <t>NO REV label</t>
  </si>
  <si>
    <t>Reaction-table status (column M) starts 'NO REV · ' when the level has no reversal flag</t>
  </si>
  <si>
    <t>7750 (γWall, max gamma) sat in the table with no reversal flag and only '⚡ ⊙ PIN' to show it</t>
  </si>
  <si>
    <t>Green shading reserved for zomma</t>
  </si>
  <si>
    <t>DEX-based SAFE notes (positive-DEX 'however DEX supportive' and the reversal-wall-behind note) never turn the reaction row green -- no green border, no green fill on the level (E) or text (L) cells; the notes still show. Green stays for zomma and the other SAFE rules</t>
  </si>
  <si>
    <t>Giggles: green is reserved for zomma, remove it from DEX entirely</t>
  </si>
  <si>
    <t>Master Dashboard AP45:AP54, CF fills on E/L</t>
  </si>
  <si>
    <t>Green box vs DEX-supportive note</t>
  </si>
  <si>
    <t>The positive-DEX DEX-lean note ('…clean bounces less likely in positive gamma · however DEX supportive') no longer turns the reaction-row box green when it is the only SAFE text; the text still shows</t>
  </si>
  <si>
    <t>Giggles: the green box is reserved for zomma</t>
  </si>
  <si>
    <t>Master Dashboard AP45:AP47, AP52:AP54</t>
  </si>
  <si>
    <t>Key table layout</t>
  </si>
  <si>
    <t>MAX/MIN SPEED back in one merged I34:J34 box, one line each like the Max/Min Zomma box ('S↑ MAX SPEED 7770 +11,168 · +33 pts' / 'S↓ MIN SPEED …'); row 36 raised to 33.75 so the two-line FLIP box reads in full</t>
  </si>
  <si>
    <t>I (narrow) and J (wide) as separate boxes did not read well; FLIP was cut off at 17.25</t>
  </si>
  <si>
    <t>Master Dashboard I34:J34, row 36</t>
  </si>
  <si>
    <t>Key table / reaction table formatting</t>
  </si>
  <si>
    <t>Row 36: medium border on the left (D|E) and right (N), no borders between F and M (matches the key table frame); reaction-table row heights raised so every line shows (reaction rows 120, compact rows 85)</t>
  </si>
  <si>
    <t>FLIP line had stray borders after the move; zomma text gained a line</t>
  </si>
  <si>
    <t>Master Dashboard row 36, rows 43-54</t>
  </si>
  <si>
    <t>2026-10-05</t>
  </si>
  <si>
    <t>Key tables (bug fix)</t>
  </si>
  <si>
    <t>Removed the old PLAY-detail highlight on E36:N36 (raspberry fill, white bold font whenever E36 had text) -- it would have painted the new FLIP box and the empty cells to its right</t>
  </si>
  <si>
    <t>Leftover of the removed PLAY line; FLIP now lives in E36</t>
  </si>
  <si>
    <t>Master Dashboard CF E36:N36</t>
  </si>
  <si>
    <t>Both</t>
  </si>
  <si>
    <t>Zom in qualification gates</t>
  </si>
  <si>
    <t>Resistance qualification (CU) and neg-gamma support gate (DM) now read the fast-IV Zom (LA) instead of the arrival reading (JW) -- one Zom reading everywhere</t>
  </si>
  <si>
    <t>Consistency with the confluence count; arrival-Zom picked worse levels in the archive</t>
  </si>
  <si>
    <t>Arrival-Zom 23.8% vs 30.9% clean (p 0.05)</t>
  </si>
  <si>
    <t>Level Engine CU, DM</t>
  </si>
  <si>
    <t>Zom backer on fast IV</t>
  </si>
  <si>
    <t>Confluence and the Zom backer text now count Zom when zomma firms the level on the FAST IV direction now (LA), not the assumed arrival direction (JW); same in both regimes. Max/Min Zomma rules and the arrival-based gates (CU, DM) unchanged</t>
  </si>
  <si>
    <t>7730 on 10-05: IV falling, floor strengthening, Zom not counted because arrival assumed IV up</t>
  </si>
  <si>
    <t>Archive 53 sessions: arrival-Zom 23.8% vs 30.9% clean (p 0.05, wrong way); fast-IV Zom broke 48% vs 56% (p 0.08)</t>
  </si>
  <si>
    <t>Level Engine LA, AM, C; KNM V/BQ backers</t>
  </si>
  <si>
    <t>Ladder glyphs S↑ / S↓</t>
  </si>
  <si>
    <t>Ladder labels show S↑ on the Max Speed strike and S↓ on the Min Speed strike</t>
  </si>
  <si>
    <t>Giggles's choice of glyph</t>
  </si>
  <si>
    <t>Master Dashboard B3:B49</t>
  </si>
  <si>
    <t>Spd★ reversal flag</t>
  </si>
  <si>
    <t>The side-aligned Max/Min Speed strike (Spd★: Min Speed support, Max Speed resistance) now earns the reversal flag; the ordinary Spd backer (mixed-sign speed) does not</t>
  </si>
  <si>
    <t>Giggles: speed only gets the reversal flag when it is the Max or Min level (7730 Min Speed held on 10-05)</t>
  </si>
  <si>
    <t>Same exploratory archive result as the Spd★ backer</t>
  </si>
  <si>
    <t>Level Engine AN, KQ (KY)</t>
  </si>
  <si>
    <t>Key tables layout</t>
  </si>
  <si>
    <t>Row 34 I/J: FLIP replaced by MAX SPEED and MIN SPEED; 'PLAY' heading (E35) removed; FLIP moved to E36:F36 in the same format</t>
  </si>
  <si>
    <t>Max/Min Speed wanted on the key table</t>
  </si>
  <si>
    <t>Master Dashboard I34, J34, E35, E36</t>
  </si>
  <si>
    <t>DEX lean: positive-DEX supports</t>
  </si>
  <si>
    <t>Support with the sharper fall-off above but POSITIVE DEX at the level is no longer UNSAFE; shows SAFE with 'clean bounces less likely in positive gamma · however DEX supportive' (safe_src DEXPOSSAFE)</t>
  </si>
  <si>
    <t>Giggles: positive DEX at the level is supportive (7730 held on 10-05)</t>
  </si>
  <si>
    <t>Positive-DEX supports with the lean broke 46% vs 46%; clean 15% vs 30%</t>
  </si>
  <si>
    <t>Level Engine HW/KZ, reaction table DG</t>
  </si>
  <si>
    <t>Zomma wording</t>
  </si>
  <si>
    <t>Reaction-table zomma line: 'Now: strengthening/weakening the floor (IV …) · if IV rises/falls: … · expected on arrival: …'</t>
  </si>
  <si>
    <t>7730: IV was falling (floor strengthening) but the column only showed the arrival reading</t>
  </si>
  <si>
    <t>Arrival IV rises ~7 in 10 even in Low IV + falling (n=20); hold/break unaffected</t>
  </si>
  <si>
    <t>Level Engine KE</t>
  </si>
  <si>
    <t>Spd★ backer (Max/Min Speed)</t>
  </si>
  <si>
    <t>+1 confluence and 'Spd★' backer: support at the Min Speed strike, resistance at the Max Speed strike; not gated by 'Speed active?'</t>
  </si>
  <si>
    <t>7730 on 10-05 was Min Speed and bounced (+27) with only 1 backer counted</t>
  </si>
  <si>
    <t>Pos gamma archive (exploratory): Min Speed supports 38.5% vs 25.7% clean (p 0.07, n=52); Max Speed resistances broke 23% vs 53% (p 0.047, n=13)</t>
  </si>
  <si>
    <t>Level Engine KY, BG118/BG119, AM, C; KNM backers</t>
  </si>
  <si>
    <t>Ladder UNSAFE flag vs Min VEX (bug fix)</t>
  </si>
  <si>
    <t>Ladder unsafe flag (Master Dashboard BB): the blanket Min VEX exemption no longer applies to a strike shown in the Next Reaction table -- the table's own verdict decides, so ladder and table agree. Row 3 already excluded the first two support slots; rows 4-48 had missed that fix; now all six slots, all rows</t>
  </si>
  <si>
    <t>7770 at 20:50 on 10-05: reaction table UNSAFE (DEX lean), ladder showed it safe via the old blanket Min VEX exemption</t>
  </si>
  <si>
    <t>Master Dashboard BB3:BB64</t>
  </si>
  <si>
    <t>Drift bias label (Two-Way)</t>
  </si>
  <si>
    <t>Regime title (F10) also tags 'Two-Way Long-Gamma Vol Compression': '· Drift bias unclear (7 of 12 sessions up, wide range) · monitor DEX for guidance'</t>
  </si>
  <si>
    <t>Same layout for both regimes; regime changed to Two-Way at ~20:29 on 10-05</t>
  </si>
  <si>
    <t>7 of 12 sessions ended above the regime start (p 0.57 vs 47% base); moves -17.9 to +57.7; net DEX positive at the start in 11 of 12</t>
  </si>
  <si>
    <t>Master Dashboard F10</t>
  </si>
  <si>
    <t>DEX drift obs tag (KNM A20)</t>
  </si>
  <si>
    <t>Switched from |DEX| below vs above ('Bearish/Bullish DEX') to Giggles's sign rule: net DEX within 25 pts &gt; 0 = Upward drift; if negative, the side with &gt;= 2x the negative DEX decides (below = Downward, above = Upward), else unclear</t>
  </si>
  <si>
    <t>Old tag read 'Bearish' through the 10-05 up-drift (DEX positive all day) -- it measured where the DEX mass sits, not drift</t>
  </si>
  <si>
    <t>Old tag failed its test (45%); sign rule: no edge over 15-60 min, day-level only (drift regime 11 of 14 up)</t>
  </si>
  <si>
    <t>Level Engine BG66-BG70, BG117</t>
  </si>
  <si>
    <t>Display (obs)</t>
  </si>
  <si>
    <t>Drift bias label</t>
  </si>
  <si>
    <t>Master Dashboard regime title (F10) gets '· Drift bias UP (11 of 14 sessions, pullbacks expected) · monitor DEX for guidance' when the regime is 'Long Gamma Compression — Reinforced … Positioning Drift'</t>
  </si>
  <si>
    <t>Drift is called over the day, not the next hour; 10-05 drifted up 7723 -&gt; 7757</t>
  </si>
  <si>
    <t>In this regime price ended above its regime start 11 of 14 sessions vs 47% of all sessions (p 0.03); DEX-based drift call itself no edge (always read up)</t>
  </si>
  <si>
    <t>Master Dashboard F10 (display only; archived md_phenom carries the tag)</t>
  </si>
  <si>
    <t>Roll+reclaim blue border</t>
  </si>
  <si>
    <t>Re-enabled: blue border round the whole Next Reaction table (E40:O54) while the reclaim marker (Level Engine CT26) is on; drawn on the cells just outside the table so it never clashes with the row borders; set to win over them while lit</t>
  </si>
  <si>
    <t>Wanted back after 7750 was reclaimed on 10-05 (would have lit 15:41:06-15:45)</t>
  </si>
  <si>
    <t>Removed 10-01 (display only)</t>
  </si>
  <si>
    <t>Master Dashboard CF E39:O39, E55:O55, D40:D54, P40:P54; AP40</t>
  </si>
  <si>
    <t>gDex vanna rule</t>
  </si>
  <si>
    <t>gDex is the ONLY reversal reason and arrival vanna doesn't support the move = UNSAFE 'Vanna not aligned (gDex rule)'; 2-on/2-off latch; with other reasons listed only if UNSAFE anyway</t>
  </si>
  <si>
    <t>7710 on 10-02 (gamma wall, vanna BUY on arrival)</t>
  </si>
  <si>
    <t>Flicker check 10-02: 214 -&gt; 132 flips</t>
  </si>
  <si>
    <t>LE KN-KS, engines KO</t>
  </si>
  <si>
    <t>DEX drain floor</t>
  </si>
  <si>
    <t>Drain is UNSAFE only while |DEX| &lt; 1,000K; bigger strikes still count as walls</t>
  </si>
  <si>
    <t>7700 at 15:39 on 10-02 (+1,392K)</t>
  </si>
  <si>
    <t>None</t>
  </si>
  <si>
    <t>LE KT, BG108</t>
  </si>
  <si>
    <t>Trough skew line</t>
  </si>
  <si>
    <t>OI-skew line dropped when the skew backs the level</t>
  </si>
  <si>
    <t>A call-heavy strike enforces a support (7715)</t>
  </si>
  <si>
    <t>Reaction table CP</t>
  </si>
  <si>
    <t>PLAY line</t>
  </si>
  <si>
    <t>PLAY line (Master Dashboard E37) and its ◉ ladder glyph removed; ⊙ pin glyph kept</t>
  </si>
  <si>
    <t>Not wanted</t>
  </si>
  <si>
    <t>Master Dashboard</t>
  </si>
  <si>
    <t>dEdge cliff UNSAFE</t>
  </si>
  <si>
    <t>Positive-GEX cliff UNSAFE switched OFF (BG109 = 0); REVERSAL label restored</t>
  </si>
  <si>
    <t>Contradiction: the cliff gave the reversal flag (7750); cliff is real and holds when aligned</t>
  </si>
  <si>
    <t>Cliffs broke 45% vs 51%, clean 30% vs 27% (25 sessions)</t>
  </si>
  <si>
    <t>LE JU, BG109</t>
  </si>
  <si>
    <t>Off</t>
  </si>
  <si>
    <t>Quick reclaim</t>
  </si>
  <si>
    <t>Level flipped by &gt;3 pts returns to its side if spot is back &gt;=0.5 pt for 3 cycles within 5 min</t>
  </si>
  <si>
    <t>7750 sat as resistance 15:37-15:50 on 10-05</t>
  </si>
  <si>
    <t>Reclaims 42% clean vs 25% (52 cases, exploratory)</t>
  </si>
  <si>
    <t>Engines, BG110-112</t>
  </si>
  <si>
    <t>Knoll pocket</t>
  </si>
  <si>
    <t>Proposed reversal source (Knoll + DEX pocket); not built</t>
  </si>
  <si>
    <t>7740 rejected all morning on 10-05</t>
  </si>
  <si>
    <t>1 touch in 52 sessions: untestable</t>
  </si>
  <si>
    <t>Not built</t>
  </si>
  <si>
    <t>DEX lean (replaces one-sided drop-off)</t>
  </si>
  <si>
    <t>Compare DEX fall-off above vs below: sharper above = path down (support UNSAFE, 'Toward Min GEX'); sharper below = path up (resistance UNSAFE, 'Toward Max GEX'); Max GEX not exempt; Min VEX switch BG116</t>
  </si>
  <si>
    <t>One-sided rule looked at half the data and its success was luck; 7690 on 09-30 20:37</t>
  </si>
  <si>
    <t>Supports 15% vs 30% clean (p 0.009); peak shape 70% broke vs 47%</t>
  </si>
  <si>
    <t>LE HW/KU/KV, BG113-116</t>
  </si>
  <si>
    <t>DEX lean override</t>
  </si>
  <si>
    <t>Not applied when the strike directly behind is reversal-flagged AND carries MORE DEX than the level; shows 'SAFE·Level safe' with the reason (safe_src DEXLEANWALL)</t>
  </si>
  <si>
    <t>7615 on 09-17 (7610 reversal wall below, bounced +20); keep 7690 UNSAFE (783K below &lt; 4.28M)</t>
  </si>
  <si>
    <t>Rev behind: 41% vs 14% clean (n=17, exploratory)</t>
  </si>
  <si>
    <t>LE KW/KX, reaction table DG/DH</t>
  </si>
  <si>
    <t>2026-10-04</t>
  </si>
  <si>
    <t>Lock: reversal carry-over / fast entry</t>
  </si>
  <si>
    <t>Reversal-flagged locked levels survive a raw re-adopt for 1 cycle; fast entry into stale slots</t>
  </si>
  <si>
    <t>7615 on 10-01 16:09-16:10</t>
  </si>
  <si>
    <t>Engines apply_lock</t>
  </si>
  <si>
    <t>SAFE/UNSAFE display</t>
  </si>
  <si>
    <t>A SAFE note is never shown with UNSAFE reasons</t>
  </si>
  <si>
    <t>An UNSAFE level lists only why it is unsafe</t>
  </si>
  <si>
    <t>Reaction table</t>
  </si>
  <si>
    <t>Drops interior negative-GEX gamma peaks (edge strike kept)</t>
  </si>
  <si>
    <t>7625 inside the 7640 block failed</t>
  </si>
  <si>
    <t>Pre-registered 10-04</t>
  </si>
  <si>
    <t>Engines -&gt; LE DS</t>
  </si>
  <si>
    <t>Neg/Frag</t>
  </si>
  <si>
    <t>WZDOM</t>
  </si>
  <si>
    <t>Put OI wall + Max Zomma + DOM (support) / call OI wall + Min Zomma + DOM (resistance) = reversal flag and SAFE</t>
  </si>
  <si>
    <t>7650 on 10-01 19:00-19:14</t>
  </si>
  <si>
    <t>LE KM</t>
  </si>
  <si>
    <t>NO-REV marker</t>
  </si>
  <si>
    <t>Proximate levels without a reversal flag tagged NO-REV (not UNSAFE)</t>
  </si>
  <si>
    <t>Chose against 'No reversal flag' UNSAFE for Ⓟ</t>
  </si>
  <si>
    <t>Ladder / PROX label</t>
  </si>
  <si>
    <t>2026-10-03</t>
  </si>
  <si>
    <t>SAFE wording / archive</t>
  </si>
  <si>
    <t>'SAFE·Level safe — all backers confirmed' + what was overridden; archive safe_src, cleared_src, status_chg</t>
  </si>
  <si>
    <t>Keep a record of why a level is SAFE</t>
  </si>
  <si>
    <t>LE KH/KI, live archive</t>
  </si>
  <si>
    <t>Display/record</t>
  </si>
  <si>
    <t>Data incomplete</t>
  </si>
  <si>
    <t>Level at/next to an empty or half-loaded strike: no reversal flag, no structure backers, UNSAFE</t>
  </si>
  <si>
    <t>7660/7655 on 10-01 (puts not loaded)</t>
  </si>
  <si>
    <t>LE KJ/KK</t>
  </si>
  <si>
    <t>Max/Min Zomma reading</t>
  </si>
  <si>
    <t>Max Zomma assumes IV rising, Min Zomma IV falling beyond ~5 pts</t>
  </si>
  <si>
    <t>Mirror the positive-gamma rules</t>
  </si>
  <si>
    <t>LE KC</t>
  </si>
  <si>
    <t>King-node warning (bug)</t>
  </si>
  <si>
    <t>Fires only within 5 pts of the king node</t>
  </si>
  <si>
    <t>Fired on any support (bug)</t>
  </si>
  <si>
    <t>LE HQ KINGNODE</t>
  </si>
  <si>
    <t>Support gate (bug)</t>
  </si>
  <si>
    <t>A reversal-flagged support always passes the support gate</t>
  </si>
  <si>
    <t>7615 blocked</t>
  </si>
  <si>
    <t>LE DM</t>
  </si>
  <si>
    <t>Trough</t>
  </si>
  <si>
    <t>Trough no longer UNSAFE in neg/fragile gamma; shown as a note</t>
  </si>
  <si>
    <t>Trough is a positive-gamma rule</t>
  </si>
  <si>
    <t>Troughs not unsafe (09-18 test)</t>
  </si>
  <si>
    <t>LE HM / reaction table</t>
  </si>
  <si>
    <t>2026-10-02</t>
  </si>
  <si>
    <t>Vanna override (merged)</t>
  </si>
  <si>
    <t>Reversal flag + aligned arrival vanna + aligned DEX = SAFE (2-cycle latch); vanna flat at the level = UNSAFE, no exemptions</t>
  </si>
  <si>
    <t>7675 safe short vs 7660 unsafe long</t>
  </si>
  <si>
    <t>LE JI/JR, JY</t>
  </si>
  <si>
    <t>Dex backer</t>
  </si>
  <si>
    <t>Side-aligned: negative DEX on resistance, positive on support</t>
  </si>
  <si>
    <t>Exploratory lean (52 sessions, ns)</t>
  </si>
  <si>
    <t>Not significant</t>
  </si>
  <si>
    <t>Backers / confluence</t>
  </si>
  <si>
    <t>Call-wall resistance</t>
  </si>
  <si>
    <t>Largest +GEX call-heavy strike: +DEX counts as aligned, exempt from bump/sandwich/OI-DEX</t>
  </si>
  <si>
    <t>'No need for test' — call walls are resistance in neg gamma</t>
  </si>
  <si>
    <t>LE JZ</t>
  </si>
  <si>
    <t>Accelerant under call wall</t>
  </si>
  <si>
    <t>-GEX resistance with a call wall within 5 pts above: stays in table, UNSAFE</t>
  </si>
  <si>
    <t>7640 under 7645 on 10-01</t>
  </si>
  <si>
    <t>LE KA</t>
  </si>
  <si>
    <t>Zomma arrival reading</t>
  </si>
  <si>
    <t>All zomma readings use an arrival IV direction (like vanna); IV-top switch-back removed for zomma</t>
  </si>
  <si>
    <t>7615/7625 read 'ACCEL building' where price bounced</t>
  </si>
  <si>
    <t>Max Zomma SAFE</t>
  </si>
  <si>
    <t>Mirror of Min Zomma SAFE (most positive zomma, +GEX, IV rising on arrival)</t>
  </si>
  <si>
    <t>Seen on 7750</t>
  </si>
  <si>
    <t>LE JS</t>
  </si>
  <si>
    <t>Vxi backer</t>
  </si>
  <si>
    <t>Side-aligned on the same vanna reading as Vex</t>
  </si>
  <si>
    <t>Consistency with Vex</t>
  </si>
  <si>
    <t>Wall absorption</t>
  </si>
  <si>
    <t>Call/put walls never absorbed into another level's box</t>
  </si>
  <si>
    <t>7725 was Call Wall 2</t>
  </si>
  <si>
    <t>LE BK/DH</t>
  </si>
  <si>
    <t>gDex backer</t>
  </si>
  <si>
    <t>Isolated DEX (opposite sign to both neighbours) at a +GEX strike: +1 confluence and a reversal-flag source</t>
  </si>
  <si>
    <t>A DEX island at +GEX acts as support/resistance</t>
  </si>
  <si>
    <t>LE KG</t>
  </si>
  <si>
    <t>2026-10-01</t>
  </si>
  <si>
    <t>No reversal flag</t>
  </si>
  <si>
    <t>Levels without a reversal flag shown UNSAFE (not removed); walls, Max/Min GEX, Min VEX exempt</t>
  </si>
  <si>
    <t>Keep unflagged levels visible but warned</t>
  </si>
  <si>
    <t>LE IS / reaction table</t>
  </si>
  <si>
    <t>OI rule</t>
  </si>
  <si>
    <t>Reversal-flagged C-OI support / C- or P-OI resistance clears geometry warnings in all regimes; zomma must firm the level, DEX aligned &gt;=100K</t>
  </si>
  <si>
    <t>Extend the OI rule beyond neg gamma</t>
  </si>
  <si>
    <t>LE JO</t>
  </si>
  <si>
    <t>DEX air pockets (display)</t>
  </si>
  <si>
    <t>∅ glyph, '→ ∅' tag and pocket shading switched off in positive gamma</t>
  </si>
  <si>
    <t>View then: walls hold in pos gamma, pockets matter in neg gamma (revised 10-05)</t>
  </si>
  <si>
    <t>Dex↓ kept: 47% vs 13% clean, 13 sessions</t>
  </si>
  <si>
    <t>Ladder / reaction table</t>
  </si>
  <si>
    <t>Display only</t>
  </si>
  <si>
    <t>DEX drain</t>
  </si>
  <si>
    <t>2-cycle on/off hysteresis, frozen reference peak</t>
  </si>
  <si>
    <t>7700 flickered</t>
  </si>
  <si>
    <t>Engines -&gt; LE JT</t>
  </si>
  <si>
    <t>OI rule / Dex↓</t>
  </si>
  <si>
    <t>A Dex↓ level is exempt from the OI rule's zomma and DEX checks</t>
  </si>
  <si>
    <t>7725 (P-OI PEAK+ with Dex↓) read 'Zomma not firming'</t>
  </si>
  <si>
    <t>LE JO path</t>
  </si>
  <si>
    <t>Box absorption / Min Zomma SAFE</t>
  </si>
  <si>
    <t>Dex↓ strike never absorbed into another box; zomma-dominant SAFE covers resistance too</t>
  </si>
  <si>
    <t>7720 vanished into 7725's box</t>
  </si>
  <si>
    <t>LE BK/DH, JS</t>
  </si>
  <si>
    <t>Zom / Zsh backers</t>
  </si>
  <si>
    <t>Count only when zomma firms the level on FAST IV (not size alone)</t>
  </si>
  <si>
    <t>'I have seen it work' but only when it supports the move</t>
  </si>
  <si>
    <t>Five conditions: tape up, GEX slope +, Min VEX up, IV Low, VIX1D/VIX not falling</t>
  </si>
  <si>
    <t>Watch stayed off through a melt-up; 15:35 trigger too early</t>
  </si>
  <si>
    <t>Live engine</t>
  </si>
  <si>
    <t>2026-09-20</t>
  </si>
  <si>
    <t>Support DEX drop-off (old)</t>
  </si>
  <si>
    <t>Support side of the one-sided drop-off rule removed</t>
  </si>
  <si>
    <t>Fired on 7615 at the 09-17 low with a wall stack beneath</t>
  </si>
  <si>
    <t>LE HW</t>
  </si>
  <si>
    <t>Replaced 10-05</t>
  </si>
  <si>
    <t>Take-profit marker on SUPPORTS too (TAKE PROFIT · DON'T BUY): 1 = on, 0 = resistances only. POSITIVE gamma only. 2026-10-07</t>
  </si>
  <si>
    <t>Take-profit marker narrowed</t>
  </si>
  <si>
    <t>TP / amber now only for the NEAREST locked level on each side of spot, and only when it is UNSAFE because of the DEX wall cap (resistance with a large +DEX strike directly below; support with a large -DEX strike directly above). At most one amber line per side. Negative gamma unchanged</t>
  </si>
  <si>
    <t>Giggles: too many amber lines; he only wants the don't-short / don't-buy levels stacked on a delta wall, to see where to take profit long or short</t>
  </si>
  <si>
    <t>Level Engine LM</t>
  </si>
  <si>
    <t>Blue exception: king node still a resistance</t>
  </si>
  <si>
    <t>While the blue reclaim + vol-rolled marker is on, the king node (Max Gamma) within 3 pts with spot AT OR ABOVE it now also counts for the exception even though it is still classed as a resistance: shown green on the ladder and the 'resistance leaks' UNSAFE is off. It stays listed under resistance in the table until the lock flips it. Negative gamma unchanged</t>
  </si>
  <si>
    <t>7750 at 15:42:36 on 10-05: blue box on for over a minute, spot 7750.55, but 7750 still r1 (not flipped) so not green</t>
  </si>
  <si>
    <t>Level Engine LC, LE</t>
  </si>
  <si>
    <t>Take-profit marker (TP)</t>
  </si>
  <si>
    <t>A locked resistance with the reversal flag or &gt;= 3 backers that is UNSAFE shows amber on the ladder with 'TP' (even with Hide unsafe on) and its Neg-γ text starts 'TAKE PROFIT · DON'T SHORT'; supports mirror with 'TAKE PROFIT · DON'T BUY' (BG141). Display only, not counted. Negative gamma keeps the current hide behaviour</t>
  </si>
  <si>
    <t>7755 was an UNSAFE resistance (VEX wall at 7750), hidden on the ladder, so there was no signal to take profit on the long</t>
  </si>
  <si>
    <t>Level Engine LM, BG141; Master Dashboard DJ, L45:L47 / L52:L54, 1 amber ladder rule A3:C64</t>
  </si>
  <si>
    <t>tpOnly (2026-10-07, Giggles; POSITIVE gamma, not fragile; display only): 2 = TAKE PROFIT · DON'T SHORT, 1 = TAKE PROFIT · DON'T BUY (switch BG141) -- the NEAREST locked level on that side of spot when EITHER it is UNSAFE because of the DEX wall cap (IZ) OR VEX &gt;= BG142 works against it on the current fast IV (LP, 2-cycle engine hold). At most one per side. Amber + 'TP' on the ladder. Not counted. UNTESTED</t>
  </si>
  <si>
    <t>vexBreakRaw (2026-10-07, Giggles; POSITIVE gamma, not fragile): 1 = |VEX| &gt;= BG142 and the CURRENT fast IV (BG80) makes dealer vanna work against the level -- resistance: dealers BUY (VEX&gt;0 &amp; IV down, or VEX&lt;0 &amp; IV up); support: dealers SELL. Flat IV = 0. UNTESTED</t>
  </si>
  <si>
    <t>vexBreakLatch (ENGINE-WRITTEN): LN held with hysteresis -- on after BG143 cycles in a row, off after BG143 cycles without it. Blank = no engine, LP uses the raw LN</t>
  </si>
  <si>
    <t>vexBreak (effective): LO when the engine wrote it, else LN; positive gamma only. Makes the level a take-profit level (LM) with breakout / breakdown risk</t>
  </si>
  <si>
    <t>vexBreakText: ' · breakout risk — VEX +x.xM, dealers buy as IV falls' (resistance) / ' · breakdown risk … dealers sell …' (support); appended to the TAKE PROFIT line</t>
  </si>
  <si>
    <t>swNearMiss (2026-10-07, Giggles; NEGATIVE gamma; display only): 1 = the support directly below / resistance directly above a sandwich that is NOT a SAND✓ level because its zomma is under BG144 (or negative). Drives the Neg-γ note '• Next to sandwich N · zomma … — needs ≥ 1.0M, not a SAND✓ level'</t>
  </si>
  <si>
    <t>dexRunUp (2026-10-07): count of consecutive strikes from here UP with DEX &lt;= -BG145 (negative-DEX run)</t>
  </si>
  <si>
    <t>dexRunUpSum: total DEX of that run</t>
  </si>
  <si>
    <t>dexRunDown: count of consecutive strikes from here DOWN with DEX &gt;= +BG145 (positive-DEX run)</t>
  </si>
  <si>
    <t>dexRunDownSum: total DEX of that run</t>
  </si>
  <si>
    <t>dexStackTP -- RETIRED 2026-10-07 (Giggles): always 0. The negative-DEX stack sits above spot in most negative-gamma sessions, so the marker was nearly always on; archive edge weak (41% vs 47%) and 'DON'T SHORT' contradicted a stack that caps rallies. LT:LW / LY:LZ / BG145:BG148 kept for reference only</t>
  </si>
  <si>
    <t>dexStackStartAbove: the strike (else 0) when it is the lowest strike above spot of a negative-DEX run of &gt;= BG148</t>
  </si>
  <si>
    <t>dexStackStartBelow: the strike (else 0) when it is the highest strike below spot of a positive-DEX run of &gt;= BG148</t>
  </si>
  <si>
    <t>VEX breakout / breakdown take-profit: minimum |VEX| at the level working against it on the current fast IV (POSITIVE gamma). 2026-10-07, Giggles</t>
  </si>
  <si>
    <t>VEX breakout hold (engines): cycles in a row to switch on, and to switch off</t>
  </si>
  <si>
    <t>Level next to a sandwich (NEGATIVE gamma; support below it / resistance above it): minimum zomma at the level (0 = any positive zomma). 2026-10-07, Giggles</t>
  </si>
  <si>
    <t>DEX stack (NEGATIVE gamma take-profit): minimum |DEX| per strike</t>
  </si>
  <si>
    <t>(auto) first strike of the nearest negative-DEX stack ABOVE spot</t>
  </si>
  <si>
    <t>(auto) first strike of the nearest positive-DEX stack BELOW spot</t>
  </si>
  <si>
    <t>DEX stack: minimum strikes in a row</t>
  </si>
  <si>
    <t>DEX-stack TP removed</t>
  </si>
  <si>
    <t>The negative-gamma DEX-stack take-profit is retired (Level Engine LX always 0; LM / LQ back to the positive-gamma take-profit rules only)</t>
  </si>
  <si>
    <t>Giggles: like saying never short in positive gamma when DEX is mostly positive -- the stack is almost always there</t>
  </si>
  <si>
    <t>Archive: 41% vs 47% got 15 pts through; 148 of 266 neg-γ touches had a stack</t>
  </si>
  <si>
    <t>Level Engine LX, LM, LQ</t>
  </si>
  <si>
    <t>Retired</t>
  </si>
  <si>
    <t>Middle sandwich strike never SAFE</t>
  </si>
  <si>
    <t>No override can clear a sandwich strike any more: the OI rule, vanna alignment, vol bounce, DOM buy, Min VEX and WZDOM overrides all skip it. The call-wall exception (a sandwich that is also a call wall is not flagged) is kept -- 7805 rejected cleanly as one on 10-07</t>
  </si>
  <si>
    <t>7770 on 10-07 at 15:11 and 16:00: shown SAFE in the support rows because the OI rule (call-heavy OI + reversal flag) cleared the sandwich warning -- Giggles: we should never have longed the middle</t>
  </si>
  <si>
    <t>Archive (sandwich middles as support, neg γ): clean bounce 2 of 21 with the override conditions</t>
  </si>
  <si>
    <t>Level Engine JO, HP</t>
  </si>
  <si>
    <t>SAND✓ levels: vanna warnings waived</t>
  </si>
  <si>
    <t>A SAND✓ level (support below / resistance above a sandwich, zomma &gt;= 1M) is no longer made UNSAFE by vanna flat, vanna SELL (support) or vanna BUY (resistance). Giggles: vanna should only count against it where VEX is a backer -- VEX is never a backer when those warnings fire. Column L: 'SAFE·Level safe' + '• Next to sandwich N · zomma +x.xM ✓' + '• Sandwich level: no-reversal and vanna warnings don't apply'</t>
  </si>
  <si>
    <t>7765 on 10-07 15:40-15:48: SAND✓ under the 7770 sandwich, UNSAFE only for no reversal flag and vanna flat/SELL -- held the day's low</t>
  </si>
  <si>
    <t>Supports below a sandwich tested with flat vanna: 2 of 2 held (both 10-07)</t>
  </si>
  <si>
    <t>Level Engine JY, IW, JK; Master Dashboard DP</t>
  </si>
  <si>
    <t>SAND✓ zomma read as firming</t>
  </si>
  <si>
    <t>Negative/fragile gamma: a SAND✓ level (support below / resistance above a sandwich, zomma &gt;= 1M) gets the Max Zomma treatment for every zomma reading -- beyond BG98 pts its arrival IV direction reads UP (firming); within BG98 pts it uses the current fast IV like every level. Affects the zomma backers, zomma-acceleration warning and OI-zomma rule. Vanna warnings unchanged</t>
  </si>
  <si>
    <t>7765 on 10-07: SAND✓ under the 7770 sandwich (+3.2M zomma) but 0-1 backers and a zomma-acceleration warning in the run into the 15:50 low</t>
  </si>
  <si>
    <t>Level Engine KC</t>
  </si>
  <si>
    <t>DEX-stack TP 5 pts before the stack</t>
  </si>
  <si>
    <t>The negative-gamma DEX-stack take-profit now sits 5 pts BEFORE the stack (stack starts 7810 -&gt; TP 7805; positive stack below starting 7780 -&gt; TP 7785), shown only while that strike is still ahead of spot. Text: 'TAKE PROFIT · DON'T SHORT · 5 pts before Δ− stack 7810–7830 · -4.4M'</t>
  </si>
  <si>
    <t>Giggles: the TP was one level too high -- take profit before the opposing DEX, not at it</t>
  </si>
  <si>
    <t>Level Engine LX, LQ</t>
  </si>
  <si>
    <t>Sandwich middle never SAFE</t>
  </si>
  <si>
    <t>The negative-gamma vanna-alignment override (reversal flag + aligned arrival vanna + aligned DEX) no longer applies to a sandwich strike, so it can no longer clear the sandwich 'BUMP' warning: the middle strike stays UNSAFE and unshaded</t>
  </si>
  <si>
    <t>7795 at 18:53 on 10-07: middle of the 7790-7800 sandwich shown SAFE ('Overridden: speed bump') and shaded green -- Giggles: the middle is not traded</t>
  </si>
  <si>
    <t>Level Engine JI</t>
  </si>
  <si>
    <t>DEX-stack take-profit</t>
  </si>
  <si>
    <t>Negative gamma: the nearest stack of &gt;= 3 strikes in a row with DEX &lt;= -250K above spot shows amber 'TP' on its first strike (ladder, even with Hide unsafe) and, in the reaction table, 'TAKE PROFIT · DON'T SHORT · Δ− stack 7810–7830 · -4.4M'; mirror below spot for positive-DEX stacks ('DON'T BUY · Δ+ stack'). Display only. Settings BG145 (size), BG148 (strikes)</t>
  </si>
  <si>
    <t>7805 rejection at 18:53 on 10-07 under the -DEX stack 7810-7830</t>
  </si>
  <si>
    <t>Archive (neg γ): rallies got 15+ pts through a -DEX stack within 60 min 41% (n=160) vs 47% without (n=124) -- weak; positive-gamma +DEX stacks below were the strong case (31% vs 51%), not built</t>
  </si>
  <si>
    <t>Level Engine LT:LZ, LM, LQ, BG145:BG148</t>
  </si>
  <si>
    <t>Neg-γ note: SAND✓ level overridden</t>
  </si>
  <si>
    <t>When a SAND✓ level (support below / resistance above a sandwich, zomma &gt;= 1M) is still UNSAFE for other reasons, its Neg-γ text lists those warnings under 'UNSAFE·Level at risk' and ends with '• Next to sandwich N · zomma +x.xM — SAND✓ but overridden by the warnings listed above'. Display only</t>
  </si>
  <si>
    <t>7800 on 10-07 18:33: SAND✓ below the 7805 sandwich (zomma +1.3M) but UNSAFE as the king node with negative GEX in negative gamma (accelerant support + king-node accelerant)</t>
  </si>
  <si>
    <t>Master Dashboard DR 45:47, 52:54</t>
  </si>
  <si>
    <t>Neg-γ note: why a sandwich neighbour is not SAND✓</t>
  </si>
  <si>
    <t>When a reaction-table level is the support directly below / resistance directly above a sandwich but its zomma is under the 1M minimum (or negative), its Neg-γ text ends with '• Next to sandwich N · zomma +x.xxM — needs ≥ 1.0M, not a SAND✓ level'. Display only</t>
  </si>
  <si>
    <t>7800 above the 7795 sandwich on 10-07 (zomma +23K): Giggles could not see at a glance why it was not tagged</t>
  </si>
  <si>
    <t>Level Engine LS; Master Dashboard L/DR/DS 45:47, 52:54</t>
  </si>
  <si>
    <t>Ladder tag moved to the tradeable sandwich levels</t>
  </si>
  <si>
    <t>The ladder no longer tags the sandwich (middle) strike. ' SAND✓' now marks only the levels to trade: the support directly below a sandwich and the resistance directly above it, with zomma &gt;= BG144 (1M) -- the same levels the sandwich-neighbour rule exempts and qualifies. Shown wherever they are on the ladder, in the reaction table or not. Display only</t>
  </si>
  <si>
    <t>Giggles: the middle sandwich level is not to be traded; tag the levels that are</t>
  </si>
  <si>
    <t>Master Dashboard DJ (ladder) reads Level Engine LR</t>
  </si>
  <si>
    <t>Ladder sandwich tag renamed SAND</t>
  </si>
  <si>
    <t>The ladder tag for a sandwich strike now reads ' SAND' (was ' SW'), beside the level like the other glyphs, on every ladder row the Level Engine flags as a sandwich -- in the reaction table or not. Display only. Sandwiches only exist in negative gamma</t>
  </si>
  <si>
    <t>Giggles: wants every sandwich visible on the ladder at all times</t>
  </si>
  <si>
    <t>Master Dashboard DJ (ladder)</t>
  </si>
  <si>
    <t>Melt-up check replaced by FLOW SHIFT</t>
  </si>
  <si>
    <t>The five-condition MELT-UP WATCH (tape up, GEX slope up, Min VEX up, IV Low, VIX1D/VIX not falling; neg/fragile gamma; Phenomenon naming a melt-up) is removed. The Melt-up check row now shows FLOW SHIFT: the 15-min call/put ratio jumping from &lt;= 1.00 to &gt;= 1.20 (15-min block ending now vs the block before), shown for 15 min after it fires, in every regime. Display only. Archive mu_n = 1 while shown, mu_cond = 'prev&gt;now' C/P</t>
  </si>
  <si>
    <t>10-07 melt-up: the old watch never confirmed it; GEX slope / blue box / vol roll combinations tested and failed</t>
  </si>
  <si>
    <t>9 sessions with flow (09-24 on): 16 shifts, 81% up after 60 min (+2.8) vs 55% baseline; call-heavy level alone 57%; + GEX slope / vol roll 51-53%; blue box + call flow 25-29%. Small sample</t>
  </si>
  <si>
    <t>both engines (meltup_line, mu_step)</t>
  </si>
  <si>
    <t>Sandwich neighbour: zomma minimum 1M</t>
  </si>
  <si>
    <t>Level Engine BG144 set to 1,000,000: the support below / resistance above a sandwich needs zomma &gt;= 1M to count</t>
  </si>
  <si>
    <t>7800 qualified as a SAFE resistance above the 7795 sandwich on only +23K zomma</t>
  </si>
  <si>
    <t>Archive (outer neighbour, neg γ): any +zomma 48% clean (n=31); &gt;=1M 55% (n=20); the small loads (0.09-0.58M) did worse; nothing between 0.58M and 1.6M</t>
  </si>
  <si>
    <t>Level Engine BG144</t>
  </si>
  <si>
    <t>Sandwich neighbour: outer side only + resistance mirror</t>
  </si>
  <si>
    <t>Support rule limited to the level directly BELOW the sandwich (7765 under 7770: yes; 7775 above it: no). Mirror added for resistances: the level directly ABOVE a sandwich, with positive zomma, is a floor reason for the resistance rows, exempt from 'No reversal flag', and gets the same SAFE wording. Positive gamma unchanged</t>
  </si>
  <si>
    <t>Giggles: his recollection that supports hold on the lower side of a sandwich and resistances on the upper side</t>
  </si>
  <si>
    <t>Archive (neg γ first touches, +zomma): support below the sandwich 47% clean (n=17, p 0.10) vs above it 38% (n=16); resistance above 50% (n=14, p 0.06) vs below 29% (n=17); baselines 28% / 26%. Lower-vs-upper difference itself not significant</t>
  </si>
  <si>
    <t>Level Engine LR, CU</t>
  </si>
  <si>
    <t>Support next to a sandwich</t>
  </si>
  <si>
    <t>Negative gamma (his explicit call): a support directly next to (5 pts) a sandwich strike, with positive zomma (BG144, default any &gt; 0), counts as a floor reason for the support rows and is exempt from 'No reversal flag'. It does NOT get the reversal flag or an extra backer. Neg-γ text when otherwise SAFE: 'SAFE·Level safe' then '• Next to sandwich 7770 · zomma +2.6M ✓', formatted like other SAFE levels. Positive gamma unchanged (sandwiches only exist in negative gamma)</t>
  </si>
  <si>
    <t>7765 on 10-07: next to the 7770 sandwich, zomma +2.6M, put-heavy OI; held the day's low (7764.5) but was UNSAFE 'No reversal flag' and kept out of the support rows</t>
  </si>
  <si>
    <t>Archive, neg-γ first touches (55 sessions): supports next to a sandwich with +zomma 42% clean vs 28% (n=31, 19 sessions, p 0.10); zomma &gt;= 1M 47% (n=19); large zomma alone 30% vs 24%; resistances not built (38%, n=29)</t>
  </si>
  <si>
    <t>Level Engine LR, IS, CV, BG144; Master Dashboard L/DP/DQ 45:47, 52:54</t>
  </si>
  <si>
    <t>Sandwich tag on the ladder</t>
  </si>
  <si>
    <t>Ladder shows ' SW' on a strike the Level Engine flags as a sandwich (EU: negative gamma, its own GEX positive, both neighbours' GEX negative, its own zomma negative). Display only -- the rule itself (kept out of the support rows, 'BUMP' UNSAFE reason) is unchanged. Positive gamma: never shown (the flag is negative-gamma only)</t>
  </si>
  <si>
    <t>7770 on 10-07: flagged as a sandwich all day but nothing showed it, so Giggles could not see why it was missing from the support rows</t>
  </si>
  <si>
    <t>Archive, neg-gamma first touches: sandwich supports 24% clean / 76% broke (n=17, 13 sessions) vs other supports 29% / 71% (n=389) -- no edge either way; rule left as is</t>
  </si>
  <si>
    <t>VEX breakout take-profit</t>
  </si>
  <si>
    <t>Second take-profit reason: |VEX| &gt;= 1M (BG142) at the level working against it on the CURRENT fast IV (resistance: dealers buy; support: dealers sell), held 2 cycles on / 2 off by the engines (BG143). The nearest locked level on that side then shows amber TP and 'TAKE PROFIT · DON'T SHORT · breakout risk — VEX +x.xM, dealers buy as IV falls' (support mirror: DON'T BUY · breakdown risk). Not an UNSAFE reason; on a SAFE level the TP line goes under the SAFE line. Negative gamma unchanged</t>
  </si>
  <si>
    <t>7770 on 10-05: VEX +3M to +4.8M with fast IV down while it was resistance (dealers buying) -- it broke after 18:06. Giggles: this is only a potential, so take profit / don't short rather than UNSAFE</t>
  </si>
  <si>
    <t>10-05 archive, 7770 only: rule on in 202 of 489 cycles (as resistance 14:31-18:06 before the break; as support 18:17-20:34, where it held). Not tested across sessions</t>
  </si>
  <si>
    <t>Level Engine LN:LQ, LM, BG142:BG143; Master Dashboard L/DN/DO 45:47, 52:54; both engines (LO latch)</t>
  </si>
  <si>
    <t>wall</t>
  </si>
  <si>
    <t>SAND✓ counts as a backer</t>
  </si>
  <si>
    <t>A SAND✓ level (support below / resistance above a sandwich, zomma &gt;= 1M) gets +1 confluence and the backer token 'SAND' in the backer lists, so it can meet the 2-backer minimum for the reaction table (Giggles chose this over skipping the minimum)</t>
  </si>
  <si>
    <t>7765 at 15:38:48 on 10-07 (replay): SAFE and SAND✓ but only 1 backer, so not in the support rows</t>
  </si>
  <si>
    <t>Level Engine AM, C; King Node Model backer text</t>
  </si>
  <si>
    <t>SAND✓ passes the support-row gate</t>
  </si>
  <si>
    <t>Negative gamma: the support-row gate (needs a reversal flag, positive GEX, Dex↓, the OI rule or the DEX/zomma geometry) now also accepts a SAND✓ level, so a qualifying SAND✓ support gets a support-row slot</t>
  </si>
  <si>
    <t>7765 at 15:41:15 on 10-07 (replay): SAFE, SAND✓, 2 backers and qualified, but blocked by the gate (no reversal flag, negative GEX)</t>
  </si>
  <si>
    <t>Level Engine DM</t>
  </si>
  <si>
    <t>swEdgeSup (2026-10-07, Giggles; NEGATIVE gamma): 1 = a SUPPORT directly below a sandwich (sandwich 5 pts above it) with zomma &gt;= BG144, not itself a sandwich. SUPPORTS ONLY from this version -- the resistance mirror was withdrawn (8 touches at &gt;= 1M; 7775 broke on 10-07 while it would have read SAFE). Floor reason for the support rows (CV, DM), exempt from 'No reversal flag' (IS) and the vanna warnings (JY, IW), +1 backer 'SAND' (AM), no 2-backer minimum (CV), zomma read as firming (KC). Ladder tag for both sides is MA. UNTESTED</t>
  </si>
  <si>
    <t>Sandwich rules: supports only</t>
  </si>
  <si>
    <t>The resistance mirror (resistance directly above a sandwich) is withdrawn from every rule: no floor reason, no SAFE treatment, no waivers, no SAND backer, no column L notes. The ladder still tags it ' SAND✓' as information (Level Engine MA). Supports below a sandwich keep the full treatment</t>
  </si>
  <si>
    <t>7775 on 10-07: SAND✓ resistance above 7770 for 115 cycles; with the waivers it would have read SAFE in 57, including at 16:13 when price went straight through it to 7795</t>
  </si>
  <si>
    <t>Archive: resistances above a sandwich 50% clean on 14 touches, 8 at zomma &gt;= 1M -- too thin</t>
  </si>
  <si>
    <t>Level Engine LR, LS, MA; Master Dashboard DJ</t>
  </si>
  <si>
    <t>SAND✓ skips the 2-backer minimum</t>
  </si>
  <si>
    <t>Negative gamma: a SAND✓ support no longer needs 2 backers to qualify for the support rows (the SAND backer stays as well). It still needs the gamma floor, the locked list and the support-row gate</t>
  </si>
  <si>
    <t>7765 at 15:46:22 on 10-07 (replay): SAFE and SAND✓ but only 1 backer (SAND) as its other backers dropped away into the low</t>
  </si>
  <si>
    <t>Level Engine CV</t>
  </si>
  <si>
    <t>2026-10-08</t>
  </si>
  <si>
    <t>SAND✓ lock replaces the vanna / zomma exceptions</t>
  </si>
  <si>
    <t>Vanna and zomma are measured plainly again for SAND✓ supports (vanna flat / SELL waivers and the 'zomma read as firming' treatment removed). Instead the engines LOCK a SAND✓ support SAFE from the first cycle it shows SAFE: vanna SELL, vanna flat and zomma acceleration (incl. the accelerant gate on the support rows) can't flip it while locked. Released by a 3-pt break for 2 cycles, losing SAND✓, spot 20+ pts above, leaving negative gamma, or a new session. Structural warnings still apply. Kept: no-reversal exemption, SAND backer, floor reason, no 2-backer minimum, support-row gate. Column L: '• SAND✓ lock: held SAFE until a 3-pt break'</t>
  </si>
  <si>
    <t>7765 on 10-07 flickered between SAFE and UNSAFE (vanna SELL 15:47-15:48, zomma acceleration 15:51) right into the low</t>
  </si>
  <si>
    <t>10-07: would lock at 15:44:15 and hold through the low (7764.54, never 3 pts through)</t>
  </si>
  <si>
    <t>Level Engine JY, IW, JK, HQ, KC, CV, MB; Master Dashboard DP, AR52:AR53; both engines</t>
  </si>
  <si>
    <t>sandLock (ENGINE-WRITTEN, 2026-10-08, Giggles; NEGATIVE gamma): 1 = a SAND✓ support (LR) that is SAFE, ALREADY in the support rows, with spot within 5 pts of it, is LOCKED: it keeps its row and slot (even if it leaves the locked list or loses backers) and vanna SELL / vanna flat / zomma acceleration can't make it UNSAFE. The lock holds a slot the level already earned -- it never creates one. Releases on a break (spot 3+ pts below for 2 cycles), spot 5+ pts above, losing SAND✓, leaving negative gamma, or a new session. A structural UNSAFE reason releases the lock on the next cycle (the engine reads HP; the workbook can't, HP depends on the row qualification). Backers are never added for the lock. Engine reads the previous calc (one-cycle lag). UNTESTED</t>
  </si>
  <si>
    <t>SAND✓ lock holds an earned slot only</t>
  </si>
  <si>
    <t>The SAND✓ lock now engages only when the support is SAFE, ALREADY in the support rows and spot is within 5 pts of it. While locked it keeps its row and slot even if it drops out of the locked list or loses backers. Releases on a 3-pt break for 2 cycles or when spot is 5+ pts above (was 20). It never creates a slot. Column L: '• HELD — SAND✓ lock: keeps its row until a 3-pt break or +5 pts' plus the real readings it is holding through (vanna SELL / flat, zomma ACCEL). Backers stay as they are</t>
  </si>
  <si>
    <t>7765 on 10-07 dropped out of the locked list at the touch (15:45:39) as its backers faded; Giggles: the lock should hold a slot the level already earned, not force one</t>
  </si>
  <si>
    <t>10-07: lock 15:44:15, held through the 15:50:41 low, released 15:59:17 at 7770.33 (+5)</t>
  </si>
  <si>
    <t>Level Engine CV, DN, MB; Master Dashboard DP; both engines</t>
  </si>
  <si>
    <t>zzUp (2026-10-08): count of strikes from here UP whose GEX sign alternates (+,-,+...)</t>
  </si>
  <si>
    <t>zzDown: count of strikes from here DOWN whose GEX sign alternates</t>
  </si>
  <si>
    <t>zigzag interior (Giggles; NEGATIVE gamma): GEX sign opposite to BOTH neighbours inside an alternating run of &gt;= 4 strikes -- chop, never traded</t>
  </si>
  <si>
    <t>zigzag bottom edge: lowest strike of an alternating run of &gt;= 4 (same sign below it) -- fine as SUPPORT, UNSAFE as resistance</t>
  </si>
  <si>
    <t>zigzag top edge: highest strike of an alternating run of &gt;= 4 -- fine as RESISTANCE, UNSAFE as support</t>
  </si>
  <si>
    <t>zigzagUnsafe (2026-10-08, Giggles; NEGATIVE gamma, no minimum GEX size): 1 = interior strike, or bottom edge acting as resistance, or top edge acting as support. A hard UNSAFE reason (no override clears it). HQ token ZIGZAG. UNTESTED</t>
  </si>
  <si>
    <t>zigzag Neg-γ text line</t>
  </si>
  <si>
    <t>bottom-edge strike above spot (else 0) -- nearest one is the zigzag TAKE PROFIT for longs (BG149)</t>
  </si>
  <si>
    <t>top-edge strike below spot (else 0) -- nearest one is the zigzag TAKE PROFIT for shorts (BG150)</t>
  </si>
  <si>
    <t>(auto) zigzag TAKE PROFIT for longs: bottom edge of the nearest zigzag above spot (negative gamma)</t>
  </si>
  <si>
    <t>(auto) zigzag TAKE PROFIT for shorts: top edge of the nearest zigzag below spot (negative gamma)</t>
  </si>
  <si>
    <t>Zigzag GEX = chop, UNSAFE</t>
  </si>
  <si>
    <t>A run of &gt;= 4 strikes whose GEX sign alternates (+,-,+,-) is a chop zone. UNSAFE (hard reason, no override): every interior strike; the bottom edge while it acts as a resistance; the top edge while it acts as a support. The edges are fine facing outward (bottom edge as support, top edge as resistance). No minimum GEX size. Neg-γ text '• Zigzag GEX — inside the 7795–7810 chop, don't trade' / '— bottom edge, chop … above: don't short'</t>
  </si>
  <si>
    <t>7800 on 10-07 (16:50): SAFE reversal resistance but sitting inside 7790-7815 alternating GEX (two stacked sandwiches) -- Giggles: a pattern to avoid</t>
  </si>
  <si>
    <t>Not tested (only 4 archive touches between two sandwiches)</t>
  </si>
  <si>
    <t>Level Engine MC:MI, HP, HQ; Master Dashboard DB</t>
  </si>
  <si>
    <t>Zigzag take-profit</t>
  </si>
  <si>
    <t>The bottom edge of the nearest zigzag above spot shows amber TP and 'TAKE PROFIT · DON'T SHORT · zigzag chop 7795–7810 above' (longs bank before the chop); mirror for shorts at the top edge of the nearest zigzag below. One per side</t>
  </si>
  <si>
    <t>Long from 7765 on 10-07 had no target in sight; the 7790 bottom edge was +25 and price then chopped 7788-7805</t>
  </si>
  <si>
    <t>Level Engine MJ:MK, LM, LQ, BG149:BG150</t>
  </si>
  <si>
    <t>sandTag (2026-10-07, Giggles; NEGATIVE gamma; DISPLAY ONLY): 1 = the ladder's ' SAND✓' tag -- side-aligned: a SUPPORT directly below a sandwich or a RESISTANCE directly above one, with zomma &gt;= BG144 (1M). 2026-10-08: never on a zigzag-UNSAFE strike (MH = 1: chop interior, or a zigzag edge facing inward). Only the SUPPORT side (LR) carries the rules; the resistance tag is information only</t>
  </si>
  <si>
    <t>Circled ⓈⒶⓃⒹ removed from the ladder</t>
  </si>
  <si>
    <t>The circled ⓈⒶⓃⒹ prefix on the ladder (resistance directly above a sandwich, zomma not firming) is removed. The sandwich UNSAFE warning behind it is kept and still shows in the reaction table. The ladder's only sandwich marker is now SAND✓</t>
  </si>
  <si>
    <t>Giggles: SAND✓ replaces it; the circled letters duplicated a warning already shown in the reaction table</t>
  </si>
  <si>
    <t>Check on 10-08: the level it marked is still UNSAFE through the old sandwich warning (not today's zigzag rule, which only covers it when the strike above is also +GEX)</t>
  </si>
  <si>
    <t>Master Dashboard B15:B39 (ladder)</t>
  </si>
  <si>
    <t>SAND✓ tag: tradeable levels only</t>
  </si>
  <si>
    <t>The ladder's SAND✓ tag shows only on side-aligned levels: a support directly below a sandwich or a resistance directly above one, with zomma &gt;= 1M (was &gt; 1M), and never on a strike that is UNSAFE for zigzag chop (inside the chop, or a zigzag edge facing inward). Display only; the sandwich rules themselves are unchanged (supports only)</t>
  </si>
  <si>
    <t>Giggles: the tag should mark only levels that ought to be traded</t>
  </si>
  <si>
    <t>7640 on 10-08 (replay): tagged as the resistance above the 7635 sandwich while inside the 7630–7650 zigzag chop</t>
  </si>
  <si>
    <t>Level Engine MA9:MA55 (ladder DJ)</t>
  </si>
  <si>
    <t>Wed 07 Oct</t>
  </si>
  <si>
    <t>SPX TPO 07 Oct</t>
  </si>
  <si>
    <t>UP</t>
  </si>
  <si>
    <t>▼ falling</t>
  </si>
  <si>
    <t>FALLING / AT TROUGH</t>
  </si>
  <si>
    <t>STEADY</t>
  </si>
  <si>
    <t>VOL BOTTOM — vol RISING, +21% up off LoD 7.03 (15:25)</t>
  </si>
  <si>
    <t>ES below by 7.24</t>
  </si>
  <si>
    <t>ES below by 15.99</t>
  </si>
  <si>
    <r>
      <t xml:space="preserve">GEX TAPE  max 8.7M  </t>
    </r>
    <r>
      <rPr>
        <b/>
        <sz val="12"/>
        <color rgb="FFFFD9A0"/>
        <rFont val="Calibri"/>
        <family val="2"/>
        <charset val="1"/>
      </rPr>
      <t>▅</t>
    </r>
    <r>
      <rPr>
        <b/>
        <sz val="12"/>
        <color rgb="FF595959"/>
        <rFont val="Calibri"/>
        <family val="2"/>
        <charset val="1"/>
      </rPr>
      <t xml:space="preserve"> </t>
    </r>
    <r>
      <rPr>
        <b/>
        <sz val="12"/>
        <color rgb="FFC4B5FD"/>
        <rFont val="Calibri"/>
        <family val="2"/>
        <charset val="1"/>
      </rPr>
      <t>▃</t>
    </r>
    <r>
      <rPr>
        <b/>
        <sz val="12"/>
        <color rgb="FF595959"/>
        <rFont val="Calibri"/>
        <family val="2"/>
        <charset val="1"/>
      </rPr>
      <t xml:space="preserve"> </t>
    </r>
    <r>
      <rPr>
        <b/>
        <sz val="12"/>
        <color rgb="FFC4B5FD"/>
        <rFont val="Calibri"/>
        <family val="2"/>
        <charset val="1"/>
      </rPr>
      <t>▁</t>
    </r>
    <r>
      <rPr>
        <b/>
        <sz val="12"/>
        <color rgb="FF595959"/>
        <rFont val="Calibri"/>
        <family val="2"/>
        <charset val="1"/>
      </rPr>
      <t xml:space="preserve"> </t>
    </r>
    <r>
      <rPr>
        <b/>
        <sz val="12"/>
        <color rgb="FF4ADE80"/>
        <rFont val="Calibri"/>
        <family val="2"/>
        <charset val="1"/>
      </rPr>
      <t>▁</t>
    </r>
    <r>
      <rPr>
        <b/>
        <sz val="12"/>
        <color rgb="FF595959"/>
        <rFont val="Calibri"/>
        <family val="2"/>
        <charset val="1"/>
      </rPr>
      <t xml:space="preserve"> </t>
    </r>
    <r>
      <rPr>
        <b/>
        <sz val="12"/>
        <color rgb="FFC4B5FD"/>
        <rFont val="Calibri"/>
        <family val="2"/>
        <charset val="1"/>
      </rPr>
      <t>▁</t>
    </r>
    <r>
      <rPr>
        <b/>
        <sz val="12"/>
        <color rgb="FF595959"/>
        <rFont val="Calibri"/>
        <family val="2"/>
        <charset val="1"/>
      </rPr>
      <t xml:space="preserve"> </t>
    </r>
    <r>
      <rPr>
        <b/>
        <sz val="12"/>
        <color rgb="FF6D28D9"/>
        <rFont val="Calibri"/>
        <family val="2"/>
        <charset val="1"/>
      </rPr>
      <t>▃</t>
    </r>
    <r>
      <rPr>
        <b/>
        <sz val="12"/>
        <color rgb="FF595959"/>
        <rFont val="Calibri"/>
        <family val="2"/>
        <charset val="1"/>
      </rPr>
      <t xml:space="preserve"> </t>
    </r>
    <r>
      <rPr>
        <b/>
        <sz val="12"/>
        <color rgb="FF808080"/>
        <rFont val="Calibri"/>
        <family val="2"/>
        <charset val="1"/>
      </rPr>
      <t>│</t>
    </r>
    <r>
      <rPr>
        <b/>
        <sz val="12"/>
        <color rgb="FF595959"/>
        <rFont val="Calibri"/>
        <family val="2"/>
        <charset val="1"/>
      </rPr>
      <t xml:space="preserve"> </t>
    </r>
    <r>
      <rPr>
        <b/>
        <sz val="12"/>
        <color rgb="FFC4B5FD"/>
        <rFont val="Calibri"/>
        <family val="2"/>
        <charset val="1"/>
      </rPr>
      <t>▁</t>
    </r>
    <r>
      <rPr>
        <b/>
        <sz val="12"/>
        <color rgb="FF595959"/>
        <rFont val="Calibri"/>
        <family val="2"/>
        <charset val="1"/>
      </rPr>
      <t xml:space="preserve"> </t>
    </r>
    <r>
      <rPr>
        <b/>
        <sz val="12"/>
        <color rgb="FF6D28D9"/>
        <rFont val="Calibri"/>
        <family val="2"/>
        <charset val="1"/>
      </rPr>
      <t>▁</t>
    </r>
    <r>
      <rPr>
        <b/>
        <sz val="12"/>
        <color rgb="FF595959"/>
        <rFont val="Calibri"/>
        <family val="2"/>
        <charset val="1"/>
      </rPr>
      <t xml:space="preserve"> </t>
    </r>
    <r>
      <rPr>
        <b/>
        <sz val="12"/>
        <color rgb="FF6D28D9"/>
        <rFont val="Calibri"/>
        <family val="2"/>
        <charset val="1"/>
      </rPr>
      <t>▃</t>
    </r>
    <r>
      <rPr>
        <b/>
        <sz val="12"/>
        <color rgb="FF595959"/>
        <rFont val="Calibri"/>
        <family val="2"/>
        <charset val="1"/>
      </rPr>
      <t xml:space="preserve"> </t>
    </r>
    <r>
      <rPr>
        <b/>
        <sz val="12"/>
        <color rgb="FF6D28D9"/>
        <rFont val="Calibri"/>
        <family val="2"/>
        <charset val="1"/>
      </rPr>
      <t>▃</t>
    </r>
    <r>
      <rPr>
        <b/>
        <sz val="12"/>
        <color rgb="FF595959"/>
        <rFont val="Calibri"/>
        <family val="2"/>
        <charset val="1"/>
      </rPr>
      <t xml:space="preserve"> </t>
    </r>
    <r>
      <rPr>
        <b/>
        <sz val="12"/>
        <color rgb="FFFFD9A0"/>
        <rFont val="Calibri"/>
        <family val="2"/>
        <charset val="1"/>
      </rPr>
      <t>▅</t>
    </r>
    <r>
      <rPr>
        <b/>
        <sz val="12"/>
        <color rgb="FF595959"/>
        <rFont val="Calibri"/>
        <family val="2"/>
        <charset val="1"/>
      </rPr>
      <t xml:space="preserve"> </t>
    </r>
    <r>
      <rPr>
        <b/>
        <sz val="12"/>
        <color rgb="FFFFD9A0"/>
        <rFont val="Calibri"/>
        <family val="2"/>
        <charset val="1"/>
      </rPr>
      <t>▃</t>
    </r>
    <r>
      <rPr>
        <b/>
        <sz val="12"/>
        <color rgb="FF595959"/>
        <rFont val="Calibri"/>
        <family val="2"/>
        <charset val="1"/>
      </rPr>
      <t xml:space="preserve"> </t>
    </r>
    <r>
      <rPr>
        <b/>
        <sz val="12"/>
        <color rgb="FF808080"/>
        <rFont val="Calibri"/>
        <family val="2"/>
        <charset val="1"/>
      </rPr>
      <t>│</t>
    </r>
    <r>
      <rPr>
        <b/>
        <sz val="12"/>
        <color rgb="FF595959"/>
        <rFont val="Calibri"/>
        <family val="2"/>
        <charset val="1"/>
      </rPr>
      <t xml:space="preserve"> </t>
    </r>
    <r>
      <rPr>
        <b/>
        <sz val="12"/>
        <color rgb="FF6D28D9"/>
        <rFont val="Calibri"/>
        <family val="2"/>
        <charset val="1"/>
      </rPr>
      <t>▅</t>
    </r>
    <r>
      <rPr>
        <b/>
        <sz val="12"/>
        <color rgb="FF595959"/>
        <rFont val="Calibri"/>
        <family val="2"/>
        <charset val="1"/>
      </rPr>
      <t xml:space="preserve"> </t>
    </r>
    <r>
      <rPr>
        <b/>
        <sz val="12"/>
        <color rgb="FFFFD9A0"/>
        <rFont val="Calibri"/>
        <family val="2"/>
        <charset val="1"/>
      </rPr>
      <t>▅</t>
    </r>
    <r>
      <rPr>
        <b/>
        <sz val="12"/>
        <color rgb="FF595959"/>
        <rFont val="Calibri"/>
        <family val="2"/>
        <charset val="1"/>
      </rPr>
      <t xml:space="preserve"> </t>
    </r>
    <r>
      <rPr>
        <b/>
        <sz val="12"/>
        <color rgb="FF6D28D9"/>
        <rFont val="Calibri"/>
        <family val="2"/>
        <charset val="1"/>
      </rPr>
      <t>▅</t>
    </r>
    <r>
      <rPr>
        <b/>
        <sz val="12"/>
        <color rgb="FF595959"/>
        <rFont val="Calibri"/>
        <family val="2"/>
        <charset val="1"/>
      </rPr>
      <t xml:space="preserve"> </t>
    </r>
    <r>
      <rPr>
        <b/>
        <sz val="12"/>
        <color rgb="FFFFD9A0"/>
        <rFont val="Calibri"/>
        <family val="2"/>
        <charset val="1"/>
      </rPr>
      <t>▅</t>
    </r>
    <r>
      <rPr>
        <b/>
        <sz val="12"/>
        <color rgb="FF595959"/>
        <rFont val="Calibri"/>
        <family val="2"/>
        <charset val="1"/>
      </rPr>
      <t xml:space="preserve"> </t>
    </r>
    <r>
      <rPr>
        <b/>
        <sz val="12"/>
        <color rgb="FFC4B5FD"/>
        <rFont val="Calibri"/>
        <family val="2"/>
        <charset val="1"/>
      </rPr>
      <t>▅</t>
    </r>
    <r>
      <rPr>
        <b/>
        <sz val="12"/>
        <color rgb="FF595959"/>
        <rFont val="Calibri"/>
        <family val="2"/>
        <charset val="1"/>
      </rPr>
      <t xml:space="preserve"> </t>
    </r>
    <r>
      <rPr>
        <b/>
        <sz val="12"/>
        <color rgb="FFC4B5FD"/>
        <rFont val="Calibri"/>
        <family val="2"/>
        <charset val="1"/>
      </rPr>
      <t>▃</t>
    </r>
    <r>
      <rPr>
        <b/>
        <sz val="12"/>
        <color rgb="FF595959"/>
        <rFont val="Calibri"/>
        <family val="2"/>
        <charset val="1"/>
      </rPr>
      <t xml:space="preserve"> </t>
    </r>
    <r>
      <rPr>
        <b/>
        <sz val="12"/>
        <color rgb="FF808080"/>
        <rFont val="Calibri"/>
        <family val="2"/>
        <charset val="1"/>
      </rPr>
      <t>│</t>
    </r>
    <r>
      <rPr>
        <b/>
        <sz val="12"/>
        <color rgb="FF595959"/>
        <rFont val="Calibri"/>
        <family val="2"/>
        <charset val="1"/>
      </rPr>
      <t xml:space="preserve"> </t>
    </r>
    <r>
      <rPr>
        <b/>
        <sz val="12"/>
        <color rgb="FFC4B5FD"/>
        <rFont val="Calibri"/>
        <family val="2"/>
        <charset val="1"/>
      </rPr>
      <t>▃</t>
    </r>
    <r>
      <rPr>
        <b/>
        <sz val="12"/>
        <color rgb="FF595959"/>
        <rFont val="Calibri"/>
        <family val="2"/>
        <charset val="1"/>
      </rPr>
      <t xml:space="preserve"> </t>
    </r>
    <r>
      <rPr>
        <b/>
        <sz val="12"/>
        <color rgb="FF15803D"/>
        <rFont val="Calibri"/>
        <family val="2"/>
        <charset val="1"/>
      </rPr>
      <t>▃</t>
    </r>
    <r>
      <rPr>
        <b/>
        <sz val="12"/>
        <color rgb="FF595959"/>
        <rFont val="Calibri"/>
        <family val="2"/>
        <charset val="1"/>
      </rPr>
      <t xml:space="preserve"> </t>
    </r>
    <r>
      <rPr>
        <b/>
        <sz val="12"/>
        <color rgb="FF4ADE80"/>
        <rFont val="Calibri"/>
        <family val="2"/>
        <charset val="1"/>
      </rPr>
      <t>▁</t>
    </r>
    <r>
      <rPr>
        <b/>
        <sz val="12"/>
        <color rgb="FF595959"/>
        <rFont val="Calibri"/>
        <family val="2"/>
        <charset val="1"/>
      </rPr>
      <t xml:space="preserve"> </t>
    </r>
    <r>
      <rPr>
        <b/>
        <sz val="12"/>
        <color rgb="FF4ADE80"/>
        <rFont val="Calibri"/>
        <family val="2"/>
        <charset val="1"/>
      </rPr>
      <t>▁</t>
    </r>
    <r>
      <rPr>
        <b/>
        <sz val="12"/>
        <color rgb="FF595959"/>
        <rFont val="Calibri"/>
        <family val="2"/>
        <charset val="1"/>
      </rPr>
      <t xml:space="preserve"> </t>
    </r>
    <r>
      <rPr>
        <b/>
        <sz val="12"/>
        <color rgb="FFFFD9A0"/>
        <rFont val="Calibri"/>
        <family val="2"/>
        <charset val="1"/>
      </rPr>
      <t>▁</t>
    </r>
    <r>
      <rPr>
        <b/>
        <sz val="12"/>
        <color rgb="FF595959"/>
        <rFont val="Calibri"/>
        <family val="2"/>
        <charset val="1"/>
      </rPr>
      <t xml:space="preserve"> </t>
    </r>
    <r>
      <rPr>
        <b/>
        <sz val="12"/>
        <color rgb="FF15803D"/>
        <rFont val="Calibri"/>
        <family val="2"/>
        <charset val="1"/>
      </rPr>
      <t>▁</t>
    </r>
    <r>
      <rPr>
        <b/>
        <sz val="12"/>
        <color rgb="FF595959"/>
        <rFont val="Calibri"/>
        <family val="2"/>
        <charset val="1"/>
      </rPr>
      <t xml:space="preserve"> </t>
    </r>
    <r>
      <rPr>
        <b/>
        <sz val="12"/>
        <color rgb="FF808080"/>
        <rFont val="Calibri"/>
        <family val="2"/>
        <charset val="1"/>
      </rPr>
      <t>◄</t>
    </r>
  </si>
  <si>
    <t>VOL RISING WITH EVERY PUSH — call buying is driving the move (rare · +0.59 · since 17:21)   ·   SPOT DOWN / VOL UP — the slide is bidding vol, not bleeding (10-min: spot -9.2, VIX +0.08 · since 17:38) · OBSERVATION ONLY</t>
  </si>
  <si>
    <t>upd 12:39:23</t>
  </si>
  <si>
    <t>SKEW  FLATTENING PUT SKEW — hedging demand easing   (RR -1.3vp)</t>
  </si>
  <si>
    <r>
      <t xml:space="preserve">SKEW  </t>
    </r>
    <r>
      <rPr>
        <sz val="10"/>
        <color rgb="FFFFA500"/>
        <rFont val="Calibri"/>
        <family val="2"/>
        <charset val="1"/>
      </rPr>
      <t>FLATTENING PUT SKEW — hedging demand easing</t>
    </r>
    <r>
      <rPr>
        <sz val="10"/>
        <color rgb="FF595959"/>
        <rFont val="Calibri"/>
        <family val="2"/>
        <charset val="1"/>
      </rPr>
      <t xml:space="preserve">   (RR -1.3vp)</t>
    </r>
  </si>
  <si>
    <t>GEX SLOPE  ▲ +0.4M/15m  ·  slope flipped POS 0m ago  ·  Net GEX flipped NEG 121m ago  ·  ⚠ vol-bid tension  ·  ATM IV 13.7% ▲ +0.40pp/15m  ·  CUSHION GROWING BUT FEAR RISING — the two disagree, stand down</t>
  </si>
  <si>
    <t>VOL TENSION  NEG GAMMA UNWINDING  ·  -10.9M · easing 3.9%/15m · bid 0.55 · skew steep  ·  supports firming — bounces carry</t>
  </si>
  <si>
    <r>
      <t xml:space="preserve">VOL TENSION  NEG GAMMA UNWINDING  ·  -10.9M · easing 3.9%/15m · bid 0.55 · skew steep  ·  </t>
    </r>
    <r>
      <rPr>
        <sz val="10"/>
        <color rgb="FF00B050"/>
        <rFont val="Calibri"/>
        <family val="2"/>
        <charset val="1"/>
      </rPr>
      <t>supports firming — bounces carry</t>
    </r>
  </si>
  <si>
    <t>FLOW SHIFT  ·  off  ·  C/P 1.42 → 1.08  ·  fires when C/P jumps from ≤ 1.00 to ≥ 1.20 within 15 min</t>
  </si>
  <si>
    <r>
      <t xml:space="preserve">FLOW 15m  ·  calls 58.6k  /  puts 54.2k  ·  </t>
    </r>
    <r>
      <rPr>
        <b/>
        <sz val="12"/>
        <color rgb="FFFFA500"/>
        <rFont val="Calibri"/>
        <family val="2"/>
        <charset val="1"/>
      </rPr>
      <t>C/P 1.08  ·  balanced</t>
    </r>
  </si>
  <si>
    <r>
      <t xml:space="preserve">FLOW session  ·  calls 812.7k  /  puts 808.0k  ·  </t>
    </r>
    <r>
      <rPr>
        <b/>
        <sz val="12"/>
        <color rgb="FFFFA500"/>
        <rFont val="Calibri"/>
        <family val="2"/>
        <charset val="1"/>
      </rPr>
      <t>C/P 1.01  ·  balanced</t>
    </r>
  </si>
  <si>
    <r>
      <t xml:space="preserve">FLOW 1h  ·  15m blocks, oldest → newest  ▸  </t>
    </r>
    <r>
      <rPr>
        <b/>
        <sz val="12"/>
        <color rgb="FFFFA500"/>
        <rFont val="Calibri"/>
        <family val="2"/>
        <charset val="1"/>
      </rPr>
      <t>0.95</t>
    </r>
    <r>
      <rPr>
        <b/>
        <sz val="12"/>
        <color rgb="FF595959"/>
        <rFont val="Calibri"/>
        <family val="2"/>
        <charset val="1"/>
      </rPr>
      <t xml:space="preserve">   </t>
    </r>
    <r>
      <rPr>
        <b/>
        <sz val="12"/>
        <color rgb="FFFFA500"/>
        <rFont val="Calibri"/>
        <family val="2"/>
        <charset val="1"/>
      </rPr>
      <t>1.07</t>
    </r>
    <r>
      <rPr>
        <b/>
        <sz val="12"/>
        <color rgb="FF595959"/>
        <rFont val="Calibri"/>
        <family val="2"/>
        <charset val="1"/>
      </rPr>
      <t xml:space="preserve">   </t>
    </r>
    <r>
      <rPr>
        <b/>
        <sz val="12"/>
        <color rgb="FF00B050"/>
        <rFont val="Calibri"/>
        <family val="2"/>
        <charset val="1"/>
      </rPr>
      <t>1.42</t>
    </r>
    <r>
      <rPr>
        <b/>
        <sz val="12"/>
        <color rgb="FF595959"/>
        <rFont val="Calibri"/>
        <family val="2"/>
        <charset val="1"/>
      </rPr>
      <t xml:space="preserve">   </t>
    </r>
    <r>
      <rPr>
        <b/>
        <sz val="12"/>
        <color rgb="FFFFA500"/>
        <rFont val="Calibri"/>
        <family val="2"/>
        <charset val="1"/>
      </rPr>
      <t>1.08</t>
    </r>
  </si>
  <si>
    <t>Updated 17:39:36</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</si>
</sst>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 #,##0.00_-;_-* &quot;-&quot;??_-;_-@_-"/>
    <numFmt numFmtId="164" formatCode="\+0.00;\-0.00"/>
    <numFmt numFmtId="165" formatCode="\+0;\-0;0"/>
    <numFmt numFmtId="166" formatCode="#,##0.00,,\M"/>
    <numFmt numFmtId="167" formatCode="\+0&quot; pts&quot;;\-0&quot; pts&quot;;0&quot; pts&quot;"/>
    <numFmt numFmtId="168" formatCode="0.0"/>
    <numFmt numFmtId="169" formatCode="&quot;▲ &quot;#,##0;&quot;▼ &quot;#,##0;\–"/>
    <numFmt numFmtId="170" formatCode="0.000"/>
    <numFmt numFmtId="171" formatCode="0.0000"/>
    <numFmt numFmtId="172" formatCode="h:mm:ss"/>
    <numFmt numFmtId="173" formatCode="\+#,##0;\-#,##0"/>
  </numFmts>
  <fonts count="155" x14ac:knownFonts="1">
    <font>
      <sz val="11"/>
      <color theme="1"/>
      <name val="Calibri"/>
      <family val="2"/>
      <charset val="1"/>
    </font>
    <font>
      <b/>
      <sz val="11"/>
      <color rgb="FF1F3864"/>
      <name val="Calibri"/>
      <family val="2"/>
      <charset val="1"/>
    </font>
    <font>
      <b/>
      <sz val="16"/>
      <color rgb="FF1F3864"/>
      <name val="Calibri"/>
      <family val="2"/>
      <charset val="1"/>
    </font>
    <font>
      <sz val="10"/>
      <color rgb="FF404040"/>
      <name val="Calibri"/>
      <family val="2"/>
      <charset val="1"/>
    </font>
    <font>
      <sz val="9"/>
      <color rgb="FF6D28D9"/>
      <name val="Calibri"/>
      <family val="2"/>
      <charset val="1"/>
    </font>
    <font>
      <sz val="9"/>
      <color rgb="FF16A34A"/>
      <name val="Calibri"/>
      <family val="2"/>
      <charset val="1"/>
    </font>
    <font>
      <sz val="9"/>
      <color rgb="FF6D28D9"/>
      <name val="Consolas"/>
      <family val="3"/>
    </font>
    <font>
      <sz val="10"/>
      <name val="Calibri"/>
      <family val="2"/>
    </font>
    <font>
      <sz val="9"/>
      <color rgb="FF16A34A"/>
      <name val="Consolas"/>
      <family val="3"/>
    </font>
    <font>
      <b/>
      <sz val="12"/>
      <color rgb="FF1F4E78"/>
      <name val="Calibri"/>
      <family val="2"/>
      <charset val="1"/>
    </font>
    <font>
      <sz val="11"/>
      <color rgb="FF1F4E78"/>
      <name val="Calibri"/>
      <family val="2"/>
      <charset val="1"/>
    </font>
    <font>
      <b/>
      <sz val="14"/>
      <color rgb="FFFFFFFF"/>
      <name val="Calibri"/>
      <family val="2"/>
    </font>
    <font>
      <sz val="10"/>
      <color rgb="FF1F4E78"/>
      <name val="Calibri"/>
      <family val="2"/>
      <charset val="1"/>
    </font>
    <font>
      <sz val="10"/>
      <color rgb="FF595959"/>
      <name val="Calibri"/>
      <family val="2"/>
      <charset val="1"/>
    </font>
    <font>
      <b/>
      <sz val="11"/>
      <name val="Calibri"/>
      <family val="2"/>
      <charset val="1"/>
    </font>
    <font>
      <sz val="10"/>
      <color rgb="FF1F4E78"/>
      <name val="Calibri"/>
      <family val="2"/>
    </font>
    <font>
      <sz val="10"/>
      <color rgb="FF595959"/>
      <name val="Calibri"/>
      <family val="2"/>
    </font>
    <font>
      <b/>
      <sz val="10"/>
      <color rgb="FF1F4E78"/>
      <name val="Calibri"/>
      <family val="2"/>
      <charset val="1"/>
    </font>
    <font>
      <b/>
      <sz val="10"/>
      <color rgb="FF1F4E78"/>
      <name val="Calibri"/>
      <family val="2"/>
    </font>
    <font>
      <b/>
      <sz val="10"/>
      <name val="Calibri"/>
      <family val="2"/>
      <charset val="1"/>
    </font>
    <font>
      <sz val="10"/>
      <color rgb="FF404040"/>
      <name val="Calibri"/>
      <family val="2"/>
    </font>
    <font>
      <b/>
      <sz val="11"/>
      <color rgb="FFFFFFFF"/>
      <name val="Calibri"/>
      <family val="2"/>
    </font>
    <font>
      <b/>
      <sz val="12"/>
      <name val="Calibri"/>
      <family val="2"/>
      <charset val="1"/>
    </font>
    <font>
      <b/>
      <sz val="11"/>
      <color rgb="FF000000"/>
      <name val="Calibri"/>
      <family val="2"/>
    </font>
    <font>
      <b/>
      <sz val="11"/>
      <color rgb="FF595959"/>
      <name val="Calibri"/>
      <family val="2"/>
      <charset val="1"/>
    </font>
    <font>
      <b/>
      <sz val="11"/>
      <color rgb="FF595959"/>
      <name val="Calibri"/>
      <family val="2"/>
    </font>
    <font>
      <b/>
      <sz val="10"/>
      <color rgb="FF1F3864"/>
      <name val="Calibri"/>
      <family val="2"/>
    </font>
    <font>
      <i/>
      <sz val="8"/>
      <color rgb="FF595959"/>
      <name val="Calibri"/>
      <family val="2"/>
    </font>
    <font>
      <b/>
      <sz val="11"/>
      <color rgb="FF1F3864"/>
      <name val="Calibri"/>
      <family val="2"/>
    </font>
    <font>
      <sz val="11"/>
      <color rgb="FF808080"/>
      <name val="Calibri"/>
      <family val="2"/>
    </font>
    <font>
      <i/>
      <sz val="11"/>
      <color rgb="FF595959"/>
      <name val="Calibri"/>
      <family val="2"/>
    </font>
    <font>
      <b/>
      <i/>
      <sz val="11"/>
      <color theme="3"/>
      <name val="Calibri"/>
      <family val="2"/>
      <charset val="1"/>
    </font>
    <font>
      <b/>
      <sz val="11"/>
      <color rgb="FFC2185B"/>
      <name val="Calibri"/>
      <family val="2"/>
    </font>
    <font>
      <sz val="11"/>
      <name val="Calibri"/>
      <family val="2"/>
    </font>
    <font>
      <b/>
      <sz val="11"/>
      <color rgb="FFFFFFFF"/>
      <name val="Calibri"/>
      <family val="2"/>
      <charset val="1"/>
    </font>
    <font>
      <b/>
      <sz val="9"/>
      <color rgb="FF1F3864"/>
      <name val="Calibri"/>
      <family val="2"/>
      <charset val="1"/>
    </font>
    <font>
      <sz val="11"/>
      <color rgb="FF595959"/>
      <name val="Calibri"/>
      <family val="2"/>
    </font>
    <font>
      <b/>
      <sz val="11"/>
      <color rgb="FF16A34A"/>
      <name val="Calibri"/>
      <family val="2"/>
    </font>
    <font>
      <sz val="9"/>
      <color rgb="FF404040"/>
      <name val="Calibri"/>
      <family val="2"/>
      <charset val="1"/>
    </font>
    <font>
      <sz val="10"/>
      <name val="Calibri"/>
      <family val="2"/>
      <charset val="1"/>
    </font>
    <font>
      <sz val="9"/>
      <name val="Calibri"/>
      <family val="2"/>
      <charset val="1"/>
    </font>
    <font>
      <sz val="11"/>
      <name val="Calibri"/>
      <family val="2"/>
      <charset val="1"/>
    </font>
    <font>
      <sz val="9"/>
      <color rgb="FF16A34A"/>
      <name val="Calibri"/>
      <family val="2"/>
    </font>
    <font>
      <sz val="9"/>
      <color rgb="FF6D28D9"/>
      <name val="Calibri"/>
      <family val="2"/>
    </font>
    <font>
      <sz val="9"/>
      <color rgb="FF595959"/>
      <name val="Calibri"/>
      <family val="2"/>
    </font>
    <font>
      <b/>
      <sz val="10"/>
      <color rgb="FF16A34A"/>
      <name val="Calibri"/>
      <family val="2"/>
    </font>
    <font>
      <b/>
      <sz val="10"/>
      <color rgb="FF6D28D9"/>
      <name val="Calibri"/>
      <family val="2"/>
    </font>
    <font>
      <sz val="9"/>
      <color rgb="FF1F3864"/>
      <name val="Calibri"/>
      <family val="2"/>
    </font>
    <font>
      <b/>
      <sz val="14"/>
      <name val="Calibri"/>
      <family val="2"/>
      <charset val="1"/>
    </font>
    <font>
      <b/>
      <sz val="12"/>
      <color rgb="FF1E7A34"/>
      <name val="Calibri"/>
      <family val="2"/>
    </font>
    <font>
      <b/>
      <sz val="14"/>
      <color rgb="FF1F3864"/>
      <name val="Arial"/>
      <family val="2"/>
      <charset val="1"/>
    </font>
    <font>
      <b/>
      <sz val="11"/>
      <color rgb="FF1F3864"/>
      <name val="Arial"/>
      <family val="2"/>
      <charset val="1"/>
    </font>
    <font>
      <i/>
      <sz val="9"/>
      <color rgb="FF808080"/>
      <name val="Arial"/>
      <family val="2"/>
      <charset val="1"/>
    </font>
    <font>
      <b/>
      <sz val="10"/>
      <color rgb="FFC00000"/>
      <name val="Arial"/>
      <family val="2"/>
      <charset val="1"/>
    </font>
    <font>
      <b/>
      <sz val="11"/>
      <name val="Cambria"/>
      <family val="1"/>
    </font>
    <font>
      <b/>
      <sz val="9"/>
      <color rgb="FFFFFFFF"/>
      <name val="Arial"/>
      <family val="2"/>
      <charset val="1"/>
    </font>
    <font>
      <b/>
      <sz val="10"/>
      <name val="Arial"/>
      <family val="2"/>
      <charset val="1"/>
    </font>
    <font>
      <sz val="10"/>
      <color rgb="FF0000FF"/>
      <name val="Arial"/>
      <family val="2"/>
      <charset val="1"/>
    </font>
    <font>
      <sz val="8"/>
      <color rgb="FF808080"/>
      <name val="Arial"/>
      <family val="2"/>
      <charset val="1"/>
    </font>
    <font>
      <sz val="9"/>
      <color rgb="FF000000"/>
      <name val="Arial"/>
      <family val="2"/>
      <charset val="1"/>
    </font>
    <font>
      <b/>
      <sz val="10"/>
      <color rgb="FFFFFFFF"/>
      <name val="Arial"/>
      <family val="2"/>
      <charset val="1"/>
    </font>
    <font>
      <sz val="10"/>
      <color rgb="FFFFFFFF"/>
      <name val="Arial"/>
      <family val="2"/>
      <charset val="1"/>
    </font>
    <font>
      <sz val="9"/>
      <color rgb="FFFFFFFF"/>
      <name val="Arial"/>
      <family val="2"/>
      <charset val="1"/>
    </font>
    <font>
      <b/>
      <sz val="10"/>
      <color rgb="FF1F3864"/>
      <name val="Arial"/>
      <family val="2"/>
      <charset val="1"/>
    </font>
    <font>
      <b/>
      <sz val="11"/>
      <color rgb="FF000000"/>
      <name val="Arial"/>
      <family val="2"/>
      <charset val="1"/>
    </font>
    <font>
      <b/>
      <sz val="10"/>
      <color rgb="FF000000"/>
      <name val="Arial"/>
      <family val="2"/>
      <charset val="1"/>
    </font>
    <font>
      <sz val="10"/>
      <color rgb="FF000000"/>
      <name val="Arial"/>
      <family val="2"/>
      <charset val="1"/>
    </font>
    <font>
      <b/>
      <sz val="9"/>
      <color rgb="FF1F3864"/>
      <name val="Arial"/>
      <family val="2"/>
      <charset val="1"/>
    </font>
    <font>
      <sz val="10"/>
      <color rgb="FF008000"/>
      <name val="Arial"/>
      <family val="2"/>
      <charset val="1"/>
    </font>
    <font>
      <b/>
      <sz val="10"/>
      <color rgb="FF548235"/>
      <name val="Arial"/>
      <family val="2"/>
      <charset val="1"/>
    </font>
    <font>
      <b/>
      <sz val="11"/>
      <color rgb="FFFFFFFF"/>
      <name val="Arial"/>
      <family val="2"/>
      <charset val="1"/>
    </font>
    <font>
      <b/>
      <sz val="11"/>
      <color rgb="FFFFFFFF"/>
      <name val="Cambria"/>
      <family val="1"/>
      <charset val="1"/>
    </font>
    <font>
      <b/>
      <sz val="9"/>
      <color rgb="FFFFFFFF"/>
      <name val="Cambria"/>
      <family val="1"/>
      <charset val="1"/>
    </font>
    <font>
      <b/>
      <sz val="9"/>
      <name val="Cambria"/>
      <family val="1"/>
      <charset val="1"/>
    </font>
    <font>
      <sz val="9"/>
      <name val="Cambria"/>
      <family val="1"/>
      <charset val="1"/>
    </font>
    <font>
      <b/>
      <sz val="11"/>
      <color rgb="FF111827"/>
      <name val="Cambria"/>
      <family val="1"/>
      <charset val="1"/>
    </font>
    <font>
      <sz val="11"/>
      <name val="Cambria"/>
      <family val="1"/>
      <charset val="1"/>
    </font>
    <font>
      <i/>
      <sz val="9"/>
      <color rgb="FF808080"/>
      <name val="Calibri"/>
      <family val="2"/>
      <charset val="1"/>
    </font>
    <font>
      <b/>
      <sz val="11"/>
      <color rgb="FF0070C0"/>
      <name val="Calibri"/>
      <family val="2"/>
      <charset val="1"/>
    </font>
    <font>
      <b/>
      <sz val="11"/>
      <color rgb="FFC00000"/>
      <name val="Arial"/>
      <family val="2"/>
      <charset val="1"/>
    </font>
    <font>
      <i/>
      <sz val="8"/>
      <color rgb="FF808080"/>
      <name val="Arial"/>
      <family val="2"/>
      <charset val="1"/>
    </font>
    <font>
      <i/>
      <sz val="9"/>
      <name val="Calibri"/>
      <family val="2"/>
      <charset val="1"/>
    </font>
    <font>
      <sz val="8"/>
      <color rgb="FFBFBFBF"/>
      <name val="Calibri"/>
      <family val="2"/>
      <charset val="1"/>
    </font>
    <font>
      <b/>
      <sz val="11"/>
      <color rgb="FFC2410C"/>
      <name val="Calibri"/>
      <family val="2"/>
      <charset val="1"/>
    </font>
    <font>
      <b/>
      <sz val="9"/>
      <color rgb="FF000000"/>
      <name val="Arial"/>
      <family val="2"/>
      <charset val="1"/>
    </font>
    <font>
      <sz val="8"/>
      <color rgb="FFC0C0C0"/>
      <name val="Arial"/>
      <family val="2"/>
      <charset val="1"/>
    </font>
    <font>
      <b/>
      <sz val="10"/>
      <color rgb="FF1F3864"/>
      <name val="Calibri"/>
      <family val="2"/>
      <charset val="1"/>
    </font>
    <font>
      <sz val="10"/>
      <name val="Arial"/>
      <family val="2"/>
      <charset val="1"/>
    </font>
    <font>
      <i/>
      <sz val="8"/>
      <name val="Calibri"/>
      <family val="2"/>
      <charset val="1"/>
    </font>
    <font>
      <b/>
      <sz val="11"/>
      <color rgb="FF7A1F1F"/>
      <name val="Calibri"/>
      <family val="2"/>
      <charset val="1"/>
    </font>
    <font>
      <b/>
      <sz val="14"/>
      <color rgb="FF1F3864"/>
      <name val="Cambria"/>
      <family val="1"/>
      <charset val="1"/>
    </font>
    <font>
      <sz val="11"/>
      <color rgb="FFFFFFFF"/>
      <name val="Cambria"/>
      <family val="1"/>
      <charset val="1"/>
    </font>
    <font>
      <b/>
      <sz val="11"/>
      <color rgb="FF6D28D9"/>
      <name val="Cambria"/>
      <family val="1"/>
      <charset val="1"/>
    </font>
    <font>
      <b/>
      <sz val="11"/>
      <color rgb="FF1F3864"/>
      <name val="Cambria"/>
      <family val="1"/>
      <charset val="1"/>
    </font>
    <font>
      <b/>
      <sz val="11"/>
      <color rgb="FF16A34A"/>
      <name val="Cambria"/>
      <family val="1"/>
      <charset val="1"/>
    </font>
    <font>
      <sz val="11"/>
      <color rgb="FF1F3864"/>
      <name val="Calibri"/>
      <family val="2"/>
      <charset val="1"/>
    </font>
    <font>
      <b/>
      <sz val="11"/>
      <color rgb="FFDC2626"/>
      <name val="Cambria"/>
      <family val="1"/>
      <charset val="1"/>
    </font>
    <font>
      <b/>
      <sz val="11"/>
      <color rgb="FFEA580C"/>
      <name val="Cambria"/>
      <family val="1"/>
      <charset val="1"/>
    </font>
    <font>
      <b/>
      <sz val="11"/>
      <color rgb="FF2563EB"/>
      <name val="Cambria"/>
      <family val="1"/>
      <charset val="1"/>
    </font>
    <font>
      <sz val="11"/>
      <color rgb="FF6D28D9"/>
      <name val="Cambria"/>
      <family val="1"/>
      <charset val="1"/>
    </font>
    <font>
      <b/>
      <sz val="11"/>
      <color rgb="FF000000"/>
      <name val="Cambria"/>
      <family val="1"/>
      <charset val="1"/>
    </font>
    <font>
      <sz val="11"/>
      <color rgb="FF16A34A"/>
      <name val="Cambria"/>
      <family val="1"/>
      <charset val="1"/>
    </font>
    <font>
      <sz val="11"/>
      <color rgb="FF555555"/>
      <name val="Cambria"/>
      <family val="1"/>
      <charset val="1"/>
    </font>
    <font>
      <sz val="11"/>
      <color rgb="FFDC2626"/>
      <name val="Cambria"/>
      <family val="1"/>
      <charset val="1"/>
    </font>
    <font>
      <sz val="11"/>
      <color rgb="FFEA580C"/>
      <name val="Cambria"/>
      <family val="1"/>
      <charset val="1"/>
    </font>
    <font>
      <sz val="11"/>
      <color rgb="FF2563EB"/>
      <name val="Cambria"/>
      <family val="1"/>
      <charset val="1"/>
    </font>
    <font>
      <b/>
      <sz val="12"/>
      <color rgb="FF1F3864"/>
      <name val="Calibri"/>
      <family val="2"/>
      <charset val="1"/>
    </font>
    <font>
      <b/>
      <sz val="9"/>
      <name val="Arial"/>
      <family val="2"/>
      <charset val="1"/>
    </font>
    <font>
      <b/>
      <sz val="14"/>
      <color rgb="FF1F3864"/>
      <name val="Arial"/>
      <family val="2"/>
    </font>
    <font>
      <i/>
      <sz val="9"/>
      <color rgb="FF808080"/>
      <name val="Arial"/>
      <family val="2"/>
    </font>
    <font>
      <b/>
      <sz val="11"/>
      <color rgb="FF1F3864"/>
      <name val="Arial"/>
      <family val="2"/>
    </font>
    <font>
      <sz val="10"/>
      <color rgb="FF000000"/>
      <name val="Arial"/>
      <family val="2"/>
    </font>
    <font>
      <b/>
      <sz val="9"/>
      <color rgb="FFFFFFFF"/>
      <name val="Arial"/>
      <family val="2"/>
    </font>
    <font>
      <b/>
      <sz val="9"/>
      <color rgb="FF000000"/>
      <name val="Arial"/>
      <family val="2"/>
    </font>
    <font>
      <sz val="9"/>
      <color rgb="FF000000"/>
      <name val="Arial"/>
      <family val="2"/>
    </font>
    <font>
      <sz val="9"/>
      <color rgb="FFBF8F00"/>
      <name val="Arial"/>
      <family val="2"/>
    </font>
    <font>
      <sz val="9"/>
      <color rgb="FF1E6B2F"/>
      <name val="Arial"/>
      <family val="2"/>
    </font>
    <font>
      <sz val="9"/>
      <color rgb="FF1F3864"/>
      <name val="Arial"/>
      <family val="2"/>
    </font>
    <font>
      <b/>
      <sz val="10"/>
      <color rgb="FF1F3864"/>
      <name val="Arial"/>
      <family val="2"/>
    </font>
    <font>
      <b/>
      <sz val="11"/>
      <color rgb="FFC00000"/>
      <name val="Arial"/>
      <family val="2"/>
    </font>
    <font>
      <b/>
      <sz val="10"/>
      <color rgb="FF000000"/>
      <name val="Arial"/>
      <family val="2"/>
    </font>
    <font>
      <sz val="10"/>
      <color rgb="FF0000FF"/>
      <name val="Arial"/>
      <family val="2"/>
    </font>
    <font>
      <sz val="9"/>
      <color rgb="FF808080"/>
      <name val="Arial"/>
      <family val="2"/>
    </font>
    <font>
      <b/>
      <sz val="11"/>
      <color rgb="FF1E6B2F"/>
      <name val="Arial"/>
      <family val="2"/>
    </font>
    <font>
      <b/>
      <sz val="14"/>
      <color rgb="FF1F3864"/>
      <name val="Calibri"/>
      <family val="2"/>
      <charset val="1"/>
    </font>
    <font>
      <i/>
      <sz val="11"/>
      <color rgb="FF555555"/>
      <name val="Calibri"/>
      <family val="2"/>
      <charset val="1"/>
    </font>
    <font>
      <b/>
      <sz val="11"/>
      <color rgb="FFC00000"/>
      <name val="Calibri"/>
      <family val="2"/>
      <charset val="1"/>
    </font>
    <font>
      <i/>
      <sz val="9"/>
      <color rgb="FF555555"/>
      <name val="Calibri"/>
      <family val="2"/>
      <charset val="1"/>
    </font>
    <font>
      <b/>
      <sz val="13"/>
      <color rgb="FF1F3864"/>
      <name val="Arial"/>
      <family val="2"/>
      <charset val="1"/>
    </font>
    <font>
      <sz val="9"/>
      <color rgb="FF1F3864"/>
      <name val="Calibri"/>
      <family val="2"/>
      <charset val="1"/>
    </font>
    <font>
      <b/>
      <sz val="12"/>
      <color rgb="FF000000"/>
      <name val="Arial"/>
      <family val="2"/>
      <charset val="1"/>
    </font>
    <font>
      <i/>
      <sz val="9"/>
      <color rgb="FF808080"/>
      <name val="Calibri"/>
      <family val="2"/>
    </font>
    <font>
      <sz val="10"/>
      <name val="Arial"/>
      <family val="2"/>
    </font>
    <font>
      <b/>
      <sz val="11"/>
      <color rgb="FFFFFFFF"/>
      <name val="Cambria"/>
      <family val="1"/>
    </font>
    <font>
      <b/>
      <sz val="12"/>
      <color rgb="FF595959"/>
      <name val="Calibri"/>
      <family val="2"/>
      <charset val="1"/>
    </font>
    <font>
      <b/>
      <sz val="12"/>
      <color rgb="FF808080"/>
      <name val="Calibri"/>
      <family val="2"/>
      <charset val="1"/>
    </font>
    <font>
      <b/>
      <sz val="10"/>
      <color rgb="FFFFFFFF"/>
      <name val="Calibri"/>
      <family val="2"/>
    </font>
    <font>
      <sz val="10"/>
      <color rgb="FF185FA5"/>
      <name val="Consolas"/>
      <family val="3"/>
    </font>
    <font>
      <sz val="10"/>
      <color rgb="FF534AB7"/>
      <name val="Consolas"/>
      <family val="3"/>
    </font>
    <font>
      <i/>
      <sz val="10"/>
      <color rgb="FF888780"/>
      <name val="Calibri"/>
      <family val="2"/>
    </font>
    <font>
      <b/>
      <sz val="10"/>
      <color rgb="FF633806"/>
      <name val="Calibri"/>
      <family val="2"/>
    </font>
    <font>
      <sz val="10"/>
      <color rgb="FF1F3864"/>
      <name val="Calibri"/>
      <family val="2"/>
    </font>
    <font>
      <b/>
      <sz val="11"/>
      <color theme="1"/>
      <name val="Calibri"/>
      <family val="2"/>
      <charset val="1"/>
    </font>
    <font>
      <sz val="11"/>
      <color theme="1"/>
      <name val="Calibri"/>
      <family val="2"/>
      <charset val="1"/>
    </font>
    <font>
      <sz val="10"/>
      <color theme="3"/>
      <name val="Calibri"/>
      <family val="2"/>
      <charset val="1"/>
    </font>
    <font>
      <sz val="10"/>
      <color theme="1"/>
      <name val="Arial"/>
      <family val="2"/>
      <charset val="1"/>
    </font>
    <font>
      <b/>
      <sz val="12"/>
      <color rgb="FFFFD9A0"/>
      <name val="Calibri"/>
      <family val="2"/>
      <charset val="1"/>
    </font>
    <font>
      <b/>
      <sz val="12"/>
      <color rgb="FF6D28D9"/>
      <name val="Calibri"/>
      <family val="2"/>
      <charset val="1"/>
    </font>
    <font>
      <b/>
      <sz val="12"/>
      <color rgb="FFC4B5FD"/>
      <name val="Calibri"/>
      <family val="2"/>
      <charset val="1"/>
    </font>
    <font>
      <sz val="10"/>
      <color rgb="FF00B050"/>
      <name val="Calibri"/>
      <family val="2"/>
      <charset val="1"/>
    </font>
    <font>
      <b/>
      <sz val="12"/>
      <color rgb="FF00B050"/>
      <name val="Calibri"/>
      <family val="2"/>
      <charset val="1"/>
    </font>
    <font>
      <b/>
      <sz val="12"/>
      <color rgb="FF4ADE80"/>
      <name val="Calibri"/>
      <family val="2"/>
      <charset val="1"/>
    </font>
    <font>
      <b/>
      <sz val="12"/>
      <color rgb="FFFFA500"/>
      <name val="Calibri"/>
      <family val="2"/>
      <charset val="1"/>
    </font>
    <font>
      <sz val="10"/>
      <color rgb="FFFFA500"/>
      <name val="Calibri"/>
      <family val="2"/>
      <charset val="1"/>
    </font>
    <font>
      <b/>
      <sz val="12"/>
      <color rgb="FF15803D"/>
      <name val="Calibri"/>
      <family val="2"/>
      <charset val="1"/>
    </font>
  </fonts>
  <fills count="50">
    <fill>
      <patternFill patternType="none"/>
    </fill>
    <fill>
      <patternFill patternType="gray125"/>
    </fill>
    <fill>
      <patternFill patternType="solid">
        <fgColor rgb="FFFFF2CD"/>
        <bgColor rgb="FFFCE5D4"/>
      </patternFill>
    </fill>
    <fill>
      <patternFill patternType="solid">
        <fgColor rgb="FF203862"/>
        <bgColor rgb="FF1F4E79"/>
      </patternFill>
    </fill>
    <fill>
      <patternFill patternType="solid">
        <fgColor rgb="FFE1D5F0"/>
        <bgColor rgb="FFDBD6F0"/>
      </patternFill>
    </fill>
    <fill>
      <patternFill patternType="mediumGray">
        <fgColor rgb="FFDBD6F0"/>
        <bgColor rgb="FFE1D5F0"/>
      </patternFill>
    </fill>
    <fill>
      <patternFill patternType="solid">
        <fgColor rgb="FFFCE5D4"/>
        <bgColor rgb="FFF8DCDC"/>
      </patternFill>
    </fill>
    <fill>
      <patternFill patternType="darkGray">
        <fgColor rgb="FFE7E7EA"/>
        <bgColor rgb="FFECE9F6"/>
      </patternFill>
    </fill>
    <fill>
      <patternFill patternType="solid">
        <fgColor rgb="FFFFFF00"/>
        <bgColor rgb="FFFFE600"/>
      </patternFill>
    </fill>
    <fill>
      <patternFill patternType="solid">
        <fgColor rgb="FFC2185B"/>
        <bgColor rgb="FFDE3119"/>
      </patternFill>
    </fill>
    <fill>
      <patternFill patternType="solid">
        <fgColor rgb="FFF6F8FB"/>
        <bgColor rgb="FFF1F2F5"/>
      </patternFill>
    </fill>
    <fill>
      <patternFill patternType="darkGray">
        <fgColor rgb="FF22722A"/>
        <bgColor rgb="FF548235"/>
      </patternFill>
    </fill>
    <fill>
      <patternFill patternType="darkGray">
        <fgColor rgb="FFEAF3E5"/>
        <bgColor rgb="FFF1F2F5"/>
      </patternFill>
    </fill>
    <fill>
      <patternFill patternType="solid">
        <fgColor rgb="FFE7E7EA"/>
        <bgColor rgb="FFECE9F6"/>
      </patternFill>
    </fill>
    <fill>
      <patternFill patternType="mediumGray">
        <fgColor rgb="FFC00000"/>
        <bgColor rgb="FFC30000"/>
      </patternFill>
    </fill>
    <fill>
      <patternFill patternType="darkGray">
        <fgColor rgb="FFDE3119"/>
        <bgColor rgb="FFC13B17"/>
      </patternFill>
    </fill>
    <fill>
      <patternFill patternType="solid">
        <fgColor rgb="FFE06666"/>
        <bgColor rgb="FFF4880A"/>
      </patternFill>
    </fill>
    <fill>
      <patternFill patternType="solid">
        <fgColor rgb="FFF19D9D"/>
        <bgColor rgb="FFF2BFBF"/>
      </patternFill>
    </fill>
    <fill>
      <patternFill patternType="solid">
        <fgColor rgb="FFF2BFBF"/>
        <bgColor rgb="FFFFC7CE"/>
      </patternFill>
    </fill>
    <fill>
      <patternFill patternType="solid">
        <fgColor rgb="FFF8DCDC"/>
        <bgColor rgb="FFFCE5D4"/>
      </patternFill>
    </fill>
    <fill>
      <patternFill patternType="solid">
        <fgColor rgb="FF548235"/>
        <bgColor rgb="FF22722A"/>
      </patternFill>
    </fill>
    <fill>
      <patternFill patternType="solid">
        <fgColor rgb="FF71A84F"/>
        <bgColor rgb="FF548235"/>
      </patternFill>
    </fill>
    <fill>
      <patternFill patternType="solid">
        <fgColor rgb="FF95C987"/>
        <bgColor rgb="FFB6D7A8"/>
      </patternFill>
    </fill>
    <fill>
      <patternFill patternType="solid">
        <fgColor rgb="FFB6D7A8"/>
        <bgColor rgb="FFC6E0B4"/>
      </patternFill>
    </fill>
    <fill>
      <patternFill patternType="solid">
        <fgColor rgb="FFD9EAD2"/>
        <bgColor rgb="FFE2EFDA"/>
      </patternFill>
    </fill>
    <fill>
      <patternFill patternType="solid">
        <fgColor rgb="FFFFD997"/>
        <bgColor rgb="FFFFE699"/>
      </patternFill>
    </fill>
    <fill>
      <patternFill patternType="darkGray">
        <fgColor rgb="FFEAF3E5"/>
        <bgColor rgb="FFE2EFDA"/>
      </patternFill>
    </fill>
    <fill>
      <patternFill patternType="solid">
        <fgColor theme="4" tint="0.39979247413556324"/>
        <bgColor rgb="FFBEBEBE"/>
      </patternFill>
    </fill>
    <fill>
      <patternFill patternType="darkGray">
        <fgColor rgb="FFFFE600"/>
        <bgColor rgb="FFFFFF00"/>
      </patternFill>
    </fill>
    <fill>
      <patternFill patternType="solid">
        <fgColor rgb="FFFCE3ED"/>
        <bgColor rgb="FFF8DCDC"/>
      </patternFill>
    </fill>
    <fill>
      <patternFill patternType="solid">
        <fgColor rgb="FFFF2D95"/>
        <bgColor rgb="FFC2185B"/>
      </patternFill>
    </fill>
    <fill>
      <patternFill patternType="solid">
        <fgColor rgb="FFFCE5D4"/>
        <bgColor rgb="FFF8DCDC"/>
      </patternFill>
    </fill>
    <fill>
      <patternFill patternType="solid">
        <fgColor rgb="FFF5CBD0"/>
        <bgColor rgb="FFFFC7CE"/>
      </patternFill>
    </fill>
    <fill>
      <patternFill patternType="solid">
        <fgColor rgb="FFC13B17"/>
        <bgColor rgb="FFDE3119"/>
      </patternFill>
    </fill>
    <fill>
      <patternFill patternType="darkGray">
        <fgColor rgb="FF81290E"/>
        <bgColor rgb="FF9C0006"/>
      </patternFill>
    </fill>
    <fill>
      <patternFill patternType="solid">
        <fgColor rgb="FFFFFFFF"/>
        <bgColor rgb="FFF6F8FB"/>
      </patternFill>
    </fill>
    <fill>
      <patternFill patternType="solid">
        <fgColor rgb="FFE2EFDA"/>
        <bgColor rgb="FFEAF3E5"/>
      </patternFill>
    </fill>
    <fill>
      <patternFill patternType="solid">
        <fgColor rgb="FFF1F2F5"/>
        <bgColor rgb="FFF6F8FB"/>
      </patternFill>
    </fill>
    <fill>
      <patternFill patternType="darkGray">
        <fgColor rgb="FFECE9F6"/>
        <bgColor rgb="FFE7E7EA"/>
      </patternFill>
    </fill>
    <fill>
      <patternFill patternType="darkGray">
        <fgColor rgb="FFFCE3ED"/>
        <bgColor rgb="FFFCE5D4"/>
      </patternFill>
    </fill>
    <fill>
      <patternFill patternType="darkGray">
        <fgColor rgb="FFF1F2F5"/>
        <bgColor rgb="FFEAF3E5"/>
      </patternFill>
    </fill>
    <fill>
      <patternFill patternType="darkGray">
        <fgColor rgb="FFF1F2F5"/>
        <bgColor rgb="FFEAF3E5"/>
      </patternFill>
    </fill>
    <fill>
      <patternFill patternType="solid">
        <fgColor theme="4" tint="0.79989013336588644"/>
        <bgColor rgb="FFECE9F6"/>
      </patternFill>
    </fill>
    <fill>
      <patternFill patternType="solid">
        <fgColor rgb="FF1F4E79"/>
        <bgColor rgb="FF203862"/>
      </patternFill>
    </fill>
    <fill>
      <patternFill patternType="solid">
        <fgColor rgb="FFD9EAD3"/>
        <bgColor rgb="FFC6E0B4"/>
      </patternFill>
    </fill>
    <fill>
      <patternFill patternType="solid">
        <fgColor rgb="FF1F3864"/>
        <bgColor indexed="64"/>
      </patternFill>
    </fill>
    <fill>
      <patternFill patternType="solid">
        <fgColor rgb="FFFAEEDA"/>
        <bgColor indexed="64"/>
      </patternFill>
    </fill>
    <fill>
      <patternFill patternType="solid">
        <fgColor rgb="FFFFF6D9"/>
        <bgColor indexed="64"/>
      </patternFill>
    </fill>
    <fill>
      <patternFill patternType="solid">
        <fgColor rgb="FFFFFF00"/>
        <bgColor indexed="64"/>
      </patternFill>
    </fill>
    <fill>
      <patternFill patternType="solid">
        <fgColor theme="8" tint="0.79998168889431442"/>
        <bgColor indexed="64"/>
      </patternFill>
    </fill>
  </fills>
  <borders count="71">
    <border>
      <left/>
      <right/>
      <top/>
      <bottom/>
      <diagonal/>
    </border>
    <border>
      <left style="thin">
        <color rgb="FFBEBEBE"/>
      </left>
      <right style="thin">
        <color rgb="FFBEBEBE"/>
      </right>
      <top style="thin">
        <color rgb="FFBEBEBE"/>
      </top>
      <bottom/>
      <diagonal/>
    </border>
    <border>
      <left style="thin">
        <color rgb="FFBEBEBE"/>
      </left>
      <right/>
      <top/>
      <bottom/>
      <diagonal/>
    </border>
    <border>
      <left/>
      <right style="thin">
        <color rgb="FFBEBEBE"/>
      </right>
      <top/>
      <bottom/>
      <diagonal/>
    </border>
    <border>
      <left style="medium">
        <color rgb="FF585858"/>
      </left>
      <right/>
      <top style="medium">
        <color rgb="FF585858"/>
      </top>
      <bottom/>
      <diagonal/>
    </border>
    <border>
      <left/>
      <right/>
      <top style="medium">
        <color rgb="FF585858"/>
      </top>
      <bottom/>
      <diagonal/>
    </border>
    <border>
      <left/>
      <right style="medium">
        <color rgb="FF585858"/>
      </right>
      <top style="medium">
        <color rgb="FF585858"/>
      </top>
      <bottom/>
      <diagonal/>
    </border>
    <border>
      <left style="medium">
        <color rgb="FF585858"/>
      </left>
      <right/>
      <top/>
      <bottom/>
      <diagonal/>
    </border>
    <border>
      <left/>
      <right style="medium">
        <color rgb="FF585858"/>
      </right>
      <top/>
      <bottom/>
      <diagonal/>
    </border>
    <border>
      <left style="medium">
        <color rgb="FF585858"/>
      </left>
      <right style="medium">
        <color rgb="FF585858"/>
      </right>
      <top/>
      <bottom style="medium">
        <color rgb="FF585858"/>
      </bottom>
      <diagonal/>
    </border>
    <border>
      <left/>
      <right/>
      <top/>
      <bottom style="medium">
        <color rgb="FF585858"/>
      </bottom>
      <diagonal/>
    </border>
    <border>
      <left/>
      <right style="medium">
        <color rgb="FF585858"/>
      </right>
      <top/>
      <bottom style="medium">
        <color rgb="FF585858"/>
      </bottom>
      <diagonal/>
    </border>
    <border>
      <left style="medium">
        <color rgb="FF585858"/>
      </left>
      <right/>
      <top/>
      <bottom style="medium">
        <color rgb="FF585858"/>
      </bottom>
      <diagonal/>
    </border>
    <border>
      <left style="medium">
        <color rgb="FF203862"/>
      </left>
      <right style="medium">
        <color rgb="FF203862"/>
      </right>
      <top style="medium">
        <color rgb="FF203862"/>
      </top>
      <bottom/>
      <diagonal/>
    </border>
    <border>
      <left style="medium">
        <color rgb="FF585858"/>
      </left>
      <right style="medium">
        <color rgb="FF585858"/>
      </right>
      <top/>
      <bottom/>
      <diagonal/>
    </border>
    <border>
      <left style="medium">
        <color rgb="FF203862"/>
      </left>
      <right/>
      <top/>
      <bottom/>
      <diagonal/>
    </border>
    <border>
      <left style="thin">
        <color rgb="FFBEBEBE"/>
      </left>
      <right style="thin">
        <color rgb="FFBEBEBE"/>
      </right>
      <top style="thin">
        <color rgb="FFBEBEBE"/>
      </top>
      <bottom style="thin">
        <color rgb="FFBEBEBE"/>
      </bottom>
      <diagonal/>
    </border>
    <border>
      <left/>
      <right style="medium">
        <color rgb="FF203862"/>
      </right>
      <top/>
      <bottom/>
      <diagonal/>
    </border>
    <border>
      <left style="medium">
        <color rgb="FF203862"/>
      </left>
      <right style="medium">
        <color rgb="FF203862"/>
      </right>
      <top/>
      <bottom style="medium">
        <color rgb="FF203862"/>
      </bottom>
      <diagonal/>
    </border>
    <border>
      <left/>
      <right/>
      <top style="medium">
        <color rgb="FF585858"/>
      </top>
      <bottom style="medium">
        <color rgb="FF585858"/>
      </bottom>
      <diagonal/>
    </border>
    <border>
      <left style="medium">
        <color auto="1"/>
      </left>
      <right/>
      <top/>
      <bottom/>
      <diagonal/>
    </border>
    <border>
      <left style="thin">
        <color rgb="FFBEBEBE"/>
      </left>
      <right/>
      <top/>
      <bottom style="thin">
        <color rgb="FFBEBEBE"/>
      </bottom>
      <diagonal/>
    </border>
    <border>
      <left/>
      <right/>
      <top/>
      <bottom style="thin">
        <color rgb="FFBEBEBE"/>
      </bottom>
      <diagonal/>
    </border>
    <border>
      <left/>
      <right style="thin">
        <color rgb="FFBEBEBE"/>
      </right>
      <top/>
      <bottom style="thin">
        <color rgb="FFBEBEBE"/>
      </bottom>
      <diagonal/>
    </border>
    <border>
      <left/>
      <right/>
      <top/>
      <bottom style="thin">
        <color rgb="FF585858"/>
      </bottom>
      <diagonal/>
    </border>
    <border>
      <left/>
      <right style="thin">
        <color rgb="FF585858"/>
      </right>
      <top/>
      <bottom/>
      <diagonal/>
    </border>
    <border>
      <left/>
      <right/>
      <top style="thin">
        <color rgb="FF585858"/>
      </top>
      <bottom/>
      <diagonal/>
    </border>
    <border>
      <left style="thin">
        <color rgb="FFBEBEBE"/>
      </left>
      <right/>
      <top style="thin">
        <color rgb="FFBEBEBE"/>
      </top>
      <bottom/>
      <diagonal/>
    </border>
    <border>
      <left/>
      <right/>
      <top style="thin">
        <color rgb="FFBEBEBE"/>
      </top>
      <bottom/>
      <diagonal/>
    </border>
    <border>
      <left/>
      <right style="thin">
        <color rgb="FFBEBEBE"/>
      </right>
      <top style="thin">
        <color rgb="FFBEBEBE"/>
      </top>
      <bottom/>
      <diagonal/>
    </border>
    <border>
      <left style="thin">
        <color rgb="FFBEBEBE"/>
      </left>
      <right style="thin">
        <color rgb="FFBEBEBE"/>
      </right>
      <top/>
      <bottom style="thin">
        <color rgb="FFBEBEBE"/>
      </bottom>
      <diagonal/>
    </border>
    <border>
      <left style="thin">
        <color rgb="FF585858"/>
      </left>
      <right/>
      <top/>
      <bottom/>
      <diagonal/>
    </border>
    <border>
      <left style="thin">
        <color rgb="FF9BB1D1"/>
      </left>
      <right style="thin">
        <color rgb="FF9BB1D1"/>
      </right>
      <top style="thin">
        <color rgb="FF9BB1D1"/>
      </top>
      <bottom style="thin">
        <color rgb="FF9BB1D1"/>
      </bottom>
      <diagonal/>
    </border>
    <border>
      <left style="thin">
        <color rgb="FF175CE7"/>
      </left>
      <right style="thin">
        <color rgb="FF175CE7"/>
      </right>
      <top style="thin">
        <color rgb="FF175CE7"/>
      </top>
      <bottom style="thin">
        <color rgb="FF175CE7"/>
      </bottom>
      <diagonal/>
    </border>
    <border>
      <left style="medium">
        <color rgb="FF585858"/>
      </left>
      <right/>
      <top style="thin">
        <color indexed="64"/>
      </top>
      <bottom/>
      <diagonal/>
    </border>
    <border>
      <left/>
      <right/>
      <top style="thin">
        <color indexed="64"/>
      </top>
      <bottom/>
      <diagonal/>
    </border>
    <border>
      <left/>
      <right style="medium">
        <color rgb="FF585858"/>
      </right>
      <top style="thin">
        <color indexed="64"/>
      </top>
      <bottom/>
      <diagonal/>
    </border>
    <border>
      <left style="medium">
        <color rgb="FF585858"/>
      </left>
      <right/>
      <top/>
      <bottom/>
      <diagonal/>
    </border>
    <border>
      <left/>
      <right/>
      <top/>
      <bottom/>
      <diagonal/>
    </border>
    <border>
      <left/>
      <right style="medium">
        <color rgb="FF585858"/>
      </right>
      <top/>
      <bottom/>
      <diagonal/>
    </border>
    <border>
      <left/>
      <right style="medium">
        <color rgb="FF203862"/>
      </right>
      <top/>
      <bottom/>
      <diagonal/>
    </border>
    <border>
      <left style="medium">
        <color rgb="FF203862"/>
      </left>
      <right/>
      <top/>
      <bottom style="medium">
        <color rgb="FF203862"/>
      </bottom>
      <diagonal/>
    </border>
    <border>
      <left/>
      <right/>
      <top/>
      <bottom style="medium">
        <color rgb="FF203862"/>
      </bottom>
      <diagonal/>
    </border>
    <border>
      <left/>
      <right style="medium">
        <color rgb="FF203862"/>
      </right>
      <top/>
      <bottom style="medium">
        <color rgb="FF203862"/>
      </bottom>
      <diagonal/>
    </border>
    <border>
      <left/>
      <right style="medium">
        <color indexed="64"/>
      </right>
      <top/>
      <bottom style="medium">
        <color rgb="FF203862"/>
      </bottom>
      <diagonal/>
    </border>
    <border>
      <left/>
      <right/>
      <top/>
      <bottom/>
      <diagonal/>
    </border>
    <border>
      <left style="medium">
        <color rgb="FF1F3864"/>
      </left>
      <right/>
      <top style="medium">
        <color rgb="FF1F3864"/>
      </top>
      <bottom/>
      <diagonal/>
    </border>
    <border>
      <left/>
      <right/>
      <top style="medium">
        <color rgb="FF1F3864"/>
      </top>
      <bottom/>
      <diagonal/>
    </border>
    <border>
      <left/>
      <right style="medium">
        <color rgb="FF1F3864"/>
      </right>
      <top style="medium">
        <color rgb="FF1F3864"/>
      </top>
      <bottom/>
      <diagonal/>
    </border>
    <border>
      <left style="medium">
        <color rgb="FF1F3864"/>
      </left>
      <right/>
      <top/>
      <bottom/>
      <diagonal/>
    </border>
    <border>
      <left/>
      <right style="medium">
        <color rgb="FF1F3864"/>
      </right>
      <top/>
      <bottom/>
      <diagonal/>
    </border>
    <border>
      <left style="medium">
        <color rgb="FF1F3864"/>
      </left>
      <right/>
      <top style="thin">
        <color rgb="FF1F3864"/>
      </top>
      <bottom style="thin">
        <color rgb="FF1F3864"/>
      </bottom>
      <diagonal/>
    </border>
    <border>
      <left/>
      <right/>
      <top style="thin">
        <color rgb="FF1F3864"/>
      </top>
      <bottom style="thin">
        <color rgb="FF1F3864"/>
      </bottom>
      <diagonal/>
    </border>
    <border>
      <left/>
      <right style="medium">
        <color rgb="FF1F3864"/>
      </right>
      <top style="thin">
        <color rgb="FF1F3864"/>
      </top>
      <bottom style="thin">
        <color rgb="FF1F3864"/>
      </bottom>
      <diagonal/>
    </border>
    <border>
      <left style="medium">
        <color rgb="FF1F3864"/>
      </left>
      <right/>
      <top/>
      <bottom style="medium">
        <color rgb="FF1F3864"/>
      </bottom>
      <diagonal/>
    </border>
    <border>
      <left/>
      <right/>
      <top/>
      <bottom style="medium">
        <color rgb="FF1F3864"/>
      </bottom>
      <diagonal/>
    </border>
    <border>
      <left/>
      <right style="medium">
        <color rgb="FF1F3864"/>
      </right>
      <top/>
      <bottom style="medium">
        <color rgb="FF1F3864"/>
      </bottom>
      <diagonal/>
    </border>
    <border>
      <left style="medium">
        <color rgb="FF1F3864"/>
      </left>
      <right/>
      <top style="thin">
        <color rgb="FF1F3864"/>
      </top>
      <bottom style="medium">
        <color rgb="FF1F3864"/>
      </bottom>
      <diagonal/>
    </border>
    <border>
      <left/>
      <right/>
      <top style="thin">
        <color rgb="FF1F3864"/>
      </top>
      <bottom style="medium">
        <color rgb="FF1F3864"/>
      </bottom>
      <diagonal/>
    </border>
    <border>
      <left/>
      <right style="medium">
        <color rgb="FF1F3864"/>
      </right>
      <top style="thin">
        <color rgb="FF1F3864"/>
      </top>
      <bottom style="medium">
        <color rgb="FF1F3864"/>
      </bottom>
      <diagonal/>
    </border>
    <border>
      <left style="thin">
        <color rgb="FFBEBEBE"/>
      </left>
      <right style="medium">
        <color rgb="FF203862"/>
      </right>
      <top style="thin">
        <color rgb="FFBEBEBE"/>
      </top>
      <bottom style="thin">
        <color rgb="FFBEBEBE"/>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43" fontId="143" fillId="0" borderId="0" applyFont="0" applyFill="0" applyBorder="0" applyAlignment="0" applyProtection="0"/>
  </cellStyleXfs>
  <cellXfs count="657">
    <xf numFmtId="0" fontId="0" fillId="0" borderId="0" xfId="0"/>
    <xf numFmtId="0" fontId="0" fillId="0" borderId="0" xfId="0" applyBorder="1"/>
    <xf numFmtId="0" fontId="3" fillId="0" borderId="0" xfId="0" applyFont="1" applyBorder="1" applyAlignment="1">
      <alignment horizontal="right" vertical="center"/>
    </xf>
    <xf numFmtId="1" fontId="0" fillId="0" borderId="0" xfId="0" applyNumberFormat="1" applyBorder="1"/>
    <xf numFmtId="0" fontId="4" fillId="0" borderId="2" xfId="0" applyFont="1" applyBorder="1" applyAlignment="1">
      <alignment horizontal="right" vertical="center"/>
    </xf>
    <xf numFmtId="0" fontId="5" fillId="0" borderId="3" xfId="0" applyFont="1" applyBorder="1" applyAlignment="1">
      <alignment horizontal="left" vertical="center"/>
    </xf>
    <xf numFmtId="2" fontId="0" fillId="0" borderId="0" xfId="0" applyNumberFormat="1" applyBorder="1"/>
    <xf numFmtId="0" fontId="6" fillId="0" borderId="2" xfId="0" applyFont="1" applyBorder="1" applyAlignment="1">
      <alignment horizontal="right" vertical="center"/>
    </xf>
    <xf numFmtId="0" fontId="7" fillId="0" borderId="0" xfId="0" applyFont="1" applyBorder="1" applyAlignment="1">
      <alignment horizontal="center" vertical="center"/>
    </xf>
    <xf numFmtId="0" fontId="8" fillId="0" borderId="3" xfId="0" applyFont="1" applyBorder="1" applyAlignment="1">
      <alignment horizontal="left" vertical="center"/>
    </xf>
    <xf numFmtId="3" fontId="0" fillId="0" borderId="0" xfId="0" applyNumberFormat="1" applyBorder="1"/>
    <xf numFmtId="0" fontId="10" fillId="0" borderId="0" xfId="0" applyFont="1" applyBorder="1" applyAlignment="1">
      <alignment horizontal="left" vertical="center"/>
    </xf>
    <xf numFmtId="0" fontId="0" fillId="0" borderId="8" xfId="0" applyBorder="1"/>
    <xf numFmtId="0" fontId="0" fillId="0" borderId="10" xfId="0" applyBorder="1"/>
    <xf numFmtId="0" fontId="0" fillId="2" borderId="10" xfId="0" applyFill="1" applyBorder="1" applyAlignment="1">
      <alignment horizontal="center" vertical="center"/>
    </xf>
    <xf numFmtId="0" fontId="0" fillId="0" borderId="11" xfId="0" applyBorder="1"/>
    <xf numFmtId="0" fontId="12" fillId="0" borderId="10" xfId="0" applyFont="1" applyBorder="1"/>
    <xf numFmtId="0" fontId="13" fillId="0" borderId="10" xfId="0" applyFont="1" applyBorder="1" applyAlignment="1">
      <alignment vertical="center"/>
    </xf>
    <xf numFmtId="0" fontId="1" fillId="0" borderId="4" xfId="0" applyFont="1" applyBorder="1"/>
    <xf numFmtId="0" fontId="0" fillId="0" borderId="5" xfId="0" applyBorder="1"/>
    <xf numFmtId="0" fontId="14" fillId="0" borderId="5" xfId="0" applyFont="1" applyBorder="1"/>
    <xf numFmtId="0" fontId="0" fillId="0" borderId="7" xfId="0" applyBorder="1"/>
    <xf numFmtId="0" fontId="12" fillId="0" borderId="7" xfId="0" applyFont="1" applyBorder="1"/>
    <xf numFmtId="0" fontId="15" fillId="0" borderId="7" xfId="0" applyFont="1" applyBorder="1" applyAlignment="1">
      <alignment horizontal="left" vertical="center"/>
    </xf>
    <xf numFmtId="0" fontId="6" fillId="0" borderId="0" xfId="0" applyFont="1" applyBorder="1" applyAlignment="1">
      <alignment horizontal="right" vertical="center"/>
    </xf>
    <xf numFmtId="0" fontId="17" fillId="0" borderId="0" xfId="0" applyFont="1" applyBorder="1" applyAlignment="1">
      <alignment horizontal="center" vertical="center"/>
    </xf>
    <xf numFmtId="0" fontId="18" fillId="0" borderId="0" xfId="0" applyFont="1" applyBorder="1" applyAlignment="1">
      <alignment horizontal="center"/>
    </xf>
    <xf numFmtId="1" fontId="0" fillId="0" borderId="0" xfId="0" applyNumberFormat="1"/>
    <xf numFmtId="0" fontId="12" fillId="0" borderId="12" xfId="0" applyFont="1" applyBorder="1"/>
    <xf numFmtId="0" fontId="19" fillId="0" borderId="10" xfId="0" applyFont="1" applyBorder="1" applyAlignment="1">
      <alignment horizontal="center" vertical="center"/>
    </xf>
    <xf numFmtId="0" fontId="19" fillId="0" borderId="10" xfId="0" applyFont="1" applyBorder="1" applyAlignment="1">
      <alignment horizontal="center"/>
    </xf>
    <xf numFmtId="0" fontId="20" fillId="0" borderId="0" xfId="0" applyFont="1" applyBorder="1" applyAlignment="1">
      <alignment horizontal="right" vertical="center"/>
    </xf>
    <xf numFmtId="0" fontId="0" fillId="0" borderId="0" xfId="0" applyBorder="1"/>
    <xf numFmtId="0" fontId="0" fillId="0" borderId="0" xfId="0"/>
    <xf numFmtId="0" fontId="0" fillId="0" borderId="6" xfId="0" applyBorder="1"/>
    <xf numFmtId="0" fontId="3" fillId="0" borderId="12" xfId="0" applyFont="1" applyBorder="1"/>
    <xf numFmtId="0" fontId="30" fillId="0" borderId="0" xfId="0" applyFont="1" applyBorder="1" applyAlignment="1">
      <alignment horizontal="left" vertical="center"/>
    </xf>
    <xf numFmtId="0" fontId="31" fillId="8" borderId="0" xfId="0" applyFont="1" applyFill="1" applyBorder="1" applyAlignment="1">
      <alignment horizontal="left" vertical="center"/>
    </xf>
    <xf numFmtId="0" fontId="28" fillId="0" borderId="4" xfId="0" applyFont="1" applyBorder="1"/>
    <xf numFmtId="0" fontId="33" fillId="0" borderId="0" xfId="0" applyFont="1" applyBorder="1" applyAlignment="1">
      <alignment horizontal="left" vertical="center"/>
    </xf>
    <xf numFmtId="0" fontId="33" fillId="0" borderId="0" xfId="0" applyFont="1" applyBorder="1"/>
    <xf numFmtId="0" fontId="34" fillId="0" borderId="0" xfId="0" applyFont="1" applyBorder="1"/>
    <xf numFmtId="2" fontId="33" fillId="0" borderId="0" xfId="0" applyNumberFormat="1" applyFont="1" applyBorder="1"/>
    <xf numFmtId="0" fontId="35" fillId="0" borderId="7" xfId="0" applyFont="1" applyBorder="1" applyAlignment="1">
      <alignment horizontal="left" vertical="center"/>
    </xf>
    <xf numFmtId="0" fontId="35" fillId="0" borderId="0" xfId="0" applyFont="1" applyBorder="1" applyAlignment="1">
      <alignment horizontal="center" vertical="center"/>
    </xf>
    <xf numFmtId="0" fontId="26" fillId="0" borderId="8" xfId="0" applyFont="1" applyBorder="1" applyAlignment="1">
      <alignment horizontal="center" vertical="center"/>
    </xf>
    <xf numFmtId="0" fontId="35" fillId="0" borderId="0" xfId="0" applyFont="1" applyBorder="1"/>
    <xf numFmtId="0" fontId="35" fillId="0" borderId="0" xfId="0" applyFont="1" applyBorder="1" applyAlignment="1">
      <alignment horizontal="left" vertical="center"/>
    </xf>
    <xf numFmtId="0" fontId="1" fillId="0" borderId="7" xfId="0" applyFont="1" applyBorder="1" applyAlignment="1">
      <alignment vertical="top" wrapText="1"/>
    </xf>
    <xf numFmtId="0" fontId="13" fillId="0" borderId="0" xfId="0" applyFont="1" applyBorder="1" applyAlignment="1">
      <alignment vertical="top" wrapText="1"/>
    </xf>
    <xf numFmtId="0" fontId="32" fillId="0" borderId="0" xfId="0" applyFont="1" applyBorder="1" applyAlignment="1">
      <alignment horizontal="center" vertical="top"/>
    </xf>
    <xf numFmtId="0" fontId="36" fillId="0" borderId="8" xfId="0" applyFont="1" applyBorder="1" applyAlignment="1">
      <alignment vertical="top"/>
    </xf>
    <xf numFmtId="0" fontId="1" fillId="0" borderId="0" xfId="0" applyFont="1" applyBorder="1" applyAlignment="1">
      <alignment vertical="top" wrapText="1"/>
    </xf>
    <xf numFmtId="165" fontId="0" fillId="0" borderId="0" xfId="0" applyNumberFormat="1" applyBorder="1" applyAlignment="1">
      <alignment horizontal="right" vertical="center"/>
    </xf>
    <xf numFmtId="0" fontId="1" fillId="10" borderId="7" xfId="0" applyFont="1" applyFill="1" applyBorder="1" applyAlignment="1">
      <alignment vertical="top" wrapText="1"/>
    </xf>
    <xf numFmtId="165" fontId="36" fillId="10" borderId="0" xfId="0" applyNumberFormat="1" applyFont="1" applyFill="1" applyBorder="1" applyAlignment="1">
      <alignment horizontal="right" vertical="top"/>
    </xf>
    <xf numFmtId="0" fontId="13" fillId="10" borderId="0" xfId="0" applyFont="1" applyFill="1" applyBorder="1" applyAlignment="1">
      <alignment vertical="top" wrapText="1"/>
    </xf>
    <xf numFmtId="3" fontId="36" fillId="10" borderId="0" xfId="0" applyNumberFormat="1" applyFont="1" applyFill="1" applyBorder="1" applyAlignment="1">
      <alignment horizontal="center" vertical="top"/>
    </xf>
    <xf numFmtId="0" fontId="16" fillId="10" borderId="0" xfId="0" applyFont="1" applyFill="1" applyBorder="1" applyAlignment="1">
      <alignment horizontal="center" vertical="top" wrapText="1"/>
    </xf>
    <xf numFmtId="0" fontId="32" fillId="10" borderId="0" xfId="0" applyFont="1" applyFill="1" applyBorder="1" applyAlignment="1">
      <alignment horizontal="center" vertical="top"/>
    </xf>
    <xf numFmtId="165" fontId="36" fillId="0" borderId="0" xfId="0" applyNumberFormat="1" applyFont="1" applyBorder="1" applyAlignment="1">
      <alignment horizontal="right" vertical="center"/>
    </xf>
    <xf numFmtId="3" fontId="36" fillId="0" borderId="0" xfId="0" applyNumberFormat="1" applyFont="1" applyBorder="1" applyAlignment="1">
      <alignment horizontal="right" vertical="center"/>
    </xf>
    <xf numFmtId="0" fontId="36" fillId="0" borderId="0" xfId="0" applyFont="1" applyBorder="1" applyAlignment="1">
      <alignment horizontal="center" vertical="center"/>
    </xf>
    <xf numFmtId="0" fontId="16" fillId="0" borderId="0" xfId="0" applyFont="1" applyBorder="1" applyAlignment="1">
      <alignment horizontal="center" vertical="center" wrapText="1"/>
    </xf>
    <xf numFmtId="0" fontId="32" fillId="0" borderId="0" xfId="0" applyFont="1" applyBorder="1" applyAlignment="1">
      <alignment horizontal="center" vertical="center"/>
    </xf>
    <xf numFmtId="0" fontId="37" fillId="0" borderId="0" xfId="0" applyFont="1" applyBorder="1" applyAlignment="1">
      <alignment horizontal="center" vertical="top"/>
    </xf>
    <xf numFmtId="0" fontId="36" fillId="10" borderId="0" xfId="0" applyFont="1" applyFill="1" applyBorder="1" applyAlignment="1">
      <alignment horizontal="center" vertical="top"/>
    </xf>
    <xf numFmtId="0" fontId="37" fillId="10" borderId="0" xfId="0" applyFont="1" applyFill="1" applyBorder="1" applyAlignment="1">
      <alignment horizontal="center" vertical="top"/>
    </xf>
    <xf numFmtId="0" fontId="1" fillId="0" borderId="12" xfId="0" applyFont="1" applyBorder="1" applyAlignment="1">
      <alignment vertical="top" wrapText="1"/>
    </xf>
    <xf numFmtId="165" fontId="36" fillId="0" borderId="10" xfId="0" applyNumberFormat="1" applyFont="1" applyBorder="1" applyAlignment="1">
      <alignment horizontal="right" vertical="center"/>
    </xf>
    <xf numFmtId="3" fontId="36" fillId="0" borderId="10" xfId="0" applyNumberFormat="1" applyFont="1" applyBorder="1" applyAlignment="1">
      <alignment horizontal="right" vertical="center"/>
    </xf>
    <xf numFmtId="0" fontId="13" fillId="0" borderId="10" xfId="0" applyFont="1" applyBorder="1" applyAlignment="1">
      <alignment vertical="top" wrapText="1"/>
    </xf>
    <xf numFmtId="0" fontId="36" fillId="0" borderId="10" xfId="0" applyFont="1" applyBorder="1" applyAlignment="1">
      <alignment horizontal="center" vertical="center"/>
    </xf>
    <xf numFmtId="0" fontId="13" fillId="0" borderId="10" xfId="0" applyFont="1" applyBorder="1" applyAlignment="1">
      <alignment vertical="center" wrapText="1"/>
    </xf>
    <xf numFmtId="0" fontId="16" fillId="0" borderId="10" xfId="0" applyFont="1" applyBorder="1" applyAlignment="1">
      <alignment horizontal="center" vertical="center" wrapText="1"/>
    </xf>
    <xf numFmtId="0" fontId="0" fillId="0" borderId="19" xfId="0" applyBorder="1"/>
    <xf numFmtId="0" fontId="1" fillId="0" borderId="0" xfId="0" applyFont="1" applyBorder="1"/>
    <xf numFmtId="0" fontId="38" fillId="0" borderId="0" xfId="0" applyFont="1" applyBorder="1" applyAlignment="1">
      <alignment horizontal="left" vertical="center"/>
    </xf>
    <xf numFmtId="0" fontId="38" fillId="0" borderId="0" xfId="0" applyFont="1" applyBorder="1" applyAlignment="1">
      <alignment horizontal="center" vertical="center"/>
    </xf>
    <xf numFmtId="0" fontId="38" fillId="0" borderId="20" xfId="0" applyFont="1" applyBorder="1" applyAlignment="1">
      <alignment horizontal="left" vertical="center"/>
    </xf>
    <xf numFmtId="0" fontId="39" fillId="0" borderId="0" xfId="0" applyFont="1" applyBorder="1"/>
    <xf numFmtId="165" fontId="39" fillId="0" borderId="0" xfId="0" applyNumberFormat="1" applyFont="1" applyBorder="1" applyAlignment="1">
      <alignment horizontal="center" vertical="center"/>
    </xf>
    <xf numFmtId="3" fontId="39" fillId="0" borderId="0" xfId="0" applyNumberFormat="1" applyFont="1" applyBorder="1" applyAlignment="1">
      <alignment horizontal="right" vertical="center"/>
    </xf>
    <xf numFmtId="0" fontId="39" fillId="0" borderId="0" xfId="0" applyFont="1" applyBorder="1" applyAlignment="1">
      <alignment horizontal="center" vertical="center"/>
    </xf>
    <xf numFmtId="0" fontId="39" fillId="0" borderId="20" xfId="0" applyFont="1" applyBorder="1"/>
    <xf numFmtId="0" fontId="14" fillId="0" borderId="20" xfId="0" applyFont="1" applyBorder="1"/>
    <xf numFmtId="0" fontId="3" fillId="0" borderId="5" xfId="0" applyFont="1" applyBorder="1"/>
    <xf numFmtId="0" fontId="3" fillId="0" borderId="7" xfId="0" applyFont="1" applyBorder="1"/>
    <xf numFmtId="0" fontId="25" fillId="0" borderId="8" xfId="0" applyFont="1" applyBorder="1"/>
    <xf numFmtId="0" fontId="3" fillId="0" borderId="0" xfId="0" applyFont="1" applyBorder="1"/>
    <xf numFmtId="0" fontId="3" fillId="0" borderId="8" xfId="0" applyFont="1" applyBorder="1"/>
    <xf numFmtId="0" fontId="6" fillId="0" borderId="21" xfId="0" applyFont="1" applyBorder="1" applyAlignment="1">
      <alignment horizontal="right" vertical="center"/>
    </xf>
    <xf numFmtId="0" fontId="7" fillId="0" borderId="22" xfId="0" applyFont="1" applyBorder="1" applyAlignment="1">
      <alignment horizontal="center" vertical="center"/>
    </xf>
    <xf numFmtId="0" fontId="8" fillId="0" borderId="23" xfId="0" applyFont="1" applyBorder="1" applyAlignment="1">
      <alignment horizontal="left" vertical="center"/>
    </xf>
    <xf numFmtId="0" fontId="3" fillId="0" borderId="7" xfId="0" applyFont="1" applyBorder="1" applyAlignment="1">
      <alignment horizontal="left" vertical="center"/>
    </xf>
    <xf numFmtId="3" fontId="25" fillId="0" borderId="0" xfId="0" applyNumberFormat="1" applyFont="1" applyBorder="1" applyAlignment="1">
      <alignment horizontal="center" vertical="center"/>
    </xf>
    <xf numFmtId="0" fontId="40" fillId="0" borderId="0" xfId="0" applyFont="1" applyBorder="1" applyAlignment="1">
      <alignment horizontal="center" vertical="center"/>
    </xf>
    <xf numFmtId="0" fontId="40" fillId="0" borderId="8" xfId="0" applyFont="1" applyBorder="1" applyAlignment="1">
      <alignment horizontal="center" vertical="center"/>
    </xf>
    <xf numFmtId="0" fontId="25" fillId="0" borderId="0" xfId="0" applyFont="1" applyBorder="1" applyAlignment="1">
      <alignment horizontal="left"/>
    </xf>
    <xf numFmtId="0" fontId="16" fillId="0" borderId="8" xfId="0" applyFont="1" applyBorder="1"/>
    <xf numFmtId="0" fontId="41" fillId="0" borderId="0" xfId="0" applyFont="1" applyBorder="1"/>
    <xf numFmtId="0" fontId="0" fillId="0" borderId="24" xfId="0" applyBorder="1"/>
    <xf numFmtId="165" fontId="25" fillId="0" borderId="0" xfId="0" applyNumberFormat="1" applyFont="1" applyBorder="1" applyAlignment="1">
      <alignment horizontal="center" vertical="center"/>
    </xf>
    <xf numFmtId="3" fontId="41" fillId="0" borderId="0" xfId="0" applyNumberFormat="1" applyFont="1" applyBorder="1" applyAlignment="1">
      <alignment horizontal="right" vertical="center"/>
    </xf>
    <xf numFmtId="3" fontId="41" fillId="0" borderId="8" xfId="0" applyNumberFormat="1" applyFont="1" applyBorder="1" applyAlignment="1">
      <alignment horizontal="right" vertical="center"/>
    </xf>
    <xf numFmtId="0" fontId="0" fillId="0" borderId="0" xfId="0" applyBorder="1" applyAlignment="1">
      <alignment horizontal="center" vertical="center"/>
    </xf>
    <xf numFmtId="0" fontId="25" fillId="0" borderId="10" xfId="0" applyFont="1" applyBorder="1" applyAlignment="1">
      <alignment horizontal="left"/>
    </xf>
    <xf numFmtId="0" fontId="16" fillId="0" borderId="11" xfId="0" applyFont="1" applyBorder="1"/>
    <xf numFmtId="165" fontId="25" fillId="0" borderId="10" xfId="0" applyNumberFormat="1" applyFont="1" applyBorder="1" applyAlignment="1">
      <alignment horizontal="center" vertical="center"/>
    </xf>
    <xf numFmtId="3" fontId="41" fillId="0" borderId="10" xfId="0" applyNumberFormat="1" applyFont="1" applyBorder="1" applyAlignment="1">
      <alignment horizontal="right" vertical="center"/>
    </xf>
    <xf numFmtId="3" fontId="41" fillId="0" borderId="11" xfId="0" applyNumberFormat="1" applyFont="1" applyBorder="1" applyAlignment="1">
      <alignment horizontal="right" vertical="center"/>
    </xf>
    <xf numFmtId="0" fontId="39" fillId="0" borderId="24" xfId="0" applyFont="1" applyBorder="1"/>
    <xf numFmtId="165" fontId="0" fillId="0" borderId="24" xfId="0" applyNumberFormat="1" applyBorder="1" applyAlignment="1">
      <alignment horizontal="center" vertical="center"/>
    </xf>
    <xf numFmtId="3" fontId="0" fillId="0" borderId="24" xfId="0" applyNumberFormat="1" applyBorder="1" applyAlignment="1">
      <alignment horizontal="right" vertical="center"/>
    </xf>
    <xf numFmtId="0" fontId="0" fillId="0" borderId="24" xfId="0" applyBorder="1" applyAlignment="1">
      <alignment horizontal="center" vertical="center"/>
    </xf>
    <xf numFmtId="0" fontId="0" fillId="0" borderId="25" xfId="0" applyBorder="1"/>
    <xf numFmtId="165" fontId="0" fillId="0" borderId="5" xfId="0" applyNumberFormat="1" applyBorder="1" applyAlignment="1">
      <alignment horizontal="center" vertical="center"/>
    </xf>
    <xf numFmtId="3" fontId="0" fillId="0" borderId="5" xfId="0" applyNumberFormat="1" applyBorder="1" applyAlignment="1">
      <alignment horizontal="right" vertical="center"/>
    </xf>
    <xf numFmtId="0" fontId="0" fillId="0" borderId="5" xfId="0" applyBorder="1" applyAlignment="1">
      <alignment horizontal="center" vertical="center"/>
    </xf>
    <xf numFmtId="0" fontId="39" fillId="0" borderId="5" xfId="0" applyFont="1" applyBorder="1"/>
    <xf numFmtId="0" fontId="44" fillId="0" borderId="0" xfId="0" applyFont="1" applyBorder="1" applyAlignment="1">
      <alignment horizontal="left" vertical="center"/>
    </xf>
    <xf numFmtId="0" fontId="45" fillId="0" borderId="7" xfId="0" applyFont="1" applyBorder="1"/>
    <xf numFmtId="0" fontId="46" fillId="0" borderId="0" xfId="0" applyFont="1" applyBorder="1"/>
    <xf numFmtId="1" fontId="28" fillId="0" borderId="7" xfId="0" applyNumberFormat="1" applyFont="1" applyBorder="1"/>
    <xf numFmtId="166" fontId="16" fillId="0" borderId="0" xfId="0" applyNumberFormat="1" applyFont="1" applyBorder="1"/>
    <xf numFmtId="167" fontId="16" fillId="0" borderId="0" xfId="0" applyNumberFormat="1" applyFont="1" applyBorder="1" applyAlignment="1">
      <alignment horizontal="left"/>
    </xf>
    <xf numFmtId="1" fontId="28" fillId="0" borderId="0" xfId="0" applyNumberFormat="1" applyFont="1" applyBorder="1"/>
    <xf numFmtId="167" fontId="16" fillId="0" borderId="8" xfId="0" applyNumberFormat="1" applyFont="1" applyBorder="1" applyAlignment="1">
      <alignment horizontal="left"/>
    </xf>
    <xf numFmtId="1" fontId="28" fillId="0" borderId="12" xfId="0" applyNumberFormat="1" applyFont="1" applyBorder="1"/>
    <xf numFmtId="166" fontId="16" fillId="0" borderId="10" xfId="0" applyNumberFormat="1" applyFont="1" applyBorder="1"/>
    <xf numFmtId="167" fontId="16" fillId="0" borderId="10" xfId="0" applyNumberFormat="1" applyFont="1" applyBorder="1" applyAlignment="1">
      <alignment horizontal="left"/>
    </xf>
    <xf numFmtId="1" fontId="28" fillId="0" borderId="10" xfId="0" applyNumberFormat="1" applyFont="1" applyBorder="1"/>
    <xf numFmtId="167" fontId="16" fillId="0" borderId="11" xfId="0" applyNumberFormat="1" applyFont="1" applyBorder="1" applyAlignment="1">
      <alignment horizontal="left"/>
    </xf>
    <xf numFmtId="0" fontId="0" fillId="0" borderId="26" xfId="0" applyBorder="1"/>
    <xf numFmtId="0" fontId="0" fillId="0" borderId="3" xfId="0" applyBorder="1"/>
    <xf numFmtId="0" fontId="0" fillId="0" borderId="12" xfId="0" applyBorder="1"/>
    <xf numFmtId="0" fontId="0" fillId="13" borderId="8" xfId="0" applyFill="1" applyBorder="1"/>
    <xf numFmtId="0" fontId="26" fillId="0" borderId="0" xfId="0" applyFont="1" applyBorder="1" applyAlignment="1">
      <alignment horizontal="center"/>
    </xf>
    <xf numFmtId="2" fontId="35" fillId="0" borderId="0" xfId="0" applyNumberFormat="1" applyFont="1" applyBorder="1"/>
    <xf numFmtId="3" fontId="0" fillId="0" borderId="0" xfId="0" applyNumberFormat="1" applyBorder="1" applyAlignment="1">
      <alignment horizontal="right" vertical="center"/>
    </xf>
    <xf numFmtId="3" fontId="0" fillId="0" borderId="0" xfId="0" applyNumberFormat="1" applyBorder="1" applyAlignment="1">
      <alignment horizontal="center" vertical="center"/>
    </xf>
    <xf numFmtId="0" fontId="13" fillId="0" borderId="0" xfId="0" applyFont="1" applyBorder="1" applyAlignment="1">
      <alignment vertical="center" wrapText="1"/>
    </xf>
    <xf numFmtId="0" fontId="0" fillId="0" borderId="8" xfId="0" applyBorder="1" applyAlignment="1">
      <alignment vertical="center"/>
    </xf>
    <xf numFmtId="0" fontId="0" fillId="0" borderId="0" xfId="0" applyBorder="1" applyAlignment="1">
      <alignment vertical="center"/>
    </xf>
    <xf numFmtId="0" fontId="1" fillId="10" borderId="0" xfId="0" applyFont="1" applyFill="1" applyBorder="1" applyAlignment="1">
      <alignment vertical="top" wrapText="1"/>
    </xf>
    <xf numFmtId="165" fontId="0" fillId="10" borderId="0" xfId="0" applyNumberFormat="1" applyFill="1" applyBorder="1" applyAlignment="1">
      <alignment horizontal="right" vertical="top"/>
    </xf>
    <xf numFmtId="3" fontId="0" fillId="10" borderId="0" xfId="0" applyNumberFormat="1" applyFill="1" applyBorder="1" applyAlignment="1">
      <alignment horizontal="right" vertical="top"/>
    </xf>
    <xf numFmtId="3" fontId="0" fillId="10" borderId="0" xfId="0" applyNumberFormat="1" applyFill="1" applyBorder="1" applyAlignment="1">
      <alignment horizontal="center" vertical="top"/>
    </xf>
    <xf numFmtId="0" fontId="39" fillId="10" borderId="0" xfId="0" applyFont="1" applyFill="1" applyBorder="1" applyAlignment="1">
      <alignment horizontal="center" vertical="top"/>
    </xf>
    <xf numFmtId="0" fontId="0" fillId="10" borderId="8" xfId="0" applyFill="1" applyBorder="1" applyAlignment="1">
      <alignment vertical="top"/>
    </xf>
    <xf numFmtId="0" fontId="0" fillId="0" borderId="0" xfId="0" applyBorder="1" applyAlignment="1">
      <alignment vertical="top"/>
    </xf>
    <xf numFmtId="165" fontId="0" fillId="0" borderId="0" xfId="0" applyNumberFormat="1" applyBorder="1" applyAlignment="1">
      <alignment horizontal="right" vertical="top"/>
    </xf>
    <xf numFmtId="3" fontId="0" fillId="0" borderId="0" xfId="0" applyNumberFormat="1" applyBorder="1" applyAlignment="1">
      <alignment horizontal="right" vertical="top"/>
    </xf>
    <xf numFmtId="0" fontId="0" fillId="0" borderId="0" xfId="0" applyBorder="1" applyAlignment="1">
      <alignment horizontal="center" vertical="top"/>
    </xf>
    <xf numFmtId="0" fontId="39" fillId="0" borderId="0" xfId="0" applyFont="1" applyBorder="1" applyAlignment="1">
      <alignment horizontal="center" vertical="top"/>
    </xf>
    <xf numFmtId="0" fontId="0" fillId="0" borderId="8" xfId="0" applyBorder="1" applyAlignment="1">
      <alignment vertical="top"/>
    </xf>
    <xf numFmtId="0" fontId="37" fillId="0" borderId="0" xfId="0" applyFont="1" applyBorder="1" applyAlignment="1">
      <alignment horizontal="center" vertical="center"/>
    </xf>
    <xf numFmtId="0" fontId="0" fillId="10" borderId="0" xfId="0" applyFill="1" applyBorder="1" applyAlignment="1">
      <alignment horizontal="center" vertical="top"/>
    </xf>
    <xf numFmtId="0" fontId="14" fillId="0" borderId="0" xfId="0" applyFont="1" applyBorder="1"/>
    <xf numFmtId="3" fontId="14" fillId="0" borderId="0" xfId="0" applyNumberFormat="1" applyFont="1" applyBorder="1" applyAlignment="1">
      <alignment horizontal="center" vertical="center"/>
    </xf>
    <xf numFmtId="0" fontId="39" fillId="0" borderId="8" xfId="0" applyFont="1" applyBorder="1"/>
    <xf numFmtId="165" fontId="14" fillId="0" borderId="0" xfId="0" applyNumberFormat="1" applyFont="1" applyBorder="1" applyAlignment="1">
      <alignment horizontal="center" vertical="center"/>
    </xf>
    <xf numFmtId="0" fontId="14" fillId="0" borderId="10" xfId="0" applyFont="1" applyBorder="1" applyAlignment="1">
      <alignment horizontal="left"/>
    </xf>
    <xf numFmtId="0" fontId="39" fillId="0" borderId="11" xfId="0" applyFont="1" applyBorder="1"/>
    <xf numFmtId="165" fontId="14" fillId="0" borderId="10" xfId="0" applyNumberFormat="1" applyFont="1" applyBorder="1" applyAlignment="1">
      <alignment horizontal="center" vertical="center"/>
    </xf>
    <xf numFmtId="0" fontId="28" fillId="0" borderId="0" xfId="0" applyFont="1" applyBorder="1"/>
    <xf numFmtId="165" fontId="0" fillId="0" borderId="0" xfId="0" applyNumberFormat="1" applyBorder="1" applyAlignment="1">
      <alignment horizontal="center" vertical="center"/>
    </xf>
    <xf numFmtId="0" fontId="0" fillId="0" borderId="31" xfId="0" applyBorder="1"/>
    <xf numFmtId="0" fontId="45" fillId="0" borderId="0" xfId="0" applyFont="1" applyBorder="1"/>
    <xf numFmtId="0" fontId="50" fillId="0" borderId="0" xfId="0" applyFont="1" applyBorder="1"/>
    <xf numFmtId="0" fontId="51" fillId="0" borderId="0" xfId="0" applyFont="1" applyBorder="1"/>
    <xf numFmtId="0" fontId="52" fillId="0" borderId="0" xfId="0" applyFont="1" applyBorder="1"/>
    <xf numFmtId="0" fontId="53" fillId="0" borderId="0" xfId="0" applyFont="1" applyBorder="1"/>
    <xf numFmtId="0" fontId="0" fillId="0" borderId="0" xfId="0" applyBorder="1" applyAlignment="1">
      <alignment horizontal="left"/>
    </xf>
    <xf numFmtId="0" fontId="54" fillId="0" borderId="0" xfId="0" applyFont="1" applyBorder="1"/>
    <xf numFmtId="0" fontId="55" fillId="3" borderId="16" xfId="0" applyFont="1" applyFill="1" applyBorder="1" applyAlignment="1">
      <alignment horizontal="center" vertical="center"/>
    </xf>
    <xf numFmtId="0" fontId="55" fillId="3" borderId="0" xfId="0" applyFont="1" applyFill="1" applyBorder="1"/>
    <xf numFmtId="0" fontId="56" fillId="0" borderId="0" xfId="0" applyFont="1" applyBorder="1"/>
    <xf numFmtId="2" fontId="57" fillId="2" borderId="16" xfId="0" applyNumberFormat="1" applyFont="1" applyFill="1" applyBorder="1"/>
    <xf numFmtId="0" fontId="57" fillId="2" borderId="16" xfId="0" applyFont="1" applyFill="1" applyBorder="1"/>
    <xf numFmtId="168" fontId="57" fillId="2" borderId="16" xfId="0" applyNumberFormat="1" applyFont="1" applyFill="1" applyBorder="1" applyAlignment="1">
      <alignment horizontal="center" vertical="center"/>
    </xf>
    <xf numFmtId="0" fontId="58" fillId="0" borderId="0" xfId="0" applyFont="1" applyBorder="1"/>
    <xf numFmtId="2" fontId="59" fillId="0" borderId="16" xfId="0" applyNumberFormat="1" applyFont="1" applyBorder="1" applyAlignment="1">
      <alignment horizontal="center" vertical="center"/>
    </xf>
    <xf numFmtId="0" fontId="60" fillId="14" borderId="16" xfId="0" applyFont="1" applyFill="1" applyBorder="1" applyAlignment="1">
      <alignment horizontal="center" vertical="center"/>
    </xf>
    <xf numFmtId="169" fontId="61" fillId="14" borderId="16" xfId="0" applyNumberFormat="1" applyFont="1" applyFill="1" applyBorder="1" applyAlignment="1">
      <alignment horizontal="center" vertical="center"/>
    </xf>
    <xf numFmtId="0" fontId="62" fillId="14" borderId="16" xfId="0" applyFont="1" applyFill="1" applyBorder="1" applyAlignment="1">
      <alignment horizontal="center" vertical="center"/>
    </xf>
    <xf numFmtId="0" fontId="62" fillId="14" borderId="0" xfId="0" applyFont="1" applyFill="1" applyBorder="1" applyAlignment="1">
      <alignment horizontal="center" vertical="center"/>
    </xf>
    <xf numFmtId="0" fontId="59" fillId="0" borderId="16" xfId="0" applyFont="1" applyBorder="1" applyAlignment="1">
      <alignment horizontal="center" vertical="center"/>
    </xf>
    <xf numFmtId="0" fontId="63" fillId="0" borderId="0" xfId="0" applyFont="1" applyBorder="1"/>
    <xf numFmtId="0" fontId="64" fillId="2" borderId="16" xfId="0" applyFont="1" applyFill="1" applyBorder="1" applyAlignment="1">
      <alignment horizontal="center" vertical="center"/>
    </xf>
    <xf numFmtId="0" fontId="60" fillId="15" borderId="16" xfId="0" applyFont="1" applyFill="1" applyBorder="1" applyAlignment="1">
      <alignment horizontal="center" vertical="center"/>
    </xf>
    <xf numFmtId="169" fontId="61" fillId="15" borderId="16" xfId="0" applyNumberFormat="1" applyFont="1" applyFill="1" applyBorder="1" applyAlignment="1">
      <alignment horizontal="center" vertical="center"/>
    </xf>
    <xf numFmtId="0" fontId="62" fillId="15" borderId="16" xfId="0" applyFont="1" applyFill="1" applyBorder="1" applyAlignment="1">
      <alignment horizontal="center" vertical="center"/>
    </xf>
    <xf numFmtId="0" fontId="62" fillId="15" borderId="0" xfId="0" applyFont="1" applyFill="1" applyBorder="1" applyAlignment="1">
      <alignment horizontal="center" vertical="center"/>
    </xf>
    <xf numFmtId="0" fontId="65" fillId="16" borderId="16" xfId="0" applyFont="1" applyFill="1" applyBorder="1" applyAlignment="1">
      <alignment horizontal="center" vertical="center"/>
    </xf>
    <xf numFmtId="169" fontId="66" fillId="16" borderId="16" xfId="0" applyNumberFormat="1" applyFont="1" applyFill="1" applyBorder="1" applyAlignment="1">
      <alignment horizontal="center" vertical="center"/>
    </xf>
    <xf numFmtId="0" fontId="59" fillId="16" borderId="16" xfId="0" applyFont="1" applyFill="1" applyBorder="1" applyAlignment="1">
      <alignment horizontal="center" vertical="center"/>
    </xf>
    <xf numFmtId="0" fontId="59" fillId="16" borderId="0" xfId="0" applyFont="1" applyFill="1" applyBorder="1" applyAlignment="1">
      <alignment horizontal="center" vertical="center"/>
    </xf>
    <xf numFmtId="0" fontId="58" fillId="0" borderId="0" xfId="0" applyFont="1" applyBorder="1" applyAlignment="1">
      <alignment horizontal="center" vertical="center"/>
    </xf>
    <xf numFmtId="0" fontId="65" fillId="17" borderId="16" xfId="0" applyFont="1" applyFill="1" applyBorder="1" applyAlignment="1">
      <alignment horizontal="center" vertical="center"/>
    </xf>
    <xf numFmtId="169" fontId="66" fillId="17" borderId="16" xfId="0" applyNumberFormat="1" applyFont="1" applyFill="1" applyBorder="1" applyAlignment="1">
      <alignment horizontal="center" vertical="center"/>
    </xf>
    <xf numFmtId="0" fontId="59" fillId="17" borderId="16" xfId="0" applyFont="1" applyFill="1" applyBorder="1" applyAlignment="1">
      <alignment horizontal="center" vertical="center"/>
    </xf>
    <xf numFmtId="0" fontId="59" fillId="17" borderId="0" xfId="0" applyFont="1" applyFill="1" applyBorder="1" applyAlignment="1">
      <alignment horizontal="center" vertical="center"/>
    </xf>
    <xf numFmtId="0" fontId="57" fillId="2" borderId="16" xfId="0" applyFont="1" applyFill="1" applyBorder="1" applyAlignment="1">
      <alignment horizontal="center" vertical="center"/>
    </xf>
    <xf numFmtId="0" fontId="65" fillId="18" borderId="16" xfId="0" applyFont="1" applyFill="1" applyBorder="1" applyAlignment="1">
      <alignment horizontal="center" vertical="center"/>
    </xf>
    <xf numFmtId="169" fontId="66" fillId="18" borderId="16" xfId="0" applyNumberFormat="1" applyFont="1" applyFill="1" applyBorder="1" applyAlignment="1">
      <alignment horizontal="center" vertical="center"/>
    </xf>
    <xf numFmtId="0" fontId="59" fillId="18" borderId="16" xfId="0" applyFont="1" applyFill="1" applyBorder="1" applyAlignment="1">
      <alignment horizontal="center" vertical="center"/>
    </xf>
    <xf numFmtId="0" fontId="59" fillId="18" borderId="0" xfId="0" applyFont="1" applyFill="1" applyBorder="1" applyAlignment="1">
      <alignment horizontal="center" vertical="center"/>
    </xf>
    <xf numFmtId="0" fontId="65" fillId="19" borderId="16" xfId="0" applyFont="1" applyFill="1" applyBorder="1" applyAlignment="1">
      <alignment horizontal="center" vertical="center"/>
    </xf>
    <xf numFmtId="169" fontId="66" fillId="19" borderId="16" xfId="0" applyNumberFormat="1" applyFont="1" applyFill="1" applyBorder="1" applyAlignment="1">
      <alignment horizontal="center" vertical="center"/>
    </xf>
    <xf numFmtId="0" fontId="59" fillId="19" borderId="16" xfId="0" applyFont="1" applyFill="1" applyBorder="1" applyAlignment="1">
      <alignment horizontal="center" vertical="center"/>
    </xf>
    <xf numFmtId="0" fontId="59" fillId="19" borderId="0" xfId="0" applyFont="1" applyFill="1" applyBorder="1" applyAlignment="1">
      <alignment horizontal="center" vertical="center"/>
    </xf>
    <xf numFmtId="2" fontId="51" fillId="2" borderId="0" xfId="0" applyNumberFormat="1" applyFont="1" applyFill="1" applyBorder="1" applyAlignment="1">
      <alignment horizontal="center" vertical="center"/>
    </xf>
    <xf numFmtId="169" fontId="67" fillId="0" borderId="0" xfId="0" applyNumberFormat="1" applyFont="1" applyBorder="1"/>
    <xf numFmtId="0" fontId="67" fillId="0" borderId="0" xfId="0" applyFont="1" applyBorder="1"/>
    <xf numFmtId="0" fontId="69" fillId="0" borderId="0" xfId="0" applyFont="1" applyBorder="1"/>
    <xf numFmtId="169" fontId="0" fillId="0" borderId="0" xfId="0" applyNumberFormat="1" applyBorder="1"/>
    <xf numFmtId="169" fontId="55" fillId="3" borderId="16" xfId="0" applyNumberFormat="1" applyFont="1" applyFill="1" applyBorder="1" applyAlignment="1">
      <alignment horizontal="center" vertical="center"/>
    </xf>
    <xf numFmtId="0" fontId="0" fillId="0" borderId="0" xfId="0" applyFont="1"/>
    <xf numFmtId="0" fontId="60" fillId="20" borderId="16" xfId="0" applyFont="1" applyFill="1" applyBorder="1" applyAlignment="1">
      <alignment horizontal="center" vertical="center"/>
    </xf>
    <xf numFmtId="169" fontId="61" fillId="20" borderId="16" xfId="0" applyNumberFormat="1" applyFont="1" applyFill="1" applyBorder="1" applyAlignment="1">
      <alignment horizontal="center" vertical="center"/>
    </xf>
    <xf numFmtId="0" fontId="62" fillId="20" borderId="16" xfId="0" applyFont="1" applyFill="1" applyBorder="1" applyAlignment="1">
      <alignment horizontal="center" vertical="center"/>
    </xf>
    <xf numFmtId="0" fontId="62" fillId="20" borderId="0" xfId="0" applyFont="1" applyFill="1" applyBorder="1" applyAlignment="1">
      <alignment horizontal="center" vertical="center"/>
    </xf>
    <xf numFmtId="0" fontId="60" fillId="21" borderId="16" xfId="0" applyFont="1" applyFill="1" applyBorder="1" applyAlignment="1">
      <alignment horizontal="center" vertical="center"/>
    </xf>
    <xf numFmtId="169" fontId="61" fillId="21" borderId="16" xfId="0" applyNumberFormat="1" applyFont="1" applyFill="1" applyBorder="1" applyAlignment="1">
      <alignment horizontal="center" vertical="center"/>
    </xf>
    <xf numFmtId="0" fontId="62" fillId="21" borderId="16" xfId="0" applyFont="1" applyFill="1" applyBorder="1" applyAlignment="1">
      <alignment horizontal="center" vertical="center"/>
    </xf>
    <xf numFmtId="0" fontId="62" fillId="21" borderId="0" xfId="0" applyFont="1" applyFill="1" applyBorder="1" applyAlignment="1">
      <alignment horizontal="center" vertical="center"/>
    </xf>
    <xf numFmtId="0" fontId="65" fillId="22" borderId="16" xfId="0" applyFont="1" applyFill="1" applyBorder="1" applyAlignment="1">
      <alignment horizontal="center" vertical="center"/>
    </xf>
    <xf numFmtId="169" fontId="66" fillId="22" borderId="16" xfId="0" applyNumberFormat="1" applyFont="1" applyFill="1" applyBorder="1" applyAlignment="1">
      <alignment horizontal="center" vertical="center"/>
    </xf>
    <xf numFmtId="0" fontId="59" fillId="22" borderId="16" xfId="0" applyFont="1" applyFill="1" applyBorder="1" applyAlignment="1">
      <alignment horizontal="center" vertical="center"/>
    </xf>
    <xf numFmtId="0" fontId="59" fillId="22" borderId="0" xfId="0" applyFont="1" applyFill="1" applyBorder="1" applyAlignment="1">
      <alignment horizontal="center" vertical="center"/>
    </xf>
    <xf numFmtId="0" fontId="65" fillId="23" borderId="16" xfId="0" applyFont="1" applyFill="1" applyBorder="1" applyAlignment="1">
      <alignment horizontal="center" vertical="center"/>
    </xf>
    <xf numFmtId="169" fontId="66" fillId="23" borderId="16" xfId="0" applyNumberFormat="1" applyFont="1" applyFill="1" applyBorder="1" applyAlignment="1">
      <alignment horizontal="center" vertical="center"/>
    </xf>
    <xf numFmtId="0" fontId="59" fillId="23" borderId="16" xfId="0" applyFont="1" applyFill="1" applyBorder="1" applyAlignment="1">
      <alignment horizontal="center" vertical="center"/>
    </xf>
    <xf numFmtId="0" fontId="59" fillId="23" borderId="0" xfId="0" applyFont="1" applyFill="1" applyBorder="1" applyAlignment="1">
      <alignment horizontal="center" vertical="center"/>
    </xf>
    <xf numFmtId="0" fontId="65" fillId="24" borderId="16" xfId="0" applyFont="1" applyFill="1" applyBorder="1" applyAlignment="1">
      <alignment horizontal="center" vertical="center"/>
    </xf>
    <xf numFmtId="169" fontId="66" fillId="24" borderId="16" xfId="0" applyNumberFormat="1" applyFont="1" applyFill="1" applyBorder="1" applyAlignment="1">
      <alignment horizontal="center" vertical="center"/>
    </xf>
    <xf numFmtId="0" fontId="59" fillId="24" borderId="16" xfId="0" applyFont="1" applyFill="1" applyBorder="1" applyAlignment="1">
      <alignment horizontal="center" vertical="center"/>
    </xf>
    <xf numFmtId="0" fontId="59" fillId="24" borderId="0" xfId="0" applyFont="1" applyFill="1" applyBorder="1" applyAlignment="1">
      <alignment horizontal="center" vertical="center"/>
    </xf>
    <xf numFmtId="0" fontId="67" fillId="25" borderId="0" xfId="0" applyFont="1" applyFill="1" applyBorder="1"/>
    <xf numFmtId="0" fontId="0" fillId="25" borderId="0" xfId="0" applyFill="1" applyBorder="1"/>
    <xf numFmtId="0" fontId="65" fillId="26" borderId="16" xfId="0" applyFont="1" applyFill="1" applyBorder="1" applyAlignment="1">
      <alignment horizontal="center" vertical="center"/>
    </xf>
    <xf numFmtId="169" fontId="66" fillId="26" borderId="16" xfId="0" applyNumberFormat="1" applyFont="1" applyFill="1" applyBorder="1" applyAlignment="1">
      <alignment horizontal="center" vertical="center"/>
    </xf>
    <xf numFmtId="0" fontId="59" fillId="26" borderId="16" xfId="0" applyFont="1" applyFill="1" applyBorder="1" applyAlignment="1">
      <alignment horizontal="center" vertical="center"/>
    </xf>
    <xf numFmtId="0" fontId="59" fillId="26" borderId="0" xfId="0" applyFont="1" applyFill="1" applyBorder="1" applyAlignment="1">
      <alignment horizontal="center" vertical="center"/>
    </xf>
    <xf numFmtId="3" fontId="71" fillId="3" borderId="0" xfId="0" applyNumberFormat="1" applyFont="1" applyFill="1" applyBorder="1"/>
    <xf numFmtId="0" fontId="0" fillId="3" borderId="0" xfId="0" applyFill="1" applyBorder="1"/>
    <xf numFmtId="0" fontId="70" fillId="0" borderId="0" xfId="0" applyFont="1" applyBorder="1" applyAlignment="1">
      <alignment horizontal="center" vertical="center"/>
    </xf>
    <xf numFmtId="0" fontId="0" fillId="27" borderId="0" xfId="0" applyFill="1" applyBorder="1"/>
    <xf numFmtId="3" fontId="72" fillId="3" borderId="0" xfId="0" applyNumberFormat="1" applyFont="1" applyFill="1" applyBorder="1" applyAlignment="1">
      <alignment horizontal="center"/>
    </xf>
    <xf numFmtId="0" fontId="72" fillId="3" borderId="0" xfId="0" applyFont="1" applyFill="1" applyBorder="1" applyAlignment="1">
      <alignment horizontal="center"/>
    </xf>
    <xf numFmtId="3" fontId="73" fillId="2" borderId="0" xfId="0" applyNumberFormat="1" applyFont="1" applyFill="1" applyBorder="1" applyAlignment="1">
      <alignment horizontal="left"/>
    </xf>
    <xf numFmtId="1" fontId="74" fillId="2" borderId="0" xfId="0" applyNumberFormat="1" applyFont="1" applyFill="1" applyBorder="1" applyAlignment="1">
      <alignment horizontal="center"/>
    </xf>
    <xf numFmtId="3" fontId="74" fillId="2" borderId="0" xfId="0" applyNumberFormat="1" applyFont="1" applyFill="1" applyBorder="1" applyAlignment="1">
      <alignment horizontal="center"/>
    </xf>
    <xf numFmtId="0" fontId="1" fillId="0" borderId="32" xfId="0" applyFont="1" applyBorder="1"/>
    <xf numFmtId="3" fontId="41" fillId="0" borderId="32" xfId="0" applyNumberFormat="1" applyFont="1" applyBorder="1"/>
    <xf numFmtId="0" fontId="41" fillId="0" borderId="32" xfId="0" applyFont="1" applyBorder="1" applyAlignment="1">
      <alignment horizontal="right"/>
    </xf>
    <xf numFmtId="0" fontId="75" fillId="28" borderId="0" xfId="0" applyFont="1" applyFill="1" applyBorder="1" applyAlignment="1">
      <alignment horizontal="center"/>
    </xf>
    <xf numFmtId="1" fontId="75" fillId="28" borderId="0" xfId="0" applyNumberFormat="1" applyFont="1" applyFill="1" applyBorder="1" applyAlignment="1">
      <alignment horizontal="center"/>
    </xf>
    <xf numFmtId="0" fontId="73" fillId="29" borderId="0" xfId="0" applyFont="1" applyFill="1" applyBorder="1" applyAlignment="1">
      <alignment horizontal="left"/>
    </xf>
    <xf numFmtId="1" fontId="74" fillId="29" borderId="0" xfId="0" applyNumberFormat="1" applyFont="1" applyFill="1" applyBorder="1" applyAlignment="1">
      <alignment horizontal="center"/>
    </xf>
    <xf numFmtId="3" fontId="74" fillId="29" borderId="0" xfId="0" applyNumberFormat="1" applyFont="1" applyFill="1" applyBorder="1" applyAlignment="1">
      <alignment horizontal="center"/>
    </xf>
    <xf numFmtId="0" fontId="41" fillId="0" borderId="32" xfId="0" applyFont="1" applyBorder="1"/>
    <xf numFmtId="0" fontId="75" fillId="30" borderId="0" xfId="0" applyFont="1" applyFill="1" applyBorder="1" applyAlignment="1">
      <alignment horizontal="center"/>
    </xf>
    <xf numFmtId="1" fontId="75" fillId="30" borderId="0" xfId="0" applyNumberFormat="1" applyFont="1" applyFill="1" applyBorder="1" applyAlignment="1">
      <alignment horizontal="center"/>
    </xf>
    <xf numFmtId="0" fontId="73" fillId="31" borderId="0" xfId="0" applyFont="1" applyFill="1" applyBorder="1" applyAlignment="1">
      <alignment horizontal="left"/>
    </xf>
    <xf numFmtId="1" fontId="74" fillId="31" borderId="0" xfId="0" applyNumberFormat="1" applyFont="1" applyFill="1" applyBorder="1" applyAlignment="1">
      <alignment horizontal="center"/>
    </xf>
    <xf numFmtId="3" fontId="74" fillId="31" borderId="0" xfId="0" applyNumberFormat="1" applyFont="1" applyFill="1" applyBorder="1" applyAlignment="1">
      <alignment horizontal="center"/>
    </xf>
    <xf numFmtId="0" fontId="76" fillId="0" borderId="0" xfId="0" applyFont="1" applyBorder="1"/>
    <xf numFmtId="0" fontId="77" fillId="0" borderId="0" xfId="0" applyFont="1" applyBorder="1" applyAlignment="1">
      <alignment horizontal="right"/>
    </xf>
    <xf numFmtId="3" fontId="78" fillId="0" borderId="33" xfId="0" applyNumberFormat="1" applyFont="1" applyBorder="1" applyAlignment="1">
      <alignment horizontal="center"/>
    </xf>
    <xf numFmtId="0" fontId="73" fillId="32" borderId="0" xfId="0" applyFont="1" applyFill="1" applyBorder="1" applyAlignment="1">
      <alignment horizontal="left"/>
    </xf>
    <xf numFmtId="1" fontId="74" fillId="32" borderId="0" xfId="0" applyNumberFormat="1" applyFont="1" applyFill="1" applyBorder="1" applyAlignment="1">
      <alignment horizontal="center"/>
    </xf>
    <xf numFmtId="3" fontId="74" fillId="32" borderId="0" xfId="0" applyNumberFormat="1" applyFont="1" applyFill="1" applyBorder="1" applyAlignment="1">
      <alignment horizontal="center"/>
    </xf>
    <xf numFmtId="3" fontId="79" fillId="2" borderId="16" xfId="0" applyNumberFormat="1" applyFont="1" applyFill="1" applyBorder="1" applyAlignment="1">
      <alignment horizontal="center" vertical="center"/>
    </xf>
    <xf numFmtId="0" fontId="80" fillId="0" borderId="0" xfId="0" applyFont="1" applyBorder="1"/>
    <xf numFmtId="3" fontId="58" fillId="0" borderId="0" xfId="0" applyNumberFormat="1" applyFont="1" applyBorder="1"/>
    <xf numFmtId="0" fontId="0" fillId="0" borderId="32" xfId="0" applyBorder="1"/>
    <xf numFmtId="0" fontId="1" fillId="0" borderId="32" xfId="0" applyFont="1" applyBorder="1" applyAlignment="1">
      <alignment horizontal="center"/>
    </xf>
    <xf numFmtId="3" fontId="78" fillId="0" borderId="0" xfId="0" applyNumberFormat="1" applyFont="1" applyBorder="1" applyAlignment="1">
      <alignment horizontal="center"/>
    </xf>
    <xf numFmtId="0" fontId="0" fillId="0" borderId="32" xfId="0" applyBorder="1" applyAlignment="1">
      <alignment horizontal="center"/>
    </xf>
    <xf numFmtId="0" fontId="60" fillId="3" borderId="16" xfId="0" applyFont="1" applyFill="1" applyBorder="1" applyAlignment="1">
      <alignment horizontal="center" vertical="center" wrapText="1"/>
    </xf>
    <xf numFmtId="0" fontId="73" fillId="24" borderId="0" xfId="0" applyFont="1" applyFill="1" applyBorder="1" applyAlignment="1">
      <alignment horizontal="left"/>
    </xf>
    <xf numFmtId="1" fontId="74" fillId="24" borderId="0" xfId="0" applyNumberFormat="1" applyFont="1" applyFill="1" applyBorder="1" applyAlignment="1">
      <alignment horizontal="center"/>
    </xf>
    <xf numFmtId="3" fontId="74" fillId="24" borderId="0" xfId="0" applyNumberFormat="1" applyFont="1" applyFill="1" applyBorder="1" applyAlignment="1">
      <alignment horizontal="center"/>
    </xf>
    <xf numFmtId="0" fontId="81" fillId="0" borderId="0" xfId="0" applyFont="1" applyBorder="1"/>
    <xf numFmtId="0" fontId="82" fillId="0" borderId="0" xfId="0" applyFont="1" applyBorder="1"/>
    <xf numFmtId="0" fontId="56" fillId="0" borderId="16" xfId="0" applyFont="1" applyBorder="1" applyAlignment="1">
      <alignment horizontal="center" vertical="center"/>
    </xf>
    <xf numFmtId="3" fontId="57" fillId="0" borderId="16" xfId="0" applyNumberFormat="1" applyFont="1" applyBorder="1" applyAlignment="1">
      <alignment horizontal="center" vertical="center"/>
    </xf>
    <xf numFmtId="3" fontId="61" fillId="0" borderId="16" xfId="0" applyNumberFormat="1" applyFont="1" applyBorder="1" applyAlignment="1">
      <alignment horizontal="center" vertical="center"/>
    </xf>
    <xf numFmtId="170" fontId="83" fillId="0" borderId="16" xfId="0" applyNumberFormat="1" applyFont="1" applyBorder="1" applyAlignment="1">
      <alignment horizontal="center"/>
    </xf>
    <xf numFmtId="171" fontId="66" fillId="0" borderId="16" xfId="0" applyNumberFormat="1" applyFont="1" applyBorder="1" applyAlignment="1">
      <alignment horizontal="center" vertical="center"/>
    </xf>
    <xf numFmtId="0" fontId="66" fillId="0" borderId="16" xfId="0" applyFont="1" applyBorder="1" applyAlignment="1">
      <alignment horizontal="center" vertical="center"/>
    </xf>
    <xf numFmtId="0" fontId="76" fillId="0" borderId="16" xfId="0" applyFont="1" applyBorder="1" applyAlignment="1">
      <alignment horizontal="center" vertical="center"/>
    </xf>
    <xf numFmtId="0" fontId="84" fillId="0" borderId="16" xfId="0" applyFont="1" applyBorder="1" applyAlignment="1">
      <alignment horizontal="center" vertical="center"/>
    </xf>
    <xf numFmtId="0" fontId="60" fillId="0" borderId="16" xfId="0" applyFont="1" applyBorder="1" applyAlignment="1">
      <alignment horizontal="center" vertical="center"/>
    </xf>
    <xf numFmtId="0" fontId="34" fillId="0" borderId="32" xfId="0" applyFont="1" applyBorder="1" applyAlignment="1">
      <alignment horizontal="center"/>
    </xf>
    <xf numFmtId="0" fontId="85" fillId="0" borderId="0" xfId="0" applyFont="1" applyBorder="1"/>
    <xf numFmtId="171" fontId="0" fillId="0" borderId="0" xfId="0" applyNumberFormat="1" applyBorder="1"/>
    <xf numFmtId="0" fontId="76" fillId="0" borderId="16" xfId="0" applyFont="1" applyBorder="1" applyAlignment="1">
      <alignment horizontal="center"/>
    </xf>
    <xf numFmtId="0" fontId="76" fillId="0" borderId="16" xfId="0" applyFont="1" applyBorder="1" applyAlignment="1">
      <alignment horizontal="left"/>
    </xf>
    <xf numFmtId="1" fontId="76" fillId="0" borderId="16" xfId="0" applyNumberFormat="1" applyFont="1" applyBorder="1" applyAlignment="1">
      <alignment horizontal="center"/>
    </xf>
    <xf numFmtId="3" fontId="76" fillId="0" borderId="16" xfId="0" applyNumberFormat="1" applyFont="1" applyBorder="1" applyAlignment="1">
      <alignment horizontal="center"/>
    </xf>
    <xf numFmtId="0" fontId="86" fillId="0" borderId="0" xfId="0" applyFont="1" applyBorder="1"/>
    <xf numFmtId="0" fontId="34" fillId="3" borderId="0" xfId="0" applyFont="1" applyFill="1" applyBorder="1" applyAlignment="1">
      <alignment horizontal="center"/>
    </xf>
    <xf numFmtId="3" fontId="34" fillId="3" borderId="0" xfId="0" applyNumberFormat="1" applyFont="1" applyFill="1" applyBorder="1" applyAlignment="1">
      <alignment horizontal="center"/>
    </xf>
    <xf numFmtId="3" fontId="61" fillId="2" borderId="16" xfId="0" applyNumberFormat="1" applyFont="1" applyFill="1" applyBorder="1" applyAlignment="1">
      <alignment horizontal="center" vertical="center"/>
    </xf>
    <xf numFmtId="0" fontId="0" fillId="0" borderId="0" xfId="0" applyBorder="1" applyAlignment="1">
      <alignment horizontal="center"/>
    </xf>
    <xf numFmtId="3" fontId="58" fillId="0" borderId="0" xfId="0" applyNumberFormat="1" applyFont="1" applyBorder="1" applyAlignment="1">
      <alignment horizontal="center"/>
    </xf>
    <xf numFmtId="0" fontId="34" fillId="33" borderId="0" xfId="0" applyFont="1" applyFill="1" applyBorder="1"/>
    <xf numFmtId="0" fontId="0" fillId="33" borderId="0" xfId="0" applyFill="1" applyBorder="1"/>
    <xf numFmtId="3" fontId="58" fillId="33" borderId="0" xfId="0" applyNumberFormat="1" applyFont="1" applyFill="1" applyBorder="1"/>
    <xf numFmtId="0" fontId="79" fillId="0" borderId="16" xfId="0" applyFont="1" applyBorder="1" applyAlignment="1">
      <alignment horizontal="center" vertical="center"/>
    </xf>
    <xf numFmtId="0" fontId="51" fillId="0" borderId="16" xfId="0" applyFont="1" applyBorder="1" applyAlignment="1">
      <alignment horizontal="center" vertical="center"/>
    </xf>
    <xf numFmtId="0" fontId="0" fillId="0" borderId="0" xfId="0" applyBorder="1" applyAlignment="1">
      <alignment horizontal="center"/>
    </xf>
    <xf numFmtId="0" fontId="34" fillId="11" borderId="0" xfId="0" applyFont="1" applyFill="1" applyBorder="1"/>
    <xf numFmtId="0" fontId="0" fillId="11" borderId="0" xfId="0" applyFill="1" applyBorder="1"/>
    <xf numFmtId="3" fontId="58" fillId="11" borderId="0" xfId="0" applyNumberFormat="1" applyFont="1" applyFill="1" applyBorder="1"/>
    <xf numFmtId="3" fontId="87" fillId="2" borderId="16" xfId="0" applyNumberFormat="1" applyFont="1" applyFill="1" applyBorder="1" applyAlignment="1">
      <alignment horizontal="center" vertical="center"/>
    </xf>
    <xf numFmtId="3" fontId="87" fillId="0" borderId="16" xfId="0" applyNumberFormat="1" applyFont="1" applyBorder="1" applyAlignment="1">
      <alignment horizontal="center" vertical="center"/>
    </xf>
    <xf numFmtId="0" fontId="88" fillId="0" borderId="0" xfId="0" applyFont="1" applyBorder="1"/>
    <xf numFmtId="0" fontId="14" fillId="0" borderId="16" xfId="0" applyFont="1" applyBorder="1" applyAlignment="1">
      <alignment horizontal="center" vertical="center"/>
    </xf>
    <xf numFmtId="3" fontId="0" fillId="0" borderId="0" xfId="0" applyNumberFormat="1"/>
    <xf numFmtId="0" fontId="89" fillId="0" borderId="0" xfId="0" applyFont="1" applyBorder="1"/>
    <xf numFmtId="0" fontId="34" fillId="34" borderId="0" xfId="0" applyFont="1" applyFill="1" applyBorder="1" applyAlignment="1">
      <alignment horizontal="center"/>
    </xf>
    <xf numFmtId="3" fontId="34" fillId="34" borderId="0" xfId="0" applyNumberFormat="1" applyFont="1" applyFill="1" applyBorder="1" applyAlignment="1">
      <alignment horizontal="center"/>
    </xf>
    <xf numFmtId="3" fontId="1" fillId="0" borderId="0" xfId="0" applyNumberFormat="1" applyFont="1" applyBorder="1"/>
    <xf numFmtId="168" fontId="58" fillId="0" borderId="0" xfId="0" applyNumberFormat="1" applyFont="1" applyBorder="1"/>
    <xf numFmtId="2" fontId="58" fillId="0" borderId="0" xfId="0" applyNumberFormat="1" applyFont="1" applyBorder="1"/>
    <xf numFmtId="172" fontId="0" fillId="0" borderId="0" xfId="0" applyNumberFormat="1" applyBorder="1"/>
    <xf numFmtId="173" fontId="0" fillId="0" borderId="0" xfId="0" applyNumberFormat="1" applyBorder="1"/>
    <xf numFmtId="0" fontId="90" fillId="0" borderId="0" xfId="0" applyFont="1" applyBorder="1"/>
    <xf numFmtId="3" fontId="91" fillId="0" borderId="0" xfId="0" applyNumberFormat="1" applyFont="1" applyBorder="1"/>
    <xf numFmtId="0" fontId="92" fillId="0" borderId="0" xfId="0" applyFont="1" applyBorder="1" applyAlignment="1">
      <alignment horizontal="right"/>
    </xf>
    <xf numFmtId="0" fontId="93" fillId="0" borderId="0" xfId="0" applyFont="1" applyBorder="1" applyAlignment="1">
      <alignment horizontal="center"/>
    </xf>
    <xf numFmtId="0" fontId="94" fillId="0" borderId="0" xfId="0" applyFont="1" applyBorder="1"/>
    <xf numFmtId="0" fontId="95" fillId="0" borderId="0" xfId="0" applyFont="1" applyBorder="1"/>
    <xf numFmtId="0" fontId="41" fillId="2" borderId="16" xfId="0" applyFont="1" applyFill="1" applyBorder="1" applyAlignment="1">
      <alignment horizontal="center"/>
    </xf>
    <xf numFmtId="0" fontId="96" fillId="0" borderId="0" xfId="0" applyFont="1" applyBorder="1" applyAlignment="1">
      <alignment horizontal="right"/>
    </xf>
    <xf numFmtId="0" fontId="97" fillId="0" borderId="0" xfId="0" applyFont="1" applyBorder="1" applyAlignment="1">
      <alignment horizontal="right"/>
    </xf>
    <xf numFmtId="0" fontId="98" fillId="0" borderId="0" xfId="0" applyFont="1" applyBorder="1"/>
    <xf numFmtId="0" fontId="99" fillId="0" borderId="0" xfId="0" applyFont="1" applyBorder="1" applyAlignment="1">
      <alignment horizontal="right"/>
    </xf>
    <xf numFmtId="1" fontId="100" fillId="0" borderId="0" xfId="0" applyNumberFormat="1" applyFont="1" applyBorder="1" applyAlignment="1">
      <alignment horizontal="center"/>
    </xf>
    <xf numFmtId="0" fontId="101" fillId="0" borderId="0" xfId="0" applyFont="1" applyBorder="1" applyAlignment="1">
      <alignment horizontal="left"/>
    </xf>
    <xf numFmtId="3" fontId="102" fillId="0" borderId="0" xfId="0" applyNumberFormat="1" applyFont="1" applyBorder="1" applyAlignment="1">
      <alignment horizontal="center"/>
    </xf>
    <xf numFmtId="0" fontId="93" fillId="0" borderId="0" xfId="0" applyFont="1" applyBorder="1"/>
    <xf numFmtId="0" fontId="103" fillId="0" borderId="0" xfId="0" applyFont="1" applyBorder="1" applyAlignment="1">
      <alignment horizontal="right"/>
    </xf>
    <xf numFmtId="0" fontId="104" fillId="0" borderId="0" xfId="0" applyFont="1" applyBorder="1" applyAlignment="1">
      <alignment horizontal="right"/>
    </xf>
    <xf numFmtId="0" fontId="105" fillId="0" borderId="0" xfId="0" applyFont="1" applyBorder="1" applyAlignment="1">
      <alignment horizontal="left"/>
    </xf>
    <xf numFmtId="0" fontId="106" fillId="0" borderId="0" xfId="0" applyFont="1" applyBorder="1"/>
    <xf numFmtId="168" fontId="0" fillId="0" borderId="0" xfId="0" applyNumberFormat="1" applyBorder="1"/>
    <xf numFmtId="0" fontId="1" fillId="0" borderId="0" xfId="0" applyFont="1" applyBorder="1" applyAlignment="1">
      <alignment horizontal="center"/>
    </xf>
    <xf numFmtId="0" fontId="107" fillId="0" borderId="0" xfId="0" applyFont="1" applyBorder="1"/>
    <xf numFmtId="0" fontId="66" fillId="0" borderId="0" xfId="0" applyFont="1" applyBorder="1"/>
    <xf numFmtId="0" fontId="79" fillId="0" borderId="0" xfId="0" applyFont="1" applyBorder="1"/>
    <xf numFmtId="0" fontId="112" fillId="3" borderId="16" xfId="0" applyFont="1" applyFill="1" applyBorder="1" applyAlignment="1">
      <alignment horizontal="center" vertical="center" wrapText="1"/>
    </xf>
    <xf numFmtId="0" fontId="113" fillId="35" borderId="16" xfId="0" applyFont="1" applyFill="1" applyBorder="1" applyAlignment="1">
      <alignment horizontal="left" vertical="top" wrapText="1"/>
    </xf>
    <xf numFmtId="0" fontId="114" fillId="35" borderId="16" xfId="0" applyFont="1" applyFill="1" applyBorder="1" applyAlignment="1">
      <alignment horizontal="left" vertical="top" wrapText="1"/>
    </xf>
    <xf numFmtId="0" fontId="114" fillId="35" borderId="16" xfId="0" applyFont="1" applyFill="1" applyBorder="1" applyAlignment="1">
      <alignment horizontal="center" vertical="top" wrapText="1"/>
    </xf>
    <xf numFmtId="0" fontId="115" fillId="35" borderId="16" xfId="0" applyFont="1" applyFill="1" applyBorder="1" applyAlignment="1">
      <alignment horizontal="center" vertical="top" wrapText="1"/>
    </xf>
    <xf numFmtId="0" fontId="116" fillId="36" borderId="16" xfId="0" applyFont="1" applyFill="1" applyBorder="1" applyAlignment="1">
      <alignment horizontal="center" vertical="top" wrapText="1"/>
    </xf>
    <xf numFmtId="0" fontId="113" fillId="37" borderId="16" xfId="0" applyFont="1" applyFill="1" applyBorder="1" applyAlignment="1">
      <alignment horizontal="left" vertical="top" wrapText="1"/>
    </xf>
    <xf numFmtId="0" fontId="114" fillId="37" borderId="16" xfId="0" applyFont="1" applyFill="1" applyBorder="1" applyAlignment="1">
      <alignment horizontal="left" vertical="top" wrapText="1"/>
    </xf>
    <xf numFmtId="0" fontId="114" fillId="37" borderId="16" xfId="0" applyFont="1" applyFill="1" applyBorder="1" applyAlignment="1">
      <alignment horizontal="center" vertical="top" wrapText="1"/>
    </xf>
    <xf numFmtId="0" fontId="116" fillId="37" borderId="16" xfId="0" applyFont="1" applyFill="1" applyBorder="1" applyAlignment="1">
      <alignment horizontal="center" vertical="top" wrapText="1"/>
    </xf>
    <xf numFmtId="0" fontId="115" fillId="37" borderId="16" xfId="0" applyFont="1" applyFill="1" applyBorder="1" applyAlignment="1">
      <alignment horizontal="center" vertical="top" wrapText="1"/>
    </xf>
    <xf numFmtId="0" fontId="116" fillId="35" borderId="16" xfId="0" applyFont="1" applyFill="1" applyBorder="1" applyAlignment="1">
      <alignment horizontal="center" vertical="top" wrapText="1"/>
    </xf>
    <xf numFmtId="0" fontId="117" fillId="38" borderId="16" xfId="0" applyFont="1" applyFill="1" applyBorder="1" applyAlignment="1">
      <alignment horizontal="center" vertical="top" wrapText="1"/>
    </xf>
    <xf numFmtId="0" fontId="118" fillId="0" borderId="0" xfId="0" applyFont="1" applyBorder="1" applyAlignment="1">
      <alignment horizontal="left" vertical="top" wrapText="1"/>
    </xf>
    <xf numFmtId="0" fontId="112" fillId="3" borderId="16" xfId="0" applyFont="1" applyFill="1" applyBorder="1" applyAlignment="1">
      <alignment horizontal="center" vertical="top"/>
    </xf>
    <xf numFmtId="0" fontId="120" fillId="0" borderId="16" xfId="0" applyFont="1" applyBorder="1" applyAlignment="1">
      <alignment horizontal="left" vertical="top"/>
    </xf>
    <xf numFmtId="2" fontId="121" fillId="2" borderId="16" xfId="0" applyNumberFormat="1" applyFont="1" applyFill="1" applyBorder="1" applyAlignment="1">
      <alignment horizontal="center" vertical="top"/>
    </xf>
    <xf numFmtId="0" fontId="122" fillId="0" borderId="16" xfId="0" applyFont="1" applyBorder="1" applyAlignment="1">
      <alignment horizontal="left" vertical="top"/>
    </xf>
    <xf numFmtId="0" fontId="111" fillId="0" borderId="16" xfId="0" applyFont="1" applyBorder="1" applyAlignment="1">
      <alignment horizontal="left" vertical="top"/>
    </xf>
    <xf numFmtId="2" fontId="111" fillId="0" borderId="16" xfId="0" applyNumberFormat="1" applyFont="1" applyBorder="1" applyAlignment="1">
      <alignment horizontal="center" vertical="top"/>
    </xf>
    <xf numFmtId="0" fontId="120" fillId="36" borderId="16" xfId="0" applyFont="1" applyFill="1" applyBorder="1" applyAlignment="1">
      <alignment horizontal="left" vertical="top"/>
    </xf>
    <xf numFmtId="2" fontId="111" fillId="36" borderId="16" xfId="0" applyNumberFormat="1" applyFont="1" applyFill="1" applyBorder="1" applyAlignment="1">
      <alignment horizontal="center" vertical="top"/>
    </xf>
    <xf numFmtId="0" fontId="122" fillId="36" borderId="16" xfId="0" applyFont="1" applyFill="1" applyBorder="1" applyAlignment="1">
      <alignment horizontal="left" vertical="top"/>
    </xf>
    <xf numFmtId="0" fontId="120" fillId="39" borderId="16" xfId="0" applyFont="1" applyFill="1" applyBorder="1" applyAlignment="1">
      <alignment horizontal="left" vertical="top"/>
    </xf>
    <xf numFmtId="2" fontId="111" fillId="39" borderId="16" xfId="0" applyNumberFormat="1" applyFont="1" applyFill="1" applyBorder="1" applyAlignment="1">
      <alignment horizontal="center" vertical="top"/>
    </xf>
    <xf numFmtId="0" fontId="122" fillId="39" borderId="16" xfId="0" applyFont="1" applyFill="1" applyBorder="1" applyAlignment="1">
      <alignment horizontal="left" vertical="top"/>
    </xf>
    <xf numFmtId="0" fontId="124" fillId="0" borderId="0" xfId="0" applyFont="1" applyBorder="1"/>
    <xf numFmtId="0" fontId="125" fillId="0" borderId="0" xfId="0" applyFont="1" applyBorder="1"/>
    <xf numFmtId="0" fontId="34" fillId="3" borderId="16" xfId="0" applyFont="1" applyFill="1" applyBorder="1" applyAlignment="1">
      <alignment horizontal="center"/>
    </xf>
    <xf numFmtId="0" fontId="1" fillId="40" borderId="16" xfId="0" applyFont="1" applyFill="1" applyBorder="1" applyAlignment="1">
      <alignment horizontal="center"/>
    </xf>
    <xf numFmtId="0" fontId="0" fillId="40" borderId="16" xfId="0" applyFill="1" applyBorder="1" applyAlignment="1">
      <alignment horizontal="center"/>
    </xf>
    <xf numFmtId="169" fontId="0" fillId="40" borderId="16" xfId="0" applyNumberFormat="1" applyFill="1" applyBorder="1" applyAlignment="1">
      <alignment horizontal="center"/>
    </xf>
    <xf numFmtId="0" fontId="126" fillId="0" borderId="0" xfId="0" applyFont="1" applyBorder="1"/>
    <xf numFmtId="0" fontId="127" fillId="0" borderId="0" xfId="0" applyFont="1" applyBorder="1"/>
    <xf numFmtId="0" fontId="34" fillId="3" borderId="16" xfId="0" applyFont="1" applyFill="1" applyBorder="1" applyAlignment="1">
      <alignment horizontal="center" wrapText="1"/>
    </xf>
    <xf numFmtId="0" fontId="0" fillId="0" borderId="16" xfId="0" applyFont="1" applyBorder="1"/>
    <xf numFmtId="0" fontId="0" fillId="0" borderId="16" xfId="0" applyFont="1" applyBorder="1" applyAlignment="1">
      <alignment wrapText="1"/>
    </xf>
    <xf numFmtId="0" fontId="128" fillId="0" borderId="0" xfId="0" applyFont="1" applyBorder="1"/>
    <xf numFmtId="0" fontId="1" fillId="2" borderId="0" xfId="0" applyFont="1" applyFill="1" applyBorder="1"/>
    <xf numFmtId="0" fontId="129" fillId="0" borderId="0" xfId="0" applyFont="1" applyBorder="1"/>
    <xf numFmtId="2" fontId="59" fillId="0" borderId="0" xfId="0" applyNumberFormat="1" applyFont="1" applyBorder="1"/>
    <xf numFmtId="3" fontId="59" fillId="0" borderId="0" xfId="0" applyNumberFormat="1" applyFont="1" applyBorder="1"/>
    <xf numFmtId="0" fontId="59" fillId="0" borderId="0" xfId="0" applyFont="1" applyBorder="1" applyAlignment="1">
      <alignment horizontal="center" vertical="center"/>
    </xf>
    <xf numFmtId="0" fontId="1" fillId="0" borderId="0" xfId="0" applyFont="1" applyBorder="1" applyAlignment="1">
      <alignment horizontal="right"/>
    </xf>
    <xf numFmtId="3" fontId="130" fillId="2" borderId="16" xfId="0" applyNumberFormat="1" applyFont="1" applyFill="1" applyBorder="1" applyAlignment="1">
      <alignment horizontal="center" vertical="center"/>
    </xf>
    <xf numFmtId="0" fontId="58" fillId="2" borderId="16" xfId="0" applyFont="1" applyFill="1" applyBorder="1" applyAlignment="1">
      <alignment horizontal="center" vertical="center"/>
    </xf>
    <xf numFmtId="0" fontId="56" fillId="0" borderId="0" xfId="0" applyFont="1" applyBorder="1" applyAlignment="1">
      <alignment horizontal="center" vertical="center"/>
    </xf>
    <xf numFmtId="3" fontId="58" fillId="2" borderId="16" xfId="0" applyNumberFormat="1" applyFont="1" applyFill="1" applyBorder="1"/>
    <xf numFmtId="3" fontId="87" fillId="0" borderId="0" xfId="0" applyNumberFormat="1" applyFont="1" applyBorder="1" applyAlignment="1">
      <alignment horizontal="center" vertical="center"/>
    </xf>
    <xf numFmtId="3" fontId="57" fillId="2" borderId="16" xfId="0" applyNumberFormat="1" applyFont="1" applyFill="1" applyBorder="1" applyAlignment="1">
      <alignment horizontal="center" vertical="center"/>
    </xf>
    <xf numFmtId="0" fontId="80" fillId="0" borderId="0" xfId="0" applyFont="1" applyBorder="1" applyAlignment="1">
      <alignment horizontal="right"/>
    </xf>
    <xf numFmtId="0" fontId="56" fillId="2" borderId="0" xfId="0" applyFont="1" applyFill="1" applyBorder="1" applyAlignment="1">
      <alignment horizontal="center"/>
    </xf>
    <xf numFmtId="0" fontId="56" fillId="2" borderId="16" xfId="0" applyFont="1" applyFill="1" applyBorder="1" applyAlignment="1">
      <alignment horizontal="center"/>
    </xf>
    <xf numFmtId="0" fontId="64" fillId="2" borderId="0" xfId="0" applyFont="1" applyFill="1" applyBorder="1" applyAlignment="1">
      <alignment horizontal="center"/>
    </xf>
    <xf numFmtId="0" fontId="0" fillId="2" borderId="0" xfId="0" applyFill="1" applyBorder="1"/>
    <xf numFmtId="168" fontId="57" fillId="2" borderId="16" xfId="0" applyNumberFormat="1" applyFont="1" applyFill="1" applyBorder="1"/>
    <xf numFmtId="0" fontId="62" fillId="0" borderId="0" xfId="0" applyFont="1" applyBorder="1" applyAlignment="1">
      <alignment horizontal="center" vertical="center"/>
    </xf>
    <xf numFmtId="0" fontId="131" fillId="0" borderId="0" xfId="0" applyFont="1" applyBorder="1"/>
    <xf numFmtId="9" fontId="58" fillId="0" borderId="0" xfId="0" applyNumberFormat="1" applyFont="1" applyBorder="1"/>
    <xf numFmtId="0" fontId="0" fillId="41" borderId="0" xfId="0" applyFill="1" applyBorder="1"/>
    <xf numFmtId="0" fontId="58" fillId="0" borderId="0" xfId="0" applyFont="1" applyBorder="1"/>
    <xf numFmtId="0" fontId="0" fillId="42" borderId="0" xfId="0" applyFill="1" applyBorder="1"/>
    <xf numFmtId="0" fontId="133" fillId="43" borderId="0" xfId="0" applyFont="1" applyFill="1" applyBorder="1" applyAlignment="1">
      <alignment horizontal="left" wrapText="1"/>
    </xf>
    <xf numFmtId="0" fontId="0" fillId="0" borderId="0" xfId="0" applyBorder="1"/>
    <xf numFmtId="0" fontId="13" fillId="0" borderId="8" xfId="0" applyFont="1" applyBorder="1" applyAlignment="1">
      <alignment horizontal="left" vertical="center"/>
    </xf>
    <xf numFmtId="0" fontId="0" fillId="0" borderId="0" xfId="0" applyBorder="1"/>
    <xf numFmtId="0" fontId="13" fillId="0" borderId="0" xfId="0" applyFont="1" applyBorder="1" applyAlignment="1">
      <alignment horizontal="left" vertical="center"/>
    </xf>
    <xf numFmtId="0" fontId="1" fillId="0" borderId="34" xfId="0" applyFont="1" applyBorder="1" applyAlignment="1">
      <alignment vertical="top" wrapText="1"/>
    </xf>
    <xf numFmtId="165" fontId="36" fillId="0" borderId="35" xfId="0" applyNumberFormat="1" applyFont="1" applyBorder="1" applyAlignment="1">
      <alignment horizontal="right" vertical="top"/>
    </xf>
    <xf numFmtId="3" fontId="36" fillId="0" borderId="35" xfId="0" applyNumberFormat="1" applyFont="1" applyBorder="1" applyAlignment="1">
      <alignment horizontal="right" vertical="top"/>
    </xf>
    <xf numFmtId="0" fontId="13" fillId="0" borderId="35" xfId="0" applyFont="1" applyBorder="1" applyAlignment="1">
      <alignment vertical="top" wrapText="1"/>
    </xf>
    <xf numFmtId="3" fontId="36" fillId="0" borderId="35" xfId="0" applyNumberFormat="1" applyFont="1" applyBorder="1" applyAlignment="1">
      <alignment horizontal="center" vertical="top"/>
    </xf>
    <xf numFmtId="0" fontId="16" fillId="0" borderId="35" xfId="0" applyFont="1" applyBorder="1" applyAlignment="1">
      <alignment horizontal="center" vertical="top" wrapText="1"/>
    </xf>
    <xf numFmtId="0" fontId="1" fillId="0" borderId="37" xfId="0" applyFont="1" applyBorder="1" applyAlignment="1">
      <alignment vertical="top" wrapText="1"/>
    </xf>
    <xf numFmtId="0" fontId="13" fillId="0" borderId="38" xfId="0" applyFont="1" applyBorder="1" applyAlignment="1">
      <alignment vertical="top" wrapText="1"/>
    </xf>
    <xf numFmtId="3" fontId="36" fillId="0" borderId="38" xfId="0" applyNumberFormat="1" applyFont="1" applyBorder="1" applyAlignment="1">
      <alignment horizontal="center" vertical="top"/>
    </xf>
    <xf numFmtId="0" fontId="16" fillId="0" borderId="38" xfId="0" applyFont="1" applyBorder="1" applyAlignment="1">
      <alignment horizontal="center" vertical="top" wrapText="1"/>
    </xf>
    <xf numFmtId="0" fontId="0" fillId="0" borderId="37" xfId="0" applyBorder="1"/>
    <xf numFmtId="3" fontId="0" fillId="0" borderId="38" xfId="0" applyNumberFormat="1" applyBorder="1"/>
    <xf numFmtId="0" fontId="0" fillId="0" borderId="38" xfId="0" applyBorder="1"/>
    <xf numFmtId="0" fontId="134" fillId="0" borderId="37" xfId="0" applyFont="1" applyFill="1" applyBorder="1" applyAlignment="1">
      <alignment horizontal="left" vertical="center"/>
    </xf>
    <xf numFmtId="0" fontId="134" fillId="0" borderId="38" xfId="0" applyFont="1" applyFill="1" applyBorder="1" applyAlignment="1">
      <alignment horizontal="left" vertical="center"/>
    </xf>
    <xf numFmtId="0" fontId="15" fillId="0" borderId="15" xfId="0" applyFont="1" applyBorder="1" applyAlignment="1">
      <alignment horizontal="center" vertical="center"/>
    </xf>
    <xf numFmtId="0" fontId="15" fillId="0" borderId="0" xfId="0" applyFont="1" applyBorder="1" applyAlignment="1">
      <alignment horizontal="center" vertical="center"/>
    </xf>
    <xf numFmtId="0" fontId="15" fillId="0" borderId="40" xfId="0" applyFont="1" applyBorder="1" applyAlignment="1">
      <alignment horizontal="center" vertical="center"/>
    </xf>
    <xf numFmtId="0" fontId="15" fillId="0" borderId="41" xfId="0" applyFont="1" applyBorder="1" applyAlignment="1">
      <alignment horizontal="center" vertical="center"/>
    </xf>
    <xf numFmtId="0" fontId="15" fillId="0" borderId="42" xfId="0" applyFont="1" applyBorder="1" applyAlignment="1">
      <alignment horizontal="center" vertical="center"/>
    </xf>
    <xf numFmtId="170" fontId="15" fillId="0" borderId="43" xfId="0" applyNumberFormat="1" applyFont="1" applyBorder="1" applyAlignment="1">
      <alignment horizontal="center" vertical="center"/>
    </xf>
    <xf numFmtId="0" fontId="15" fillId="0" borderId="38" xfId="0" applyFont="1" applyBorder="1" applyAlignment="1">
      <alignment horizontal="center" vertical="center"/>
    </xf>
    <xf numFmtId="0" fontId="15" fillId="0" borderId="15" xfId="0" applyFont="1" applyBorder="1" applyAlignment="1">
      <alignment horizontal="left" vertical="center"/>
    </xf>
    <xf numFmtId="0" fontId="21" fillId="3" borderId="13" xfId="0" applyFont="1" applyFill="1" applyBorder="1" applyAlignment="1">
      <alignment horizontal="left" vertical="center"/>
    </xf>
    <xf numFmtId="2" fontId="16" fillId="0" borderId="17" xfId="0" applyNumberFormat="1" applyFont="1" applyBorder="1" applyAlignment="1">
      <alignment horizontal="center" vertical="center"/>
    </xf>
    <xf numFmtId="0" fontId="137" fillId="0" borderId="45" xfId="0" applyFont="1" applyFill="1" applyBorder="1" applyAlignment="1">
      <alignment horizontal="right" vertical="center"/>
    </xf>
    <xf numFmtId="0" fontId="27" fillId="0" borderId="18" xfId="0" applyFont="1" applyBorder="1" applyAlignment="1">
      <alignment horizontal="left" vertical="center" wrapText="1"/>
    </xf>
    <xf numFmtId="0" fontId="136" fillId="45" borderId="46" xfId="0" applyFont="1" applyFill="1" applyBorder="1" applyAlignment="1">
      <alignment vertical="center"/>
    </xf>
    <xf numFmtId="0" fontId="136" fillId="45" borderId="47" xfId="0" applyFont="1" applyFill="1" applyBorder="1" applyAlignment="1">
      <alignment vertical="center"/>
    </xf>
    <xf numFmtId="0" fontId="136" fillId="45" borderId="48" xfId="0" applyFont="1" applyFill="1" applyBorder="1" applyAlignment="1">
      <alignment vertical="center"/>
    </xf>
    <xf numFmtId="0" fontId="141" fillId="0" borderId="49" xfId="0" applyFont="1" applyFill="1" applyBorder="1" applyAlignment="1">
      <alignment horizontal="left" vertical="center"/>
    </xf>
    <xf numFmtId="0" fontId="138" fillId="0" borderId="50" xfId="0" applyFont="1" applyFill="1" applyBorder="1" applyAlignment="1">
      <alignment horizontal="left" vertical="center"/>
    </xf>
    <xf numFmtId="0" fontId="139" fillId="0" borderId="51" xfId="0" applyFont="1" applyFill="1" applyBorder="1" applyAlignment="1">
      <alignment horizontal="left" vertical="center"/>
    </xf>
    <xf numFmtId="0" fontId="137" fillId="0" borderId="52" xfId="0" applyFont="1" applyFill="1" applyBorder="1" applyAlignment="1">
      <alignment horizontal="right" vertical="center"/>
    </xf>
    <xf numFmtId="0" fontId="138" fillId="0" borderId="53" xfId="0" applyFont="1" applyFill="1" applyBorder="1" applyAlignment="1">
      <alignment horizontal="left" vertical="center"/>
    </xf>
    <xf numFmtId="0" fontId="141" fillId="0" borderId="54" xfId="0" applyFont="1" applyFill="1" applyBorder="1" applyAlignment="1">
      <alignment horizontal="left" vertical="center"/>
    </xf>
    <xf numFmtId="0" fontId="137" fillId="0" borderId="55" xfId="0" applyFont="1" applyFill="1" applyBorder="1" applyAlignment="1">
      <alignment horizontal="right" vertical="center"/>
    </xf>
    <xf numFmtId="0" fontId="138" fillId="0" borderId="56" xfId="0" applyFont="1" applyFill="1" applyBorder="1" applyAlignment="1">
      <alignment horizontal="left" vertical="center"/>
    </xf>
    <xf numFmtId="0" fontId="141" fillId="47" borderId="46" xfId="0" applyFont="1" applyFill="1" applyBorder="1" applyAlignment="1">
      <alignment horizontal="left" vertical="center"/>
    </xf>
    <xf numFmtId="0" fontId="141" fillId="47" borderId="47" xfId="0" applyFont="1" applyFill="1" applyBorder="1" applyAlignment="1">
      <alignment horizontal="left" vertical="center"/>
    </xf>
    <xf numFmtId="0" fontId="138" fillId="0" borderId="48" xfId="0" applyFont="1" applyFill="1" applyBorder="1" applyAlignment="1">
      <alignment horizontal="left" vertical="center"/>
    </xf>
    <xf numFmtId="0" fontId="32" fillId="0" borderId="39" xfId="0" applyFont="1" applyBorder="1" applyAlignment="1">
      <alignment horizontal="center" vertical="top"/>
    </xf>
    <xf numFmtId="0" fontId="32" fillId="10" borderId="8" xfId="0" applyFont="1" applyFill="1" applyBorder="1" applyAlignment="1">
      <alignment horizontal="center" vertical="top"/>
    </xf>
    <xf numFmtId="0" fontId="32" fillId="0" borderId="36" xfId="0" applyFont="1" applyBorder="1" applyAlignment="1">
      <alignment horizontal="center" vertical="top"/>
    </xf>
    <xf numFmtId="0" fontId="32" fillId="0" borderId="8" xfId="0" applyFont="1" applyBorder="1" applyAlignment="1">
      <alignment horizontal="center" vertical="center"/>
    </xf>
    <xf numFmtId="0" fontId="37" fillId="0" borderId="36" xfId="0" applyFont="1" applyBorder="1" applyAlignment="1">
      <alignment horizontal="center" vertical="top"/>
    </xf>
    <xf numFmtId="0" fontId="37" fillId="10" borderId="8" xfId="0" applyFont="1" applyFill="1" applyBorder="1" applyAlignment="1">
      <alignment horizontal="center" vertical="top"/>
    </xf>
    <xf numFmtId="0" fontId="37" fillId="0" borderId="11" xfId="0" applyFont="1" applyBorder="1" applyAlignment="1">
      <alignment horizontal="center" vertical="center"/>
    </xf>
    <xf numFmtId="0" fontId="20" fillId="0" borderId="0" xfId="0" applyFont="1" applyBorder="1" applyAlignment="1">
      <alignment horizontal="right" vertical="center"/>
    </xf>
    <xf numFmtId="0" fontId="0" fillId="0" borderId="45" xfId="0" applyBorder="1"/>
    <xf numFmtId="0" fontId="32" fillId="0" borderId="45" xfId="0" applyFont="1" applyFill="1" applyBorder="1" applyAlignment="1">
      <alignment horizontal="left" vertical="center"/>
    </xf>
    <xf numFmtId="0" fontId="34" fillId="0" borderId="45" xfId="0" applyFont="1" applyFill="1" applyBorder="1"/>
    <xf numFmtId="0" fontId="26" fillId="0" borderId="45" xfId="0" applyFont="1" applyFill="1" applyBorder="1" applyAlignment="1">
      <alignment horizontal="center" vertical="center"/>
    </xf>
    <xf numFmtId="0" fontId="32" fillId="0" borderId="45" xfId="0" applyFont="1" applyFill="1" applyBorder="1" applyAlignment="1">
      <alignment horizontal="center" vertical="top"/>
    </xf>
    <xf numFmtId="0" fontId="32" fillId="0" borderId="45" xfId="0" applyFont="1" applyFill="1" applyBorder="1" applyAlignment="1">
      <alignment horizontal="center" vertical="center"/>
    </xf>
    <xf numFmtId="0" fontId="37" fillId="0" borderId="45" xfId="0" applyFont="1" applyFill="1" applyBorder="1" applyAlignment="1">
      <alignment horizontal="center" vertical="top"/>
    </xf>
    <xf numFmtId="0" fontId="37" fillId="0" borderId="45" xfId="0" applyFont="1" applyFill="1" applyBorder="1" applyAlignment="1">
      <alignment horizontal="center" vertical="center"/>
    </xf>
    <xf numFmtId="0" fontId="0" fillId="0" borderId="45" xfId="0" applyFill="1" applyBorder="1"/>
    <xf numFmtId="170" fontId="15" fillId="0" borderId="45" xfId="0" applyNumberFormat="1" applyFont="1" applyBorder="1" applyAlignment="1">
      <alignment horizontal="center" vertical="center"/>
    </xf>
    <xf numFmtId="3" fontId="0" fillId="0" borderId="45" xfId="0" applyNumberFormat="1" applyBorder="1"/>
    <xf numFmtId="2" fontId="16" fillId="0" borderId="45" xfId="0" applyNumberFormat="1" applyFont="1" applyBorder="1" applyAlignment="1">
      <alignment horizontal="center" vertical="center"/>
    </xf>
    <xf numFmtId="164" fontId="16" fillId="0" borderId="45" xfId="0" applyNumberFormat="1" applyFont="1" applyBorder="1" applyAlignment="1">
      <alignment horizontal="center" vertical="center"/>
    </xf>
    <xf numFmtId="0" fontId="138" fillId="0" borderId="45" xfId="0" applyFont="1" applyFill="1" applyBorder="1" applyAlignment="1">
      <alignment horizontal="left" vertical="center"/>
    </xf>
    <xf numFmtId="0" fontId="138" fillId="0" borderId="55" xfId="0" applyFont="1" applyFill="1" applyBorder="1" applyAlignment="1">
      <alignment horizontal="left" vertical="center"/>
    </xf>
    <xf numFmtId="0" fontId="138" fillId="0" borderId="52" xfId="0" applyFont="1" applyFill="1" applyBorder="1" applyAlignment="1">
      <alignment horizontal="left" vertical="center"/>
    </xf>
    <xf numFmtId="0" fontId="138" fillId="0" borderId="47" xfId="0" applyFont="1" applyFill="1" applyBorder="1" applyAlignment="1">
      <alignment horizontal="left" vertical="center"/>
    </xf>
    <xf numFmtId="0" fontId="21" fillId="0" borderId="45" xfId="0" applyFont="1" applyFill="1" applyBorder="1" applyAlignment="1">
      <alignment horizontal="left" vertical="center"/>
    </xf>
    <xf numFmtId="0" fontId="15" fillId="0" borderId="45" xfId="0" applyFont="1" applyFill="1" applyBorder="1" applyAlignment="1">
      <alignment horizontal="center" vertical="center"/>
    </xf>
    <xf numFmtId="2" fontId="23" fillId="0" borderId="45" xfId="0" applyNumberFormat="1" applyFont="1" applyFill="1" applyBorder="1" applyAlignment="1">
      <alignment horizontal="center" vertical="center"/>
    </xf>
    <xf numFmtId="0" fontId="15" fillId="0" borderId="15" xfId="0" applyFont="1" applyBorder="1" applyAlignment="1">
      <alignment horizontal="left" vertical="center"/>
    </xf>
    <xf numFmtId="0" fontId="13" fillId="0" borderId="45" xfId="0" applyFont="1" applyBorder="1" applyAlignment="1">
      <alignment horizontal="left" vertical="center"/>
    </xf>
    <xf numFmtId="0" fontId="13" fillId="0" borderId="39" xfId="0" applyFont="1" applyBorder="1" applyAlignment="1">
      <alignment horizontal="left" vertical="center"/>
    </xf>
    <xf numFmtId="2" fontId="23" fillId="44" borderId="45" xfId="0" applyNumberFormat="1" applyFont="1" applyFill="1" applyBorder="1" applyAlignment="1">
      <alignment horizontal="center" vertical="center"/>
    </xf>
    <xf numFmtId="0" fontId="0" fillId="0" borderId="0" xfId="0" applyBorder="1"/>
    <xf numFmtId="0" fontId="0" fillId="48" borderId="0" xfId="0" applyFill="1" applyBorder="1"/>
    <xf numFmtId="0" fontId="0" fillId="48" borderId="0" xfId="0" applyFill="1"/>
    <xf numFmtId="0" fontId="142" fillId="0" borderId="0" xfId="0" applyFont="1"/>
    <xf numFmtId="0" fontId="107" fillId="0" borderId="0" xfId="0" applyFont="1" applyFill="1" applyBorder="1"/>
    <xf numFmtId="0" fontId="0" fillId="0" borderId="0" xfId="0" applyFill="1"/>
    <xf numFmtId="0" fontId="0" fillId="0" borderId="0" xfId="0" applyFill="1" applyBorder="1"/>
    <xf numFmtId="0" fontId="142" fillId="48" borderId="0" xfId="0" applyFont="1" applyFill="1"/>
    <xf numFmtId="0" fontId="0" fillId="48" borderId="45" xfId="0" applyFill="1" applyBorder="1"/>
    <xf numFmtId="0" fontId="0" fillId="49" borderId="0" xfId="0" applyFill="1" applyBorder="1"/>
    <xf numFmtId="0" fontId="0" fillId="49" borderId="0" xfId="0" applyFill="1"/>
    <xf numFmtId="0" fontId="0" fillId="49" borderId="0" xfId="0" applyFill="1" applyBorder="1" applyAlignment="1">
      <alignment wrapText="1"/>
    </xf>
    <xf numFmtId="170" fontId="15" fillId="0" borderId="40" xfId="0" applyNumberFormat="1" applyFont="1" applyBorder="1" applyAlignment="1">
      <alignment horizontal="center" vertical="center"/>
    </xf>
    <xf numFmtId="0" fontId="15" fillId="0" borderId="41" xfId="0" applyFont="1" applyBorder="1" applyAlignment="1">
      <alignment horizontal="left" vertical="center"/>
    </xf>
    <xf numFmtId="165" fontId="36" fillId="0" borderId="38" xfId="0" applyNumberFormat="1" applyFont="1" applyBorder="1" applyAlignment="1">
      <alignment horizontal="right" vertical="top" wrapText="1"/>
    </xf>
    <xf numFmtId="3" fontId="36" fillId="0" borderId="38" xfId="0" applyNumberFormat="1" applyFont="1" applyBorder="1" applyAlignment="1">
      <alignment horizontal="right" vertical="top" wrapText="1"/>
    </xf>
    <xf numFmtId="3" fontId="36" fillId="0" borderId="35" xfId="0" applyNumberFormat="1" applyFont="1" applyBorder="1" applyAlignment="1">
      <alignment horizontal="right" vertical="top" wrapText="1"/>
    </xf>
    <xf numFmtId="3" fontId="36" fillId="10" borderId="0" xfId="0" applyNumberFormat="1" applyFont="1" applyFill="1" applyBorder="1" applyAlignment="1">
      <alignment horizontal="right" vertical="top" wrapText="1"/>
    </xf>
    <xf numFmtId="0" fontId="107" fillId="0" borderId="45" xfId="0" applyFont="1" applyFill="1" applyBorder="1"/>
    <xf numFmtId="0" fontId="7" fillId="0" borderId="45" xfId="0" applyFont="1" applyBorder="1" applyAlignment="1">
      <alignment horizontal="center" vertical="center"/>
    </xf>
    <xf numFmtId="0" fontId="15" fillId="0" borderId="45" xfId="0" applyFont="1" applyBorder="1" applyAlignment="1">
      <alignment horizontal="center" vertical="center"/>
    </xf>
    <xf numFmtId="1" fontId="0" fillId="0" borderId="45" xfId="0" applyNumberFormat="1" applyBorder="1"/>
    <xf numFmtId="0" fontId="14" fillId="0" borderId="45" xfId="0" applyFont="1" applyBorder="1"/>
    <xf numFmtId="0" fontId="134" fillId="0" borderId="45" xfId="0" applyFont="1" applyFill="1" applyBorder="1" applyAlignment="1">
      <alignment horizontal="left" vertical="center"/>
    </xf>
    <xf numFmtId="0" fontId="134" fillId="0" borderId="37" xfId="0" applyFont="1" applyFill="1" applyBorder="1" applyAlignment="1">
      <alignment horizontal="left" vertical="center"/>
    </xf>
    <xf numFmtId="0" fontId="0" fillId="0" borderId="39" xfId="0" applyBorder="1"/>
    <xf numFmtId="0" fontId="12" fillId="0" borderId="37" xfId="0" applyFont="1" applyBorder="1" applyAlignment="1">
      <alignment vertical="top"/>
    </xf>
    <xf numFmtId="0" fontId="14" fillId="0" borderId="39" xfId="0" applyFont="1" applyBorder="1"/>
    <xf numFmtId="0" fontId="16" fillId="0" borderId="10" xfId="0" applyFont="1" applyBorder="1" applyAlignment="1">
      <alignment horizontal="center" vertical="top" wrapText="1"/>
    </xf>
    <xf numFmtId="0" fontId="1" fillId="0" borderId="7" xfId="0" applyFont="1" applyBorder="1"/>
    <xf numFmtId="0" fontId="38" fillId="0" borderId="7" xfId="0" applyFont="1" applyBorder="1" applyAlignment="1">
      <alignment horizontal="left" vertical="center"/>
    </xf>
    <xf numFmtId="0" fontId="39" fillId="0" borderId="7" xfId="0" applyFont="1" applyBorder="1"/>
    <xf numFmtId="0" fontId="39" fillId="0" borderId="7" xfId="0" applyFont="1" applyBorder="1"/>
    <xf numFmtId="0" fontId="39" fillId="0" borderId="7" xfId="0" applyFont="1" applyBorder="1"/>
    <xf numFmtId="0" fontId="39" fillId="0" borderId="7" xfId="0" applyFont="1" applyBorder="1"/>
    <xf numFmtId="0" fontId="8" fillId="0" borderId="3" xfId="0" applyFont="1" applyBorder="1" applyAlignment="1">
      <alignment horizontal="left" vertical="center"/>
    </xf>
    <xf numFmtId="0" fontId="8" fillId="0" borderId="3" xfId="0" applyFont="1" applyBorder="1" applyAlignment="1">
      <alignment horizontal="left" vertical="center"/>
    </xf>
    <xf numFmtId="2" fontId="23" fillId="44" borderId="17" xfId="0" applyNumberFormat="1" applyFont="1" applyFill="1" applyBorder="1" applyAlignment="1">
      <alignment horizontal="center" vertical="center"/>
    </xf>
    <xf numFmtId="3" fontId="36" fillId="0" borderId="38" xfId="1" applyNumberFormat="1" applyFont="1" applyBorder="1" applyAlignment="1">
      <alignment horizontal="right" vertical="top" wrapText="1"/>
    </xf>
    <xf numFmtId="0" fontId="144" fillId="0" borderId="0" xfId="0" applyFont="1" applyBorder="1" applyAlignment="1">
      <alignment horizontal="left" vertical="center"/>
    </xf>
    <xf numFmtId="0" fontId="28" fillId="0" borderId="61" xfId="0" applyFont="1" applyBorder="1"/>
    <xf numFmtId="0" fontId="0" fillId="0" borderId="62" xfId="0" applyBorder="1"/>
    <xf numFmtId="0" fontId="0" fillId="0" borderId="63" xfId="0" applyBorder="1"/>
    <xf numFmtId="1" fontId="28" fillId="0" borderId="20" xfId="0" applyNumberFormat="1" applyFont="1" applyBorder="1"/>
    <xf numFmtId="1" fontId="16" fillId="0" borderId="45" xfId="0" applyNumberFormat="1" applyFont="1" applyBorder="1"/>
    <xf numFmtId="165" fontId="16" fillId="0" borderId="45" xfId="0" applyNumberFormat="1" applyFont="1" applyBorder="1"/>
    <xf numFmtId="166" fontId="16" fillId="0" borderId="64" xfId="0" applyNumberFormat="1" applyFont="1" applyBorder="1"/>
    <xf numFmtId="1" fontId="28" fillId="0" borderId="65" xfId="0" applyNumberFormat="1" applyFont="1" applyBorder="1"/>
    <xf numFmtId="1" fontId="16" fillId="0" borderId="66" xfId="0" applyNumberFormat="1" applyFont="1" applyBorder="1"/>
    <xf numFmtId="165" fontId="16" fillId="0" borderId="66" xfId="0" applyNumberFormat="1" applyFont="1" applyBorder="1"/>
    <xf numFmtId="166" fontId="16" fillId="0" borderId="67" xfId="0" applyNumberFormat="1" applyFont="1" applyBorder="1"/>
    <xf numFmtId="0" fontId="45" fillId="0" borderId="68" xfId="0" applyFont="1" applyBorder="1"/>
    <xf numFmtId="0" fontId="45" fillId="0" borderId="69" xfId="0" applyFont="1" applyBorder="1"/>
    <xf numFmtId="0" fontId="45" fillId="0" borderId="70" xfId="0" applyFont="1" applyBorder="1"/>
    <xf numFmtId="0" fontId="25" fillId="5" borderId="10" xfId="0" applyFont="1" applyFill="1" applyBorder="1" applyAlignment="1">
      <alignment horizontal="left" vertical="center" wrapText="1"/>
    </xf>
    <xf numFmtId="0" fontId="24" fillId="6" borderId="10" xfId="0" applyFont="1" applyFill="1" applyBorder="1" applyAlignment="1">
      <alignment horizontal="left" vertical="center" wrapText="1"/>
    </xf>
    <xf numFmtId="3" fontId="145" fillId="0" borderId="16" xfId="0" applyNumberFormat="1" applyFont="1" applyBorder="1" applyAlignment="1">
      <alignment horizontal="center" vertical="center"/>
    </xf>
    <xf numFmtId="0" fontId="11" fillId="0" borderId="45" xfId="0" applyFont="1" applyBorder="1" applyAlignment="1">
      <alignment horizontal="left" vertical="center"/>
    </xf>
    <xf numFmtId="0" fontId="11" fillId="0" borderId="45" xfId="0" applyFont="1" applyBorder="1" applyAlignment="1">
      <alignment horizontal="left" vertical="center"/>
    </xf>
    <xf numFmtId="0" fontId="11" fillId="0" borderId="39" xfId="0" applyFont="1" applyBorder="1" applyAlignment="1">
      <alignment horizontal="left" vertical="center"/>
    </xf>
    <xf numFmtId="0" fontId="25" fillId="5" borderId="45" xfId="0" applyFont="1" applyFill="1" applyBorder="1" applyAlignment="1">
      <alignment horizontal="left" vertical="center" wrapText="1"/>
    </xf>
    <xf numFmtId="0" fontId="134" fillId="0" borderId="37" xfId="0" applyFont="1" applyFill="1" applyBorder="1" applyAlignment="1">
      <alignment horizontal="left" vertical="center"/>
    </xf>
    <xf numFmtId="0" fontId="21" fillId="3" borderId="13" xfId="0" applyFont="1" applyFill="1" applyBorder="1" applyAlignment="1">
      <alignment horizontal="left" vertical="center"/>
    </xf>
    <xf numFmtId="0" fontId="1" fillId="0" borderId="1" xfId="0" applyFont="1" applyBorder="1" applyAlignment="1">
      <alignment horizontal="center" vertical="center"/>
    </xf>
    <xf numFmtId="0" fontId="2" fillId="0" borderId="0" xfId="0" applyFont="1" applyBorder="1"/>
    <xf numFmtId="0" fontId="3" fillId="0" borderId="0" xfId="0" applyFont="1" applyBorder="1" applyAlignment="1">
      <alignment horizontal="right" vertical="center"/>
    </xf>
    <xf numFmtId="0" fontId="10" fillId="0" borderId="7" xfId="0" applyFont="1" applyBorder="1" applyAlignment="1">
      <alignment horizontal="left" vertical="center"/>
    </xf>
    <xf numFmtId="0" fontId="10" fillId="0" borderId="0" xfId="0" applyFont="1" applyBorder="1" applyAlignment="1">
      <alignment horizontal="left" vertical="center"/>
    </xf>
    <xf numFmtId="0" fontId="10" fillId="0" borderId="9" xfId="0" applyFont="1" applyBorder="1" applyAlignment="1">
      <alignment horizontal="left" vertical="center"/>
    </xf>
    <xf numFmtId="0" fontId="0" fillId="0" borderId="11" xfId="0" applyBorder="1"/>
    <xf numFmtId="0" fontId="11" fillId="0" borderId="0" xfId="0" applyFont="1" applyBorder="1" applyAlignment="1">
      <alignment horizontal="left" vertical="center"/>
    </xf>
    <xf numFmtId="0" fontId="14" fillId="0" borderId="5" xfId="0" applyFont="1" applyBorder="1"/>
    <xf numFmtId="0" fontId="13" fillId="0" borderId="45" xfId="0" applyFont="1" applyBorder="1" applyAlignment="1">
      <alignment wrapText="1"/>
    </xf>
    <xf numFmtId="0" fontId="13" fillId="0" borderId="39" xfId="0" applyFont="1" applyBorder="1" applyAlignment="1">
      <alignment wrapText="1"/>
    </xf>
    <xf numFmtId="0" fontId="13" fillId="0" borderId="8" xfId="0" applyFont="1" applyBorder="1"/>
    <xf numFmtId="0" fontId="13" fillId="0" borderId="8" xfId="0" applyFont="1" applyBorder="1" applyAlignment="1">
      <alignment horizontal="left" vertical="center" wrapText="1"/>
    </xf>
    <xf numFmtId="0" fontId="0" fillId="0" borderId="0" xfId="0" applyBorder="1"/>
    <xf numFmtId="0" fontId="144" fillId="0" borderId="8" xfId="0" applyFont="1" applyBorder="1" applyAlignment="1">
      <alignment vertical="top" wrapText="1"/>
    </xf>
    <xf numFmtId="0" fontId="20" fillId="0" borderId="0" xfId="0" applyFont="1" applyBorder="1" applyAlignment="1">
      <alignment horizontal="right" vertical="center"/>
    </xf>
    <xf numFmtId="0" fontId="16" fillId="0" borderId="8" xfId="0" applyFont="1" applyBorder="1" applyAlignment="1">
      <alignment horizontal="left" vertical="center" wrapText="1"/>
    </xf>
    <xf numFmtId="0" fontId="13" fillId="0" borderId="0" xfId="0" applyFont="1" applyBorder="1" applyAlignment="1">
      <alignment vertical="center" wrapText="1"/>
    </xf>
    <xf numFmtId="0" fontId="13" fillId="0" borderId="8" xfId="0" applyFont="1" applyBorder="1" applyAlignment="1">
      <alignment vertical="center" wrapText="1"/>
    </xf>
    <xf numFmtId="0" fontId="15" fillId="0" borderId="15" xfId="0" applyFont="1" applyBorder="1" applyAlignment="1">
      <alignment horizontal="left" vertical="center"/>
    </xf>
    <xf numFmtId="2" fontId="16" fillId="0" borderId="17" xfId="0" applyNumberFormat="1" applyFont="1" applyBorder="1" applyAlignment="1">
      <alignment horizontal="center" vertical="center"/>
    </xf>
    <xf numFmtId="164" fontId="16" fillId="0" borderId="17" xfId="0" applyNumberFormat="1" applyFont="1" applyBorder="1" applyAlignment="1">
      <alignment horizontal="center" vertical="center"/>
    </xf>
    <xf numFmtId="2" fontId="23" fillId="2" borderId="16" xfId="0" applyNumberFormat="1" applyFont="1" applyFill="1" applyBorder="1" applyAlignment="1">
      <alignment horizontal="center" vertical="center"/>
    </xf>
    <xf numFmtId="2" fontId="23" fillId="2" borderId="60" xfId="0" applyNumberFormat="1" applyFont="1" applyFill="1" applyBorder="1" applyAlignment="1">
      <alignment horizontal="center" vertical="center"/>
    </xf>
    <xf numFmtId="2" fontId="23" fillId="44" borderId="16" xfId="0" applyNumberFormat="1" applyFont="1" applyFill="1" applyBorder="1" applyAlignment="1">
      <alignment horizontal="center" vertical="center"/>
    </xf>
    <xf numFmtId="2" fontId="23" fillId="44" borderId="60" xfId="0" applyNumberFormat="1" applyFont="1" applyFill="1" applyBorder="1" applyAlignment="1">
      <alignment horizontal="center" vertical="center"/>
    </xf>
    <xf numFmtId="0" fontId="0" fillId="0" borderId="42" xfId="0" applyBorder="1"/>
    <xf numFmtId="0" fontId="0" fillId="0" borderId="44" xfId="0" applyBorder="1"/>
    <xf numFmtId="3" fontId="0" fillId="0" borderId="0" xfId="0" applyNumberFormat="1" applyBorder="1"/>
    <xf numFmtId="0" fontId="13" fillId="0" borderId="8" xfId="0" applyFont="1" applyBorder="1" applyAlignment="1">
      <alignment horizontal="left" vertical="center"/>
    </xf>
    <xf numFmtId="0" fontId="22" fillId="4" borderId="7" xfId="0" applyFont="1" applyFill="1" applyBorder="1" applyAlignment="1">
      <alignment horizontal="left" vertical="center"/>
    </xf>
    <xf numFmtId="0" fontId="22" fillId="4" borderId="14" xfId="0" applyFont="1" applyFill="1" applyBorder="1" applyAlignment="1">
      <alignment horizontal="left" vertical="center"/>
    </xf>
    <xf numFmtId="0" fontId="22" fillId="4" borderId="37" xfId="0" applyFont="1" applyFill="1" applyBorder="1" applyAlignment="1">
      <alignment horizontal="left" vertical="center" wrapText="1"/>
    </xf>
    <xf numFmtId="0" fontId="22" fillId="4" borderId="45" xfId="0" applyFont="1" applyFill="1" applyBorder="1" applyAlignment="1">
      <alignment horizontal="left" vertical="center" wrapText="1"/>
    </xf>
    <xf numFmtId="0" fontId="22" fillId="4" borderId="39" xfId="0" applyFont="1" applyFill="1" applyBorder="1" applyAlignment="1">
      <alignment horizontal="left" vertical="center" wrapText="1"/>
    </xf>
    <xf numFmtId="0" fontId="134" fillId="0" borderId="37" xfId="0" applyFont="1" applyFill="1" applyBorder="1" applyAlignment="1">
      <alignment horizontal="left" vertical="center"/>
    </xf>
    <xf numFmtId="0" fontId="0" fillId="0" borderId="6" xfId="0" applyBorder="1"/>
    <xf numFmtId="0" fontId="0" fillId="0" borderId="24" xfId="0" applyBorder="1"/>
    <xf numFmtId="0" fontId="28" fillId="0" borderId="0" xfId="0" applyFont="1" applyBorder="1" applyAlignment="1">
      <alignment horizontal="left" vertical="center"/>
    </xf>
    <xf numFmtId="0" fontId="42" fillId="0" borderId="0" xfId="0" applyFont="1" applyBorder="1" applyAlignment="1">
      <alignment horizontal="left" vertical="center"/>
    </xf>
    <xf numFmtId="0" fontId="0" fillId="0" borderId="0" xfId="0" applyAlignment="1">
      <alignment horizontal="left" wrapText="1"/>
    </xf>
    <xf numFmtId="0" fontId="24" fillId="6" borderId="45" xfId="0" applyFont="1" applyFill="1" applyBorder="1" applyAlignment="1">
      <alignment horizontal="left" vertical="center" wrapText="1"/>
    </xf>
    <xf numFmtId="0" fontId="24" fillId="6" borderId="10" xfId="0" applyFont="1" applyFill="1" applyBorder="1" applyAlignment="1">
      <alignment horizontal="left" vertical="center" wrapText="1"/>
    </xf>
    <xf numFmtId="0" fontId="24" fillId="2" borderId="45" xfId="0" applyFont="1" applyFill="1" applyBorder="1" applyAlignment="1">
      <alignment horizontal="left" vertical="center" wrapText="1"/>
    </xf>
    <xf numFmtId="0" fontId="28" fillId="7" borderId="14" xfId="0" applyFont="1" applyFill="1" applyBorder="1" applyAlignment="1">
      <alignment horizontal="left" vertical="center"/>
    </xf>
    <xf numFmtId="0" fontId="24" fillId="2" borderId="12" xfId="0" applyFont="1" applyFill="1" applyBorder="1" applyAlignment="1">
      <alignment horizontal="left" vertical="center" wrapText="1"/>
    </xf>
    <xf numFmtId="0" fontId="44" fillId="0" borderId="0" xfId="0" applyFont="1" applyBorder="1" applyAlignment="1">
      <alignment horizontal="left" vertical="center" wrapText="1"/>
    </xf>
    <xf numFmtId="0" fontId="43" fillId="0" borderId="0" xfId="0" applyFont="1" applyBorder="1" applyAlignment="1">
      <alignment horizontal="left" vertical="center"/>
    </xf>
    <xf numFmtId="0" fontId="44" fillId="0" borderId="0" xfId="0" applyFont="1" applyBorder="1" applyAlignment="1">
      <alignment horizontal="left" vertical="center"/>
    </xf>
    <xf numFmtId="0" fontId="0" fillId="0" borderId="0" xfId="0"/>
    <xf numFmtId="0" fontId="47" fillId="0" borderId="0" xfId="0" applyFont="1" applyBorder="1" applyAlignment="1">
      <alignment horizontal="left" vertical="center"/>
    </xf>
    <xf numFmtId="0" fontId="140" fillId="46" borderId="57" xfId="0" applyFont="1" applyFill="1" applyBorder="1" applyAlignment="1">
      <alignment horizontal="left" vertical="center"/>
    </xf>
    <xf numFmtId="0" fontId="140" fillId="46" borderId="58" xfId="0" applyFont="1" applyFill="1" applyBorder="1" applyAlignment="1">
      <alignment horizontal="left" vertical="center"/>
    </xf>
    <xf numFmtId="0" fontId="140" fillId="46" borderId="59" xfId="0" applyFont="1" applyFill="1" applyBorder="1" applyAlignment="1">
      <alignment horizontal="left" vertical="center"/>
    </xf>
    <xf numFmtId="0" fontId="29" fillId="0" borderId="11" xfId="0" applyFont="1" applyBorder="1"/>
    <xf numFmtId="0" fontId="28" fillId="0" borderId="4" xfId="0" applyFont="1" applyBorder="1"/>
    <xf numFmtId="0" fontId="32" fillId="0" borderId="6" xfId="0" applyFont="1" applyBorder="1" applyAlignment="1">
      <alignment horizontal="left" vertical="center"/>
    </xf>
    <xf numFmtId="0" fontId="32" fillId="0" borderId="5" xfId="0" applyFont="1" applyBorder="1" applyAlignment="1">
      <alignment horizontal="left" vertical="center"/>
    </xf>
    <xf numFmtId="0" fontId="25" fillId="5" borderId="10" xfId="0" applyFont="1" applyFill="1" applyBorder="1" applyAlignment="1">
      <alignment horizontal="left" vertical="center" wrapText="1"/>
    </xf>
    <xf numFmtId="0" fontId="24" fillId="2" borderId="11" xfId="0" applyFont="1" applyFill="1" applyBorder="1" applyAlignment="1">
      <alignment horizontal="left" vertical="center" wrapText="1"/>
    </xf>
    <xf numFmtId="0" fontId="34" fillId="9" borderId="14" xfId="0" applyFont="1" applyFill="1" applyBorder="1"/>
    <xf numFmtId="0" fontId="34" fillId="11" borderId="14" xfId="0" applyFont="1" applyFill="1" applyBorder="1"/>
    <xf numFmtId="0" fontId="9" fillId="0" borderId="27" xfId="0" applyFont="1" applyBorder="1" applyAlignment="1">
      <alignment horizontal="left" vertical="center"/>
    </xf>
    <xf numFmtId="0" fontId="9" fillId="0" borderId="28" xfId="0" applyFont="1" applyBorder="1" applyAlignment="1">
      <alignment horizontal="left" vertical="center"/>
    </xf>
    <xf numFmtId="0" fontId="9" fillId="0" borderId="29" xfId="0" applyFont="1" applyBorder="1" applyAlignment="1">
      <alignment horizontal="left" vertical="center"/>
    </xf>
    <xf numFmtId="0" fontId="10" fillId="0" borderId="2" xfId="0" applyFont="1" applyBorder="1" applyAlignment="1">
      <alignment horizontal="left" vertical="center"/>
    </xf>
    <xf numFmtId="0" fontId="10" fillId="0" borderId="30" xfId="0" applyFont="1" applyBorder="1" applyAlignment="1">
      <alignment horizontal="left" vertical="center"/>
    </xf>
    <xf numFmtId="0" fontId="48" fillId="0" borderId="0" xfId="0" applyFont="1" applyBorder="1" applyAlignment="1">
      <alignment horizontal="center" vertical="center"/>
    </xf>
    <xf numFmtId="0" fontId="14" fillId="0" borderId="6" xfId="0" applyFont="1" applyBorder="1"/>
    <xf numFmtId="0" fontId="22" fillId="0" borderId="7" xfId="0" applyFont="1" applyBorder="1" applyAlignment="1">
      <alignment horizontal="left" vertical="center"/>
    </xf>
    <xf numFmtId="0" fontId="24" fillId="2" borderId="7" xfId="0" applyFont="1" applyFill="1" applyBorder="1" applyAlignment="1">
      <alignment horizontal="left" vertical="top" wrapText="1"/>
    </xf>
    <xf numFmtId="0" fontId="25" fillId="5" borderId="0" xfId="0" applyFont="1" applyFill="1" applyBorder="1" applyAlignment="1">
      <alignment horizontal="left" vertical="top" wrapText="1"/>
    </xf>
    <xf numFmtId="0" fontId="24" fillId="6" borderId="0" xfId="0" applyFont="1" applyFill="1" applyBorder="1" applyAlignment="1">
      <alignment horizontal="left" vertical="top" wrapText="1"/>
    </xf>
    <xf numFmtId="0" fontId="24" fillId="2" borderId="8" xfId="0" applyFont="1" applyFill="1" applyBorder="1" applyAlignment="1">
      <alignment horizontal="left" vertical="top" wrapText="1"/>
    </xf>
    <xf numFmtId="0" fontId="26" fillId="0" borderId="15" xfId="0" applyFont="1" applyBorder="1" applyAlignment="1">
      <alignment horizontal="left" vertical="center"/>
    </xf>
    <xf numFmtId="2" fontId="49" fillId="12" borderId="17" xfId="0" applyNumberFormat="1" applyFont="1" applyFill="1" applyBorder="1" applyAlignment="1">
      <alignment horizontal="center" vertical="center"/>
    </xf>
    <xf numFmtId="0" fontId="27" fillId="0" borderId="18" xfId="0" applyFont="1" applyBorder="1" applyAlignment="1">
      <alignment horizontal="left" vertical="center"/>
    </xf>
    <xf numFmtId="0" fontId="28" fillId="13" borderId="7" xfId="0" applyFont="1" applyFill="1" applyBorder="1" applyAlignment="1">
      <alignment horizontal="left" vertical="center"/>
    </xf>
    <xf numFmtId="0" fontId="32" fillId="0" borderId="8" xfId="0" applyFont="1" applyBorder="1" applyAlignment="1">
      <alignment horizontal="right" vertical="center"/>
    </xf>
    <xf numFmtId="0" fontId="34" fillId="9" borderId="8" xfId="0" applyFont="1" applyFill="1" applyBorder="1"/>
    <xf numFmtId="0" fontId="34" fillId="11" borderId="8" xfId="0" applyFont="1" applyFill="1" applyBorder="1"/>
    <xf numFmtId="0" fontId="14" fillId="0" borderId="8" xfId="0" applyFont="1" applyBorder="1"/>
    <xf numFmtId="0" fontId="51" fillId="0" borderId="0" xfId="0" applyFont="1" applyBorder="1"/>
    <xf numFmtId="0" fontId="68" fillId="0" borderId="0" xfId="0" applyFont="1" applyBorder="1" applyAlignment="1">
      <alignment horizontal="left" vertical="center"/>
    </xf>
    <xf numFmtId="0" fontId="70" fillId="0" borderId="0" xfId="0" applyFont="1" applyBorder="1" applyAlignment="1">
      <alignment horizontal="center"/>
    </xf>
    <xf numFmtId="0" fontId="34" fillId="3" borderId="32" xfId="0" applyFont="1" applyFill="1" applyBorder="1" applyAlignment="1">
      <alignment horizontal="center" vertical="center"/>
    </xf>
    <xf numFmtId="0" fontId="22" fillId="0" borderId="32" xfId="0" applyFont="1" applyBorder="1" applyAlignment="1">
      <alignment horizontal="center" vertical="center"/>
    </xf>
    <xf numFmtId="0" fontId="34" fillId="3" borderId="32" xfId="0" applyFont="1" applyFill="1" applyBorder="1" applyAlignment="1">
      <alignment horizontal="center"/>
    </xf>
    <xf numFmtId="0" fontId="68" fillId="25" borderId="0" xfId="0" applyFont="1" applyFill="1" applyBorder="1" applyAlignment="1">
      <alignment horizontal="left" vertical="center"/>
    </xf>
    <xf numFmtId="0" fontId="108" fillId="0" borderId="0" xfId="0" applyFont="1" applyBorder="1" applyAlignment="1">
      <alignment horizontal="left" vertical="top"/>
    </xf>
    <xf numFmtId="0" fontId="109" fillId="0" borderId="0" xfId="0" applyFont="1" applyBorder="1" applyAlignment="1">
      <alignment horizontal="left" vertical="top"/>
    </xf>
    <xf numFmtId="0" fontId="110" fillId="0" borderId="0" xfId="0" applyFont="1" applyBorder="1" applyAlignment="1">
      <alignment horizontal="left" vertical="top"/>
    </xf>
    <xf numFmtId="0" fontId="111" fillId="0" borderId="0" xfId="0" applyFont="1" applyBorder="1" applyAlignment="1">
      <alignment horizontal="left" vertical="top" wrapText="1"/>
    </xf>
    <xf numFmtId="0" fontId="119" fillId="0" borderId="0" xfId="0" applyFont="1" applyBorder="1" applyAlignment="1">
      <alignment horizontal="left" vertical="top"/>
    </xf>
    <xf numFmtId="0" fontId="118" fillId="38" borderId="0" xfId="0" applyFont="1" applyFill="1" applyBorder="1" applyAlignment="1">
      <alignment horizontal="left" vertical="top"/>
    </xf>
    <xf numFmtId="0" fontId="109" fillId="0" borderId="0" xfId="0" applyFont="1" applyBorder="1" applyAlignment="1">
      <alignment horizontal="left" vertical="top" wrapText="1"/>
    </xf>
    <xf numFmtId="0" fontId="111" fillId="36" borderId="0" xfId="0" applyFont="1" applyFill="1" applyBorder="1" applyAlignment="1">
      <alignment horizontal="left" vertical="top" wrapText="1"/>
    </xf>
    <xf numFmtId="0" fontId="123" fillId="0" borderId="0" xfId="0" applyFont="1" applyBorder="1" applyAlignment="1">
      <alignment horizontal="left" vertical="top"/>
    </xf>
    <xf numFmtId="0" fontId="36" fillId="0" borderId="45" xfId="0" applyFont="1" applyBorder="1"/>
  </cellXfs>
  <cellStyles count="2">
    <cellStyle name="Comma" xfId="1" builtinId="3"/>
    <cellStyle name="Normal" xfId="0" builtinId="0"/>
  </cellStyles>
  <dxfs count="347">
    <dxf>
      <fill>
        <patternFill>
          <bgColor rgb="FFE7E6E6"/>
        </patternFill>
      </fill>
    </dxf>
    <dxf>
      <fill>
        <patternFill>
          <bgColor rgb="FFFFC7CE"/>
        </patternFill>
      </fill>
    </dxf>
    <dxf>
      <fill>
        <patternFill>
          <bgColor rgb="FFFFEB9C"/>
        </patternFill>
      </fill>
    </dxf>
    <dxf>
      <fill>
        <patternFill>
          <bgColor rgb="FFC6EFCE"/>
        </patternFill>
      </fill>
    </dxf>
    <dxf>
      <fill>
        <patternFill>
          <bgColor rgb="FFE7E6E6"/>
        </patternFill>
      </fill>
    </dxf>
    <dxf>
      <fill>
        <patternFill>
          <bgColor rgb="FFFFC7CE"/>
        </patternFill>
      </fill>
    </dxf>
    <dxf>
      <fill>
        <patternFill>
          <bgColor rgb="FFFFEB9C"/>
        </patternFill>
      </fill>
    </dxf>
    <dxf>
      <fill>
        <patternFill>
          <bgColor rgb="FFC6EFCE"/>
        </patternFill>
      </fill>
    </dxf>
    <dxf>
      <font>
        <b/>
        <color rgb="FF9C0006"/>
      </font>
      <fill>
        <patternFill>
          <bgColor rgb="FFFFC7CE"/>
        </patternFill>
      </fill>
      <border diagonalUp="0" diagonalDown="0">
        <left/>
        <right/>
        <top style="medium">
          <color rgb="FF585858"/>
        </top>
        <bottom/>
      </border>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b/>
        <color rgb="FF9C6500"/>
      </font>
      <fill>
        <patternFill>
          <bgColor rgb="FFFFEB9C"/>
        </patternFill>
      </fill>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color rgb="FF808080"/>
      </font>
      <fill>
        <patternFill>
          <bgColor rgb="FFE7E6E6"/>
        </patternFill>
      </fill>
    </dxf>
    <dxf>
      <font>
        <color rgb="FF9C6500"/>
      </font>
      <fill>
        <patternFill>
          <bgColor rgb="FFFFEB9C"/>
        </patternFill>
      </fill>
    </dxf>
    <dxf>
      <font>
        <b/>
        <color rgb="FF9C0006"/>
      </font>
      <fill>
        <patternFill>
          <bgColor rgb="FFFFC7CE"/>
        </patternFill>
      </fill>
      <border diagonalUp="0" diagonalDown="0">
        <left/>
        <right/>
        <top style="medium">
          <color rgb="FF585858"/>
        </top>
        <bottom/>
      </border>
    </dxf>
    <dxf>
      <font>
        <color rgb="FF808080"/>
      </font>
      <fill>
        <patternFill>
          <bgColor rgb="FFE7E6E6"/>
        </patternFill>
      </fill>
    </dxf>
    <dxf>
      <fill>
        <patternFill>
          <bgColor rgb="FFBFBFBF"/>
        </patternFill>
      </fill>
    </dxf>
    <dxf>
      <font>
        <b/>
        <color rgb="FF16A34A"/>
      </font>
    </dxf>
    <dxf>
      <font>
        <b/>
        <color rgb="FFDC2626"/>
      </font>
    </dxf>
    <dxf>
      <fill>
        <patternFill>
          <bgColor rgb="FFFFC0CB"/>
        </patternFill>
      </fill>
    </dxf>
    <dxf>
      <fill>
        <patternFill>
          <bgColor rgb="FFFFFF00"/>
        </patternFill>
      </fill>
    </dxf>
    <dxf>
      <font>
        <b/>
        <color rgb="FF9C0006"/>
      </font>
      <fill>
        <patternFill>
          <bgColor rgb="FFFFC000"/>
        </patternFill>
      </fill>
    </dxf>
    <dxf>
      <font>
        <b/>
        <color rgb="FF9C0006"/>
      </font>
      <fill>
        <patternFill>
          <bgColor rgb="FFFFC000"/>
        </patternFill>
      </fill>
    </dxf>
    <dxf>
      <font>
        <b/>
        <color rgb="FF9C0006"/>
      </font>
      <fill>
        <patternFill>
          <bgColor rgb="FFFFC000"/>
        </patternFill>
      </fill>
    </dxf>
    <dxf>
      <font>
        <b/>
        <color rgb="FF808080"/>
      </font>
    </dxf>
    <dxf>
      <font>
        <color rgb="FF16A34A"/>
      </font>
    </dxf>
    <dxf>
      <font>
        <color rgb="FF6D28D9"/>
      </font>
    </dxf>
    <dxf>
      <font>
        <color rgb="FF16A34A"/>
      </font>
    </dxf>
    <dxf>
      <font>
        <color rgb="FF6D28D9"/>
      </font>
    </dxf>
    <dxf>
      <font>
        <b/>
        <color rgb="FF2563EB"/>
      </font>
    </dxf>
    <dxf>
      <font>
        <b/>
        <color rgb="FFFB923C"/>
      </font>
    </dxf>
    <dxf>
      <font>
        <b/>
        <color rgb="FF4ADE80"/>
      </font>
    </dxf>
    <dxf>
      <font>
        <color rgb="FF808080"/>
      </font>
      <fill>
        <patternFill>
          <bgColor rgb="FFE7E6E6"/>
        </patternFill>
      </fill>
    </dxf>
    <dxf>
      <font>
        <color rgb="FF9C6500"/>
      </font>
      <fill>
        <patternFill>
          <bgColor rgb="FFFFEB9C"/>
        </patternFill>
      </fill>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color rgb="FF808080"/>
      </font>
      <fill>
        <patternFill>
          <bgColor rgb="FFE7E6E6"/>
        </patternFill>
      </fill>
    </dxf>
    <dxf>
      <font>
        <color rgb="FF808080"/>
      </font>
      <fill>
        <patternFill>
          <bgColor rgb="FFE7E6E6"/>
        </patternFill>
      </fill>
    </dxf>
    <dxf>
      <font>
        <color rgb="FF9C6500"/>
      </font>
      <fill>
        <patternFill>
          <bgColor rgb="FFFFEB9C"/>
        </patternFill>
      </fill>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color rgb="FF14532D"/>
      </font>
      <fill>
        <patternFill>
          <bgColor rgb="FFA9C77F"/>
        </patternFill>
      </fill>
    </dxf>
    <dxf>
      <font>
        <color rgb="FF7F1D1D"/>
      </font>
      <fill>
        <patternFill>
          <bgColor rgb="FFF4A6A6"/>
        </patternFill>
      </fill>
    </dxf>
    <dxf>
      <font>
        <b/>
        <color rgb="FFFFFFFF"/>
      </font>
      <fill>
        <patternFill>
          <bgColor rgb="FF7CA84F"/>
        </patternFill>
      </fill>
    </dxf>
    <dxf>
      <font>
        <b/>
        <color rgb="FFFFFFFF"/>
      </font>
      <fill>
        <patternFill>
          <bgColor rgb="FFE06666"/>
        </patternFill>
      </fill>
    </dxf>
    <dxf>
      <font>
        <b/>
        <color rgb="FFFFFFFF"/>
      </font>
      <fill>
        <patternFill>
          <bgColor rgb="FF548235"/>
        </patternFill>
      </fill>
    </dxf>
    <dxf>
      <font>
        <b/>
        <color rgb="FFFFFFFF"/>
      </font>
      <fill>
        <patternFill>
          <bgColor rgb="FFC00000"/>
        </patternFill>
      </fill>
    </dxf>
    <dxf>
      <font>
        <b/>
        <color rgb="FFCC0000"/>
      </font>
      <fill>
        <patternFill>
          <bgColor rgb="FFFFFFFF"/>
        </patternFill>
      </fill>
    </dxf>
    <dxf>
      <font>
        <b/>
        <color rgb="FF006100"/>
      </font>
      <fill>
        <patternFill>
          <bgColor rgb="FFC6EFCE"/>
        </patternFill>
      </fill>
      <border diagonalUp="0" diagonalDown="0">
        <left/>
        <right/>
        <top style="medium">
          <color rgb="FF585858"/>
        </top>
        <bottom/>
      </border>
    </dxf>
    <dxf>
      <fill>
        <patternFill>
          <bgColor rgb="FFE7E6E6"/>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E7E6E6"/>
        </patternFill>
      </fill>
    </dxf>
    <dxf>
      <fill>
        <patternFill>
          <bgColor rgb="FFFFC7CE"/>
        </patternFill>
      </fill>
    </dxf>
    <dxf>
      <font>
        <color rgb="FFDC2626"/>
      </font>
    </dxf>
    <dxf>
      <font>
        <color rgb="FF16A34A"/>
      </font>
    </dxf>
    <dxf>
      <fill>
        <patternFill>
          <bgColor rgb="FF808080"/>
        </patternFill>
      </fill>
    </dxf>
    <dxf>
      <fill>
        <patternFill>
          <bgColor rgb="FF548235"/>
        </patternFill>
      </fill>
    </dxf>
    <dxf>
      <fill>
        <patternFill>
          <bgColor rgb="FFC00000"/>
        </patternFill>
      </fill>
    </dxf>
    <dxf>
      <font>
        <b/>
        <color rgb="FFE8820E"/>
      </font>
    </dxf>
    <dxf>
      <border diagonalUp="0" diagonalDown="0">
        <left/>
        <right/>
        <top style="thick">
          <color rgb="FF175CE7"/>
        </top>
        <bottom style="thick">
          <color rgb="FF175CE7"/>
        </bottom>
      </border>
    </dxf>
    <dxf>
      <border diagonalUp="0" diagonalDown="0">
        <left/>
        <right/>
        <top style="thick">
          <color rgb="FFF4880A"/>
        </top>
        <bottom style="thick">
          <color rgb="FFF4880A"/>
        </bottom>
      </border>
    </dxf>
    <dxf>
      <border diagonalUp="0" diagonalDown="0">
        <left/>
        <right/>
        <top style="thick">
          <color auto="1"/>
        </top>
        <bottom style="thick">
          <color auto="1"/>
        </bottom>
      </border>
    </dxf>
    <dxf>
      <font>
        <color rgb="FF7CA84F"/>
      </font>
    </dxf>
    <dxf>
      <font>
        <color rgb="FFE06666"/>
      </font>
    </dxf>
    <dxf>
      <font>
        <color rgb="FF548235"/>
      </font>
    </dxf>
    <dxf>
      <font>
        <color rgb="FFC00000"/>
      </font>
    </dxf>
    <dxf>
      <font>
        <b/>
        <color rgb="FF548235"/>
      </font>
    </dxf>
    <dxf>
      <font>
        <b/>
        <color rgb="FFC00000"/>
      </font>
    </dxf>
    <dxf>
      <border diagonalUp="0" diagonalDown="0">
        <left style="thick">
          <color auto="1"/>
        </left>
        <right/>
        <top style="thick">
          <color auto="1"/>
        </top>
        <bottom style="thick">
          <color auto="1"/>
        </bottom>
      </border>
    </dxf>
    <dxf>
      <border diagonalUp="0" diagonalDown="0">
        <left style="thick">
          <color rgb="FF175CE7"/>
        </left>
        <right/>
        <top style="thick">
          <color rgb="FF175CE7"/>
        </top>
        <bottom style="thick">
          <color rgb="FF175CE7"/>
        </bottom>
      </border>
    </dxf>
    <dxf>
      <border diagonalUp="0" diagonalDown="0">
        <left style="thick">
          <color rgb="FFF4880A"/>
        </left>
        <right/>
        <top style="thick">
          <color rgb="FFF4880A"/>
        </top>
        <bottom style="thick">
          <color rgb="FFF4880A"/>
        </bottom>
      </border>
    </dxf>
    <dxf>
      <font>
        <b/>
        <color rgb="FFFFFFFF"/>
      </font>
      <fill>
        <patternFill>
          <bgColor rgb="FF2563EB"/>
        </patternFill>
      </fill>
    </dxf>
    <dxf>
      <font>
        <color rgb="FF1D4ED8"/>
      </font>
    </dxf>
    <dxf>
      <border diagonalUp="0" diagonalDown="0">
        <left/>
        <right style="thick">
          <color auto="1"/>
        </right>
        <top style="thick">
          <color auto="1"/>
        </top>
        <bottom style="thick">
          <color auto="1"/>
        </bottom>
      </border>
    </dxf>
    <dxf>
      <font>
        <b/>
        <color rgb="FF111827"/>
      </font>
      <fill>
        <patternFill>
          <bgColor rgb="FFFF2D95"/>
        </patternFill>
      </fill>
    </dxf>
    <dxf>
      <border diagonalUp="0" diagonalDown="0">
        <left/>
        <right style="thick">
          <color rgb="FF175CE7"/>
        </right>
        <top style="thick">
          <color rgb="FF175CE7"/>
        </top>
        <bottom style="thick">
          <color rgb="FF175CE7"/>
        </bottom>
      </border>
    </dxf>
    <dxf>
      <border diagonalUp="0" diagonalDown="0">
        <left/>
        <right style="thick">
          <color rgb="FFF4880A"/>
        </right>
        <top style="thick">
          <color rgb="FFF4880A"/>
        </top>
        <bottom style="thick">
          <color rgb="FFF4880A"/>
        </bottom>
      </border>
    </dxf>
    <dxf>
      <font>
        <b/>
        <color rgb="FF111827"/>
      </font>
      <fill>
        <patternFill>
          <bgColor rgb="FFFFEA00"/>
        </patternFill>
      </fill>
    </dxf>
    <dxf>
      <font>
        <color rgb="FF1D4ED8"/>
      </font>
    </dxf>
    <dxf>
      <font>
        <b/>
        <color rgb="FF111827"/>
      </font>
      <fill>
        <patternFill>
          <bgColor rgb="FFFFEA00"/>
        </patternFill>
      </fill>
    </dxf>
    <dxf>
      <font>
        <color rgb="FF1D4ED8"/>
      </font>
    </dxf>
    <dxf>
      <font>
        <b/>
        <color rgb="FF111827"/>
      </font>
      <fill>
        <patternFill>
          <bgColor rgb="FFFFEA00"/>
        </patternFill>
      </fill>
    </dxf>
    <dxf>
      <font>
        <color rgb="FF1D4ED8"/>
      </font>
    </dxf>
    <dxf>
      <font>
        <b/>
        <color rgb="FF111827"/>
      </font>
      <fill>
        <patternFill>
          <bgColor rgb="FFFF2D95"/>
        </patternFill>
      </fill>
    </dxf>
    <dxf>
      <font>
        <b/>
        <color rgb="FF111827"/>
      </font>
      <fill>
        <patternFill>
          <bgColor rgb="FFFFEA00"/>
        </patternFill>
      </fill>
    </dxf>
    <dxf>
      <font>
        <color rgb="FF0070C0"/>
      </font>
      <fill>
        <patternFill>
          <bgColor rgb="FFFFFFFF"/>
        </patternFill>
      </fill>
    </dxf>
    <dxf>
      <font>
        <b/>
        <color rgb="FF111827"/>
      </font>
      <fill>
        <patternFill>
          <bgColor rgb="FFFF2D95"/>
        </patternFill>
      </fill>
    </dxf>
    <dxf>
      <font>
        <b/>
        <color rgb="FF111827"/>
      </font>
      <fill>
        <patternFill>
          <bgColor rgb="FFFFEA00"/>
        </patternFill>
      </fill>
    </dxf>
    <dxf>
      <font>
        <color rgb="FF1D4ED8"/>
      </font>
    </dxf>
    <dxf>
      <font>
        <b/>
        <color rgb="FF111827"/>
      </font>
      <fill>
        <patternFill>
          <bgColor rgb="FFFF2D95"/>
        </patternFill>
      </fill>
    </dxf>
    <dxf>
      <fill>
        <patternFill>
          <bgColor rgb="FFFFF3A0"/>
        </patternFill>
      </fill>
    </dxf>
    <dxf>
      <font>
        <b/>
        <color rgb="FF111827"/>
      </font>
      <fill>
        <patternFill>
          <bgColor rgb="FFFFEA00"/>
        </patternFill>
      </fill>
    </dxf>
    <dxf>
      <font>
        <color rgb="FF1D4ED8"/>
      </font>
    </dxf>
    <dxf>
      <font>
        <b/>
        <color rgb="FF111827"/>
      </font>
      <fill>
        <patternFill>
          <bgColor rgb="FFFF2D95"/>
        </patternFill>
      </fill>
    </dxf>
    <dxf>
      <font>
        <b/>
        <color rgb="FF111827"/>
      </font>
      <fill>
        <patternFill>
          <bgColor rgb="FFFFEA00"/>
        </patternFill>
      </fill>
    </dxf>
    <dxf>
      <font>
        <b/>
        <color rgb="FF111827"/>
      </font>
      <fill>
        <patternFill>
          <bgColor rgb="FFFFEA00"/>
        </patternFill>
      </fill>
    </dxf>
    <dxf>
      <fill>
        <patternFill>
          <bgColor rgb="FFC6E0B4"/>
        </patternFill>
      </fill>
    </dxf>
    <dxf>
      <fill>
        <patternFill>
          <bgColor rgb="FFFFD9A0"/>
        </patternFill>
      </fill>
    </dxf>
    <dxf>
      <fill>
        <patternFill>
          <bgColor rgb="FFC6E0B4"/>
        </patternFill>
      </fill>
    </dxf>
    <dxf>
      <fill>
        <patternFill>
          <bgColor rgb="FFFFD9A0"/>
        </patternFill>
      </fill>
    </dxf>
    <dxf>
      <fill>
        <patternFill>
          <bgColor rgb="FFC6E0B4"/>
        </patternFill>
      </fill>
    </dxf>
    <dxf>
      <fill>
        <patternFill>
          <bgColor rgb="FFFFD9A0"/>
        </patternFill>
      </fill>
    </dxf>
    <dxf>
      <fill>
        <patternFill>
          <bgColor rgb="FFC6E0B4"/>
        </patternFill>
      </fill>
    </dxf>
    <dxf>
      <fill>
        <patternFill>
          <bgColor rgb="FFFFD9A0"/>
        </patternFill>
      </fill>
    </dxf>
    <dxf>
      <fill>
        <patternFill>
          <bgColor rgb="FFC6E0B4"/>
        </patternFill>
      </fill>
    </dxf>
    <dxf>
      <fill>
        <patternFill>
          <bgColor rgb="FFFFD9A0"/>
        </patternFill>
      </fill>
    </dxf>
    <dxf>
      <fill>
        <patternFill>
          <bgColor rgb="FFC6E0B4"/>
        </patternFill>
      </fill>
    </dxf>
    <dxf>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ont>
        <b/>
        <color rgb="FFC2185B"/>
      </font>
    </dxf>
    <dxf>
      <font>
        <b/>
        <color rgb="FF6D28D9"/>
      </font>
    </dxf>
    <dxf>
      <font>
        <b/>
        <color rgb="FF6D28D9"/>
      </font>
    </dxf>
    <dxf>
      <font>
        <b/>
        <color rgb="FF6D28D9"/>
      </font>
      <fill>
        <patternFill>
          <bgColor rgb="FFE1D5F0"/>
        </patternFill>
      </fill>
    </dxf>
    <dxf>
      <font>
        <b/>
        <color rgb="FF006100"/>
      </font>
      <fill>
        <patternFill>
          <bgColor rgb="FFC6EFCE"/>
        </patternFill>
      </fill>
      <border diagonalUp="0" diagonalDown="0">
        <left/>
        <right/>
        <top style="medium">
          <color rgb="FF585858"/>
        </top>
        <bottom/>
      </border>
    </dxf>
    <dxf>
      <font>
        <color rgb="FF6D28D9"/>
      </font>
    </dxf>
    <dxf>
      <font>
        <color rgb="FF006100"/>
      </font>
    </dxf>
    <dxf>
      <font>
        <color rgb="FF006100"/>
      </font>
    </dxf>
    <dxf>
      <font>
        <color rgb="FF6D28D9"/>
      </font>
    </dxf>
    <dxf>
      <font>
        <b/>
        <color rgb="FF6D28D9"/>
      </font>
    </dxf>
    <dxf>
      <font>
        <b/>
        <color rgb="FF6D28D9"/>
      </font>
    </dxf>
    <dxf>
      <font>
        <b/>
        <color rgb="FF006100"/>
      </font>
    </dxf>
    <dxf>
      <font>
        <b/>
        <color rgb="FFFFFFFF"/>
      </font>
      <fill>
        <patternFill>
          <bgColor rgb="FF16A34A"/>
        </patternFill>
      </fill>
    </dxf>
    <dxf>
      <font>
        <b/>
        <color rgb="FFFFFFFF"/>
      </font>
      <fill>
        <patternFill>
          <bgColor rgb="FFC2185B"/>
        </patternFill>
      </fill>
    </dxf>
    <dxf>
      <fill>
        <patternFill>
          <bgColor rgb="FFFFF2CC"/>
        </patternFill>
      </fill>
    </dxf>
    <dxf>
      <fill>
        <patternFill>
          <bgColor rgb="FFE2EFDA"/>
        </patternFill>
      </fill>
    </dxf>
    <dxf>
      <font>
        <b/>
        <color rgb="FF1F3864"/>
      </font>
    </dxf>
    <dxf>
      <font>
        <b/>
        <color rgb="FF1F3864"/>
      </font>
    </dxf>
    <dxf>
      <font>
        <b/>
        <color rgb="FF5E35B1"/>
      </font>
      <fill>
        <patternFill>
          <bgColor rgb="FFEDE7F6"/>
        </patternFill>
      </fill>
    </dxf>
    <dxf>
      <font>
        <b/>
        <color rgb="FF5E35B1"/>
      </font>
      <fill>
        <patternFill>
          <bgColor rgb="FFEDE7F6"/>
        </patternFill>
      </fill>
    </dxf>
    <dxf>
      <font>
        <b/>
        <color rgb="FF404040"/>
      </font>
      <fill>
        <patternFill>
          <bgColor rgb="FFE7E6E6"/>
        </patternFill>
      </fill>
    </dxf>
    <dxf>
      <font>
        <b/>
        <color rgb="FF404040"/>
      </font>
      <fill>
        <patternFill>
          <bgColor rgb="FFE7E6E6"/>
        </patternFill>
      </fill>
    </dxf>
    <dxf>
      <font>
        <b/>
        <color rgb="FF1F4E78"/>
      </font>
      <fill>
        <patternFill>
          <bgColor rgb="FFBDD7EE"/>
        </patternFill>
      </fill>
    </dxf>
    <dxf>
      <font>
        <b/>
        <color rgb="FF9C6500"/>
      </font>
      <fill>
        <patternFill>
          <bgColor rgb="FFFFEB9C"/>
        </patternFill>
      </fill>
    </dxf>
    <dxf>
      <font>
        <b/>
        <color rgb="FF006100"/>
      </font>
      <fill>
        <patternFill>
          <bgColor rgb="FFC6EFCE"/>
        </patternFill>
      </fill>
      <border diagonalUp="0" diagonalDown="0">
        <left/>
        <right/>
        <top style="medium">
          <color rgb="FF585858"/>
        </top>
        <bottom/>
      </border>
    </dxf>
    <dxf>
      <font>
        <b/>
        <color rgb="FF9C6500"/>
      </font>
      <fill>
        <patternFill>
          <bgColor rgb="FFFFEB9C"/>
        </patternFill>
      </fill>
    </dxf>
    <dxf>
      <font>
        <b/>
        <color rgb="FF006100"/>
      </font>
      <fill>
        <patternFill>
          <bgColor rgb="FFC6EFCE"/>
        </patternFill>
      </fill>
      <border diagonalUp="0" diagonalDown="0">
        <left/>
        <right/>
        <top style="medium">
          <color rgb="FF585858"/>
        </top>
        <bottom/>
      </border>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b/>
        <color rgb="FF6D28D9"/>
      </font>
      <fill>
        <patternFill>
          <bgColor rgb="FFE1D5F0"/>
        </patternFill>
      </fill>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b/>
        <color rgb="FFFFFFFF"/>
      </font>
      <fill>
        <patternFill>
          <bgColor rgb="FFC2185B"/>
        </patternFill>
      </fill>
    </dxf>
    <dxf>
      <fill>
        <patternFill>
          <bgColor rgb="FFE7E6E6"/>
        </patternFill>
      </fill>
    </dxf>
    <dxf>
      <fill>
        <patternFill>
          <bgColor rgb="FFE1D5F0"/>
        </patternFill>
      </fill>
    </dxf>
    <dxf>
      <fill>
        <patternFill>
          <bgColor rgb="FFFFF2CC"/>
        </patternFill>
      </fill>
    </dxf>
    <dxf>
      <border diagonalUp="0" diagonalDown="0">
        <left/>
        <right/>
        <top style="dotted">
          <color rgb="FF0070C0"/>
        </top>
        <bottom style="dotted">
          <color rgb="FF0070C0"/>
        </bottom>
      </border>
    </dxf>
    <dxf>
      <fill>
        <patternFill>
          <bgColor rgb="FFFCE4D6"/>
        </patternFill>
      </fill>
    </dxf>
    <dxf>
      <fill>
        <patternFill>
          <bgColor rgb="FFD5EAC4"/>
        </patternFill>
      </fill>
      <border diagonalUp="0" diagonalDown="0">
        <left/>
        <right/>
        <top style="thin">
          <color rgb="FF548235"/>
        </top>
        <bottom style="thin">
          <color rgb="FF548235"/>
        </bottom>
      </border>
    </dxf>
    <dxf>
      <fill>
        <patternFill>
          <bgColor rgb="FFF5C6D3"/>
        </patternFill>
      </fill>
      <border diagonalUp="0" diagonalDown="0">
        <left/>
        <right/>
        <top style="thin">
          <color rgb="FFC00000"/>
        </top>
        <bottom style="thin">
          <color rgb="FFC00000"/>
        </bottom>
      </border>
    </dxf>
    <dxf>
      <border diagonalUp="0" diagonalDown="0">
        <left/>
        <right/>
        <top style="thick">
          <color rgb="FFC2185B"/>
        </top>
        <bottom style="thick">
          <color rgb="FFC2185B"/>
        </bottom>
      </border>
    </dxf>
    <dxf>
      <border diagonalUp="0" diagonalDown="0">
        <left style="thick">
          <color rgb="FF111827"/>
        </left>
        <right/>
        <top/>
        <bottom/>
      </border>
    </dxf>
    <dxf>
      <fill>
        <patternFill>
          <bgColor rgb="FFFAC775"/>
        </patternFill>
      </fill>
    </dxf>
    <dxf>
      <fill>
        <patternFill>
          <bgColor rgb="FFE98AA4"/>
        </patternFill>
      </fill>
    </dxf>
    <dxf>
      <fill>
        <patternFill>
          <bgColor rgb="FF9FCC7E"/>
        </patternFill>
      </fill>
    </dxf>
    <dxf>
      <border diagonalUp="0" diagonalDown="0">
        <left style="thick">
          <color rgb="FFC2185B"/>
        </left>
        <right style="thick">
          <color rgb="FFC2185B"/>
        </right>
        <top style="thick">
          <color rgb="FFC2185B"/>
        </top>
        <bottom style="thick">
          <color rgb="FFC2185B"/>
        </bottom>
      </border>
    </dxf>
    <dxf>
      <border diagonalUp="0" diagonalDown="0">
        <left style="thick">
          <color rgb="FFC2185B"/>
        </left>
        <right style="thick">
          <color rgb="FFC2185B"/>
        </right>
        <top style="thick">
          <color rgb="FFC2185B"/>
        </top>
        <bottom style="thick">
          <color rgb="FFC2185B"/>
        </bottom>
      </border>
    </dxf>
    <dxf>
      <fill>
        <patternFill>
          <bgColor rgb="FF9FCC7E"/>
        </patternFill>
      </fill>
      <border diagonalUp="0" diagonalDown="0">
        <left/>
        <right/>
        <top style="thin">
          <color rgb="FF548235"/>
        </top>
        <bottom style="thin">
          <color rgb="FF548235"/>
        </bottom>
      </border>
    </dxf>
    <dxf>
      <fill>
        <patternFill>
          <bgColor rgb="FF9FCC7E"/>
        </patternFill>
      </fill>
      <border diagonalUp="0" diagonalDown="0">
        <left/>
        <right/>
        <top style="thin">
          <color rgb="FF548235"/>
        </top>
        <bottom style="thin">
          <color rgb="FF548235"/>
        </bottom>
      </border>
    </dxf>
    <dxf>
      <fill>
        <patternFill>
          <bgColor rgb="FF9FCC7E"/>
        </patternFill>
      </fill>
    </dxf>
    <dxf>
      <fill>
        <patternFill>
          <bgColor rgb="FFE98AA4"/>
        </patternFill>
      </fill>
    </dxf>
    <dxf>
      <fill>
        <patternFill>
          <bgColor rgb="FF9FCC7E"/>
        </patternFill>
      </fill>
    </dxf>
    <dxf>
      <fill>
        <patternFill>
          <bgColor rgb="FFE98AA4"/>
        </patternFill>
      </fill>
    </dxf>
    <dxf>
      <fill>
        <patternFill>
          <bgColor rgb="FFE98AA4"/>
        </patternFill>
      </fill>
    </dxf>
    <dxf>
      <fill>
        <patternFill>
          <bgColor rgb="FF9FCC7E"/>
        </patternFill>
      </fill>
    </dxf>
    <dxf>
      <fill>
        <patternFill>
          <bgColor rgb="FFE98AA4"/>
        </patternFill>
      </fill>
    </dxf>
    <dxf>
      <fill>
        <patternFill>
          <bgColor rgb="FF9FCC7E"/>
        </patternFill>
      </fill>
    </dxf>
    <dxf>
      <font>
        <b/>
        <color rgb="FF0070C0"/>
      </font>
      <border diagonalUp="0" diagonalDown="0">
        <left/>
        <right style="thick">
          <color rgb="FF111827"/>
        </right>
        <top/>
        <bottom/>
      </border>
    </dxf>
    <dxf>
      <font>
        <b/>
        <color rgb="FF0070C0"/>
      </font>
      <border diagonalUp="0" diagonalDown="0">
        <left style="thick">
          <color rgb="FF111827"/>
        </left>
        <right/>
        <top/>
        <bottom/>
      </border>
    </dxf>
    <dxf>
      <fill>
        <patternFill>
          <bgColor rgb="FFE98AA4"/>
        </patternFill>
      </fill>
      <border diagonalUp="0" diagonalDown="0">
        <left/>
        <right/>
        <top style="thin">
          <color rgb="FFC00000"/>
        </top>
        <bottom style="thin">
          <color rgb="FFC00000"/>
        </bottom>
      </border>
    </dxf>
    <dxf>
      <fill>
        <patternFill>
          <bgColor rgb="FFE98AA4"/>
        </patternFill>
      </fill>
      <border diagonalUp="0" diagonalDown="0">
        <left/>
        <right/>
        <top style="thin">
          <color rgb="FFC00000"/>
        </top>
        <bottom style="thin">
          <color rgb="FFC00000"/>
        </bottom>
      </border>
    </dxf>
    <dxf>
      <fill>
        <patternFill>
          <bgColor rgb="FFE98AA4"/>
        </patternFill>
      </fill>
      <border diagonalUp="0" diagonalDown="0">
        <left/>
        <right/>
        <top style="dashed">
          <color rgb="FFE98AA4"/>
        </top>
        <bottom style="dashed">
          <color rgb="FFE98AA4"/>
        </bottom>
      </border>
    </dxf>
    <dxf>
      <font>
        <color rgb="FF0070C0"/>
      </font>
    </dxf>
    <dxf>
      <fill>
        <patternFill>
          <bgColor rgb="FFE98AA4"/>
        </patternFill>
      </fill>
    </dxf>
    <dxf>
      <fill>
        <patternFill>
          <bgColor rgb="FF9FCC7E"/>
        </patternFill>
      </fill>
    </dxf>
    <dxf>
      <font>
        <b/>
        <color rgb="FF8B1A4A"/>
      </font>
      <fill>
        <patternFill>
          <bgColor rgb="FFF8D3E0"/>
        </patternFill>
      </fill>
    </dxf>
    <dxf>
      <border>
        <left/>
        <right style="thick">
          <color rgb="FF00B050"/>
        </right>
        <top/>
        <bottom/>
      </border>
    </dxf>
    <dxf>
      <border>
        <left style="thick">
          <color rgb="FF00B050"/>
        </left>
        <right/>
        <top/>
        <bottom/>
      </border>
    </dxf>
    <dxf>
      <border>
        <left/>
        <right/>
        <top style="thick">
          <color rgb="FF00B050"/>
        </top>
        <bottom style="thick">
          <color rgb="FF00B050"/>
        </bottom>
      </border>
    </dxf>
    <dxf>
      <border>
        <left style="thick">
          <color rgb="FF00B050"/>
        </left>
        <right/>
        <top/>
        <bottom/>
      </border>
    </dxf>
    <dxf>
      <border>
        <left/>
        <right style="thick">
          <color rgb="FF00B050"/>
        </right>
        <top/>
        <bottom/>
      </border>
    </dxf>
    <dxf>
      <border>
        <left/>
        <right/>
        <top style="double">
          <color rgb="FF000000"/>
        </top>
        <bottom style="double">
          <color rgb="FF000000"/>
        </bottom>
      </border>
    </dxf>
    <dxf>
      <font>
        <b/>
        <color rgb="FF1F4E79"/>
      </font>
    </dxf>
    <dxf>
      <font>
        <b/>
        <color rgb="FF2E7D32"/>
      </font>
    </dxf>
    <dxf>
      <font>
        <b/>
        <color rgb="FFD32F2F"/>
      </font>
    </dxf>
    <dxf>
      <border diagonalUp="0" diagonalDown="0">
        <left/>
        <right style="thick">
          <color rgb="FF00B050"/>
        </right>
        <top style="thick">
          <color rgb="FF00B050"/>
        </top>
        <bottom style="thick">
          <color rgb="FF00B050"/>
        </bottom>
      </border>
    </dxf>
    <dxf>
      <border diagonalUp="0" diagonalDown="0">
        <left/>
        <right style="thick">
          <color rgb="FFC2185B"/>
        </right>
        <top style="thick">
          <color rgb="FFC2185B"/>
        </top>
        <bottom style="thick">
          <color rgb="FFC2185B"/>
        </bottom>
      </border>
    </dxf>
    <dxf>
      <border diagonalUp="0" diagonalDown="0">
        <left/>
        <right style="thick">
          <color rgb="FFC2185B"/>
        </right>
        <top style="thick">
          <color rgb="FFC2185B"/>
        </top>
        <bottom style="thick">
          <color rgb="FFC2185B"/>
        </bottom>
      </border>
    </dxf>
    <dxf>
      <border diagonalUp="0" diagonalDown="0">
        <left/>
        <right style="thick">
          <color rgb="FFC2185B"/>
        </right>
        <top style="thick">
          <color rgb="FFC2185B"/>
        </top>
        <bottom style="thick">
          <color rgb="FFC2185B"/>
        </bottom>
      </border>
    </dxf>
    <dxf>
      <border diagonalUp="0" diagonalDown="0">
        <left/>
        <right style="thick">
          <color rgb="FFC2185B"/>
        </right>
        <top style="thick">
          <color rgb="FFC2185B"/>
        </top>
        <bottom style="thick">
          <color rgb="FFC2185B"/>
        </bottom>
      </border>
    </dxf>
    <dxf>
      <border diagonalUp="0" diagonalDown="0">
        <left/>
        <right style="thick">
          <color rgb="FFC2185B"/>
        </right>
        <top style="thick">
          <color rgb="FFC2185B"/>
        </top>
        <bottom style="thick">
          <color rgb="FFC2185B"/>
        </bottom>
      </border>
    </dxf>
    <dxf>
      <font>
        <b/>
        <color rgb="FF5E35B1"/>
      </font>
      <fill>
        <patternFill>
          <bgColor rgb="FFEDE7F6"/>
        </patternFill>
      </fill>
    </dxf>
    <dxf>
      <font>
        <b/>
        <color rgb="FF5E35B1"/>
      </font>
      <fill>
        <patternFill>
          <bgColor rgb="FFEDE7F6"/>
        </patternFill>
      </fill>
    </dxf>
    <dxf>
      <font>
        <b/>
        <color rgb="FF5E35B1"/>
      </font>
      <fill>
        <patternFill>
          <bgColor rgb="FFEDE7F6"/>
        </patternFill>
      </fill>
    </dxf>
    <dxf>
      <font>
        <b/>
        <color rgb="FF5E35B1"/>
      </font>
      <fill>
        <patternFill>
          <bgColor rgb="FFEDE7F6"/>
        </patternFill>
      </fill>
    </dxf>
    <dxf>
      <font>
        <b/>
        <color rgb="FF5E35B1"/>
      </font>
      <fill>
        <patternFill>
          <bgColor rgb="FFEDE7F6"/>
        </patternFill>
      </fill>
    </dxf>
    <dxf>
      <font>
        <b/>
        <color rgb="FF5E35B1"/>
      </font>
      <fill>
        <patternFill>
          <bgColor rgb="FFEDE7F6"/>
        </patternFill>
      </fill>
    </dxf>
    <dxf>
      <border diagonalUp="0" diagonalDown="0">
        <left style="thin">
          <color rgb="FFBEBEBE"/>
        </left>
        <right style="thick">
          <color rgb="FF00B050"/>
        </right>
        <top/>
        <bottom/>
      </border>
    </dxf>
    <dxf>
      <border diagonalUp="0" diagonalDown="0">
        <left style="thin">
          <color rgb="FFBEBEBE"/>
        </left>
        <right style="thick">
          <color rgb="FFC2185B"/>
        </right>
        <top/>
        <bottom/>
      </border>
    </dxf>
    <dxf>
      <font>
        <b/>
        <color rgb="FF1F3864"/>
      </font>
    </dxf>
    <dxf>
      <font>
        <b/>
        <color rgb="FFC2185B"/>
      </font>
    </dxf>
    <dxf>
      <fill>
        <patternFill>
          <bgColor rgb="FFFFE699"/>
        </patternFill>
      </fill>
    </dxf>
    <dxf>
      <border diagonalUp="0" diagonalDown="0">
        <left style="thick">
          <color rgb="FF00B050"/>
        </left>
        <right/>
        <top/>
        <bottom/>
      </border>
    </dxf>
    <dxf>
      <border diagonalUp="0" diagonalDown="0">
        <left/>
        <right/>
        <top style="thick">
          <color rgb="FF00B050"/>
        </top>
        <bottom style="thick">
          <color rgb="FF00B050"/>
        </bottom>
      </border>
    </dxf>
    <dxf>
      <font>
        <color rgb="FF00B050"/>
      </font>
    </dxf>
    <dxf>
      <font>
        <color rgb="FFC22118"/>
      </font>
    </dxf>
    <dxf>
      <font>
        <color rgb="FF00B050"/>
      </font>
    </dxf>
    <dxf>
      <font>
        <color rgb="FFC22118"/>
      </font>
    </dxf>
    <dxf>
      <font>
        <color rgb="FFC22118"/>
      </font>
    </dxf>
    <dxf>
      <font>
        <color rgb="FF00B050"/>
      </font>
    </dxf>
    <dxf>
      <fill>
        <patternFill>
          <bgColor rgb="FFFFE699"/>
        </patternFill>
      </fill>
    </dxf>
    <dxf>
      <font>
        <b/>
        <color rgb="FFC2185B"/>
      </font>
    </dxf>
    <dxf>
      <fill>
        <patternFill>
          <bgColor rgb="FFFFE699"/>
        </patternFill>
      </fill>
    </dxf>
    <dxf>
      <font>
        <b/>
        <color rgb="FF1F3864"/>
      </font>
    </dxf>
    <dxf>
      <font>
        <b/>
        <color rgb="FFC2185B"/>
      </font>
    </dxf>
    <dxf>
      <fill>
        <patternFill>
          <bgColor rgb="FFFFE699"/>
        </patternFill>
      </fill>
    </dxf>
    <dxf>
      <font>
        <color rgb="FFC22118"/>
      </font>
    </dxf>
    <dxf>
      <font>
        <color rgb="FFC22118"/>
      </font>
    </dxf>
    <dxf>
      <font>
        <color rgb="FFC2185B"/>
      </font>
    </dxf>
    <dxf>
      <border diagonalUp="0" diagonalDown="0">
        <left/>
        <right/>
        <top style="thick">
          <color rgb="FFC2185B"/>
        </top>
        <bottom style="thick">
          <color rgb="FFC2185B"/>
        </bottom>
      </border>
    </dxf>
    <dxf>
      <font>
        <color rgb="FFFFC000"/>
      </font>
    </dxf>
    <dxf>
      <fill>
        <patternFill>
          <bgColor rgb="FFFFE699"/>
        </patternFill>
      </fill>
    </dxf>
    <dxf>
      <border diagonalUp="0" diagonalDown="0">
        <left/>
        <right/>
        <top style="thick">
          <color rgb="FFC2185B"/>
        </top>
        <bottom style="thick">
          <color rgb="FFC2185B"/>
        </bottom>
      </border>
    </dxf>
    <dxf>
      <fill>
        <patternFill>
          <bgColor rgb="FFFFF2CC"/>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FFE699"/>
        </patternFill>
      </fill>
    </dxf>
    <dxf>
      <font>
        <b/>
        <color rgb="FFC2185B"/>
      </font>
    </dxf>
    <dxf>
      <font>
        <b/>
        <color rgb="FF1F3864"/>
      </font>
    </dxf>
    <dxf>
      <border diagonalUp="0" diagonalDown="0">
        <left style="thick">
          <color rgb="FFC2185B"/>
        </left>
        <right/>
        <top/>
        <bottom/>
      </border>
    </dxf>
    <dxf>
      <border diagonalUp="0" diagonalDown="0">
        <left/>
        <right/>
        <top style="thick">
          <color rgb="FFC2185B"/>
        </top>
        <bottom style="thick">
          <color rgb="FFC2185B"/>
        </bottom>
      </border>
    </dxf>
    <dxf>
      <font>
        <b/>
        <color rgb="FF1F3864"/>
      </font>
    </dxf>
    <dxf>
      <font>
        <b/>
        <color rgb="FFC2185B"/>
      </font>
    </dxf>
    <dxf>
      <fill>
        <patternFill>
          <bgColor rgb="FFFFE699"/>
        </patternFill>
      </fill>
    </dxf>
    <dxf>
      <font>
        <b/>
        <color rgb="FF1F3864"/>
      </font>
    </dxf>
    <dxf>
      <font>
        <b/>
        <color rgb="FFC2185B"/>
      </font>
    </dxf>
    <dxf>
      <border diagonalUp="0" diagonalDown="0">
        <left style="thick">
          <color rgb="FFC2185B"/>
        </left>
        <right/>
        <top/>
        <bottom/>
      </border>
    </dxf>
    <dxf>
      <border diagonalUp="0" diagonalDown="0">
        <left/>
        <right/>
        <top style="thick">
          <color rgb="FFC2185B"/>
        </top>
        <bottom style="thick">
          <color rgb="FFC2185B"/>
        </bottom>
      </border>
    </dxf>
    <dxf>
      <font>
        <b/>
        <color rgb="FF1F3864"/>
      </font>
    </dxf>
    <dxf>
      <font>
        <b/>
        <color rgb="FFC2185B"/>
      </font>
    </dxf>
    <dxf>
      <fill>
        <patternFill>
          <bgColor rgb="FFFFE699"/>
        </patternFill>
      </fill>
    </dxf>
    <dxf>
      <fill>
        <patternFill>
          <bgColor rgb="FFFFE699"/>
        </patternFill>
      </fill>
    </dxf>
    <dxf>
      <fill>
        <patternFill>
          <bgColor rgb="FFFFE699"/>
        </patternFill>
      </fill>
    </dxf>
    <dxf>
      <fill>
        <patternFill>
          <bgColor rgb="FFFFE699"/>
        </patternFill>
      </fill>
    </dxf>
    <dxf>
      <fill>
        <patternFill>
          <bgColor rgb="FFFFE699"/>
        </patternFill>
      </fill>
    </dxf>
    <dxf>
      <font>
        <color rgb="FF006100"/>
      </font>
      <fill>
        <patternFill>
          <bgColor rgb="FFC6EFCE"/>
        </patternFill>
      </fill>
    </dxf>
    <dxf>
      <font>
        <color rgb="FF6D28D9"/>
      </font>
      <fill>
        <patternFill>
          <bgColor rgb="FFE1D5F0"/>
        </patternFill>
      </fill>
    </dxf>
    <dxf>
      <font>
        <color rgb="FF006100"/>
      </font>
      <fill>
        <patternFill>
          <bgColor rgb="FFC6EFCE"/>
        </patternFill>
      </fill>
    </dxf>
    <dxf>
      <font>
        <color rgb="FF6D28D9"/>
      </font>
      <fill>
        <patternFill>
          <bgColor rgb="FFE1D5F0"/>
        </patternFill>
      </fill>
    </dxf>
    <dxf>
      <fill>
        <patternFill>
          <bgColor rgb="FFFFF2CC"/>
        </patternFill>
      </fill>
    </dxf>
    <dxf>
      <fill>
        <patternFill>
          <bgColor rgb="FFE2EFDA"/>
        </patternFill>
      </fill>
    </dxf>
    <dxf>
      <font>
        <b/>
        <color rgb="FFC2185B"/>
      </font>
    </dxf>
    <dxf>
      <font>
        <b/>
        <color rgb="FF854F0B"/>
      </font>
      <fill>
        <patternFill>
          <bgColor rgb="FFFAEEDA"/>
        </patternFill>
      </fill>
    </dxf>
    <dxf>
      <font>
        <b/>
        <color rgb="FF1F3864"/>
      </font>
    </dxf>
    <dxf>
      <font>
        <b/>
        <color rgb="FFC2185B"/>
      </font>
    </dxf>
    <dxf>
      <font>
        <b/>
        <color rgb="FF1F3864"/>
      </font>
    </dxf>
    <dxf>
      <font>
        <b/>
        <color rgb="FFC2185B"/>
      </font>
    </dxf>
    <dxf>
      <font>
        <b/>
        <color rgb="FF1F3864"/>
      </font>
    </dxf>
    <dxf>
      <font>
        <b/>
        <color rgb="FFC2185B"/>
      </font>
    </dxf>
    <dxf>
      <font>
        <b/>
        <color rgb="FF1F3864"/>
      </font>
    </dxf>
    <dxf>
      <font>
        <b/>
        <color rgb="FFC2185B"/>
      </font>
    </dxf>
    <dxf>
      <font>
        <b/>
        <color rgb="FF1F3864"/>
      </font>
    </dxf>
    <dxf>
      <font>
        <b/>
        <color rgb="FFC2185B"/>
      </font>
    </dxf>
    <dxf>
      <font>
        <b/>
        <color rgb="FF1F3864"/>
      </font>
    </dxf>
    <dxf>
      <font>
        <b/>
        <color rgb="FFC2185B"/>
      </font>
    </dxf>
    <dxf>
      <border diagonalUp="0" diagonalDown="0">
        <left style="thick">
          <color rgb="FFC2185B"/>
        </left>
        <right/>
        <top/>
        <bottom/>
      </border>
    </dxf>
    <dxf>
      <border diagonalUp="0" diagonalDown="0">
        <left/>
        <right/>
        <top style="thick">
          <color rgb="FFC2185B"/>
        </top>
        <bottom style="thick">
          <color rgb="FFC2185B"/>
        </bottom>
      </border>
    </dxf>
    <dxf>
      <font>
        <b/>
        <color rgb="FFFFFFFF"/>
      </font>
      <fill>
        <patternFill>
          <bgColor rgb="FFC2185B"/>
        </patternFill>
      </fill>
    </dxf>
    <dxf>
      <font>
        <b/>
        <color rgb="FF1F3864"/>
      </font>
    </dxf>
    <dxf>
      <font>
        <b/>
        <color rgb="FF1F3864"/>
      </font>
    </dxf>
    <dxf>
      <font>
        <color rgb="FF6D28D9"/>
      </font>
    </dxf>
    <dxf>
      <font>
        <color rgb="FF006100"/>
      </font>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b/>
        <color rgb="FFC2185B"/>
      </font>
    </dxf>
    <dxf>
      <font>
        <b/>
        <color rgb="FFC2185B"/>
      </font>
    </dxf>
    <dxf>
      <font>
        <b/>
        <color rgb="FFC2185B"/>
      </font>
    </dxf>
    <dxf>
      <font>
        <b/>
        <color rgb="FFC2185B"/>
      </font>
    </dxf>
    <dxf>
      <font>
        <b/>
        <color rgb="FFC2185B"/>
      </font>
    </dxf>
    <dxf>
      <fill>
        <patternFill>
          <bgColor rgb="FFFFE699"/>
        </patternFill>
      </fill>
    </dxf>
    <dxf>
      <fill>
        <patternFill>
          <bgColor rgb="FFFFE699"/>
        </patternFill>
      </fill>
    </dxf>
    <dxf>
      <border diagonalUp="0" diagonalDown="0">
        <left/>
        <right style="thick">
          <color rgb="FFC2185B"/>
        </right>
        <top/>
        <bottom/>
      </border>
    </dxf>
    <dxf>
      <border diagonalUp="0" diagonalDown="0">
        <left/>
        <right/>
        <top style="thick">
          <color rgb="FFC2185B"/>
        </top>
        <bottom style="thick">
          <color rgb="FFC2185B"/>
        </bottom>
      </border>
    </dxf>
    <dxf>
      <fill>
        <patternFill>
          <bgColor rgb="FFFFE699"/>
        </patternFill>
      </fill>
    </dxf>
    <dxf>
      <border diagonalUp="0" diagonalDown="0">
        <left/>
        <right style="thick">
          <color rgb="FFC2185B"/>
        </right>
        <top/>
        <bottom/>
      </border>
    </dxf>
    <dxf>
      <border diagonalUp="0" diagonalDown="0">
        <left/>
        <right/>
        <top style="thick">
          <color rgb="FFC2185B"/>
        </top>
        <bottom style="thick">
          <color rgb="FFC2185B"/>
        </bottom>
      </border>
    </dxf>
    <dxf>
      <fill>
        <patternFill>
          <bgColor rgb="FFFFE699"/>
        </patternFill>
      </fill>
    </dxf>
    <dxf>
      <border diagonalUp="0" diagonalDown="0">
        <left/>
        <right style="thick">
          <color rgb="FFC2185B"/>
        </right>
        <top/>
        <bottom/>
      </border>
    </dxf>
    <dxf>
      <border diagonalUp="0" diagonalDown="0">
        <left/>
        <right/>
        <top style="thick">
          <color rgb="FFC2185B"/>
        </top>
        <bottom style="thick">
          <color rgb="FFC2185B"/>
        </bottom>
      </border>
    </dxf>
    <dxf>
      <fill>
        <patternFill>
          <bgColor rgb="FFFFE699"/>
        </patternFill>
      </fill>
    </dxf>
    <dxf>
      <font>
        <b/>
        <color rgb="FF1F3864"/>
      </font>
    </dxf>
    <dxf>
      <font>
        <b/>
        <color rgb="FFC2185B"/>
      </font>
    </dxf>
    <dxf>
      <border diagonalUp="0" diagonalDown="0">
        <left style="thick">
          <color rgb="FFC2185B"/>
        </left>
        <right/>
        <top/>
        <bottom/>
      </border>
    </dxf>
    <dxf>
      <border diagonalUp="0" diagonalDown="0">
        <left/>
        <right/>
        <top style="thick">
          <color rgb="FFC2185B"/>
        </top>
        <bottom style="thick">
          <color rgb="FFC2185B"/>
        </bottom>
      </border>
    </dxf>
    <dxf>
      <font>
        <b/>
        <color rgb="FF1F3864"/>
      </font>
    </dxf>
    <dxf>
      <font>
        <b/>
        <color rgb="FFC2185B"/>
      </font>
    </dxf>
    <dxf>
      <fill>
        <patternFill>
          <bgColor rgb="FFFFE699"/>
        </patternFill>
      </fill>
    </dxf>
    <dxf>
      <font>
        <b/>
        <color rgb="FF1F3864"/>
      </font>
    </dxf>
    <dxf>
      <font>
        <b/>
        <color rgb="FFC2185B"/>
      </font>
    </dxf>
    <dxf>
      <border diagonalUp="0" diagonalDown="0">
        <left style="thick">
          <color rgb="FFC2185B"/>
        </left>
        <right/>
        <top/>
        <bottom/>
      </border>
    </dxf>
    <dxf>
      <border diagonalUp="0" diagonalDown="0">
        <left/>
        <right/>
        <top style="thick">
          <color rgb="FFC2185B"/>
        </top>
        <bottom style="thick">
          <color rgb="FFC2185B"/>
        </bottom>
      </border>
    </dxf>
    <dxf>
      <font>
        <b/>
        <color rgb="FF1F3864"/>
      </font>
    </dxf>
    <dxf>
      <font>
        <b/>
        <color rgb="FFC2185B"/>
      </font>
    </dxf>
    <dxf>
      <font>
        <b/>
        <color rgb="FF3B6D11"/>
      </font>
    </dxf>
    <dxf>
      <font>
        <b/>
        <color rgb="FFA32D2D"/>
      </font>
    </dxf>
    <dxf>
      <font>
        <i/>
        <color rgb="FF5F5E5A"/>
      </font>
    </dxf>
    <dxf>
      <font>
        <color rgb="FF00B050"/>
      </font>
    </dxf>
    <dxf>
      <font>
        <color rgb="FF80CBC4"/>
      </font>
    </dxf>
    <dxf>
      <font>
        <color rgb="FF004D40"/>
      </font>
    </dxf>
    <dxf>
      <font>
        <color rgb="FFCE93D8"/>
      </font>
    </dxf>
    <dxf>
      <font>
        <color rgb="FF4A148C"/>
      </font>
    </dxf>
    <dxf>
      <font>
        <b/>
        <color rgb="FF0070C0"/>
      </font>
    </dxf>
    <dxf>
      <border diagonalUp="0" diagonalDown="0">
        <left/>
        <right style="thick">
          <color rgb="FF00B050"/>
        </right>
        <top style="thick">
          <color rgb="FF00B050"/>
        </top>
        <bottom style="thick">
          <color rgb="FF00B050"/>
        </bottom>
      </border>
    </dxf>
    <dxf>
      <border diagonalUp="0" diagonalDown="0">
        <left style="thick">
          <color rgb="FF00B050"/>
        </left>
        <right/>
        <top/>
        <bottom/>
      </border>
    </dxf>
    <dxf>
      <border diagonalUp="0" diagonalDown="0">
        <left/>
        <right/>
        <top style="thick">
          <color rgb="FF00B050"/>
        </top>
        <bottom style="thick">
          <color rgb="FF00B050"/>
        </bottom>
      </border>
    </dxf>
    <dxf>
      <font>
        <b/>
        <color rgb="FF27500A"/>
      </font>
      <fill>
        <patternFill>
          <bgColor rgb="FFE2EFDA"/>
        </patternFill>
      </fill>
    </dxf>
    <dxf>
      <font>
        <b/>
        <color rgb="FF27500A"/>
      </font>
      <fill>
        <patternFill>
          <bgColor rgb="FFE2EFDA"/>
        </patternFill>
      </fill>
    </dxf>
    <dxf>
      <font>
        <b/>
        <color rgb="FF27500A"/>
      </font>
      <fill>
        <patternFill>
          <bgColor rgb="FFE2EFDA"/>
        </patternFill>
      </fill>
    </dxf>
    <dxf>
      <border>
        <left style="thick">
          <color rgb="FF175CE7"/>
        </left>
        <right/>
        <top/>
        <bottom/>
      </border>
    </dxf>
    <dxf>
      <border>
        <left/>
        <right style="thick">
          <color rgb="FF175CE7"/>
        </right>
        <top/>
        <bottom/>
      </border>
    </dxf>
    <dxf>
      <border>
        <left/>
        <right/>
        <top style="thick">
          <color rgb="FF175CE7"/>
        </top>
        <bottom/>
      </border>
    </dxf>
    <dxf>
      <border>
        <left/>
        <right/>
        <top/>
        <bottom style="thick">
          <color rgb="FF175CE7"/>
        </bottom>
      </border>
    </dxf>
    <dxf>
      <fill>
        <patternFill patternType="solid">
          <fgColor rgb="FF9FCC7E"/>
          <bgColor rgb="FF9FCC7E"/>
        </patternFill>
      </fill>
    </dxf>
    <dxf>
      <border>
        <left style="double">
          <color rgb="FF9E9D24"/>
        </left>
        <right style="double">
          <color rgb="FF9E9D24"/>
        </right>
        <top style="double">
          <color rgb="FF9E9D24"/>
        </top>
        <bottom style="double">
          <color rgb="FF9E9D24"/>
        </bottom>
      </border>
    </dxf>
    <dxf>
      <border>
        <left/>
        <right/>
        <top style="double">
          <color rgb="FF9E9D24"/>
        </top>
        <bottom style="double">
          <color rgb="FF9E9D24"/>
        </bottom>
      </border>
    </dxf>
    <dxf>
      <border>
        <left style="double">
          <color rgb="FF9E9D24"/>
        </left>
        <right/>
        <top/>
        <bottom/>
      </border>
    </dxf>
    <dxf>
      <border>
        <left/>
        <right style="double">
          <color rgb="FF9E9D24"/>
        </right>
        <top/>
        <bottom/>
      </border>
    </dxf>
  </dxfs>
  <tableStyles count="0" defaultTableStyle="TableStyleMedium2" defaultPivotStyle="PivotStyleLight16"/>
  <colors>
    <indexedColors>
      <rgbColor rgb="FF000000"/>
      <rgbColor rgb="FFFFFFFF"/>
      <rgbColor rgb="FFC30000"/>
      <rgbColor rgb="FFECE9F6"/>
      <rgbColor rgb="FF0000FF"/>
      <rgbColor rgb="FFFFFF00"/>
      <rgbColor rgb="FFFF2D95"/>
      <rgbColor rgb="FFD9EAD2"/>
      <rgbColor rgb="FF9C0006"/>
      <rgbColor rgb="FF006300"/>
      <rgbColor rgb="FFF1F2F5"/>
      <rgbColor rgb="FF548235"/>
      <rgbColor rgb="FF6A29D5"/>
      <rgbColor rgb="FF22722A"/>
      <rgbColor rgb="FFBEBEBE"/>
      <rgbColor rgb="FF808080"/>
      <rgbColor rgb="FF9BB1D1"/>
      <rgbColor rgb="FFC2185B"/>
      <rgbColor rgb="FFFFF2CD"/>
      <rgbColor rgb="FFEAF3E5"/>
      <rgbColor rgb="FFFCE5D4"/>
      <rgbColor rgb="FFE06666"/>
      <rgbColor rgb="FF0070C0"/>
      <rgbColor rgb="FFDBD6F0"/>
      <rgbColor rgb="FFF6F8FB"/>
      <rgbColor rgb="FFFFC7CE"/>
      <rgbColor rgb="FFFFE600"/>
      <rgbColor rgb="FFE7E7EA"/>
      <rgbColor rgb="FFF8DCDC"/>
      <rgbColor rgb="FFC00000"/>
      <rgbColor rgb="FFF5CBD0"/>
      <rgbColor rgb="FFFCE3ED"/>
      <rgbColor rgb="FFE1D5F0"/>
      <rgbColor rgb="FFE2EFDA"/>
      <rgbColor rgb="FFC6EFCE"/>
      <rgbColor rgb="FFFFEB9C"/>
      <rgbColor rgb="FFB6D7A8"/>
      <rgbColor rgb="FFF19D9D"/>
      <rgbColor rgb="FFF2BFBF"/>
      <rgbColor rgb="FFFFD997"/>
      <rgbColor rgb="FF175CE7"/>
      <rgbColor rgb="FFC6E0B4"/>
      <rgbColor rgb="FF95C987"/>
      <rgbColor rgb="FFFFE699"/>
      <rgbColor rgb="FFF4880A"/>
      <rgbColor rgb="FFDE3119"/>
      <rgbColor rgb="FF595959"/>
      <rgbColor rgb="FF71A84F"/>
      <rgbColor rgb="FF203862"/>
      <rgbColor rgb="FF16A34A"/>
      <rgbColor rgb="FF111827"/>
      <rgbColor rgb="FF8D5704"/>
      <rgbColor rgb="FF81290E"/>
      <rgbColor rgb="FFC13B17"/>
      <rgbColor rgb="FF1F4E79"/>
      <rgbColor rgb="FF58585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A84"/>
  <sheetViews>
    <sheetView showGridLines="0" tabSelected="1" topLeftCell="A45" zoomScale="80" zoomScaleNormal="80" workbookViewId="0">
      <selection activeCell="D53" sqref="D53"/>
    </sheetView>
  </sheetViews>
  <sheetFormatPr defaultColWidth="8.7109375" defaultRowHeight="15" x14ac:dyDescent="0.25"/>
  <cols>
    <col min="1" max="1" width="38.5703125" style="1" customWidth="1"/>
    <col min="2" max="2" width="35.140625" style="1" customWidth="1"/>
    <col min="3" max="3" width="48.140625" style="1" customWidth="1"/>
    <col min="4" max="4" width="12.5703125" style="1" customWidth="1"/>
    <col min="5" max="5" width="21" style="1" customWidth="1"/>
    <col min="6" max="6" width="7.42578125" style="1" customWidth="1"/>
    <col min="7" max="7" width="12" style="1" customWidth="1"/>
    <col min="8" max="8" width="17" style="1" customWidth="1"/>
    <col min="9" max="9" width="6" style="1" customWidth="1"/>
    <col min="10" max="10" width="30" style="1" customWidth="1"/>
    <col min="11" max="11" width="33.42578125" style="1" customWidth="1"/>
    <col min="12" max="12" width="36.28515625" style="1" customWidth="1"/>
    <col min="13" max="13" width="16.140625" style="1" customWidth="1"/>
    <col min="14" max="14" width="16" style="1" customWidth="1"/>
    <col min="15" max="15" width="14" style="1" customWidth="1"/>
    <col min="16" max="16" width="6.42578125" style="471" customWidth="1"/>
    <col min="17" max="17" width="34" style="1" customWidth="1"/>
    <col min="18" max="18" width="24.5703125" style="1" customWidth="1"/>
    <col min="19" max="19" width="27.7109375" style="1" customWidth="1"/>
    <col min="20" max="20" width="7.140625" style="471" customWidth="1"/>
    <col min="21" max="21" width="22.140625" style="471" customWidth="1"/>
    <col min="22" max="22" width="3" style="1" customWidth="1"/>
    <col min="27" max="27" width="15" style="1" customWidth="1"/>
    <col min="28" max="28" width="8" style="1" customWidth="1"/>
    <col min="29" max="29" width="16" style="1" customWidth="1"/>
    <col min="31" max="31" width="13" style="1" hidden="1" customWidth="1"/>
    <col min="38" max="42" width="13" style="1" hidden="1" customWidth="1"/>
  </cols>
  <sheetData>
    <row r="1" spans="1:117" ht="21" customHeight="1" x14ac:dyDescent="0.35">
      <c r="A1" s="558" t="s">
        <v>0</v>
      </c>
      <c r="B1" s="558"/>
      <c r="C1" s="558"/>
      <c r="E1" s="559" t="s">
        <v>1</v>
      </c>
      <c r="F1" s="559"/>
      <c r="G1" s="559"/>
      <c r="H1" s="559"/>
      <c r="I1" s="559"/>
      <c r="J1" s="559"/>
      <c r="L1" s="560" t="str">
        <f>'King Node Model'!K26</f>
        <v>Updated 17:39:36</v>
      </c>
      <c r="M1" s="560"/>
      <c r="N1" s="560"/>
      <c r="R1" s="3"/>
      <c r="AM1" s="1">
        <f>MAX(MAX('King Node Model'!C29:C75),-MIN('King Node Model'!C29:C75))</f>
        <v>3137174</v>
      </c>
      <c r="AN1" s="3">
        <f>'King Node Model'!T22</f>
        <v>7825</v>
      </c>
      <c r="AO1" s="1">
        <f>MAX('King Node Model'!B29:B75)</f>
        <v>4471438</v>
      </c>
    </row>
    <row r="2" spans="1:117" ht="15" customHeight="1" x14ac:dyDescent="0.25">
      <c r="A2" s="4" t="s">
        <v>2</v>
      </c>
      <c r="B2" s="4" t="s">
        <v>1956</v>
      </c>
      <c r="C2" s="5" t="s">
        <v>3</v>
      </c>
      <c r="D2" t="s">
        <v>1971</v>
      </c>
      <c r="Q2" s="6"/>
      <c r="R2" s="3"/>
      <c r="AM2" s="6">
        <f>'King Node Model'!B4</f>
        <v>7775.39</v>
      </c>
      <c r="AN2" s="3">
        <f>'King Node Model'!T23</f>
        <v>7770</v>
      </c>
    </row>
    <row r="3" spans="1:117" ht="15.75" customHeight="1" x14ac:dyDescent="0.25">
      <c r="A3" s="7" t="str">
        <f>IF(AND(ISNUMBER($AM3),$AM3&lt;0,ISNUMBER($AO3),$AO$1&gt;0),REPT("█",ROUND($AO3/$AO$1*26,0)),"")</f>
        <v/>
      </c>
      <c r="B3" s="8" t="str">
        <f>TEXT(IF(IF('Level Engine'!$GJ$4=1,$AL3='Level Engine'!$GJ$3,AND($AL3-$AM$2&gt;-2.5,$AL3-$AM$2&lt;=2.5)),$AM$2,$AL3),"0")&amp;IF($AL3=$AN$1," ★","")&amp;IF($AL3=$AN$2," ★","")&amp;IF($AL3=$AN$3," ◆","")&amp;IF(AND(ISNUMBER($AN$4),$AL3=$AN$4)," Ⓕ","")&amp;IF(OR(AND(ISNUMBER('Level Engine'!$BG$87),$AL3='Level Engine'!$BG$87),AND(ISNUMBER('Level Engine'!$BG$105),$AL3='Level Engine'!$BG$105))," ζ","")&amp;IF(AND(ISNUMBER($AN$35),$AL3=$AN$35)," ⓏⒼ","")&amp;IF(OR($AL3='Level Engine'!$CP$4,$AL3='Level Engine'!$CP$5,$AL3='Level Engine'!$CP$6,$AL3='Level Engine'!$CP$7)," ☄","")&amp;IF(OR($AL3=$AN$5,$AL3=$AN$8)," ║1","")&amp;IF(OR($AL3=$AN$6,$AL3=$AN$10)," ║2","")&amp;IF(OR($AL3=$AN$7,$AL3=$AN$11)," ║3","")&amp;IF(OR($AL3=$AN$13,$AL3=$AN$16)," ▣1","")&amp;IF(OR($AL3=$AN$14,$AL3=$AN$17)," ▣2","")&amp;IF(OR($AL3=$AN$15,$AL3=$AN$18)," ▣3","")&amp;IF(AND(NOT(OR(AND(ISNUMBER(SEARCH("chop edge",$E$45)),IFERROR(ABS($AL3-'King Node Model'!$AL$42)&lt;=5,FALSE),NOT(ISNUMBER(SEARCH("UNSAFE",$L$45)))),AND(ISNUMBER(SEARCH("chop edge",$E$46)),IFERROR(ABS($AL3-'King Node Model'!$AL$43)&lt;=5,FALSE),NOT(ISNUMBER(SEARCH("UNSAFE",$L$46)))),AND(ISNUMBER(SEARCH("chop edge",$E$52)),IFERROR(ABS($AL3-'King Node Model'!$AL$49)&lt;=5,FALSE),NOT(ISNUMBER(SEARCH("UNSAFE",$L$52)))),AND(ISNUMBER(SEARCH("chop edge",$E$53)),IFERROR(ABS($AL3-'King Node Model'!$AL$50)&lt;=5,FALSE),NOT(ISNUMBER(SEARCH("UNSAFE",$L$53)))))),OR(AND(IFERROR(INDEX('Level Engine'!$IB$9:$IB$55,MATCH('King Node Model'!$AL$49,'Level Engine'!$AA$9:$AA$55,0)),0)&lt;&gt;1,$AL3=IFERROR(INDEX('Level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edge",$E$45)),IFERROR(ABS($AL3-'King Node Model'!$AL$42)&lt;=5,FALSE),NOT(ISNUMBER(SEARCH("UNSAFE",$L$45)))),AND(ISNUMBER(SEARCH("chop edge",$E$46)),IFERROR(ABS($AL3-'King Node Model'!$AL$43)&lt;=5,FALSE),NOT(ISNUMBER(SEARCH("UNSAFE",$L$46)))),AND(ISNUMBER(SEARCH("chop edge",$E$52)),IFERROR(ABS($AL3-'King Node Model'!$AL$49)&lt;=5,FALSE),NOT(ISNUMBER(SEARCH("UNSAFE",$L$52)))),AND(ISNUMBER(SEARCH("chop edge",$E$53)),IFERROR(ABS($AL3-'King Node Model'!$AL$50)&lt;=5,FALSE),NOT(ISNUMBER(SEARCH("UNSAFE",$L$53)))))),OR(AND(IFERROR(INDEX('Level Engine'!$IB$9:$IB$55,MATCH('King Node Model'!$AL$42,'Level Engine'!$AA$9:$AA$55,0)),0)&lt;&gt;1,$AL3=IFERROR(INDEX('Level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ⒷⓁ"),"")&amp;IF(OR(AND($AL3&gt;='King Node Model'!$AM$17,$AL3&lt;='King Node Model'!$AN$17,$AP$45="RASP"),AND($AL3&gt;='King Node Model'!$AM$18,$AL3&lt;='King Node Model'!$AN$18,$AP$46="RASP"),AND($AL3&gt;='King Node Model'!$AM$19,$AL3&lt;='King Node Model'!$AN$19,$AP$47="RASP"),AND($AL3&gt;='King Node Model'!$AM$20,$AL3&lt;='King Node Model'!$AN$20,$AP$52="RASP"),AND($AL3&gt;='King Node Model'!$AM$21,$AL3&lt;='King Node Model'!$AN$21,$AP$53="RASP"),AND($AL3&gt;='King Node Model'!$AM$22,$AL3&lt;='King Node Model'!$AN$22,$AP$54="RASP")),"","")&amp;IF(IF('Level Engine'!$GJ$4=1,$AL3='Level Engine'!$GJ$3,AND($AL3-$AM$2&gt;-2.5,$AL3-$AM$2&lt;=2.5))," ◄","")&amp;IF(IFERROR(INDEX('Level Engine'!$GV$9:$GV$55,MATCH($AL3,'Level Engine'!$AA$9:$AA$55,0)),0)=1," Ⓥ"&amp;IF(IFERROR(INDEX('Level Engine'!$ET$9:$ET$55,MATCH($AL3,'Level Engine'!$AA$9:$AA$55,0)),0)=1,"+",""),"")&amp;IF(OR(AND($AL3=$AN$38,IFERROR(INDEX('Level Engine'!$AN$9:$AN$55,MATCH($AL3,'Level Engine'!$AA$9:$AA$55,0)),0)&lt;&gt;1),$AL3=$AN$39)," ⊙","")&amp;IF(AND(OR('King Node Model'!$A$8="Neg",N('Level Engine'!$BG$72)=1),ABS(MIN($AM$3:$AM$64))&gt;MAX($AM$3:$AM$64),$AN$2&lt;$AM$2,$AL3&lt;$AM$2,ABS($AL3-$AN$2)&lt;=5,IFERROR(VALUE(MID('King Node Model'!$K$26,FIND(":",'King Node Model'!$K$26)-2,2)),0)&gt;=19,IFERROR(INDEX('Level Engine'!$EJ$9:$EJ$55,MATCH($AL3,'Level Engine'!$AA$9:$AA$55,0)),0)=0,$AN$3&gt;$AM$2)," ⟲rev","")&amp;IF($AL3='King Node Model'!$F$24," ⟂","")&amp;$DJ3&amp;IF(IFERROR(INDEX('Level Engine'!$EN$9:$EN$55,MATCH($AL3,'Level Engine'!$AA$9:$AA$55,0)),0)=1," Ⓟ"&amp;IF(AND(OR('King Node Model'!$A$8="Neg",N('Level Engine'!$BG$72)=1),IFERROR(INDEX('Level Engine'!$AN$9:$AN$55,MATCH($AL3,'Level Engine'!$AA$9:$AA$55,0)),0)&lt;&gt;1)," NO-REV",""),"")&amp;IF(AND(ISNUMBER($AL3),OR(AND(ISNUMBER(SEARCH("chop edge",$E$45)),$AL3='King Node Model'!$AL$42),AND(ISNUMBER(SEARCH("chop edge",$E$46)),$AL3='King Node Model'!$AL$43),AND(ISNUMBER(SEARCH("chop edge",$E$52)),$AL3='King Node Model'!$AL$49),AND(ISNUMBER(SEARCH("chop edge",$E$53)),$AL3='King Node Model'!$AL$50)))," ⒸⒺ","")&amp;IF(AND('Level Engine'!$GJ$4=1,OR($AL3='Level Engine'!$GJ$1,$AL3='Level Engine'!$GJ$2)),"","")&amp;IF(ABS(N(IFERROR(INDEX('Level Engine'!$AE$9:$AE$55,MATCH($AL3,'Level Engine'!$AA$9:$AA$55,0)),0)))&gt;='Level Engine'!$BG$85,IF(N(IFERROR(INDEX('Level Engine'!$AE$9:$AE$55,MATCH($AL3,'Level Engine'!$AA$9:$AA$55,0)),0))&gt;0," Δ+"," Δ−"),"")&amp;IFERROR(IF(AND(ISNUMBER(MATCH($AL3,'Level Engine'!$AA$9:$AA$55,0)),ABS(N(IFERROR(INDEX('Level Engine'!$AE$9:$AE$55,MATCH($AL3,'Level Engine'!$AA$9:$AA$55,0)),0)))&lt;'Level Engine'!$BG$85,ABS(N(IFERROR(INDEX('Level Engine'!$AE$9:$AE$55,MATCH($AL3,'Level Engine'!$AA$9:$AA$55,0)),0)))&lt;=ABS(N(IFERROR(INDEX('Level Engine'!$AE$9:$AE$55,MATCH($AL3+5,'Level Engine'!$AA$9:$AA$55,0)),0))),ABS(N(IFERROR(INDEX('Level Engine'!$AE$9:$AE$55,MATCH($AL3,'Level Engine'!$AA$9:$AA$55,0)),0)))&lt;=ABS(N(IFERROR(INDEX('Level Engine'!$AE$9:$AE$55,MATCH($AL3-5,'Level Engine'!$AA$9:$AA$55,0)),0))),OR(AND(ABS(N(IFERROR(INDEX('Level Engine'!$AE$9:$AE$55,MATCH($AL3+5,'Level Engine'!$AA$9:$AA$55,0)),0)))&gt;='Level Engine'!$BG$85,ABS(N(IFERROR(INDEX('Level Engine'!$AE$9:$AE$55,MATCH($AL3,'Level Engine'!$AA$9:$AA$55,0)),0)))&lt;='Level Engine'!$BG$88*ABS(N(IFERROR(INDEX('Level Engine'!$AE$9:$AE$55,MATCH($AL3+5,'Level Engine'!$AA$9:$AA$55,0)),0)))),AND(ABS(N(IFERROR(INDEX('Level Engine'!$AE$9:$AE$55,MATCH($AL3-5,'Level Engine'!$AA$9:$AA$55,0)),0)))&gt;='Level Engine'!$BG$85,ABS(N(IFERROR(INDEX('Level Engine'!$AE$9:$AE$55,MATCH($AL3,'Level Engine'!$AA$9:$AA$55,0)),0)))&lt;='Level Engine'!$BG$88*ABS(N(IFERROR(INDEX('Level Engine'!$AE$9:$AE$55,MATCH($AL3-5,'Level Engine'!$AA$9:$AA$55,0)),0)))))),IF(AND('King Node Model'!$A$8="Pos",N('Level Engine'!$BG$72)&lt;&gt;1),""," ∅"),""),"")&amp;IF(IFERROR(INDEX('Level Engine'!$JD$9:$JD$55,MATCH($AL3,'Level Engine'!$AA$9:$AA$55,0)),"")="P"," P-OI",IF(IFERROR(INDEX('Level Engine'!$JD$9:$JD$55,MATCH($AL3,'Level Engine'!$AA$9:$AA$55,0)),"")="C"," C-OI",""))</f>
        <v>7885</v>
      </c>
      <c r="C3" s="9" t="str">
        <f t="shared" ref="C3:C49" si="0">IF(AND(ISNUMBER($AM3),$AM3&gt;0,ISNUMBER($AO3),$AO$1&gt;0),REPT("█",ROUND($AO3/$AO$1*26,0)),"")</f>
        <v/>
      </c>
      <c r="D3" t="str">
        <f>IF(NOT(ISNUMBER($AL3)),"",IF(IFERROR(INDEX('Level Engine'!$FS$9:$FS$55,MATCH($AL3,'Level Engine'!$AA$9:$AA$55,0)),0)=1,"⊙",""))</f>
        <v/>
      </c>
      <c r="E3" s="557" t="str">
        <f>"SPOT   "&amp;TEXT('King Node Model'!$B$4,"#,##0.0")</f>
        <v>SPOT   7,775.4</v>
      </c>
      <c r="F3" s="557"/>
      <c r="G3" s="557" t="str">
        <f>"REGIME   "&amp;'King Node Model'!$A$8</f>
        <v>REGIME   Neg</v>
      </c>
      <c r="H3" s="557"/>
      <c r="I3" s="557" t="str">
        <f>"GAMMA FLIP   "&amp;TEXT('King Node Model'!$D$26,"0")</f>
        <v>GAMMA FLIP   7805</v>
      </c>
      <c r="J3" s="557"/>
      <c r="K3" s="557" t="str">
        <f>"ZERO GAMMA   "&amp;IF(ISNUMBER('King Node Model'!$D$27),TEXT('King Node Model'!$D$27,"0"),"—")</f>
        <v>ZERO GAMMA   7775</v>
      </c>
      <c r="L3" s="557"/>
      <c r="M3" s="557"/>
      <c r="N3" s="557"/>
      <c r="Q3" s="557" t="s">
        <v>1594</v>
      </c>
      <c r="R3" s="557"/>
      <c r="S3" s="557"/>
      <c r="T3" s="488"/>
      <c r="U3" s="488"/>
      <c r="AL3" s="1">
        <f>'King Node Model'!A29</f>
        <v>7885</v>
      </c>
      <c r="AM3" s="10">
        <f>'King Node Model'!C29</f>
        <v>32827</v>
      </c>
      <c r="AN3" s="3">
        <f>'King Node Model'!B23</f>
        <v>7770</v>
      </c>
      <c r="AO3" s="10">
        <f>'King Node Model'!B29</f>
        <v>33280</v>
      </c>
      <c r="AY3" s="1">
        <f>IF(AND($B$2="Hide unsafe",$BB3=1),0,IF(AND(OR(AND(AND(ISNUMBER($AL3),OR(AND($AL3&gt;=$AQ$22,$AL3&lt;=$AR$22,$AS$22=1),$AL3=$AQ$22,$AL3=$AR$22,$AL3=$AQ$23,$AL3=$AR$23,$AL3=$AQ$24,$AL3=$AR$24),NOT(OR($AL3=$AN$5,$AL3=$AN$6,$AL3=$AN$7,$AL3=$AN$8,$AL3=$AN$10,$AL3=$AN$11))),NOT(OR(AND('King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Model'!$C$24&lt;=5)))))),AND(AND(ISNUMBER($AL3),OR(AND($AL3&gt;=$AQ$22,$AL3&lt;=$AR$22,$AS$22=1),$AL3=$AQ$22,$AL3=$AR$22,$AL3=$AQ$23,$AL3=$AR$23,$AL3=$AQ$24,$AL3=$AR$24,$AL3='King Node Model'!$AL$42,$AL3='King Node Model'!$AL$43),OR($AL3=$AN$5,$AL3=$AN$6,$AL3=$AN$7,$AL3=$AN$8,$AL3=$AN$10,$AL3=$AN$11)),NOT(OR(AND('King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Model'!$C$24&lt;=5)))))),AND(AND(ISNUMBER($AL3),OR(AND($AL3&gt;='King Node Model'!$AM$20,$AL3&lt;='King Node Model'!$AN$20,$AS$23=1),$AL3='King Node Model'!$AM$20,$AL3='King Node Model'!$AN$20,$AL3='King Node Model'!$AM$21,$AL3='King Node Model'!$AN$21,$AL3='King Node Model'!$AM$22,$AL3='King Node Model'!$AN$22),NOT(OR($AL3=$AN$5,$AL3=$AN$6,$AL3=$AN$7,$AL3=$AN$8,$AL3=$AN$10,$AL3=$AN$11))),NOT(AND(ISNUMBER('King Node Model'!$F$24),$AL3='King Node Model'!$F$24,IFERROR(INDEX('Level Engine'!$JN$9:$JN$55,MATCH($AL3,'Level Engine'!$AA$9:$AA$55,0)),0)&lt;&gt;1,$AL3&lt;&gt;'King Node Model'!$AL$49,$AL3&lt;&gt;'King Node Model'!$AL$50))),AND(AND(ISNUMBER($AL3),OR(AND($AL3&gt;='King Node Model'!$AM$20,$AL3&lt;='King Node Model'!$AN$20,$AS$23=1),$AL3='King Node Model'!$AM$20,$AL3='King Node Model'!$AN$20,$AL3='King Node Model'!$AM$21,$AL3='King Node Model'!$AN$21,$AL3='King Node Model'!$AM$22,$AL3='King Node Model'!$AN$22,$AL3='King Node Model'!$AL$49,$AL3='King Node Model'!$AL$50),OR($AL3=$AN$5,$AL3=$AN$6,$AL3=$AN$7,$AL3=$AN$8,$AL3=$AN$10,$AL3=$AN$11)),NOT(OR(AND('King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Model'!$AL$51)),1,0))</f>
        <v>0</v>
      </c>
      <c r="AZ3" s="1">
        <f t="shared" ref="AZ3:AZ49" si="1">IF($B$2="Hide unsafe",0,$BB3)</f>
        <v>0</v>
      </c>
      <c r="BB3" s="1">
        <f>IF(OR(AND($AL3='King Node Model'!$AL$42,$AP$45&lt;&gt;"RASP"),AND($AL3='King Node Model'!$AL$43,$AP$46&lt;&gt;"RASP"),AND($AL3='King Node Model'!$AL$49,$AP$52&lt;&gt;"RASP"),AND($AL3='King Node Model'!$AL$50,$AP$53&lt;&gt;"RASP"),AND($AL3='King Node Model'!$AL$44,$AP$47&lt;&gt;"RASP"),AND($AL3='King Node Model'!$AL$51,$AP$54&lt;&gt;"RASP")),0,IF(AND(AND(ISNUMBER($AL3),OR(AND($AL3&gt;=$AQ$22,$AL3&lt;=$AR$22,$AP$45="RASP"),AND($AL3&gt;=$AQ$23,$AL3&lt;=$AR$23,$AP$46="RASP"),AND($AL3&gt;=$AQ$24,$AL3&lt;=$AR$24,$AP$47="RASP"),AND($AL3&gt;='King Node Model'!$AM$20,$AL3&lt;='King Node Model'!$AN$20,$AP$52="RASP",NOT($L$52=$AW$52)),AND($AL3='King Node Model'!$B$23,$AP$52="RASP",$L$52=$AW$52),AND($AL3&gt;='King Node Model'!$AM$21,$AL3&lt;='King Node Model'!$AN$21,$AP$53="RASP",NOT($L$53=$AW$53)),AND($AL3='King Node Model'!$B$23,$AP$53="RASP",$L$53=$AW$53),AND($AL3&gt;='King Node Model'!$AM$22,$AL3&lt;='King Node Model'!$AN$22,$AP$54="RASP"),AND($AL3&gt;=IFERROR(INDEX('Level Engine'!$AT$9:$AT$55,MATCH('King Node Model'!$AL$42,'Level Engine'!$AA$9:$AA$55,0)),""),$AL3&lt;=IFERROR(INDEX('Level Engine'!$AU$9:$AU$55,MATCH('King Node Model'!$AL$42,'Level Engine'!$AA$9:$AA$55,0)),""),$AP$45="RASP"),AND($AL3&gt;=IFERROR(INDEX('Level Engine'!$AT$9:$AT$55,MATCH('King Node Model'!$AL$43,'Level Engine'!$AA$9:$AA$55,0)),""),$AL3&lt;=IFERROR(INDEX('Level Engine'!$AU$9:$AU$55,MATCH('King Node Model'!$AL$43,'Level Engine'!$AA$9:$AA$55,0)),""),$AP$46="RASP"),AND($AL3&gt;=IFERROR(INDEX('Level Engine'!$AT$9:$AT$55,MATCH('King Node Model'!$AL$44,'Level Engine'!$AA$9:$AA$55,0)),""),$AL3&lt;=IFERROR(INDEX('Level Engine'!$AU$9:$AU$55,MATCH('King Node Model'!$AL$44,'Level Engine'!$AA$9:$AA$55,0)),""),$AP$47="RASP"),AND($AL3&gt;=IFERROR(INDEX('Level Engine'!$AT$9:$AT$55,MATCH('King Node Model'!$AL$49,'Level Engine'!$AA$9:$AA$55,0)),""),$AL3&lt;=IFERROR(INDEX('Level Engine'!$AU$9:$AU$55,MATCH('King Node Model'!$AL$49,'Level Engine'!$AA$9:$AA$55,0)),""),$AP$52="RASP",NOT($L$52=$AW$52)),AND($AL3&gt;=IFERROR(INDEX('Level Engine'!$AT$9:$AT$55,MATCH('King Node Model'!$AL$50,'Level Engine'!$AA$9:$AA$55,0)),""),$AL3&lt;=IFERROR(INDEX('Level Engine'!$AU$9:$AU$55,MATCH('King Node Model'!$AL$50,'Level Engine'!$AA$9:$AA$55,0)),""),$AP$53="RASP",NOT($L$53=$AW$53)),AND($AL3&gt;=IFERROR(INDEX('Level Engine'!$AT$9:$AT$55,MATCH('King Node Model'!$AL$51,'Level Engine'!$AA$9:$AA$55,0)),""),$AL3&lt;=IFERROR(INDEX('Level Engine'!$AU$9:$AU$55,MATCH('King Node Model'!$AL$51,'Level Engine'!$AA$9:$AA$55,0)),""),$AP$54="RASP"))),NOT(AND(ISNUMBER('King Node Model'!$F$24),$AL3='King Node Model'!$F$24,IFERROR(INDEX('Level Engine'!$JN$9:$JN$55,MATCH($AL3,'Level Engine'!$AA$9:$AA$55,0)),0)&lt;&gt;1,$AL3&lt;&gt;'King Node Model'!$AL$42,$AL3&lt;&gt;'King Node Model'!$AL$43,$AL3&lt;&gt;'King Node Model'!$AL$44,$AL3&lt;&gt;'King Node Model'!$AL$49,$AL3&lt;&gt;'King Node Model'!$AL$50,$AL3&lt;&gt;'King Node Model'!$AL$51))),1,0))</f>
        <v>0</v>
      </c>
      <c r="CO3">
        <f>IF(NOT(ISNUMBER($AL3)),"",IF(NOT(ISNUMBER(IFERROR(INDEX('Level Engine'!$FT$9:$FT$55,MATCH($AL3,'Level Engine'!$AA$9:$AA$55,0)),""))),"",IF(IFERROR(INDEX('Level Engine'!$FT$9:$FT$55,MATCH($AL3,'Level Engine'!$AA$9:$AA$55,0)),"")&lt;0,0,2)+IF(ABS(IFERROR(INDEX('Level Engine'!$FT$9:$FT$55,MATCH($AL3,'Level Engine'!$AA$9:$AA$55,0)),""))&gt;='Level Engine'!$FT$2,2,1)))</f>
        <v>4</v>
      </c>
      <c r="DJ3" t="str">
        <f>IF(ISNUMBER($AL3),IF($AL3='Level Engine'!$BG$122," ⫪","")&amp;IF($AL3='Level Engine'!$BG$118," S↑"&amp;IFERROR(INDEX('Level Engine'!$MV$9:$MV$55,MATCH($AL3,'Level Engine'!$AA$9:$AA$55,0)),""),"")&amp;IF($AL3='Level Engine'!$BG$119," S↓"&amp;IFERROR(INDEX('Level Engine'!$MV$9:$MV$55,MATCH($AL3,'Level Engine'!$AA$9:$AA$55,0)),""),"")&amp;IF($AL3='Level Engine'!$BG$120," D↑","")&amp;IF($AL3='Level Engine'!$BG$121," D↓","")&amp;IFERROR(INDEX('Level Engine'!$LG$9:$LG$55,MATCH($AL3,'Level Engine'!$AA$9:$AA$55,0)),"")&amp;IF(IFERROR(INDEX('Level Engine'!$MA$9:$MA$55,MATCH($AL3,'Level Engine'!$AA$9:$AA$55,0)),0)=1," SAND","")&amp;IF(IFERROR(INDEX('Level Engine'!$LM$9:$LM$55,MATCH($AL3,'Level Engine'!$AA$9:$AA$55,0)),0)&gt;0," TP","")&amp;IFERROR(" r"&amp;MATCH($AL3,'Level Engine'!$W$9:$W$14,0),IFERROR(" s"&amp;MATCH($AL3,'Level Engine'!$W$18:$W$23,0),""))&amp;IF($AL3='Level Engine'!$BG$165," ◇","")&amp;IF(N($DZ3)=1,IF($AL3&gt;'Level Engine'!$BG$165," ⚠ DOM↓"," ⚠ DOM↑")&amp;'Level Engine'!$BG$165,""),"")</f>
        <v/>
      </c>
      <c r="DK3" t="str">
        <f>IF(AND(ISNUMBER($AL3),OR($AL3='King Node Model'!$AL$42,$AL3='King Node Model'!$AL$43,$AL3='King Node Model'!$AL$44)),IFERROR(MATCH($AL3,'Level Engine'!$W$9:$W$14,0),""),"")</f>
        <v/>
      </c>
      <c r="DL3" t="str">
        <f>IF(AND(ISNUMBER($AL3),OR($AL3='King Node Model'!$AL$49,$AL3='King Node Model'!$AL$50,$AL3='King Node Model'!$AL$51)),IFERROR(MATCH($AL3,'Level Engine'!$W$18:$W$23,0),""),"")</f>
        <v/>
      </c>
      <c r="DM3">
        <f>IF(AND(ISNUMBER($AL3),IFERROR(INDEX('Level Engine'!$LC$9:$LC$55,MATCH($AL3,'Level Engine'!$AA$9:$AA$55,0)),0)=1,OR($AL3=$AN$3,IFERROR(INDEX('Level Engine'!$LB$9:$LB$55,MATCH($AL3,'Level Engine'!$AA$9:$AA$55,0)),0)=1)),1,0)</f>
        <v>0</v>
      </c>
      <c r="DZ3">
        <f>IF(ISNUMBER($AL3),IF(IFERROR(INDEX('Level Engine'!$NJ$9:$NJ$55,MATCH($AL3,'Level Engine'!$AA$9:$AA$55,0)),0)=1,1,0),0)</f>
      </c>
    </row>
    <row r="4" spans="1:117" ht="15" customHeight="1" x14ac:dyDescent="0.25">
      <c r="A4" s="7" t="str">
        <f>IF(AND(ISNUMBER($AM4),$AM4&lt;0,ISNUMBER($AO4),$AO$1&gt;0),REPT("█",ROUND($AO4/$AO$1*26,0)),"")</f>
        <v/>
      </c>
      <c r="B4" s="8" t="str">
        <f>TEXT(IF(IF('Level Engine'!$GJ$4=1,$AL4='Level Engine'!$GJ$3,AND($AL4-$AM$2&gt;-2.5,$AL4-$AM$2&lt;=2.5)),$AM$2,$AL4),"0")&amp;IF($AL4=$AN$1," ★","")&amp;IF($AL4=$AN$2," ★","")&amp;IF($AL4=$AN$3," ◆","")&amp;IF(AND(ISNUMBER($AN$4),$AL4=$AN$4)," Ⓕ","")&amp;IF(OR(AND(ISNUMBER('Level Engine'!$BG$87),$AL4='Level Engine'!$BG$87),AND(ISNUMBER('Level Engine'!$BG$105),$AL4='Level Engine'!$BG$105))," ζ","")&amp;IF(AND(ISNUMBER($AN$35),$AL4=$AN$35)," ⓏⒼ","")&amp;IF(OR($AL4='Level Engine'!$CP$4,$AL4='Level Engine'!$CP$5,$AL4='Level Engine'!$CP$6,$AL4='Level Engine'!$CP$7)," ☄","")&amp;IF(OR($AL4=$AN$5,$AL4=$AN$8)," ║1","")&amp;IF(OR($AL4=$AN$6,$AL4=$AN$10)," ║2","")&amp;IF(OR($AL4=$AN$7,$AL4=$AN$11)," ║3","")&amp;IF(OR($AL4=$AN$13,$AL4=$AN$16)," ▣1","")&amp;IF(OR($AL4=$AN$14,$AL4=$AN$17)," ▣2","")&amp;IF(OR($AL4=$AN$15,$AL4=$AN$18)," ▣3","")&amp;IF(AND(NOT(OR(AND(ISNUMBER(SEARCH("chop edge",$E$45)),IFERROR(ABS($AL4-'King Node Model'!$AL$42)&lt;=5,FALSE),NOT(ISNUMBER(SEARCH("UNSAFE",$L$45)))),AND(ISNUMBER(SEARCH("chop edge",$E$46)),IFERROR(ABS($AL4-'King Node Model'!$AL$43)&lt;=5,FALSE),NOT(ISNUMBER(SEARCH("UNSAFE",$L$46)))),AND(ISNUMBER(SEARCH("chop edge",$E$52)),IFERROR(ABS($AL4-'King Node Model'!$AL$49)&lt;=5,FALSE),NOT(ISNUMBER(SEARCH("UNSAFE",$L$52)))),AND(ISNUMBER(SEARCH("chop edge",$E$53)),IFERROR(ABS($AL4-'King Node Model'!$AL$50)&lt;=5,FALSE),NOT(ISNUMBER(SEARCH("UNSAFE",$L$53)))))),OR(AND(IFERROR(INDEX('Level Engine'!$IB$9:$IB$55,MATCH('King Node Model'!$AL$49,'Level Engine'!$AA$9:$AA$55,0)),0)&lt;&gt;1,$AL4=IFERROR(INDEX('Level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edge",$E$45)),IFERROR(ABS($AL4-'King Node Model'!$AL$42)&lt;=5,FALSE),NOT(ISNUMBER(SEARCH("UNSAFE",$L$45)))),AND(ISNUMBER(SEARCH("chop edge",$E$46)),IFERROR(ABS($AL4-'King Node Model'!$AL$43)&lt;=5,FALSE),NOT(ISNUMBER(SEARCH("UNSAFE",$L$46)))),AND(ISNUMBER(SEARCH("chop edge",$E$52)),IFERROR(ABS($AL4-'King Node Model'!$AL$49)&lt;=5,FALSE),NOT(ISNUMBER(SEARCH("UNSAFE",$L$52)))),AND(ISNUMBER(SEARCH("chop edge",$E$53)),IFERROR(ABS($AL4-'King Node Model'!$AL$50)&lt;=5,FALSE),NOT(ISNUMBER(SEARCH("UNSAFE",$L$53)))))),OR(AND(IFERROR(INDEX('Level Engine'!$IB$9:$IB$55,MATCH('King Node Model'!$AL$42,'Level Engine'!$AA$9:$AA$55,0)),0)&lt;&gt;1,$AL4=IFERROR(INDEX('Level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ⒷⓁ"),"")&amp;IF(OR(AND($AL4&gt;='King Node Model'!$AM$17,$AL4&lt;='King Node Model'!$AN$17,$AP$45="RASP"),AND($AL4&gt;='King Node Model'!$AM$18,$AL4&lt;='King Node Model'!$AN$18,$AP$46="RASP"),AND($AL4&gt;='King Node Model'!$AM$19,$AL4&lt;='King Node Model'!$AN$19,$AP$47="RASP"),AND($AL4&gt;='King Node Model'!$AM$20,$AL4&lt;='King Node Model'!$AN$20,$AP$52="RASP"),AND($AL4&gt;='King Node Model'!$AM$21,$AL4&lt;='King Node Model'!$AN$21,$AP$53="RASP"),AND($AL4&gt;='King Node Model'!$AM$22,$AL4&lt;='King Node Model'!$AN$22,$AP$54="RASP")),"","")&amp;IF(IF('Level Engine'!$GJ$4=1,$AL4='Level Engine'!$GJ$3,AND($AL4-$AM$2&gt;-2.5,$AL4-$AM$2&lt;=2.5))," ◄","")&amp;IF(IFERROR(INDEX('Level Engine'!$GV$9:$GV$55,MATCH($AL4,'Level Engine'!$AA$9:$AA$55,0)),0)=1," Ⓥ"&amp;IF(IFERROR(INDEX('Level Engine'!$ET$9:$ET$55,MATCH($AL4,'Level Engine'!$AA$9:$AA$55,0)),0)=1,"+",""),"")&amp;IF(OR(AND($AL4=$AN$38,IFERROR(INDEX('Level Engine'!$AN$9:$AN$55,MATCH($AL4,'Level Engine'!$AA$9:$AA$55,0)),0)&lt;&gt;1),$AL4=$AN$39)," ⊙","")&amp;IF(AND(OR('King Node Model'!$A$8="Neg",N('Level Engine'!$BG$72)=1),ABS(MIN($AM$3:$AM$64))&gt;MAX($AM$3:$AM$64),$AN$2&lt;$AM$2,$AL4&lt;$AM$2,ABS($AL4-$AN$2)&lt;=5,IFERROR(VALUE(MID('King Node Model'!$K$26,FIND(":",'King Node Model'!$K$26)-2,2)),0)&gt;=19,IFERROR(INDEX('Level Engine'!$EJ$9:$EJ$55,MATCH($AL4,'Level Engine'!$AA$9:$AA$55,0)),0)=0,$AN$3&gt;$AM$2)," ⟲rev","")&amp;IF($AL4='King Node Model'!$F$24," ⟂","")&amp;$DJ4&amp;IF(IFERROR(INDEX('Level Engine'!$EN$9:$EN$55,MATCH($AL4,'Level Engine'!$AA$9:$AA$55,0)),0)=1," Ⓟ"&amp;IF(AND(OR('King Node Model'!$A$8="Neg",N('Level Engine'!$BG$72)=1),IFERROR(INDEX('Level Engine'!$AN$9:$AN$55,MATCH($AL4,'Level Engine'!$AA$9:$AA$55,0)),0)&lt;&gt;1)," NO-REV",""),"")&amp;IF(AND(ISNUMBER($AL4),OR(AND(ISNUMBER(SEARCH("chop edge",$E$45)),$AL4='King Node Model'!$AL$42),AND(ISNUMBER(SEARCH("chop edge",$E$46)),$AL4='King Node Model'!$AL$43),AND(ISNUMBER(SEARCH("chop edge",$E$52)),$AL4='King Node Model'!$AL$49),AND(ISNUMBER(SEARCH("chop edge",$E$53)),$AL4='King Node Model'!$AL$50)))," ⒸⒺ","")&amp;IF(AND('Level Engine'!$GJ$4=1,OR($AL4='Level Engine'!$GJ$1,$AL4='Level Engine'!$GJ$2)),"","")&amp;IF(ABS(N(IFERROR(INDEX('Level Engine'!$AE$9:$AE$55,MATCH($AL4,'Level Engine'!$AA$9:$AA$55,0)),0)))&gt;='Level Engine'!$BG$85,IF(N(IFERROR(INDEX('Level Engine'!$AE$9:$AE$55,MATCH($AL4,'Level Engine'!$AA$9:$AA$55,0)),0))&gt;0," Δ+"," Δ−"),"")&amp;IFERROR(IF(AND(ISNUMBER(MATCH($AL4,'Level Engine'!$AA$9:$AA$55,0)),ABS(N(IFERROR(INDEX('Level Engine'!$AE$9:$AE$55,MATCH($AL4,'Level Engine'!$AA$9:$AA$55,0)),0)))&lt;'Level Engine'!$BG$85,ABS(N(IFERROR(INDEX('Level Engine'!$AE$9:$AE$55,MATCH($AL4,'Level Engine'!$AA$9:$AA$55,0)),0)))&lt;=ABS(N(IFERROR(INDEX('Level Engine'!$AE$9:$AE$55,MATCH($AL4+5,'Level Engine'!$AA$9:$AA$55,0)),0))),ABS(N(IFERROR(INDEX('Level Engine'!$AE$9:$AE$55,MATCH($AL4,'Level Engine'!$AA$9:$AA$55,0)),0)))&lt;=ABS(N(IFERROR(INDEX('Level Engine'!$AE$9:$AE$55,MATCH($AL4-5,'Level Engine'!$AA$9:$AA$55,0)),0))),OR(AND(ABS(N(IFERROR(INDEX('Level Engine'!$AE$9:$AE$55,MATCH($AL4+5,'Level Engine'!$AA$9:$AA$55,0)),0)))&gt;='Level Engine'!$BG$85,ABS(N(IFERROR(INDEX('Level Engine'!$AE$9:$AE$55,MATCH($AL4,'Level Engine'!$AA$9:$AA$55,0)),0)))&lt;='Level Engine'!$BG$88*ABS(N(IFERROR(INDEX('Level Engine'!$AE$9:$AE$55,MATCH($AL4+5,'Level Engine'!$AA$9:$AA$55,0)),0)))),AND(ABS(N(IFERROR(INDEX('Level Engine'!$AE$9:$AE$55,MATCH($AL4-5,'Level Engine'!$AA$9:$AA$55,0)),0)))&gt;='Level Engine'!$BG$85,ABS(N(IFERROR(INDEX('Level Engine'!$AE$9:$AE$55,MATCH($AL4,'Level Engine'!$AA$9:$AA$55,0)),0)))&lt;='Level Engine'!$BG$88*ABS(N(IFERROR(INDEX('Level Engine'!$AE$9:$AE$55,MATCH($AL4-5,'Level Engine'!$AA$9:$AA$55,0)),0)))))),IF(AND('King Node Model'!$A$8="Pos",N('Level Engine'!$BG$72)&lt;&gt;1),""," ∅"),""),"")&amp;IF(IFERROR(INDEX('Level Engine'!$JD$9:$JD$55,MATCH($AL4,'Level Engine'!$AA$9:$AA$55,0)),"")="P"," P-OI",IF(IFERROR(INDEX('Level Engine'!$JD$9:$JD$55,MATCH($AL4,'Level Engine'!$AA$9:$AA$55,0)),"")="C"," C-OI",""))</f>
        <v>7880 C-OI</v>
      </c>
      <c r="C4" s="9" t="str">
        <f t="shared" si="0"/>
        <v/>
      </c>
      <c r="D4" t="str">
        <f>IF(NOT(ISNUMBER($AL4)),"",IF(IFERROR(INDEX('Level Engine'!$FS$9:$FS$55,MATCH($AL4,'Level Engine'!$AA$9:$AA$55,0)),0)=1,"⊙",""))</f>
        <v/>
      </c>
      <c r="E4" s="561" t="str">
        <f>"VIX   "&amp;TEXT('King Node Model'!$B$5,"0.0")</f>
        <v>VIX   15.4</v>
      </c>
      <c r="F4" s="561"/>
      <c r="G4" s="562" t="str">
        <f>"VVIX   "&amp;TEXT('King Node Model'!$D$5,"0.0")</f>
        <v>VVIX   86.6</v>
      </c>
      <c r="H4" s="562"/>
      <c r="I4" s="562" t="str">
        <f>"VIX1D   "&amp;TEXT('King Node Model'!$F$5,"0.0")</f>
        <v>VIX1D   8.5</v>
      </c>
      <c r="J4" s="562"/>
      <c r="K4" s="11"/>
      <c r="N4" s="12"/>
      <c r="Q4" s="437" t="s">
        <v>33</v>
      </c>
      <c r="R4" s="438" t="s">
        <v>1595</v>
      </c>
      <c r="S4" s="439" t="s">
        <v>1596</v>
      </c>
      <c r="T4" s="489"/>
      <c r="U4" s="489"/>
      <c r="AL4" s="1">
        <f>'King Node Model'!A30</f>
        <v>7880</v>
      </c>
      <c r="AM4" s="10">
        <f>'King Node Model'!C30</f>
        <v>75905</v>
      </c>
      <c r="AN4" s="10">
        <f>'King Node Model'!D26</f>
        <v>7805</v>
      </c>
      <c r="AO4" s="10">
        <f>'King Node Model'!B30</f>
        <v>76929</v>
      </c>
      <c r="AY4" s="1">
        <f>IF(AND($B$2="Hide unsafe",$BB4=1),0,IF(AND(OR(AND(AND(ISNUMBER($AL4),OR(AND($AL4&gt;=$AQ$22,$AL4&lt;=$AR$22,$AS$22=1),$AL4=$AQ$22,$AL4=$AR$22,$AL4=$AQ$23,$AL4=$AR$23,$AL4=$AQ$24,$AL4=$AR$24),NOT(OR($AL4=$AN$5,$AL4=$AN$6,$AL4=$AN$7,$AL4=$AN$8,$AL4=$AN$10,$AL4=$AN$11))),NOT(OR(AND('King Node Model'!$P$13="Up",OR($AL4=$AQ$22,$AL4=$AQ$23,$AL4=$AQ$24,$AL4='King Node Model'!$AM$20,$AL4='King Node Model'!$AM$21,$AL4='King Node Model'!$AM$22),OR(AND('King Node Model'!$B$23-$AL4&gt;=0,'King Node Model'!$B$23-$AL4&lt;=5),AND('King Node Model'!$C$23-$AL4&gt;=0,'King Node Model'!$C$23-$AL4&lt;=5))),AND('King Node Model'!$P$13="Down",OR($AL4=$AR$22,$AL4=$AR$23,$AL4=$AR$24,$AL4='King Node Model'!$AN$20,$AL4='King Node Model'!$AN$21,$AL4='King Node Model'!$AN$22),OR(AND($AL4-'King Node Model'!$B$23&gt;=0,$AL4-'King Node Model'!$B$23&lt;=5),AND($AL4-'King Node Model'!$C$24&gt;=0,$AL4-'King Node Model'!$C$24&lt;=5)))))),AND(AND(ISNUMBER($AL4),OR(AND($AL4&gt;=$AQ$22,$AL4&lt;=$AR$22,$AS$22=1),$AL4=$AQ$22,$AL4=$AR$22,$AL4=$AQ$23,$AL4=$AR$23,$AL4=$AQ$24,$AL4=$AR$24,$AL4='King Node Model'!$AL$42,$AL4='King Node Model'!$AL$43),OR($AL4=$AN$5,$AL4=$AN$6,$AL4=$AN$7,$AL4=$AN$8,$AL4=$AN$10,$AL4=$AN$11)),NOT(OR(AND('King Node Model'!$P$13="Up",OR($AL4=$AQ$22,$AL4=$AQ$23,$AL4=$AQ$24,$AL4='King Node Model'!$AM$20,$AL4='King Node Model'!$AM$21,$AL4='King Node Model'!$AM$22),OR(AND('King Node Model'!$B$23-$AL4&gt;=0,'King Node Model'!$B$23-$AL4&lt;=5),AND('King Node Model'!$C$23-$AL4&gt;=0,'King Node Model'!$C$23-$AL4&lt;=5))),AND('King Node Model'!$P$13="Down",OR($AL4=$AR$22,$AL4=$AR$23,$AL4=$AR$24,$AL4='King Node Model'!$AN$20,$AL4='King Node Model'!$AN$21,$AL4='King Node Model'!$AN$22),OR(AND($AL4-'King Node Model'!$B$23&gt;=0,$AL4-'King Node Model'!$B$23&lt;=5),AND($AL4-'King Node Model'!$C$24&gt;=0,$AL4-'King Node Model'!$C$24&lt;=5)))))),AND(AND(ISNUMBER($AL4),OR(AND($AL4&gt;='King Node Model'!$AM$20,$AL4&lt;='King Node Model'!$AN$20,$AS$23=1),$AL4='King Node Model'!$AM$20,$AL4='King Node Model'!$AN$20,$AL4='King Node Model'!$AM$21,$AL4='King Node Model'!$AN$21,$AL4='King Node Model'!$AM$22,$AL4='King Node Model'!$AN$22),NOT(OR($AL4=$AN$5,$AL4=$AN$6,$AL4=$AN$7,$AL4=$AN$8,$AL4=$AN$10,$AL4=$AN$11))),NOT(AND(ISNUMBER('King Node Model'!$F$24),$AL4='King Node Model'!$F$24,IFERROR(INDEX('Level Engine'!$JN$9:$JN$55,MATCH($AL4,'Level Engine'!$AA$9:$AA$55,0)),0)&lt;&gt;1))),AND(AND(ISNUMBER($AL4),OR(AND($AL4&gt;='King Node Model'!$AM$20,$AL4&lt;='King Node Model'!$AN$20,$AS$23=1),$AL4='King Node Model'!$AM$20,$AL4='King Node Model'!$AN$20,$AL4='King Node Model'!$AM$21,$AL4='King Node Model'!$AN$21,$AL4='King Node Model'!$AM$22,$AL4='King Node Model'!$AN$22,$AL4='King Node Model'!$AL$49,$AL4='King Node Model'!$AL$50),OR($AL4=$AN$5,$AL4=$AN$6,$AL4=$AN$7,$AL4=$AN$8,$AL4=$AN$10,$AL4=$AN$11)),NOT(OR(AND('King Node Model'!$P$13="Up",OR($AL4=$AQ$22,$AL4=$AQ$23,$AL4=$AQ$24,$AL4='King Node Model'!$AM$20,$AL4='King Node Model'!$AM$21,$AL4='King Node Model'!$AM$22),OR(AND('King Node Model'!$B$23-$AL4&gt;=0,'King Node Model'!$B$23-$AL4&lt;=5),AND('King Node Model'!$C$23-$AL4&gt;=0,'King Node Model'!$C$23-$AL4&lt;=5))),AND('King Node Model'!$P$13="Down",OR($AL4=$AR$22,$AL4=$AR$23,$AL4=$AR$24,$AL4='King Node Model'!$AN$20,$AL4='King Node Model'!$AN$21,$AL4='King Node Model'!$AN$22),OR(AND($AL4-'King Node Model'!$B$23&gt;=0,$AL4-'King Node Model'!$B$23&lt;=5),AND($AL4-'King Node Model'!$C$24&gt;=0,$AL4-'King Node Model'!$C$24&lt;=5))))))),OR(COUNTIF('Level Engine'!$W$9:$W$14,$AL4)&gt;0,COUNTIF('Level Engine'!$W$18:$W$23,$AL4)&gt;0)),1,0))</f>
        <v>0</v>
      </c>
      <c r="AZ4" s="1">
        <f t="shared" si="1"/>
        <v>0</v>
      </c>
      <c r="BB4" s="1">
        <f>IF(OR(AND($AL4='King Node Model'!$AL$42,$AP$45&lt;&gt;"RASP"),AND($AL4='King Node Model'!$AL$43,$AP$46&lt;&gt;"RASP"),AND($AL4='King Node Model'!$AL$49,$AP$52&lt;&gt;"RASP"),AND($AL4='King Node Model'!$AL$50,$AP$53&lt;&gt;"RASP"),AND($AL4='King Node Model'!$AL$44,$AP$47&lt;&gt;"RASP"),AND($AL4='King Node Model'!$AL$51,$AP$54&lt;&gt;"RASP")),0,IF(AND(AND(ISNUMBER($AL4),OR(AND($AL4&gt;=$AQ$22,$AL4&lt;=$AR$22,$AP$45="RASP"),AND($AL4&gt;=$AQ$23,$AL4&lt;=$AR$23,$AP$46="RASP"),AND($AL4&gt;=$AQ$24,$AL4&lt;=$AR$24,$AP$47="RASP"),AND($AL4&gt;='King Node Model'!$AM$20,$AL4&lt;='King Node Model'!$AN$20,$AP$52="RASP",NOT($L$52=$AW$52)),AND($AL4='King Node Model'!$B$23,$AP$52="RASP",$L$52=$AW$52),AND($AL4&gt;='King Node Model'!$AM$21,$AL4&lt;='King Node Model'!$AN$21,$AP$53="RASP",NOT($L$53=$AW$53)),AND($AL4='King Node Model'!$B$23,$AP$53="RASP",$L$53=$AW$53),AND($AL4&gt;='King Node Model'!$AM$22,$AL4&lt;='King Node Model'!$AN$22,$AP$54="RASP"),AND($AL4&gt;=IFERROR(INDEX('Level Engine'!$AT$9:$AT$55,MATCH('King Node Model'!$AL$42,'Level Engine'!$AA$9:$AA$55,0)),""),$AL4&lt;=IFERROR(INDEX('Level Engine'!$AU$9:$AU$55,MATCH('King Node Model'!$AL$42,'Level Engine'!$AA$9:$AA$55,0)),""),$AP$45="RASP"),AND($AL4&gt;=IFERROR(INDEX('Level Engine'!$AT$9:$AT$55,MATCH('King Node Model'!$AL$43,'Level Engine'!$AA$9:$AA$55,0)),""),$AL4&lt;=IFERROR(INDEX('Level Engine'!$AU$9:$AU$55,MATCH('King Node Model'!$AL$43,'Level Engine'!$AA$9:$AA$55,0)),""),$AP$46="RASP"),AND($AL4&gt;=IFERROR(INDEX('Level Engine'!$AT$9:$AT$55,MATCH('King Node Model'!$AL$44,'Level Engine'!$AA$9:$AA$55,0)),""),$AL4&lt;=IFERROR(INDEX('Level Engine'!$AU$9:$AU$55,MATCH('King Node Model'!$AL$44,'Level Engine'!$AA$9:$AA$55,0)),""),$AP$47="RASP"),AND($AL4&gt;=IFERROR(INDEX('Level Engine'!$AT$9:$AT$55,MATCH('King Node Model'!$AL$49,'Level Engine'!$AA$9:$AA$55,0)),""),$AL4&lt;=IFERROR(INDEX('Level Engine'!$AU$9:$AU$55,MATCH('King Node Model'!$AL$49,'Level Engine'!$AA$9:$AA$55,0)),""),$AP$52="RASP",NOT($L$52=$AW$52)),AND($AL4&gt;=IFERROR(INDEX('Level Engine'!$AT$9:$AT$55,MATCH('King Node Model'!$AL$50,'Level Engine'!$AA$9:$AA$55,0)),""),$AL4&lt;=IFERROR(INDEX('Level Engine'!$AU$9:$AU$55,MATCH('King Node Model'!$AL$50,'Level Engine'!$AA$9:$AA$55,0)),""),$AP$53="RASP",NOT($L$53=$AW$53)),AND($AL4&gt;=IFERROR(INDEX('Level Engine'!$AT$9:$AT$55,MATCH('King Node Model'!$AL$51,'Level Engine'!$AA$9:$AA$55,0)),""),$AL4&lt;=IFERROR(INDEX('Level Engine'!$AU$9:$AU$55,MATCH('King Node Model'!$AL$51,'Level Engine'!$AA$9:$AA$55,0)),""),$AP$54="RASP"))),NOT(AND(ISNUMBER('King Node Model'!$F$24),$AL4='King Node Model'!$F$24,IFERROR(INDEX('Level Engine'!$JN$9:$JN$55,MATCH($AL4,'Level Engine'!$AA$9:$AA$55,0)),0)&lt;&gt;1,$AL4&lt;&gt;'King Node Model'!$AL$42,$AL4&lt;&gt;'King Node Model'!$AL$43,$AL4&lt;&gt;'King Node Model'!$AL$44,$AL4&lt;&gt;'King Node Model'!$AL$49,$AL4&lt;&gt;'King Node Model'!$AL$50,$AL4&lt;&gt;'King Node Model'!$AL$51))),1,0))</f>
        <v>0</v>
      </c>
      <c r="CO4">
        <f>IF(NOT(ISNUMBER($AL4)),"",IF(NOT(ISNUMBER(IFERROR(INDEX('Level Engine'!$FT$9:$FT$55,MATCH($AL4,'Level Engine'!$AA$9:$AA$55,0)),""))),"",IF(IFERROR(INDEX('Level Engine'!$FT$9:$FT$55,MATCH($AL4,'Level Engine'!$AA$9:$AA$55,0)),"")&lt;0,0,2)+IF(ABS(IFERROR(INDEX('Level Engine'!$FT$9:$FT$55,MATCH($AL4,'Level Engine'!$AA$9:$AA$55,0)),""))&gt;='Level Engine'!$FT$2,2,1)))</f>
        <v>4</v>
      </c>
      <c r="DJ4" t="str">
        <f>IF(ISNUMBER($AL4),IF($AL4='Level Engine'!$BG$122," ⫪","")&amp;IF($AL4='Level Engine'!$BG$118," S↑"&amp;IFERROR(INDEX('Level Engine'!$MV$9:$MV$55,MATCH($AL4,'Level Engine'!$AA$9:$AA$55,0)),""),"")&amp;IF($AL4='Level Engine'!$BG$119," S↓"&amp;IFERROR(INDEX('Level Engine'!$MV$9:$MV$55,MATCH($AL4,'Level Engine'!$AA$9:$AA$55,0)),""),"")&amp;IF($AL4='Level Engine'!$BG$120," D↑","")&amp;IF($AL4='Level Engine'!$BG$121," D↓","")&amp;IFERROR(INDEX('Level Engine'!$LG$9:$LG$55,MATCH($AL4,'Level Engine'!$AA$9:$AA$55,0)),"")&amp;IF(IFERROR(INDEX('Level Engine'!$MA$9:$MA$55,MATCH($AL4,'Level Engine'!$AA$9:$AA$55,0)),0)=1," SAND","")&amp;IF(IFERROR(INDEX('Level Engine'!$LM$9:$LM$55,MATCH($AL4,'Level Engine'!$AA$9:$AA$55,0)),0)&gt;0," TP","")&amp;IFERROR(" r"&amp;MATCH($AL4,'Level Engine'!$W$9:$W$14,0),IFERROR(" s"&amp;MATCH($AL4,'Level Engine'!$W$18:$W$23,0),""))&amp;IF($AL4='Level Engine'!$BG$165," ◇","")&amp;IF(N($DZ4)=1,IF($AL4&gt;'Level Engine'!$BG$165," ⚠ DOM↓"," ⚠ DOM↑")&amp;'Level Engine'!$BG$165,""),"")</f>
        <v/>
      </c>
      <c r="DK4" t="str">
        <f>IF(AND(ISNUMBER($AL4),OR($AL4='King Node Model'!$AL$42,$AL4='King Node Model'!$AL$43,$AL4='King Node Model'!$AL$44)),IFERROR(MATCH($AL4,'Level Engine'!$W$9:$W$14,0),""),"")</f>
        <v/>
      </c>
      <c r="DL4" t="str">
        <f>IF(AND(ISNUMBER($AL4),OR($AL4='King Node Model'!$AL$49,$AL4='King Node Model'!$AL$50,$AL4='King Node Model'!$AL$51)),IFERROR(MATCH($AL4,'Level Engine'!$W$18:$W$23,0),""),"")</f>
        <v/>
      </c>
      <c r="DM4">
        <f>IF(AND(ISNUMBER($AL4),IFERROR(INDEX('Level Engine'!$LC$9:$LC$55,MATCH($AL4,'Level Engine'!$AA$9:$AA$55,0)),0)=1,OR($AL4=$AN$3,IFERROR(INDEX('Level Engine'!$LB$9:$LB$55,MATCH($AL4,'Level Engine'!$AA$9:$AA$55,0)),0)=1)),1,0)</f>
        <v>0</v>
      </c>
      <c r="DZ4">
        <f>IF(ISNUMBER($AL4),IF(IFERROR(INDEX('Level Engine'!$NJ$9:$NJ$55,MATCH($AL4,'Level Engine'!$AA$9:$AA$55,0)),0)=1,1,0),0)</f>
      </c>
    </row>
    <row r="5" spans="1:117" ht="15" customHeight="1" thickBot="1" x14ac:dyDescent="0.3">
      <c r="A5" s="7"/>
      <c r="B5" s="8" t="str">
        <f>TEXT(IF(IF('Level Engine'!$GJ$4=1,$AL5='Level Engine'!$GJ$3,AND($AL5-$AM$2&gt;-2.5,$AL5-$AM$2&lt;=2.5)),$AM$2,$AL5),"0")&amp;IF($AL5=$AN$1," ★","")&amp;IF($AL5=$AN$2," ★","")&amp;IF($AL5=$AN$3," ◆","")&amp;IF(AND(ISNUMBER($AN$4),$AL5=$AN$4)," Ⓕ","")&amp;IF(OR(AND(ISNUMBER('Level Engine'!$BG$87),$AL5='Level Engine'!$BG$87),AND(ISNUMBER('Level Engine'!$BG$105),$AL5='Level Engine'!$BG$105))," ζ","")&amp;IF(AND(ISNUMBER($AN$35),$AL5=$AN$35)," ⓏⒼ","")&amp;IF(OR($AL5='Level Engine'!$CP$4,$AL5='Level Engine'!$CP$5,$AL5='Level Engine'!$CP$6,$AL5='Level Engine'!$CP$7)," ☄","")&amp;IF(OR($AL5=$AN$5,$AL5=$AN$8)," ║1","")&amp;IF(OR($AL5=$AN$6,$AL5=$AN$10)," ║2","")&amp;IF(OR($AL5=$AN$7,$AL5=$AN$11)," ║3","")&amp;IF(OR($AL5=$AN$13,$AL5=$AN$16)," ▣1","")&amp;IF(OR($AL5=$AN$14,$AL5=$AN$17)," ▣2","")&amp;IF(OR($AL5=$AN$15,$AL5=$AN$18)," ▣3","")&amp;IF(AND(NOT(OR(AND(ISNUMBER(SEARCH("chop edge",$E$45)),IFERROR(ABS($AL5-'King Node Model'!$AL$42)&lt;=5,FALSE),NOT(ISNUMBER(SEARCH("UNSAFE",$L$45)))),AND(ISNUMBER(SEARCH("chop edge",$E$46)),IFERROR(ABS($AL5-'King Node Model'!$AL$43)&lt;=5,FALSE),NOT(ISNUMBER(SEARCH("UNSAFE",$L$46)))),AND(ISNUMBER(SEARCH("chop edge",$E$52)),IFERROR(ABS($AL5-'King Node Model'!$AL$49)&lt;=5,FALSE),NOT(ISNUMBER(SEARCH("UNSAFE",$L$52)))),AND(ISNUMBER(SEARCH("chop edge",$E$53)),IFERROR(ABS($AL5-'King Node Model'!$AL$50)&lt;=5,FALSE),NOT(ISNUMBER(SEARCH("UNSAFE",$L$53)))))),OR(AND(IFERROR(INDEX('Level Engine'!$IB$9:$IB$55,MATCH('King Node Model'!$AL$49,'Level Engine'!$AA$9:$AA$55,0)),0)&lt;&gt;1,$AL5=IFERROR(INDEX('Level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Engine'!$AA$9:$AA$55,0)),0)&lt;&gt;1,$AL5=IFERROR(INDEX('Level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edge",$E$45)),IFERROR(ABS($AL5-'King Node Model'!$AL$42)&lt;=5,FALSE),NOT(ISNUMBER(SEARCH("UNSAFE",$L$45)))),AND(ISNUMBER(SEARCH("chop edge",$E$46)),IFERROR(ABS($AL5-'King Node Model'!$AL$43)&lt;=5,FALSE),NOT(ISNUMBER(SEARCH("UNSAFE",$L$46)))),AND(ISNUMBER(SEARCH("chop edge",$E$52)),IFERROR(ABS($AL5-'King Node Model'!$AL$49)&lt;=5,FALSE),NOT(ISNUMBER(SEARCH("UNSAFE",$L$52)))),AND(ISNUMBER(SEARCH("chop edge",$E$53)),IFERROR(ABS($AL5-'King Node Model'!$AL$50)&lt;=5,FALSE),NOT(ISNUMBER(SEARCH("UNSAFE",$L$53)))))),OR(AND(IFERROR(INDEX('Level Engine'!$IB$9:$IB$55,MATCH('King Node Model'!$AL$42,'Level Engine'!$AA$9:$AA$55,0)),0)&lt;&gt;1,$AL5=IFERROR(INDEX('Level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Engine'!$AA$9:$AA$55,0)),0)&lt;&gt;1,$AL5=IFERROR(INDEX('Level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ⒷⓁ"),"")&amp;IF(OR(AND($AL5&gt;='King Node Model'!$AM$17,$AL5&lt;='King Node Model'!$AN$17,$AP$45="RASP"),AND($AL5&gt;='King Node Model'!$AM$18,$AL5&lt;='King Node Model'!$AN$18,$AP$46="RASP"),AND($AL5&gt;='King Node Model'!$AM$19,$AL5&lt;='King Node Model'!$AN$19,$AP$47="RASP"),AND($AL5&gt;='King Node Model'!$AM$20,$AL5&lt;='King Node Model'!$AN$20,$AP$52="RASP"),AND($AL5&gt;='King Node Model'!$AM$21,$AL5&lt;='King Node Model'!$AN$21,$AP$53="RASP"),AND($AL5&gt;='King Node Model'!$AM$22,$AL5&lt;='King Node Model'!$AN$22,$AP$54="RASP")),"","")&amp;IF(IF('Level Engine'!$GJ$4=1,$AL5='Level Engine'!$GJ$3,AND($AL5-$AM$2&gt;-2.5,$AL5-$AM$2&lt;=2.5))," ◄","")&amp;IF(IFERROR(INDEX('Level Engine'!$GV$9:$GV$55,MATCH($AL5,'Level Engine'!$AA$9:$AA$55,0)),0)=1," Ⓥ"&amp;IF(IFERROR(INDEX('Level Engine'!$ET$9:$ET$55,MATCH($AL5,'Level Engine'!$AA$9:$AA$55,0)),0)=1,"+",""),"")&amp;IF(OR(AND($AL5=$AN$38,IFERROR(INDEX('Level Engine'!$AN$9:$AN$55,MATCH($AL5,'Level Engine'!$AA$9:$AA$55,0)),0)&lt;&gt;1),$AL5=$AN$39)," ⊙","")&amp;IF(AND(OR('King Node Model'!$A$8="Neg",N('Level Engine'!$BG$72)=1),ABS(MIN($AM$3:$AM$64))&gt;MAX($AM$3:$AM$64),$AN$2&lt;$AM$2,$AL5&lt;$AM$2,ABS($AL5-$AN$2)&lt;=5,IFERROR(VALUE(MID('King Node Model'!$K$26,FIND(":",'King Node Model'!$K$26)-2,2)),0)&gt;=19,IFERROR(INDEX('Level Engine'!$EJ$9:$EJ$55,MATCH($AL5,'Level Engine'!$AA$9:$AA$55,0)),0)=0,$AN$3&gt;$AM$2)," ⟲rev","")&amp;IF($AL5='King Node Model'!$F$24," ⟂","")&amp;$DJ5&amp;IF(IFERROR(INDEX('Level Engine'!$EN$9:$EN$55,MATCH($AL5,'Level Engine'!$AA$9:$AA$55,0)),0)=1," Ⓟ"&amp;IF(AND(OR('King Node Model'!$A$8="Neg",N('Level Engine'!$BG$72)=1),IFERROR(INDEX('Level Engine'!$AN$9:$AN$55,MATCH($AL5,'Level Engine'!$AA$9:$AA$55,0)),0)&lt;&gt;1)," NO-REV",""),"")&amp;IF(AND(ISNUMBER($AL5),OR(AND(ISNUMBER(SEARCH("chop edge",$E$45)),$AL5='King Node Model'!$AL$42),AND(ISNUMBER(SEARCH("chop edge",$E$46)),$AL5='King Node Model'!$AL$43),AND(ISNUMBER(SEARCH("chop edge",$E$52)),$AL5='King Node Model'!$AL$49),AND(ISNUMBER(SEARCH("chop edge",$E$53)),$AL5='King Node Model'!$AL$50)))," ⒸⒺ","")&amp;IF(AND('Level Engine'!$GJ$4=1,OR($AL5='Level Engine'!$GJ$1,$AL5='Level Engine'!$GJ$2)),"","")&amp;IF(ABS(N(IFERROR(INDEX('Level Engine'!$AE$9:$AE$55,MATCH($AL5,'Level Engine'!$AA$9:$AA$55,0)),0)))&gt;='Level Engine'!$BG$85,IF(N(IFERROR(INDEX('Level Engine'!$AE$9:$AE$55,MATCH($AL5,'Level Engine'!$AA$9:$AA$55,0)),0))&gt;0," Δ+"," Δ−"),"")&amp;IFERROR(IF(AND(ISNUMBER(MATCH($AL5,'Level Engine'!$AA$9:$AA$55,0)),ABS(N(IFERROR(INDEX('Level Engine'!$AE$9:$AE$55,MATCH($AL5,'Level Engine'!$AA$9:$AA$55,0)),0)))&lt;'Level Engine'!$BG$85,ABS(N(IFERROR(INDEX('Level Engine'!$AE$9:$AE$55,MATCH($AL5,'Level Engine'!$AA$9:$AA$55,0)),0)))&lt;=ABS(N(IFERROR(INDEX('Level Engine'!$AE$9:$AE$55,MATCH($AL5+5,'Level Engine'!$AA$9:$AA$55,0)),0))),ABS(N(IFERROR(INDEX('Level Engine'!$AE$9:$AE$55,MATCH($AL5,'Level Engine'!$AA$9:$AA$55,0)),0)))&lt;=ABS(N(IFERROR(INDEX('Level Engine'!$AE$9:$AE$55,MATCH($AL5-5,'Level Engine'!$AA$9:$AA$55,0)),0))),OR(AND(ABS(N(IFERROR(INDEX('Level Engine'!$AE$9:$AE$55,MATCH($AL5+5,'Level Engine'!$AA$9:$AA$55,0)),0)))&gt;='Level Engine'!$BG$85,ABS(N(IFERROR(INDEX('Level Engine'!$AE$9:$AE$55,MATCH($AL5,'Level Engine'!$AA$9:$AA$55,0)),0)))&lt;='Level Engine'!$BG$88*ABS(N(IFERROR(INDEX('Level Engine'!$AE$9:$AE$55,MATCH($AL5+5,'Level Engine'!$AA$9:$AA$55,0)),0)))),AND(ABS(N(IFERROR(INDEX('Level Engine'!$AE$9:$AE$55,MATCH($AL5-5,'Level Engine'!$AA$9:$AA$55,0)),0)))&gt;='Level Engine'!$BG$85,ABS(N(IFERROR(INDEX('Level Engine'!$AE$9:$AE$55,MATCH($AL5,'Level Engine'!$AA$9:$AA$55,0)),0)))&lt;='Level Engine'!$BG$88*ABS(N(IFERROR(INDEX('Level Engine'!$AE$9:$AE$55,MATCH($AL5-5,'Level Engine'!$AA$9:$AA$55,0)),0)))))),IF(AND('King Node Model'!$A$8="Pos",N('Level Engine'!$BG$72)&lt;&gt;1),""," ∅"),""),"")&amp;IF(IFERROR(INDEX('Level Engine'!$JD$9:$JD$55,MATCH($AL5,'Level Engine'!$AA$9:$AA$55,0)),"")="P"," P-OI",IF(IFERROR(INDEX('Level Engine'!$JD$9:$JD$55,MATCH($AL5,'Level Engine'!$AA$9:$AA$55,0)),"")="C"," C-OI",""))</f>
        <v>7875</v>
      </c>
      <c r="C5" s="9" t="str">
        <f t="shared" si="0"/>
        <v/>
      </c>
      <c r="D5" t="str">
        <f>IF(NOT(ISNUMBER($AL5)),"",IF(IFERROR(INDEX('Level Engine'!$FS$9:$FS$55,MATCH($AL5,'Level Engine'!$AA$9:$AA$55,0)),0)=1,"⊙",""))</f>
        <v/>
      </c>
      <c r="E5" s="563" t="str">
        <f>"IV REGIME   "&amp;'King Node Model'!$P$9</f>
        <v>IV REGIME   Recovery Day with Local Wiggle</v>
      </c>
      <c r="F5" s="563"/>
      <c r="G5" s="563"/>
      <c r="H5" s="563"/>
      <c r="I5" s="563"/>
      <c r="J5" s="13"/>
      <c r="K5" s="13" t="str">
        <f>IF(ISNUMBER(SEARCH("Coiled Spring",'King Node Model'!$P$9)),"VIX "&amp;'King Node Model'!$P$4&amp;"  VVIX "&amp;'King Node Model'!$P$5&amp;"  → "&amp;IF(AND('King Node Model'!$P$4="Up",'King Node Model'!$P$5="Up"),"High",IF(AND('King Node Model'!$P$4="Down",'King Node Model'!$P$5="Down"),"Low","MIXED")),"")</f>
        <v/>
      </c>
      <c r="L5" s="14"/>
      <c r="M5" s="564" t="str">
        <f>IF($L$5&lt;&gt;"",UPPER($L$5)&amp;" IV  (override)",IF('King Node Model'!$P$10="MIXED","MIXED IV — set override",IF('King Node Model'!$L$5="","",UPPER('King Node Model'!$L$5)&amp;" IV")))</f>
        <v>LOW IV</v>
      </c>
      <c r="N5" s="564"/>
      <c r="Q5" s="437" t="str">
        <f>PROPER('King Node Model'!$L$5)</f>
        <v>Low</v>
      </c>
      <c r="R5" s="438" t="str">
        <f>(IF('Level Engine'!$D$5="UP","Rising",IF('Level Engine'!$D$5="DOWN","Falling","Flat")))&amp;IF('Level Engine'!$BG$80&lt;&gt;"","  (fast: "&amp;IF(UPPER('Level Engine'!$BG$80)="UP","Rising",IF(UPPER('Level Engine'!$BG$80)="DOWN","Falling","Flat"))&amp;")","")</f>
        <v>Rising  (fast: Rising)</v>
      </c>
      <c r="S5" s="507">
        <f>IF(ISNUMBER('Level Engine'!$C$3),'Level Engine'!$C$3,"")</f>
        <v>0.13700000000000001</v>
      </c>
      <c r="T5" s="480"/>
      <c r="U5" s="480"/>
      <c r="AL5" s="1">
        <f>'King Node Model'!A31</f>
        <v>7875</v>
      </c>
      <c r="AM5" s="10">
        <f>'King Node Model'!C31</f>
        <v>55016</v>
      </c>
      <c r="AN5" s="3">
        <f>'King Node Model'!T25</f>
        <v>7795</v>
      </c>
      <c r="AO5" s="10">
        <f>'King Node Model'!B31</f>
        <v>57578</v>
      </c>
      <c r="AY5" s="1">
        <f>IF(AND($B$2="Hide unsafe",$BB5=1),0,IF(AND(OR(AND(AND(ISNUMBER($AL5),OR(AND($AL5&gt;=$AQ$22,$AL5&lt;=$AR$22,$AS$22=1),$AL5=$AQ$22,$AL5=$AR$22,$AL5=$AQ$23,$AL5=$AR$23,$AL5=$AQ$24,$AL5=$AR$24),NOT(OR($AL5=$AN$5,$AL5=$AN$6,$AL5=$AN$7,$AL5=$AN$8,$AL5=$AN$10,$AL5=$AN$11))),NOT(OR(AND('King Node Model'!$P$13="Up",OR($AL5=$AQ$22,$AL5=$AQ$23,$AL5=$AQ$24,$AL5='King Node Model'!$AM$20,$AL5='King Node Model'!$AM$21,$AL5='King Node Model'!$AM$22),OR(AND('King Node Model'!$B$23-$AL5&gt;=0,'King Node Model'!$B$23-$AL5&lt;=5),AND('King Node Model'!$C$23-$AL5&gt;=0,'King Node Model'!$C$23-$AL5&lt;=5))),AND('King Node Model'!$P$13="Down",OR($AL5=$AR$22,$AL5=$AR$23,$AL5=$AR$24,$AL5='King Node Model'!$AN$20,$AL5='King Node Model'!$AN$21,$AL5='King Node Model'!$AN$22),OR(AND($AL5-'King Node Model'!$B$23&gt;=0,$AL5-'King Node Model'!$B$23&lt;=5),AND($AL5-'King Node Model'!$C$24&gt;=0,$AL5-'King Node Model'!$C$24&lt;=5)))))),AND(AND(ISNUMBER($AL5),OR(AND($AL5&gt;=$AQ$22,$AL5&lt;=$AR$22,$AS$22=1),$AL5=$AQ$22,$AL5=$AR$22,$AL5=$AQ$23,$AL5=$AR$23,$AL5=$AQ$24,$AL5=$AR$24,$AL5='King Node Model'!$AL$42,$AL5='King Node Model'!$AL$43),OR($AL5=$AN$5,$AL5=$AN$6,$AL5=$AN$7,$AL5=$AN$8,$AL5=$AN$10,$AL5=$AN$11)),NOT(OR(AND('King Node Model'!$P$13="Up",OR($AL5=$AQ$22,$AL5=$AQ$23,$AL5=$AQ$24,$AL5='King Node Model'!$AM$20,$AL5='King Node Model'!$AM$21,$AL5='King Node Model'!$AM$22),OR(AND('King Node Model'!$B$23-$AL5&gt;=0,'King Node Model'!$B$23-$AL5&lt;=5),AND('King Node Model'!$C$23-$AL5&gt;=0,'King Node Model'!$C$23-$AL5&lt;=5))),AND('King Node Model'!$P$13="Down",OR($AL5=$AR$22,$AL5=$AR$23,$AL5=$AR$24,$AL5='King Node Model'!$AN$20,$AL5='King Node Model'!$AN$21,$AL5='King Node Model'!$AN$22),OR(AND($AL5-'King Node Model'!$B$23&gt;=0,$AL5-'King Node Model'!$B$23&lt;=5),AND($AL5-'King Node Model'!$C$24&gt;=0,$AL5-'King Node Model'!$C$24&lt;=5)))))),AND(AND(ISNUMBER($AL5),OR(AND($AL5&gt;='King Node Model'!$AM$20,$AL5&lt;='King Node Model'!$AN$20,$AS$23=1),$AL5='King Node Model'!$AM$20,$AL5='King Node Model'!$AN$20,$AL5='King Node Model'!$AM$21,$AL5='King Node Model'!$AN$21,$AL5='King Node Model'!$AM$22,$AL5='King Node Model'!$AN$22),NOT(OR($AL5=$AN$5,$AL5=$AN$6,$AL5=$AN$7,$AL5=$AN$8,$AL5=$AN$10,$AL5=$AN$11))),NOT(AND(ISNUMBER('King Node Model'!$F$24),$AL5='King Node Model'!$F$24,IFERROR(INDEX('Level Engine'!$JN$9:$JN$55,MATCH($AL5,'Level Engine'!$AA$9:$AA$55,0)),0)&lt;&gt;1))),AND(AND(ISNUMBER($AL5),OR(AND($AL5&gt;='King Node Model'!$AM$20,$AL5&lt;='King Node Model'!$AN$20,$AS$23=1),$AL5='King Node Model'!$AM$20,$AL5='King Node Model'!$AN$20,$AL5='King Node Model'!$AM$21,$AL5='King Node Model'!$AN$21,$AL5='King Node Model'!$AM$22,$AL5='King Node Model'!$AN$22,$AL5='King Node Model'!$AL$49,$AL5='King Node Model'!$AL$50),OR($AL5=$AN$5,$AL5=$AN$6,$AL5=$AN$7,$AL5=$AN$8,$AL5=$AN$10,$AL5=$AN$11)),NOT(OR(AND('King Node Model'!$P$13="Up",OR($AL5=$AQ$22,$AL5=$AQ$23,$AL5=$AQ$24,$AL5='King Node Model'!$AM$20,$AL5='King Node Model'!$AM$21,$AL5='King Node Model'!$AM$22),OR(AND('King Node Model'!$B$23-$AL5&gt;=0,'King Node Model'!$B$23-$AL5&lt;=5),AND('King Node Model'!$C$23-$AL5&gt;=0,'King Node Model'!$C$23-$AL5&lt;=5))),AND('King Node Model'!$P$13="Down",OR($AL5=$AR$22,$AL5=$AR$23,$AL5=$AR$24,$AL5='King Node Model'!$AN$20,$AL5='King Node Model'!$AN$21,$AL5='King Node Model'!$AN$22),OR(AND($AL5-'King Node Model'!$B$23&gt;=0,$AL5-'King Node Model'!$B$23&lt;=5),AND($AL5-'King Node Model'!$C$24&gt;=0,$AL5-'King Node Model'!$C$24&lt;=5))))))),OR(COUNTIF('Level Engine'!$W$9:$W$14,$AL5)&gt;0,COUNTIF('Level Engine'!$W$18:$W$23,$AL5)&gt;0)),1,0))</f>
        <v>0</v>
      </c>
      <c r="AZ5" s="1">
        <f t="shared" si="1"/>
        <v>0</v>
      </c>
      <c r="BB5" s="1">
        <f>IF(OR(AND($AL5='King Node Model'!$AL$42,$AP$45&lt;&gt;"RASP"),AND($AL5='King Node Model'!$AL$43,$AP$46&lt;&gt;"RASP"),AND($AL5='King Node Model'!$AL$49,$AP$52&lt;&gt;"RASP"),AND($AL5='King Node Model'!$AL$50,$AP$53&lt;&gt;"RASP"),AND($AL5='King Node Model'!$AL$44,$AP$47&lt;&gt;"RASP"),AND($AL5='King Node Model'!$AL$51,$AP$54&lt;&gt;"RASP")),0,IF(AND(AND(ISNUMBER($AL5),OR(AND($AL5&gt;=$AQ$22,$AL5&lt;=$AR$22,$AP$45="RASP"),AND($AL5&gt;=$AQ$23,$AL5&lt;=$AR$23,$AP$46="RASP"),AND($AL5&gt;=$AQ$24,$AL5&lt;=$AR$24,$AP$47="RASP"),AND($AL5&gt;='King Node Model'!$AM$20,$AL5&lt;='King Node Model'!$AN$20,$AP$52="RASP",NOT($L$52=$AW$52)),AND($AL5='King Node Model'!$B$23,$AP$52="RASP",$L$52=$AW$52),AND($AL5&gt;='King Node Model'!$AM$21,$AL5&lt;='King Node Model'!$AN$21,$AP$53="RASP",NOT($L$53=$AW$53)),AND($AL5='King Node Model'!$B$23,$AP$53="RASP",$L$53=$AW$53),AND($AL5&gt;='King Node Model'!$AM$22,$AL5&lt;='King Node Model'!$AN$22,$AP$54="RASP"),AND($AL5&gt;=IFERROR(INDEX('Level Engine'!$AT$9:$AT$55,MATCH('King Node Model'!$AL$42,'Level Engine'!$AA$9:$AA$55,0)),""),$AL5&lt;=IFERROR(INDEX('Level Engine'!$AU$9:$AU$55,MATCH('King Node Model'!$AL$42,'Level Engine'!$AA$9:$AA$55,0)),""),$AP$45="RASP"),AND($AL5&gt;=IFERROR(INDEX('Level Engine'!$AT$9:$AT$55,MATCH('King Node Model'!$AL$43,'Level Engine'!$AA$9:$AA$55,0)),""),$AL5&lt;=IFERROR(INDEX('Level Engine'!$AU$9:$AU$55,MATCH('King Node Model'!$AL$43,'Level Engine'!$AA$9:$AA$55,0)),""),$AP$46="RASP"),AND($AL5&gt;=IFERROR(INDEX('Level Engine'!$AT$9:$AT$55,MATCH('King Node Model'!$AL$44,'Level Engine'!$AA$9:$AA$55,0)),""),$AL5&lt;=IFERROR(INDEX('Level Engine'!$AU$9:$AU$55,MATCH('King Node Model'!$AL$44,'Level Engine'!$AA$9:$AA$55,0)),""),$AP$47="RASP"),AND($AL5&gt;=IFERROR(INDEX('Level Engine'!$AT$9:$AT$55,MATCH('King Node Model'!$AL$49,'Level Engine'!$AA$9:$AA$55,0)),""),$AL5&lt;=IFERROR(INDEX('Level Engine'!$AU$9:$AU$55,MATCH('King Node Model'!$AL$49,'Level Engine'!$AA$9:$AA$55,0)),""),$AP$52="RASP",NOT($L$52=$AW$52)),AND($AL5&gt;=IFERROR(INDEX('Level Engine'!$AT$9:$AT$55,MATCH('King Node Model'!$AL$50,'Level Engine'!$AA$9:$AA$55,0)),""),$AL5&lt;=IFERROR(INDEX('Level Engine'!$AU$9:$AU$55,MATCH('King Node Model'!$AL$50,'Level Engine'!$AA$9:$AA$55,0)),""),$AP$53="RASP",NOT($L$53=$AW$53)),AND($AL5&gt;=IFERROR(INDEX('Level Engine'!$AT$9:$AT$55,MATCH('King Node Model'!$AL$51,'Level Engine'!$AA$9:$AA$55,0)),""),$AL5&lt;=IFERROR(INDEX('Level Engine'!$AU$9:$AU$55,MATCH('King Node Model'!$AL$51,'Level Engine'!$AA$9:$AA$55,0)),""),$AP$54="RASP"))),NOT(AND(ISNUMBER('King Node Model'!$F$24),$AL5='King Node Model'!$F$24,IFERROR(INDEX('Level Engine'!$JN$9:$JN$55,MATCH($AL5,'Level Engine'!$AA$9:$AA$55,0)),0)&lt;&gt;1,$AL5&lt;&gt;'King Node Model'!$AL$42,$AL5&lt;&gt;'King Node Model'!$AL$43,$AL5&lt;&gt;'King Node Model'!$AL$44,$AL5&lt;&gt;'King Node Model'!$AL$49,$AL5&lt;&gt;'King Node Model'!$AL$50,$AL5&lt;&gt;'King Node Model'!$AL$51))),1,0))</f>
        <v>0</v>
      </c>
      <c r="CO5">
        <f>IF(NOT(ISNUMBER($AL5)),"",IF(NOT(ISNUMBER(IFERROR(INDEX('Level Engine'!$FT$9:$FT$55,MATCH($AL5,'Level Engine'!$AA$9:$AA$55,0)),""))),"",IF(IFERROR(INDEX('Level Engine'!$FT$9:$FT$55,MATCH($AL5,'Level Engine'!$AA$9:$AA$55,0)),"")&lt;0,0,2)+IF(ABS(IFERROR(INDEX('Level Engine'!$FT$9:$FT$55,MATCH($AL5,'Level Engine'!$AA$9:$AA$55,0)),""))&gt;='Level Engine'!$FT$2,2,1)))</f>
        <v>4</v>
      </c>
      <c r="DJ5" t="str">
        <f>IF(ISNUMBER($AL5),IF($AL5='Level Engine'!$BG$122," ⫪","")&amp;IF($AL5='Level Engine'!$BG$118," S↑"&amp;IFERROR(INDEX('Level Engine'!$MV$9:$MV$55,MATCH($AL5,'Level Engine'!$AA$9:$AA$55,0)),""),"")&amp;IF($AL5='Level Engine'!$BG$119," S↓"&amp;IFERROR(INDEX('Level Engine'!$MV$9:$MV$55,MATCH($AL5,'Level Engine'!$AA$9:$AA$55,0)),""),"")&amp;IF($AL5='Level Engine'!$BG$120," D↑","")&amp;IF($AL5='Level Engine'!$BG$121," D↓","")&amp;IFERROR(INDEX('Level Engine'!$LG$9:$LG$55,MATCH($AL5,'Level Engine'!$AA$9:$AA$55,0)),"")&amp;IF(IFERROR(INDEX('Level Engine'!$MA$9:$MA$55,MATCH($AL5,'Level Engine'!$AA$9:$AA$55,0)),0)=1," SAND","")&amp;IF(IFERROR(INDEX('Level Engine'!$LM$9:$LM$55,MATCH($AL5,'Level Engine'!$AA$9:$AA$55,0)),0)&gt;0," TP","")&amp;IFERROR(" r"&amp;MATCH($AL5,'Level Engine'!$W$9:$W$14,0),IFERROR(" s"&amp;MATCH($AL5,'Level Engine'!$W$18:$W$23,0),""))&amp;IF($AL5='Level Engine'!$BG$165," ◇","")&amp;IF(N($DZ5)=1,IF($AL5&gt;'Level Engine'!$BG$165," ⚠ DOM↓"," ⚠ DOM↑")&amp;'Level Engine'!$BG$165,""),"")</f>
        <v/>
      </c>
      <c r="DK5" t="str">
        <f>IF(AND(ISNUMBER($AL5),OR($AL5='King Node Model'!$AL$42,$AL5='King Node Model'!$AL$43,$AL5='King Node Model'!$AL$44)),IFERROR(MATCH($AL5,'Level Engine'!$W$9:$W$14,0),""),"")</f>
        <v/>
      </c>
      <c r="DL5" t="str">
        <f>IF(AND(ISNUMBER($AL5),OR($AL5='King Node Model'!$AL$49,$AL5='King Node Model'!$AL$50,$AL5='King Node Model'!$AL$51)),IFERROR(MATCH($AL5,'Level Engine'!$W$18:$W$23,0),""),"")</f>
        <v/>
      </c>
      <c r="DM5">
        <f>IF(AND(ISNUMBER($AL5),IFERROR(INDEX('Level Engine'!$LC$9:$LC$55,MATCH($AL5,'Level Engine'!$AA$9:$AA$55,0)),0)=1,OR($AL5=$AN$3,IFERROR(INDEX('Level Engine'!$LB$9:$LB$55,MATCH($AL5,'Level Engine'!$AA$9:$AA$55,0)),0)=1)),1,0)</f>
        <v>0</v>
      </c>
      <c r="DZ5">
        <f>IF(ISNUMBER($AL5),IF(IFERROR(INDEX('Level Engine'!$NJ$9:$NJ$55,MATCH($AL5,'Level Engine'!$AA$9:$AA$55,0)),0)=1,1,0),0)</f>
      </c>
    </row>
    <row r="6" spans="1:117" ht="18.75" customHeight="1" thickBot="1" x14ac:dyDescent="0.3">
      <c r="A6" s="7" t="str">
        <f t="shared" ref="A6:A18" si="2">IF(AND(ISNUMBER($AM6),$AM6&lt;0,ISNUMBER($AO6),$AO$1&gt;0),REPT("█",ROUND($AO6/$AO$1*26,0)),"")</f>
        <v/>
      </c>
      <c r="B6" s="8" t="str">
        <f>TEXT(IF(IF('Level Engine'!$GJ$4=1,$AL6='Level Engine'!$GJ$3,AND($AL6-$AM$2&gt;-2.5,$AL6-$AM$2&lt;=2.5)),$AM$2,$AL6),"0")&amp;IF($AL6=$AN$1," ★","")&amp;IF($AL6=$AN$2," ★","")&amp;IF($AL6=$AN$3," ◆","")&amp;IF(AND(ISNUMBER($AN$4),$AL6=$AN$4)," Ⓕ","")&amp;IF(OR(AND(ISNUMBER('Level Engine'!$BG$87),$AL6='Level Engine'!$BG$87),AND(ISNUMBER('Level Engine'!$BG$105),$AL6='Level Engine'!$BG$105))," ζ","")&amp;IF(AND(ISNUMBER($AN$35),$AL6=$AN$35)," ⓏⒼ","")&amp;IF(OR($AL6='Level Engine'!$CP$4,$AL6='Level Engine'!$CP$5,$AL6='Level Engine'!$CP$6,$AL6='Level Engine'!$CP$7)," ☄","")&amp;IF(OR($AL6=$AN$5,$AL6=$AN$8)," ║1","")&amp;IF(OR($AL6=$AN$6,$AL6=$AN$10)," ║2","")&amp;IF(OR($AL6=$AN$7,$AL6=$AN$11)," ║3","")&amp;IF(OR($AL6=$AN$13,$AL6=$AN$16)," ▣1","")&amp;IF(OR($AL6=$AN$14,$AL6=$AN$17)," ▣2","")&amp;IF(OR($AL6=$AN$15,$AL6=$AN$18)," ▣3","")&amp;IF(AND(NOT(OR(AND(ISNUMBER(SEARCH("chop edge",$E$45)),IFERROR(ABS($AL6-'King Node Model'!$AL$42)&lt;=5,FALSE),NOT(ISNUMBER(SEARCH("UNSAFE",$L$45)))),AND(ISNUMBER(SEARCH("chop edge",$E$46)),IFERROR(ABS($AL6-'King Node Model'!$AL$43)&lt;=5,FALSE),NOT(ISNUMBER(SEARCH("UNSAFE",$L$46)))),AND(ISNUMBER(SEARCH("chop edge",$E$52)),IFERROR(ABS($AL6-'King Node Model'!$AL$49)&lt;=5,FALSE),NOT(ISNUMBER(SEARCH("UNSAFE",$L$52)))),AND(ISNUMBER(SEARCH("chop edge",$E$53)),IFERROR(ABS($AL6-'King Node Model'!$AL$50)&lt;=5,FALSE),NOT(ISNUMBER(SEARCH("UNSAFE",$L$53)))))),OR(AND(IFERROR(INDEX('Level Engine'!$IB$9:$IB$55,MATCH('King Node Model'!$AL$49,'Level Engine'!$AA$9:$AA$55,0)),0)&lt;&gt;1,$AL6=IFERROR(INDEX('Level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Engine'!$AA$9:$AA$55,0)),0)&lt;&gt;1,$AL6=IFERROR(INDEX('Level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edge",$E$45)),IFERROR(ABS($AL6-'King Node Model'!$AL$42)&lt;=5,FALSE),NOT(ISNUMBER(SEARCH("UNSAFE",$L$45)))),AND(ISNUMBER(SEARCH("chop edge",$E$46)),IFERROR(ABS($AL6-'King Node Model'!$AL$43)&lt;=5,FALSE),NOT(ISNUMBER(SEARCH("UNSAFE",$L$46)))),AND(ISNUMBER(SEARCH("chop edge",$E$52)),IFERROR(ABS($AL6-'King Node Model'!$AL$49)&lt;=5,FALSE),NOT(ISNUMBER(SEARCH("UNSAFE",$L$52)))),AND(ISNUMBER(SEARCH("chop edge",$E$53)),IFERROR(ABS($AL6-'King Node Model'!$AL$50)&lt;=5,FALSE),NOT(ISNUMBER(SEARCH("UNSAFE",$L$53)))))),OR(AND(IFERROR(INDEX('Level Engine'!$IB$9:$IB$55,MATCH('King Node Model'!$AL$42,'Level Engine'!$AA$9:$AA$55,0)),0)&lt;&gt;1,$AL6=IFERROR(INDEX('Level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Engine'!$AA$9:$AA$55,0)),0)&lt;&gt;1,$AL6=IFERROR(INDEX('Level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ⒷⓁ"),"")&amp;IF(OR(AND($AL6&gt;='King Node Model'!$AM$17,$AL6&lt;='King Node Model'!$AN$17,$AP$45="RASP"),AND($AL6&gt;='King Node Model'!$AM$18,$AL6&lt;='King Node Model'!$AN$18,$AP$46="RASP"),AND($AL6&gt;='King Node Model'!$AM$19,$AL6&lt;='King Node Model'!$AN$19,$AP$47="RASP"),AND($AL6&gt;='King Node Model'!$AM$20,$AL6&lt;='King Node Model'!$AN$20,$AP$52="RASP"),AND($AL6&gt;='King Node Model'!$AM$21,$AL6&lt;='King Node Model'!$AN$21,$AP$53="RASP"),AND($AL6&gt;='King Node Model'!$AM$22,$AL6&lt;='King Node Model'!$AN$22,$AP$54="RASP")),"","")&amp;IF(IF('Level Engine'!$GJ$4=1,$AL6='Level Engine'!$GJ$3,AND($AL6-$AM$2&gt;-2.5,$AL6-$AM$2&lt;=2.5))," ◄","")&amp;IF(IFERROR(INDEX('Level Engine'!$GV$9:$GV$55,MATCH($AL6,'Level Engine'!$AA$9:$AA$55,0)),0)=1," Ⓥ"&amp;IF(IFERROR(INDEX('Level Engine'!$ET$9:$ET$55,MATCH($AL6,'Level Engine'!$AA$9:$AA$55,0)),0)=1,"+",""),"")&amp;IF(OR(AND($AL6=$AN$38,IFERROR(INDEX('Level Engine'!$AN$9:$AN$55,MATCH($AL6,'Level Engine'!$AA$9:$AA$55,0)),0)&lt;&gt;1),$AL6=$AN$39)," ⊙","")&amp;IF(AND(OR('King Node Model'!$A$8="Neg",N('Level Engine'!$BG$72)=1),ABS(MIN($AM$3:$AM$64))&gt;MAX($AM$3:$AM$64),$AN$2&lt;$AM$2,$AL6&lt;$AM$2,ABS($AL6-$AN$2)&lt;=5,IFERROR(VALUE(MID('King Node Model'!$K$26,FIND(":",'King Node Model'!$K$26)-2,2)),0)&gt;=19,IFERROR(INDEX('Level Engine'!$EJ$9:$EJ$55,MATCH($AL6,'Level Engine'!$AA$9:$AA$55,0)),0)=0,$AN$3&gt;$AM$2)," ⟲rev","")&amp;IF($AL6='King Node Model'!$F$24," ⟂","")&amp;$DJ6&amp;IF(IFERROR(INDEX('Level Engine'!$EN$9:$EN$55,MATCH($AL6,'Level Engine'!$AA$9:$AA$55,0)),0)=1," Ⓟ"&amp;IF(AND(OR('King Node Model'!$A$8="Neg",N('Level Engine'!$BG$72)=1),IFERROR(INDEX('Level Engine'!$AN$9:$AN$55,MATCH($AL6,'Level Engine'!$AA$9:$AA$55,0)),0)&lt;&gt;1)," NO-REV",""),"")&amp;IF(AND(ISNUMBER($AL6),OR(AND(ISNUMBER(SEARCH("chop edge",$E$45)),$AL6='King Node Model'!$AL$42),AND(ISNUMBER(SEARCH("chop edge",$E$46)),$AL6='King Node Model'!$AL$43),AND(ISNUMBER(SEARCH("chop edge",$E$52)),$AL6='King Node Model'!$AL$49),AND(ISNUMBER(SEARCH("chop edge",$E$53)),$AL6='King Node Model'!$AL$50)))," ⒸⒺ","")&amp;IF(AND('Level Engine'!$GJ$4=1,OR($AL6='Level Engine'!$GJ$1,$AL6='Level Engine'!$GJ$2)),"","")&amp;IF(ABS(N(IFERROR(INDEX('Level Engine'!$AE$9:$AE$55,MATCH($AL6,'Level Engine'!$AA$9:$AA$55,0)),0)))&gt;='Level Engine'!$BG$85,IF(N(IFERROR(INDEX('Level Engine'!$AE$9:$AE$55,MATCH($AL6,'Level Engine'!$AA$9:$AA$55,0)),0))&gt;0," Δ+"," Δ−"),"")&amp;IFERROR(IF(AND(ISNUMBER(MATCH($AL6,'Level Engine'!$AA$9:$AA$55,0)),ABS(N(IFERROR(INDEX('Level Engine'!$AE$9:$AE$55,MATCH($AL6,'Level Engine'!$AA$9:$AA$55,0)),0)))&lt;'Level Engine'!$BG$85,ABS(N(IFERROR(INDEX('Level Engine'!$AE$9:$AE$55,MATCH($AL6,'Level Engine'!$AA$9:$AA$55,0)),0)))&lt;=ABS(N(IFERROR(INDEX('Level Engine'!$AE$9:$AE$55,MATCH($AL6+5,'Level Engine'!$AA$9:$AA$55,0)),0))),ABS(N(IFERROR(INDEX('Level Engine'!$AE$9:$AE$55,MATCH($AL6,'Level Engine'!$AA$9:$AA$55,0)),0)))&lt;=ABS(N(IFERROR(INDEX('Level Engine'!$AE$9:$AE$55,MATCH($AL6-5,'Level Engine'!$AA$9:$AA$55,0)),0))),OR(AND(ABS(N(IFERROR(INDEX('Level Engine'!$AE$9:$AE$55,MATCH($AL6+5,'Level Engine'!$AA$9:$AA$55,0)),0)))&gt;='Level Engine'!$BG$85,ABS(N(IFERROR(INDEX('Level Engine'!$AE$9:$AE$55,MATCH($AL6,'Level Engine'!$AA$9:$AA$55,0)),0)))&lt;='Level Engine'!$BG$88*ABS(N(IFERROR(INDEX('Level Engine'!$AE$9:$AE$55,MATCH($AL6+5,'Level Engine'!$AA$9:$AA$55,0)),0)))),AND(ABS(N(IFERROR(INDEX('Level Engine'!$AE$9:$AE$55,MATCH($AL6-5,'Level Engine'!$AA$9:$AA$55,0)),0)))&gt;='Level Engine'!$BG$85,ABS(N(IFERROR(INDEX('Level Engine'!$AE$9:$AE$55,MATCH($AL6,'Level Engine'!$AA$9:$AA$55,0)),0)))&lt;='Level Engine'!$BG$88*ABS(N(IFERROR(INDEX('Level Engine'!$AE$9:$AE$55,MATCH($AL6-5,'Level Engine'!$AA$9:$AA$55,0)),0)))))),IF(AND('King Node Model'!$A$8="Pos",N('Level Engine'!$BG$72)&lt;&gt;1),""," ∅"),""),"")&amp;IF(IFERROR(INDEX('Level Engine'!$JD$9:$JD$55,MATCH($AL6,'Level Engine'!$AA$9:$AA$55,0)),"")="P"," P-OI",IF(IFERROR(INDEX('Level Engine'!$JD$9:$JD$55,MATCH($AL6,'Level Engine'!$AA$9:$AA$55,0)),"")="C"," C-OI",""))</f>
        <v>7870</v>
      </c>
      <c r="C6" s="9" t="str">
        <f t="shared" si="0"/>
        <v>█</v>
      </c>
      <c r="D6" t="str">
        <f>IF(NOT(ISNUMBER($AL6)),"",IF(IFERROR(INDEX('Level Engine'!$FS$9:$FS$55,MATCH($AL6,'Level Engine'!$AA$9:$AA$55,0)),0)=1,"⊙",""))</f>
        <v/>
      </c>
      <c r="E6" s="565" t="str">
        <f>IF('King Node Model'!S52&lt;&gt;"",'King Node Model'!S52,IF('King Node Model'!S38&lt;&gt;"",'King Node Model'!S38,""))</f>
        <v>⚠  DEX peaks in the middle at 7800! The market is engineered to chop!</v>
      </c>
      <c r="F6" s="565"/>
      <c r="G6" s="565"/>
      <c r="H6" s="565"/>
      <c r="I6" s="565"/>
      <c r="J6" s="565"/>
      <c r="K6" s="565"/>
      <c r="L6" s="565"/>
      <c r="M6" s="565"/>
      <c r="N6" s="565"/>
      <c r="Q6" s="508" t="str">
        <f>IF(NOT(ISNUMBER('Level Engine'!$E$3)),"Open Vol Response   —","Open Vol Response   "&amp;TEXT('Level Engine'!$E$3,"0.00")&amp;"  ·  "&amp;IF('Level Engine'!$E$3&lt;0.8,"Slow Trend",IF('Level Engine'!$E$3&lt;0.85,"Chop",IF('Level Engine'!$E$3&lt;0.95,"Ordinary","Expansion"))))</f>
        <v>Open Vol Response   0.89  ·  Ordinary</v>
      </c>
      <c r="R6" s="441"/>
      <c r="S6" s="442"/>
      <c r="T6" s="481"/>
      <c r="U6" s="481"/>
      <c r="AL6" s="1">
        <f>'King Node Model'!A32</f>
        <v>7870</v>
      </c>
      <c r="AM6" s="10">
        <f>'King Node Model'!C32</f>
        <v>84051</v>
      </c>
      <c r="AN6" s="3">
        <f>'King Node Model'!T26</f>
        <v>7805</v>
      </c>
      <c r="AO6" s="10">
        <f>'King Node Model'!B32</f>
        <v>86951</v>
      </c>
      <c r="AY6" s="1">
        <f>IF(AND($B$2="Hide unsafe",$BB6=1),0,IF(AND(OR(AND(AND(ISNUMBER($AL6),OR(AND($AL6&gt;=$AQ$22,$AL6&lt;=$AR$22,$AS$22=1),$AL6=$AQ$22,$AL6=$AR$22,$AL6=$AQ$23,$AL6=$AR$23,$AL6=$AQ$24,$AL6=$AR$24),NOT(OR($AL6=$AN$5,$AL6=$AN$6,$AL6=$AN$7,$AL6=$AN$8,$AL6=$AN$10,$AL6=$AN$11))),NOT(OR(AND('King Node Model'!$P$13="Up",OR($AL6=$AQ$22,$AL6=$AQ$23,$AL6=$AQ$24,$AL6='King Node Model'!$AM$20,$AL6='King Node Model'!$AM$21,$AL6='King Node Model'!$AM$22),OR(AND('King Node Model'!$B$23-$AL6&gt;=0,'King Node Model'!$B$23-$AL6&lt;=5),AND('King Node Model'!$C$23-$AL6&gt;=0,'King Node Model'!$C$23-$AL6&lt;=5))),AND('King Node Model'!$P$13="Down",OR($AL6=$AR$22,$AL6=$AR$23,$AL6=$AR$24,$AL6='King Node Model'!$AN$20,$AL6='King Node Model'!$AN$21,$AL6='King Node Model'!$AN$22),OR(AND($AL6-'King Node Model'!$B$23&gt;=0,$AL6-'King Node Model'!$B$23&lt;=5),AND($AL6-'King Node Model'!$C$24&gt;=0,$AL6-'King Node Model'!$C$24&lt;=5)))))),AND(AND(ISNUMBER($AL6),OR(AND($AL6&gt;=$AQ$22,$AL6&lt;=$AR$22,$AS$22=1),$AL6=$AQ$22,$AL6=$AR$22,$AL6=$AQ$23,$AL6=$AR$23,$AL6=$AQ$24,$AL6=$AR$24,$AL6='King Node Model'!$AL$42,$AL6='King Node Model'!$AL$43),OR($AL6=$AN$5,$AL6=$AN$6,$AL6=$AN$7,$AL6=$AN$8,$AL6=$AN$10,$AL6=$AN$11)),NOT(OR(AND('King Node Model'!$P$13="Up",OR($AL6=$AQ$22,$AL6=$AQ$23,$AL6=$AQ$24,$AL6='King Node Model'!$AM$20,$AL6='King Node Model'!$AM$21,$AL6='King Node Model'!$AM$22),OR(AND('King Node Model'!$B$23-$AL6&gt;=0,'King Node Model'!$B$23-$AL6&lt;=5),AND('King Node Model'!$C$23-$AL6&gt;=0,'King Node Model'!$C$23-$AL6&lt;=5))),AND('King Node Model'!$P$13="Down",OR($AL6=$AR$22,$AL6=$AR$23,$AL6=$AR$24,$AL6='King Node Model'!$AN$20,$AL6='King Node Model'!$AN$21,$AL6='King Node Model'!$AN$22),OR(AND($AL6-'King Node Model'!$B$23&gt;=0,$AL6-'King Node Model'!$B$23&lt;=5),AND($AL6-'King Node Model'!$C$24&gt;=0,$AL6-'King Node Model'!$C$24&lt;=5)))))),AND(AND(ISNUMBER($AL6),OR(AND($AL6&gt;='King Node Model'!$AM$20,$AL6&lt;='King Node Model'!$AN$20,$AS$23=1),$AL6='King Node Model'!$AM$20,$AL6='King Node Model'!$AN$20,$AL6='King Node Model'!$AM$21,$AL6='King Node Model'!$AN$21,$AL6='King Node Model'!$AM$22,$AL6='King Node Model'!$AN$22),NOT(OR($AL6=$AN$5,$AL6=$AN$6,$AL6=$AN$7,$AL6=$AN$8,$AL6=$AN$10,$AL6=$AN$11))),NOT(AND(ISNUMBER('King Node Model'!$F$24),$AL6='King Node Model'!$F$24,IFERROR(INDEX('Level Engine'!$JN$9:$JN$55,MATCH($AL6,'Level Engine'!$AA$9:$AA$55,0)),0)&lt;&gt;1))),AND(AND(ISNUMBER($AL6),OR(AND($AL6&gt;='King Node Model'!$AM$20,$AL6&lt;='King Node Model'!$AN$20,$AS$23=1),$AL6='King Node Model'!$AM$20,$AL6='King Node Model'!$AN$20,$AL6='King Node Model'!$AM$21,$AL6='King Node Model'!$AN$21,$AL6='King Node Model'!$AM$22,$AL6='King Node Model'!$AN$22,$AL6='King Node Model'!$AL$49,$AL6='King Node Model'!$AL$50),OR($AL6=$AN$5,$AL6=$AN$6,$AL6=$AN$7,$AL6=$AN$8,$AL6=$AN$10,$AL6=$AN$11)),NOT(OR(AND('King Node Model'!$P$13="Up",OR($AL6=$AQ$22,$AL6=$AQ$23,$AL6=$AQ$24,$AL6='King Node Model'!$AM$20,$AL6='King Node Model'!$AM$21,$AL6='King Node Model'!$AM$22),OR(AND('King Node Model'!$B$23-$AL6&gt;=0,'King Node Model'!$B$23-$AL6&lt;=5),AND('King Node Model'!$C$23-$AL6&gt;=0,'King Node Model'!$C$23-$AL6&lt;=5))),AND('King Node Model'!$P$13="Down",OR($AL6=$AR$22,$AL6=$AR$23,$AL6=$AR$24,$AL6='King Node Model'!$AN$20,$AL6='King Node Model'!$AN$21,$AL6='King Node Model'!$AN$22),OR(AND($AL6-'King Node Model'!$B$23&gt;=0,$AL6-'King Node Model'!$B$23&lt;=5),AND($AL6-'King Node Model'!$C$24&gt;=0,$AL6-'King Node Model'!$C$24&lt;=5))))))),OR(COUNTIF('Level Engine'!$W$9:$W$14,$AL6)&gt;0,COUNTIF('Level Engine'!$W$18:$W$23,$AL6)&gt;0)),1,0))</f>
        <v>0</v>
      </c>
      <c r="AZ6" s="1">
        <f t="shared" si="1"/>
        <v>0</v>
      </c>
      <c r="BB6" s="1">
        <f>IF(OR(AND($AL6='King Node Model'!$AL$42,$AP$45&lt;&gt;"RASP"),AND($AL6='King Node Model'!$AL$43,$AP$46&lt;&gt;"RASP"),AND($AL6='King Node Model'!$AL$49,$AP$52&lt;&gt;"RASP"),AND($AL6='King Node Model'!$AL$50,$AP$53&lt;&gt;"RASP"),AND($AL6='King Node Model'!$AL$44,$AP$47&lt;&gt;"RASP"),AND($AL6='King Node Model'!$AL$51,$AP$54&lt;&gt;"RASP")),0,IF(AND(AND(ISNUMBER($AL6),OR(AND($AL6&gt;=$AQ$22,$AL6&lt;=$AR$22,$AP$45="RASP"),AND($AL6&gt;=$AQ$23,$AL6&lt;=$AR$23,$AP$46="RASP"),AND($AL6&gt;=$AQ$24,$AL6&lt;=$AR$24,$AP$47="RASP"),AND($AL6&gt;='King Node Model'!$AM$20,$AL6&lt;='King Node Model'!$AN$20,$AP$52="RASP",NOT($L$52=$AW$52)),AND($AL6='King Node Model'!$B$23,$AP$52="RASP",$L$52=$AW$52),AND($AL6&gt;='King Node Model'!$AM$21,$AL6&lt;='King Node Model'!$AN$21,$AP$53="RASP",NOT($L$53=$AW$53)),AND($AL6='King Node Model'!$B$23,$AP$53="RASP",$L$53=$AW$53),AND($AL6&gt;='King Node Model'!$AM$22,$AL6&lt;='King Node Model'!$AN$22,$AP$54="RASP"),AND($AL6&gt;=IFERROR(INDEX('Level Engine'!$AT$9:$AT$55,MATCH('King Node Model'!$AL$42,'Level Engine'!$AA$9:$AA$55,0)),""),$AL6&lt;=IFERROR(INDEX('Level Engine'!$AU$9:$AU$55,MATCH('King Node Model'!$AL$42,'Level Engine'!$AA$9:$AA$55,0)),""),$AP$45="RASP"),AND($AL6&gt;=IFERROR(INDEX('Level Engine'!$AT$9:$AT$55,MATCH('King Node Model'!$AL$43,'Level Engine'!$AA$9:$AA$55,0)),""),$AL6&lt;=IFERROR(INDEX('Level Engine'!$AU$9:$AU$55,MATCH('King Node Model'!$AL$43,'Level Engine'!$AA$9:$AA$55,0)),""),$AP$46="RASP"),AND($AL6&gt;=IFERROR(INDEX('Level Engine'!$AT$9:$AT$55,MATCH('King Node Model'!$AL$44,'Level Engine'!$AA$9:$AA$55,0)),""),$AL6&lt;=IFERROR(INDEX('Level Engine'!$AU$9:$AU$55,MATCH('King Node Model'!$AL$44,'Level Engine'!$AA$9:$AA$55,0)),""),$AP$47="RASP"),AND($AL6&gt;=IFERROR(INDEX('Level Engine'!$AT$9:$AT$55,MATCH('King Node Model'!$AL$49,'Level Engine'!$AA$9:$AA$55,0)),""),$AL6&lt;=IFERROR(INDEX('Level Engine'!$AU$9:$AU$55,MATCH('King Node Model'!$AL$49,'Level Engine'!$AA$9:$AA$55,0)),""),$AP$52="RASP",NOT($L$52=$AW$52)),AND($AL6&gt;=IFERROR(INDEX('Level Engine'!$AT$9:$AT$55,MATCH('King Node Model'!$AL$50,'Level Engine'!$AA$9:$AA$55,0)),""),$AL6&lt;=IFERROR(INDEX('Level Engine'!$AU$9:$AU$55,MATCH('King Node Model'!$AL$50,'Level Engine'!$AA$9:$AA$55,0)),""),$AP$53="RASP",NOT($L$53=$AW$53)),AND($AL6&gt;=IFERROR(INDEX('Level Engine'!$AT$9:$AT$55,MATCH('King Node Model'!$AL$51,'Level Engine'!$AA$9:$AA$55,0)),""),$AL6&lt;=IFERROR(INDEX('Level Engine'!$AU$9:$AU$55,MATCH('King Node Model'!$AL$51,'Level Engine'!$AA$9:$AA$55,0)),""),$AP$54="RASP"))),NOT(AND(ISNUMBER('King Node Model'!$F$24),$AL6='King Node Model'!$F$24,IFERROR(INDEX('Level Engine'!$JN$9:$JN$55,MATCH($AL6,'Level Engine'!$AA$9:$AA$55,0)),0)&lt;&gt;1,$AL6&lt;&gt;'King Node Model'!$AL$42,$AL6&lt;&gt;'King Node Model'!$AL$43,$AL6&lt;&gt;'King Node Model'!$AL$44,$AL6&lt;&gt;'King Node Model'!$AL$49,$AL6&lt;&gt;'King Node Model'!$AL$50,$AL6&lt;&gt;'King Node Model'!$AL$51))),1,0))</f>
        <v>0</v>
      </c>
      <c r="CO6">
        <f>IF(NOT(ISNUMBER($AL6)),"",IF(NOT(ISNUMBER(IFERROR(INDEX('Level Engine'!$FT$9:$FT$55,MATCH($AL6,'Level Engine'!$AA$9:$AA$55,0)),""))),"",IF(IFERROR(INDEX('Level Engine'!$FT$9:$FT$55,MATCH($AL6,'Level Engine'!$AA$9:$AA$55,0)),"")&lt;0,0,2)+IF(ABS(IFERROR(INDEX('Level Engine'!$FT$9:$FT$55,MATCH($AL6,'Level Engine'!$AA$9:$AA$55,0)),""))&gt;='Level Engine'!$FT$2,2,1)))</f>
        <v>4</v>
      </c>
      <c r="DJ6" t="str">
        <f>IF(ISNUMBER($AL6),IF($AL6='Level Engine'!$BG$122," ⫪","")&amp;IF($AL6='Level Engine'!$BG$118," S↑"&amp;IFERROR(INDEX('Level Engine'!$MV$9:$MV$55,MATCH($AL6,'Level Engine'!$AA$9:$AA$55,0)),""),"")&amp;IF($AL6='Level Engine'!$BG$119," S↓"&amp;IFERROR(INDEX('Level Engine'!$MV$9:$MV$55,MATCH($AL6,'Level Engine'!$AA$9:$AA$55,0)),""),"")&amp;IF($AL6='Level Engine'!$BG$120," D↑","")&amp;IF($AL6='Level Engine'!$BG$121," D↓","")&amp;IFERROR(INDEX('Level Engine'!$LG$9:$LG$55,MATCH($AL6,'Level Engine'!$AA$9:$AA$55,0)),"")&amp;IF(IFERROR(INDEX('Level Engine'!$MA$9:$MA$55,MATCH($AL6,'Level Engine'!$AA$9:$AA$55,0)),0)=1," SAND","")&amp;IF(IFERROR(INDEX('Level Engine'!$LM$9:$LM$55,MATCH($AL6,'Level Engine'!$AA$9:$AA$55,0)),0)&gt;0," TP","")&amp;IFERROR(" r"&amp;MATCH($AL6,'Level Engine'!$W$9:$W$14,0),IFERROR(" s"&amp;MATCH($AL6,'Level Engine'!$W$18:$W$23,0),""))&amp;IF($AL6='Level Engine'!$BG$165," ◇","")&amp;IF(N($DZ6)=1,IF($AL6&gt;'Level Engine'!$BG$165," ⚠ DOM↓"," ⚠ DOM↑")&amp;'Level Engine'!$BG$165,""),"")</f>
        <v/>
      </c>
      <c r="DK6" t="str">
        <f>IF(AND(ISNUMBER($AL6),OR($AL6='King Node Model'!$AL$42,$AL6='King Node Model'!$AL$43,$AL6='King Node Model'!$AL$44)),IFERROR(MATCH($AL6,'Level Engine'!$W$9:$W$14,0),""),"")</f>
        <v/>
      </c>
      <c r="DL6" t="str">
        <f>IF(AND(ISNUMBER($AL6),OR($AL6='King Node Model'!$AL$49,$AL6='King Node Model'!$AL$50,$AL6='King Node Model'!$AL$51)),IFERROR(MATCH($AL6,'Level Engine'!$W$18:$W$23,0),""),"")</f>
        <v/>
      </c>
      <c r="DM6">
        <f>IF(AND(ISNUMBER($AL6),IFERROR(INDEX('Level Engine'!$LC$9:$LC$55,MATCH($AL6,'Level Engine'!$AA$9:$AA$55,0)),0)=1,OR($AL6=$AN$3,IFERROR(INDEX('Level Engine'!$LB$9:$LB$55,MATCH($AL6,'Level Engine'!$AA$9:$AA$55,0)),0)=1)),1,0)</f>
        <v>0</v>
      </c>
      <c r="DZ6">
        <f>IF(ISNUMBER($AL6),IF(IFERROR(INDEX('Level Engine'!$NJ$9:$NJ$55,MATCH($AL6,'Level Engine'!$AA$9:$AA$55,0)),0)=1,1,0),0)</f>
      </c>
    </row>
    <row r="7" spans="1:117" ht="15" customHeight="1" thickBot="1" x14ac:dyDescent="0.3">
      <c r="A7" s="7" t="str">
        <f t="shared" si="2"/>
        <v/>
      </c>
      <c r="B7" s="8" t="str">
        <f>TEXT(IF(IF('Level Engine'!$GJ$4=1,$AL7='Level Engine'!$GJ$3,AND($AL7-$AM$2&gt;-2.5,$AL7-$AM$2&lt;=2.5)),$AM$2,$AL7),"0")&amp;IF($AL7=$AN$1," ★","")&amp;IF($AL7=$AN$2," ★","")&amp;IF($AL7=$AN$3," ◆","")&amp;IF(AND(ISNUMBER($AN$4),$AL7=$AN$4)," Ⓕ","")&amp;IF(OR(AND(ISNUMBER('Level Engine'!$BG$87),$AL7='Level Engine'!$BG$87),AND(ISNUMBER('Level Engine'!$BG$105),$AL7='Level Engine'!$BG$105))," ζ","")&amp;IF(AND(ISNUMBER($AN$35),$AL7=$AN$35)," ⓏⒼ","")&amp;IF(OR($AL7='Level Engine'!$CP$4,$AL7='Level Engine'!$CP$5,$AL7='Level Engine'!$CP$6,$AL7='Level Engine'!$CP$7)," ☄","")&amp;IF(OR($AL7=$AN$5,$AL7=$AN$8)," ║1","")&amp;IF(OR($AL7=$AN$6,$AL7=$AN$10)," ║2","")&amp;IF(OR($AL7=$AN$7,$AL7=$AN$11)," ║3","")&amp;IF(OR($AL7=$AN$13,$AL7=$AN$16)," ▣1","")&amp;IF(OR($AL7=$AN$14,$AL7=$AN$17)," ▣2","")&amp;IF(OR($AL7=$AN$15,$AL7=$AN$18)," ▣3","")&amp;IF(AND(NOT(OR(AND(ISNUMBER(SEARCH("chop edge",$E$45)),IFERROR(ABS($AL7-'King Node Model'!$AL$42)&lt;=5,FALSE),NOT(ISNUMBER(SEARCH("UNSAFE",$L$45)))),AND(ISNUMBER(SEARCH("chop edge",$E$46)),IFERROR(ABS($AL7-'King Node Model'!$AL$43)&lt;=5,FALSE),NOT(ISNUMBER(SEARCH("UNSAFE",$L$46)))),AND(ISNUMBER(SEARCH("chop edge",$E$52)),IFERROR(ABS($AL7-'King Node Model'!$AL$49)&lt;=5,FALSE),NOT(ISNUMBER(SEARCH("UNSAFE",$L$52)))),AND(ISNUMBER(SEARCH("chop edge",$E$53)),IFERROR(ABS($AL7-'King Node Model'!$AL$50)&lt;=5,FALSE),NOT(ISNUMBER(SEARCH("UNSAFE",$L$53)))))),OR(AND(IFERROR(INDEX('Level Engine'!$IB$9:$IB$55,MATCH('King Node Model'!$AL$49,'Level Engine'!$AA$9:$AA$55,0)),0)&lt;&gt;1,$AL7=IFERROR(INDEX('Level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Engine'!$AA$9:$AA$55,0)),0)&lt;&gt;1,$AL7=IFERROR(INDEX('Level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edge",$E$45)),IFERROR(ABS($AL7-'King Node Model'!$AL$42)&lt;=5,FALSE),NOT(ISNUMBER(SEARCH("UNSAFE",$L$45)))),AND(ISNUMBER(SEARCH("chop edge",$E$46)),IFERROR(ABS($AL7-'King Node Model'!$AL$43)&lt;=5,FALSE),NOT(ISNUMBER(SEARCH("UNSAFE",$L$46)))),AND(ISNUMBER(SEARCH("chop edge",$E$52)),IFERROR(ABS($AL7-'King Node Model'!$AL$49)&lt;=5,FALSE),NOT(ISNUMBER(SEARCH("UNSAFE",$L$52)))),AND(ISNUMBER(SEARCH("chop edge",$E$53)),IFERROR(ABS($AL7-'King Node Model'!$AL$50)&lt;=5,FALSE),NOT(ISNUMBER(SEARCH("UNSAFE",$L$53)))))),OR(AND(IFERROR(INDEX('Level Engine'!$IB$9:$IB$55,MATCH('King Node Model'!$AL$42,'Level Engine'!$AA$9:$AA$55,0)),0)&lt;&gt;1,$AL7=IFERROR(INDEX('Level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Engine'!$AA$9:$AA$55,0)),0)&lt;&gt;1,$AL7=IFERROR(INDEX('Level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ⒷⓁ"),"")&amp;IF(OR(AND($AL7&gt;='King Node Model'!$AM$17,$AL7&lt;='King Node Model'!$AN$17,$AP$45="RASP"),AND($AL7&gt;='King Node Model'!$AM$18,$AL7&lt;='King Node Model'!$AN$18,$AP$46="RASP"),AND($AL7&gt;='King Node Model'!$AM$19,$AL7&lt;='King Node Model'!$AN$19,$AP$47="RASP"),AND($AL7&gt;='King Node Model'!$AM$20,$AL7&lt;='King Node Model'!$AN$20,$AP$52="RASP"),AND($AL7&gt;='King Node Model'!$AM$21,$AL7&lt;='King Node Model'!$AN$21,$AP$53="RASP"),AND($AL7&gt;='King Node Model'!$AM$22,$AL7&lt;='King Node Model'!$AN$22,$AP$54="RASP")),"","")&amp;IF(IF('Level Engine'!$GJ$4=1,$AL7='Level Engine'!$GJ$3,AND($AL7-$AM$2&gt;-2.5,$AL7-$AM$2&lt;=2.5))," ◄","")&amp;IF(IFERROR(INDEX('Level Engine'!$GV$9:$GV$55,MATCH($AL7,'Level Engine'!$AA$9:$AA$55,0)),0)=1," Ⓥ"&amp;IF(IFERROR(INDEX('Level Engine'!$ET$9:$ET$55,MATCH($AL7,'Level Engine'!$AA$9:$AA$55,0)),0)=1,"+",""),"")&amp;IF(OR(AND($AL7=$AN$38,IFERROR(INDEX('Level Engine'!$AN$9:$AN$55,MATCH($AL7,'Level Engine'!$AA$9:$AA$55,0)),0)&lt;&gt;1),$AL7=$AN$39)," ⊙","")&amp;IF(AND(OR('King Node Model'!$A$8="Neg",N('Level Engine'!$BG$72)=1),ABS(MIN($AM$3:$AM$64))&gt;MAX($AM$3:$AM$64),$AN$2&lt;$AM$2,$AL7&lt;$AM$2,ABS($AL7-$AN$2)&lt;=5,IFERROR(VALUE(MID('King Node Model'!$K$26,FIND(":",'King Node Model'!$K$26)-2,2)),0)&gt;=19,IFERROR(INDEX('Level Engine'!$EJ$9:$EJ$55,MATCH($AL7,'Level Engine'!$AA$9:$AA$55,0)),0)=0,$AN$3&gt;$AM$2)," ⟲rev","")&amp;IF($AL7='King Node Model'!$F$24," ⟂","")&amp;$DJ7&amp;IF(IFERROR(INDEX('Level Engine'!$EN$9:$EN$55,MATCH($AL7,'Level Engine'!$AA$9:$AA$55,0)),0)=1," Ⓟ"&amp;IF(AND(OR('King Node Model'!$A$8="Neg",N('Level Engine'!$BG$72)=1),IFERROR(INDEX('Level Engine'!$AN$9:$AN$55,MATCH($AL7,'Level Engine'!$AA$9:$AA$55,0)),0)&lt;&gt;1)," NO-REV",""),"")&amp;IF(AND(ISNUMBER($AL7),OR(AND(ISNUMBER(SEARCH("chop edge",$E$45)),$AL7='King Node Model'!$AL$42),AND(ISNUMBER(SEARCH("chop edge",$E$46)),$AL7='King Node Model'!$AL$43),AND(ISNUMBER(SEARCH("chop edge",$E$52)),$AL7='King Node Model'!$AL$49),AND(ISNUMBER(SEARCH("chop edge",$E$53)),$AL7='King Node Model'!$AL$50)))," ⒸⒺ","")&amp;IF(AND('Level Engine'!$GJ$4=1,OR($AL7='Level Engine'!$GJ$1,$AL7='Level Engine'!$GJ$2)),"","")&amp;IF(ABS(N(IFERROR(INDEX('Level Engine'!$AE$9:$AE$55,MATCH($AL7,'Level Engine'!$AA$9:$AA$55,0)),0)))&gt;='Level Engine'!$BG$85,IF(N(IFERROR(INDEX('Level Engine'!$AE$9:$AE$55,MATCH($AL7,'Level Engine'!$AA$9:$AA$55,0)),0))&gt;0," Δ+"," Δ−"),"")&amp;IFERROR(IF(AND(ISNUMBER(MATCH($AL7,'Level Engine'!$AA$9:$AA$55,0)),ABS(N(IFERROR(INDEX('Level Engine'!$AE$9:$AE$55,MATCH($AL7,'Level Engine'!$AA$9:$AA$55,0)),0)))&lt;'Level Engine'!$BG$85,ABS(N(IFERROR(INDEX('Level Engine'!$AE$9:$AE$55,MATCH($AL7,'Level Engine'!$AA$9:$AA$55,0)),0)))&lt;=ABS(N(IFERROR(INDEX('Level Engine'!$AE$9:$AE$55,MATCH($AL7+5,'Level Engine'!$AA$9:$AA$55,0)),0))),ABS(N(IFERROR(INDEX('Level Engine'!$AE$9:$AE$55,MATCH($AL7,'Level Engine'!$AA$9:$AA$55,0)),0)))&lt;=ABS(N(IFERROR(INDEX('Level Engine'!$AE$9:$AE$55,MATCH($AL7-5,'Level Engine'!$AA$9:$AA$55,0)),0))),OR(AND(ABS(N(IFERROR(INDEX('Level Engine'!$AE$9:$AE$55,MATCH($AL7+5,'Level Engine'!$AA$9:$AA$55,0)),0)))&gt;='Level Engine'!$BG$85,ABS(N(IFERROR(INDEX('Level Engine'!$AE$9:$AE$55,MATCH($AL7,'Level Engine'!$AA$9:$AA$55,0)),0)))&lt;='Level Engine'!$BG$88*ABS(N(IFERROR(INDEX('Level Engine'!$AE$9:$AE$55,MATCH($AL7+5,'Level Engine'!$AA$9:$AA$55,0)),0)))),AND(ABS(N(IFERROR(INDEX('Level Engine'!$AE$9:$AE$55,MATCH($AL7-5,'Level Engine'!$AA$9:$AA$55,0)),0)))&gt;='Level Engine'!$BG$85,ABS(N(IFERROR(INDEX('Level Engine'!$AE$9:$AE$55,MATCH($AL7,'Level Engine'!$AA$9:$AA$55,0)),0)))&lt;='Level Engine'!$BG$88*ABS(N(IFERROR(INDEX('Level Engine'!$AE$9:$AE$55,MATCH($AL7-5,'Level Engine'!$AA$9:$AA$55,0)),0)))))),IF(AND('King Node Model'!$A$8="Pos",N('Level Engine'!$BG$72)&lt;&gt;1),""," ∅"),""),"")&amp;IF(IFERROR(INDEX('Level Engine'!$JD$9:$JD$55,MATCH($AL7,'Level Engine'!$AA$9:$AA$55,0)),"")="P"," P-OI",IF(IFERROR(INDEX('Level Engine'!$JD$9:$JD$55,MATCH($AL7,'Level Engine'!$AA$9:$AA$55,0)),"")="C"," C-OI",""))</f>
        <v>7865</v>
      </c>
      <c r="C7" s="9" t="str">
        <f t="shared" si="0"/>
        <v>█</v>
      </c>
      <c r="D7" t="str">
        <f>IF(NOT(ISNUMBER($AL7)),"",IF(IFERROR(INDEX('Level Engine'!$FS$9:$FS$55,MATCH($AL7,'Level Engine'!$AA$9:$AA$55,0)),0)=1,"⊙",""))</f>
        <v/>
      </c>
      <c r="E7" s="16"/>
      <c r="F7" s="17"/>
      <c r="G7" s="13"/>
      <c r="H7" s="13"/>
      <c r="I7" s="13"/>
      <c r="J7" s="13"/>
      <c r="K7" s="13"/>
      <c r="L7" s="13"/>
      <c r="M7" s="13"/>
      <c r="N7" s="13"/>
      <c r="Q7" s="10"/>
      <c r="R7" s="3"/>
      <c r="S7" s="10"/>
      <c r="T7" s="481"/>
      <c r="U7" s="481"/>
      <c r="AL7" s="1">
        <f>'King Node Model'!A33</f>
        <v>7865</v>
      </c>
      <c r="AM7" s="10">
        <f>'King Node Model'!C33</f>
        <v>101554</v>
      </c>
      <c r="AN7" s="3">
        <f>'King Node Model'!T27</f>
        <v>7810</v>
      </c>
      <c r="AO7" s="10">
        <f>'King Node Model'!B33</f>
        <v>104698</v>
      </c>
      <c r="AY7" s="1">
        <f>IF(AND($B$2="Hide unsafe",$BB7=1),0,IF(AND(OR(AND(AND(ISNUMBER($AL7),OR(AND($AL7&gt;=$AQ$22,$AL7&lt;=$AR$22,$AS$22=1),$AL7=$AQ$22,$AL7=$AR$22,$AL7=$AQ$23,$AL7=$AR$23,$AL7=$AQ$24,$AL7=$AR$24),NOT(OR($AL7=$AN$5,$AL7=$AN$6,$AL7=$AN$7,$AL7=$AN$8,$AL7=$AN$10,$AL7=$AN$11))),NOT(OR(AND('King Node Model'!$P$13="Up",OR($AL7=$AQ$22,$AL7=$AQ$23,$AL7=$AQ$24,$AL7='King Node Model'!$AM$20,$AL7='King Node Model'!$AM$21,$AL7='King Node Model'!$AM$22),OR(AND('King Node Model'!$B$23-$AL7&gt;=0,'King Node Model'!$B$23-$AL7&lt;=5),AND('King Node Model'!$C$23-$AL7&gt;=0,'King Node Model'!$C$23-$AL7&lt;=5))),AND('King Node Model'!$P$13="Down",OR($AL7=$AR$22,$AL7=$AR$23,$AL7=$AR$24,$AL7='King Node Model'!$AN$20,$AL7='King Node Model'!$AN$21,$AL7='King Node Model'!$AN$22),OR(AND($AL7-'King Node Model'!$B$23&gt;=0,$AL7-'King Node Model'!$B$23&lt;=5),AND($AL7-'King Node Model'!$C$24&gt;=0,$AL7-'King Node Model'!$C$24&lt;=5)))))),AND(AND(ISNUMBER($AL7),OR(AND($AL7&gt;=$AQ$22,$AL7&lt;=$AR$22,$AS$22=1),$AL7=$AQ$22,$AL7=$AR$22,$AL7=$AQ$23,$AL7=$AR$23,$AL7=$AQ$24,$AL7=$AR$24,$AL7='King Node Model'!$AL$42,$AL7='King Node Model'!$AL$43),OR($AL7=$AN$5,$AL7=$AN$6,$AL7=$AN$7,$AL7=$AN$8,$AL7=$AN$10,$AL7=$AN$11)),NOT(OR(AND('King Node Model'!$P$13="Up",OR($AL7=$AQ$22,$AL7=$AQ$23,$AL7=$AQ$24,$AL7='King Node Model'!$AM$20,$AL7='King Node Model'!$AM$21,$AL7='King Node Model'!$AM$22),OR(AND('King Node Model'!$B$23-$AL7&gt;=0,'King Node Model'!$B$23-$AL7&lt;=5),AND('King Node Model'!$C$23-$AL7&gt;=0,'King Node Model'!$C$23-$AL7&lt;=5))),AND('King Node Model'!$P$13="Down",OR($AL7=$AR$22,$AL7=$AR$23,$AL7=$AR$24,$AL7='King Node Model'!$AN$20,$AL7='King Node Model'!$AN$21,$AL7='King Node Model'!$AN$22),OR(AND($AL7-'King Node Model'!$B$23&gt;=0,$AL7-'King Node Model'!$B$23&lt;=5),AND($AL7-'King Node Model'!$C$24&gt;=0,$AL7-'King Node Model'!$C$24&lt;=5)))))),AND(AND(ISNUMBER($AL7),OR(AND($AL7&gt;='King Node Model'!$AM$20,$AL7&lt;='King Node Model'!$AN$20,$AS$23=1),$AL7='King Node Model'!$AM$20,$AL7='King Node Model'!$AN$20,$AL7='King Node Model'!$AM$21,$AL7='King Node Model'!$AN$21,$AL7='King Node Model'!$AM$22,$AL7='King Node Model'!$AN$22),NOT(OR($AL7=$AN$5,$AL7=$AN$6,$AL7=$AN$7,$AL7=$AN$8,$AL7=$AN$10,$AL7=$AN$11))),NOT(AND(ISNUMBER('King Node Model'!$F$24),$AL7='King Node Model'!$F$24,IFERROR(INDEX('Level Engine'!$JN$9:$JN$55,MATCH($AL7,'Level Engine'!$AA$9:$AA$55,0)),0)&lt;&gt;1))),AND(AND(ISNUMBER($AL7),OR(AND($AL7&gt;='King Node Model'!$AM$20,$AL7&lt;='King Node Model'!$AN$20,$AS$23=1),$AL7='King Node Model'!$AM$20,$AL7='King Node Model'!$AN$20,$AL7='King Node Model'!$AM$21,$AL7='King Node Model'!$AN$21,$AL7='King Node Model'!$AM$22,$AL7='King Node Model'!$AN$22,$AL7='King Node Model'!$AL$49,$AL7='King Node Model'!$AL$50),OR($AL7=$AN$5,$AL7=$AN$6,$AL7=$AN$7,$AL7=$AN$8,$AL7=$AN$10,$AL7=$AN$11)),NOT(OR(AND('King Node Model'!$P$13="Up",OR($AL7=$AQ$22,$AL7=$AQ$23,$AL7=$AQ$24,$AL7='King Node Model'!$AM$20,$AL7='King Node Model'!$AM$21,$AL7='King Node Model'!$AM$22),OR(AND('King Node Model'!$B$23-$AL7&gt;=0,'King Node Model'!$B$23-$AL7&lt;=5),AND('King Node Model'!$C$23-$AL7&gt;=0,'King Node Model'!$C$23-$AL7&lt;=5))),AND('King Node Model'!$P$13="Down",OR($AL7=$AR$22,$AL7=$AR$23,$AL7=$AR$24,$AL7='King Node Model'!$AN$20,$AL7='King Node Model'!$AN$21,$AL7='King Node Model'!$AN$22),OR(AND($AL7-'King Node Model'!$B$23&gt;=0,$AL7-'King Node Model'!$B$23&lt;=5),AND($AL7-'King Node Model'!$C$24&gt;=0,$AL7-'King Node Model'!$C$24&lt;=5))))))),OR(COUNTIF('Level Engine'!$W$9:$W$14,$AL7)&gt;0,COUNTIF('Level Engine'!$W$18:$W$23,$AL7)&gt;0)),1,0))</f>
        <v>0</v>
      </c>
      <c r="AZ7" s="1">
        <f t="shared" si="1"/>
        <v>0</v>
      </c>
      <c r="BB7" s="1">
        <f>IF(OR(AND($AL7='King Node Model'!$AL$42,$AP$45&lt;&gt;"RASP"),AND($AL7='King Node Model'!$AL$43,$AP$46&lt;&gt;"RASP"),AND($AL7='King Node Model'!$AL$49,$AP$52&lt;&gt;"RASP"),AND($AL7='King Node Model'!$AL$50,$AP$53&lt;&gt;"RASP"),AND($AL7='King Node Model'!$AL$44,$AP$47&lt;&gt;"RASP"),AND($AL7='King Node Model'!$AL$51,$AP$54&lt;&gt;"RASP")),0,IF(AND(AND(ISNUMBER($AL7),OR(AND($AL7&gt;=$AQ$22,$AL7&lt;=$AR$22,$AP$45="RASP"),AND($AL7&gt;=$AQ$23,$AL7&lt;=$AR$23,$AP$46="RASP"),AND($AL7&gt;=$AQ$24,$AL7&lt;=$AR$24,$AP$47="RASP"),AND($AL7&gt;='King Node Model'!$AM$20,$AL7&lt;='King Node Model'!$AN$20,$AP$52="RASP",NOT($L$52=$AW$52)),AND($AL7='King Node Model'!$B$23,$AP$52="RASP",$L$52=$AW$52),AND($AL7&gt;='King Node Model'!$AM$21,$AL7&lt;='King Node Model'!$AN$21,$AP$53="RASP",NOT($L$53=$AW$53)),AND($AL7='King Node Model'!$B$23,$AP$53="RASP",$L$53=$AW$53),AND($AL7&gt;='King Node Model'!$AM$22,$AL7&lt;='King Node Model'!$AN$22,$AP$54="RASP"),AND($AL7&gt;=IFERROR(INDEX('Level Engine'!$AT$9:$AT$55,MATCH('King Node Model'!$AL$42,'Level Engine'!$AA$9:$AA$55,0)),""),$AL7&lt;=IFERROR(INDEX('Level Engine'!$AU$9:$AU$55,MATCH('King Node Model'!$AL$42,'Level Engine'!$AA$9:$AA$55,0)),""),$AP$45="RASP"),AND($AL7&gt;=IFERROR(INDEX('Level Engine'!$AT$9:$AT$55,MATCH('King Node Model'!$AL$43,'Level Engine'!$AA$9:$AA$55,0)),""),$AL7&lt;=IFERROR(INDEX('Level Engine'!$AU$9:$AU$55,MATCH('King Node Model'!$AL$43,'Level Engine'!$AA$9:$AA$55,0)),""),$AP$46="RASP"),AND($AL7&gt;=IFERROR(INDEX('Level Engine'!$AT$9:$AT$55,MATCH('King Node Model'!$AL$44,'Level Engine'!$AA$9:$AA$55,0)),""),$AL7&lt;=IFERROR(INDEX('Level Engine'!$AU$9:$AU$55,MATCH('King Node Model'!$AL$44,'Level Engine'!$AA$9:$AA$55,0)),""),$AP$47="RASP"),AND($AL7&gt;=IFERROR(INDEX('Level Engine'!$AT$9:$AT$55,MATCH('King Node Model'!$AL$49,'Level Engine'!$AA$9:$AA$55,0)),""),$AL7&lt;=IFERROR(INDEX('Level Engine'!$AU$9:$AU$55,MATCH('King Node Model'!$AL$49,'Level Engine'!$AA$9:$AA$55,0)),""),$AP$52="RASP",NOT($L$52=$AW$52)),AND($AL7&gt;=IFERROR(INDEX('Level Engine'!$AT$9:$AT$55,MATCH('King Node Model'!$AL$50,'Level Engine'!$AA$9:$AA$55,0)),""),$AL7&lt;=IFERROR(INDEX('Level Engine'!$AU$9:$AU$55,MATCH('King Node Model'!$AL$50,'Level Engine'!$AA$9:$AA$55,0)),""),$AP$53="RASP",NOT($L$53=$AW$53)),AND($AL7&gt;=IFERROR(INDEX('Level Engine'!$AT$9:$AT$55,MATCH('King Node Model'!$AL$51,'Level Engine'!$AA$9:$AA$55,0)),""),$AL7&lt;=IFERROR(INDEX('Level Engine'!$AU$9:$AU$55,MATCH('King Node Model'!$AL$51,'Level Engine'!$AA$9:$AA$55,0)),""),$AP$54="RASP"))),NOT(AND(ISNUMBER('King Node Model'!$F$24),$AL7='King Node Model'!$F$24,IFERROR(INDEX('Level Engine'!$JN$9:$JN$55,MATCH($AL7,'Level Engine'!$AA$9:$AA$55,0)),0)&lt;&gt;1,$AL7&lt;&gt;'King Node Model'!$AL$42,$AL7&lt;&gt;'King Node Model'!$AL$43,$AL7&lt;&gt;'King Node Model'!$AL$44,$AL7&lt;&gt;'King Node Model'!$AL$49,$AL7&lt;&gt;'King Node Model'!$AL$50,$AL7&lt;&gt;'King Node Model'!$AL$51))),1,0))</f>
        <v>0</v>
      </c>
      <c r="CO7">
        <f>IF(NOT(ISNUMBER($AL7)),"",IF(NOT(ISNUMBER(IFERROR(INDEX('Level Engine'!$FT$9:$FT$55,MATCH($AL7,'Level Engine'!$AA$9:$AA$55,0)),""))),"",IF(IFERROR(INDEX('Level Engine'!$FT$9:$FT$55,MATCH($AL7,'Level Engine'!$AA$9:$AA$55,0)),"")&lt;0,0,2)+IF(ABS(IFERROR(INDEX('Level Engine'!$FT$9:$FT$55,MATCH($AL7,'Level Engine'!$AA$9:$AA$55,0)),""))&gt;='Level Engine'!$FT$2,2,1)))</f>
        <v>4</v>
      </c>
      <c r="DJ7" t="str">
        <f>IF(ISNUMBER($AL7),IF($AL7='Level Engine'!$BG$122," ⫪","")&amp;IF($AL7='Level Engine'!$BG$118," S↑"&amp;IFERROR(INDEX('Level Engine'!$MV$9:$MV$55,MATCH($AL7,'Level Engine'!$AA$9:$AA$55,0)),""),"")&amp;IF($AL7='Level Engine'!$BG$119," S↓"&amp;IFERROR(INDEX('Level Engine'!$MV$9:$MV$55,MATCH($AL7,'Level Engine'!$AA$9:$AA$55,0)),""),"")&amp;IF($AL7='Level Engine'!$BG$120," D↑","")&amp;IF($AL7='Level Engine'!$BG$121," D↓","")&amp;IFERROR(INDEX('Level Engine'!$LG$9:$LG$55,MATCH($AL7,'Level Engine'!$AA$9:$AA$55,0)),"")&amp;IF(IFERROR(INDEX('Level Engine'!$MA$9:$MA$55,MATCH($AL7,'Level Engine'!$AA$9:$AA$55,0)),0)=1," SAND","")&amp;IF(IFERROR(INDEX('Level Engine'!$LM$9:$LM$55,MATCH($AL7,'Level Engine'!$AA$9:$AA$55,0)),0)&gt;0," TP","")&amp;IFERROR(" r"&amp;MATCH($AL7,'Level Engine'!$W$9:$W$14,0),IFERROR(" s"&amp;MATCH($AL7,'Level Engine'!$W$18:$W$23,0),""))&amp;IF($AL7='Level Engine'!$BG$165," ◇","")&amp;IF(N($DZ7)=1,IF($AL7&gt;'Level Engine'!$BG$165," ⚠ DOM↓"," ⚠ DOM↑")&amp;'Level Engine'!$BG$165,""),"")</f>
        <v/>
      </c>
      <c r="DK7" t="str">
        <f>IF(AND(ISNUMBER($AL7),OR($AL7='King Node Model'!$AL$42,$AL7='King Node Model'!$AL$43,$AL7='King Node Model'!$AL$44)),IFERROR(MATCH($AL7,'Level Engine'!$W$9:$W$14,0),""),"")</f>
        <v/>
      </c>
      <c r="DL7" t="str">
        <f>IF(AND(ISNUMBER($AL7),OR($AL7='King Node Model'!$AL$49,$AL7='King Node Model'!$AL$50,$AL7='King Node Model'!$AL$51)),IFERROR(MATCH($AL7,'Level Engine'!$W$18:$W$23,0),""),"")</f>
        <v/>
      </c>
      <c r="DM7">
        <f>IF(AND(ISNUMBER($AL7),IFERROR(INDEX('Level Engine'!$LC$9:$LC$55,MATCH($AL7,'Level Engine'!$AA$9:$AA$55,0)),0)=1,OR($AL7=$AN$3,IFERROR(INDEX('Level Engine'!$LB$9:$LB$55,MATCH($AL7,'Level Engine'!$AA$9:$AA$55,0)),0)=1)),1,0)</f>
        <v>0</v>
      </c>
      <c r="DZ7">
        <f>IF(ISNUMBER($AL7),IF(IFERROR(INDEX('Level Engine'!$NJ$9:$NJ$55,MATCH($AL7,'Level Engine'!$AA$9:$AA$55,0)),0)=1,1,0),0)</f>
      </c>
    </row>
    <row r="8" spans="1:117" ht="15" customHeight="1" x14ac:dyDescent="0.25">
      <c r="A8" s="7" t="str">
        <f t="shared" si="2"/>
        <v/>
      </c>
      <c r="B8" s="8" t="str">
        <f>TEXT(IF(IF('Level Engine'!$GJ$4=1,$AL8='Level Engine'!$GJ$3,AND($AL8-$AM$2&gt;-2.5,$AL8-$AM$2&lt;=2.5)),$AM$2,$AL8),"0")&amp;IF($AL8=$AN$1," ★","")&amp;IF($AL8=$AN$2," ★","")&amp;IF($AL8=$AN$3," ◆","")&amp;IF(AND(ISNUMBER($AN$4),$AL8=$AN$4)," Ⓕ","")&amp;IF(OR(AND(ISNUMBER('Level Engine'!$BG$87),$AL8='Level Engine'!$BG$87),AND(ISNUMBER('Level Engine'!$BG$105),$AL8='Level Engine'!$BG$105))," ζ","")&amp;IF(AND(ISNUMBER($AN$35),$AL8=$AN$35)," ⓏⒼ","")&amp;IF(OR($AL8='Level Engine'!$CP$4,$AL8='Level Engine'!$CP$5,$AL8='Level Engine'!$CP$6,$AL8='Level Engine'!$CP$7)," ☄","")&amp;IF(OR($AL8=$AN$5,$AL8=$AN$8)," ║1","")&amp;IF(OR($AL8=$AN$6,$AL8=$AN$10)," ║2","")&amp;IF(OR($AL8=$AN$7,$AL8=$AN$11)," ║3","")&amp;IF(OR($AL8=$AN$13,$AL8=$AN$16)," ▣1","")&amp;IF(OR($AL8=$AN$14,$AL8=$AN$17)," ▣2","")&amp;IF(OR($AL8=$AN$15,$AL8=$AN$18)," ▣3","")&amp;IF(AND(NOT(OR(AND(ISNUMBER(SEARCH("chop edge",$E$45)),IFERROR(ABS($AL8-'King Node Model'!$AL$42)&lt;=5,FALSE),NOT(ISNUMBER(SEARCH("UNSAFE",$L$45)))),AND(ISNUMBER(SEARCH("chop edge",$E$46)),IFERROR(ABS($AL8-'King Node Model'!$AL$43)&lt;=5,FALSE),NOT(ISNUMBER(SEARCH("UNSAFE",$L$46)))),AND(ISNUMBER(SEARCH("chop edge",$E$52)),IFERROR(ABS($AL8-'King Node Model'!$AL$49)&lt;=5,FALSE),NOT(ISNUMBER(SEARCH("UNSAFE",$L$52)))),AND(ISNUMBER(SEARCH("chop edge",$E$53)),IFERROR(ABS($AL8-'King Node Model'!$AL$50)&lt;=5,FALSE),NOT(ISNUMBER(SEARCH("UNSAFE",$L$53)))))),OR(AND(IFERROR(INDEX('Level Engine'!$IB$9:$IB$55,MATCH('King Node Model'!$AL$49,'Level Engine'!$AA$9:$AA$55,0)),0)&lt;&gt;1,$AL8=IFERROR(INDEX('Level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Engine'!$AA$9:$AA$55,0)),0)&lt;&gt;1,$AL8=IFERROR(INDEX('Level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edge",$E$45)),IFERROR(ABS($AL8-'King Node Model'!$AL$42)&lt;=5,FALSE),NOT(ISNUMBER(SEARCH("UNSAFE",$L$45)))),AND(ISNUMBER(SEARCH("chop edge",$E$46)),IFERROR(ABS($AL8-'King Node Model'!$AL$43)&lt;=5,FALSE),NOT(ISNUMBER(SEARCH("UNSAFE",$L$46)))),AND(ISNUMBER(SEARCH("chop edge",$E$52)),IFERROR(ABS($AL8-'King Node Model'!$AL$49)&lt;=5,FALSE),NOT(ISNUMBER(SEARCH("UNSAFE",$L$52)))),AND(ISNUMBER(SEARCH("chop edge",$E$53)),IFERROR(ABS($AL8-'King Node Model'!$AL$50)&lt;=5,FALSE),NOT(ISNUMBER(SEARCH("UNSAFE",$L$53)))))),OR(AND(IFERROR(INDEX('Level Engine'!$IB$9:$IB$55,MATCH('King Node Model'!$AL$42,'Level Engine'!$AA$9:$AA$55,0)),0)&lt;&gt;1,$AL8=IFERROR(INDEX('Level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Engine'!$AA$9:$AA$55,0)),0)&lt;&gt;1,$AL8=IFERROR(INDEX('Level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ⒷⓁ"),"")&amp;IF(OR(AND($AL8&gt;='King Node Model'!$AM$17,$AL8&lt;='King Node Model'!$AN$17,$AP$45="RASP"),AND($AL8&gt;='King Node Model'!$AM$18,$AL8&lt;='King Node Model'!$AN$18,$AP$46="RASP"),AND($AL8&gt;='King Node Model'!$AM$19,$AL8&lt;='King Node Model'!$AN$19,$AP$47="RASP"),AND($AL8&gt;='King Node Model'!$AM$20,$AL8&lt;='King Node Model'!$AN$20,$AP$52="RASP"),AND($AL8&gt;='King Node Model'!$AM$21,$AL8&lt;='King Node Model'!$AN$21,$AP$53="RASP"),AND($AL8&gt;='King Node Model'!$AM$22,$AL8&lt;='King Node Model'!$AN$22,$AP$54="RASP")),"","")&amp;IF(IF('Level Engine'!$GJ$4=1,$AL8='Level Engine'!$GJ$3,AND($AL8-$AM$2&gt;-2.5,$AL8-$AM$2&lt;=2.5))," ◄","")&amp;IF(IFERROR(INDEX('Level Engine'!$GV$9:$GV$55,MATCH($AL8,'Level Engine'!$AA$9:$AA$55,0)),0)=1," Ⓥ"&amp;IF(IFERROR(INDEX('Level Engine'!$ET$9:$ET$55,MATCH($AL8,'Level Engine'!$AA$9:$AA$55,0)),0)=1,"+",""),"")&amp;IF(OR(AND($AL8=$AN$38,IFERROR(INDEX('Level Engine'!$AN$9:$AN$55,MATCH($AL8,'Level Engine'!$AA$9:$AA$55,0)),0)&lt;&gt;1),$AL8=$AN$39)," ⊙","")&amp;IF(AND(OR('King Node Model'!$A$8="Neg",N('Level Engine'!$BG$72)=1),ABS(MIN($AM$3:$AM$64))&gt;MAX($AM$3:$AM$64),$AN$2&lt;$AM$2,$AL8&lt;$AM$2,ABS($AL8-$AN$2)&lt;=5,IFERROR(VALUE(MID('King Node Model'!$K$26,FIND(":",'King Node Model'!$K$26)-2,2)),0)&gt;=19,IFERROR(INDEX('Level Engine'!$EJ$9:$EJ$55,MATCH($AL8,'Level Engine'!$AA$9:$AA$55,0)),0)=0,$AN$3&gt;$AM$2)," ⟲rev","")&amp;IF($AL8='King Node Model'!$F$24," ⟂","")&amp;$DJ8&amp;IF(IFERROR(INDEX('Level Engine'!$EN$9:$EN$55,MATCH($AL8,'Level Engine'!$AA$9:$AA$55,0)),0)=1," Ⓟ"&amp;IF(AND(OR('King Node Model'!$A$8="Neg",N('Level Engine'!$BG$72)=1),IFERROR(INDEX('Level Engine'!$AN$9:$AN$55,MATCH($AL8,'Level Engine'!$AA$9:$AA$55,0)),0)&lt;&gt;1)," NO-REV",""),"")&amp;IF(AND(ISNUMBER($AL8),OR(AND(ISNUMBER(SEARCH("chop edge",$E$45)),$AL8='King Node Model'!$AL$42),AND(ISNUMBER(SEARCH("chop edge",$E$46)),$AL8='King Node Model'!$AL$43),AND(ISNUMBER(SEARCH("chop edge",$E$52)),$AL8='King Node Model'!$AL$49),AND(ISNUMBER(SEARCH("chop edge",$E$53)),$AL8='King Node Model'!$AL$50)))," ⒸⒺ","")&amp;IF(AND('Level Engine'!$GJ$4=1,OR($AL8='Level Engine'!$GJ$1,$AL8='Level Engine'!$GJ$2)),"","")&amp;IF(ABS(N(IFERROR(INDEX('Level Engine'!$AE$9:$AE$55,MATCH($AL8,'Level Engine'!$AA$9:$AA$55,0)),0)))&gt;='Level Engine'!$BG$85,IF(N(IFERROR(INDEX('Level Engine'!$AE$9:$AE$55,MATCH($AL8,'Level Engine'!$AA$9:$AA$55,0)),0))&gt;0," Δ+"," Δ−"),"")&amp;IFERROR(IF(AND(ISNUMBER(MATCH($AL8,'Level Engine'!$AA$9:$AA$55,0)),ABS(N(IFERROR(INDEX('Level Engine'!$AE$9:$AE$55,MATCH($AL8,'Level Engine'!$AA$9:$AA$55,0)),0)))&lt;'Level Engine'!$BG$85,ABS(N(IFERROR(INDEX('Level Engine'!$AE$9:$AE$55,MATCH($AL8,'Level Engine'!$AA$9:$AA$55,0)),0)))&lt;=ABS(N(IFERROR(INDEX('Level Engine'!$AE$9:$AE$55,MATCH($AL8+5,'Level Engine'!$AA$9:$AA$55,0)),0))),ABS(N(IFERROR(INDEX('Level Engine'!$AE$9:$AE$55,MATCH($AL8,'Level Engine'!$AA$9:$AA$55,0)),0)))&lt;=ABS(N(IFERROR(INDEX('Level Engine'!$AE$9:$AE$55,MATCH($AL8-5,'Level Engine'!$AA$9:$AA$55,0)),0))),OR(AND(ABS(N(IFERROR(INDEX('Level Engine'!$AE$9:$AE$55,MATCH($AL8+5,'Level Engine'!$AA$9:$AA$55,0)),0)))&gt;='Level Engine'!$BG$85,ABS(N(IFERROR(INDEX('Level Engine'!$AE$9:$AE$55,MATCH($AL8,'Level Engine'!$AA$9:$AA$55,0)),0)))&lt;='Level Engine'!$BG$88*ABS(N(IFERROR(INDEX('Level Engine'!$AE$9:$AE$55,MATCH($AL8+5,'Level Engine'!$AA$9:$AA$55,0)),0)))),AND(ABS(N(IFERROR(INDEX('Level Engine'!$AE$9:$AE$55,MATCH($AL8-5,'Level Engine'!$AA$9:$AA$55,0)),0)))&gt;='Level Engine'!$BG$85,ABS(N(IFERROR(INDEX('Level Engine'!$AE$9:$AE$55,MATCH($AL8,'Level Engine'!$AA$9:$AA$55,0)),0)))&lt;='Level Engine'!$BG$88*ABS(N(IFERROR(INDEX('Level Engine'!$AE$9:$AE$55,MATCH($AL8-5,'Level Engine'!$AA$9:$AA$55,0)),0)))))),IF(AND('King Node Model'!$A$8="Pos",N('Level Engine'!$BG$72)&lt;&gt;1),""," ∅"),""),"")&amp;IF(IFERROR(INDEX('Level Engine'!$JD$9:$JD$55,MATCH($AL8,'Level Engine'!$AA$9:$AA$55,0)),"")="P"," P-OI",IF(IFERROR(INDEX('Level Engine'!$JD$9:$JD$55,MATCH($AL8,'Level Engine'!$AA$9:$AA$55,0)),"")="C"," C-OI",""))</f>
        <v>7860</v>
      </c>
      <c r="C8" s="9" t="str">
        <f t="shared" si="0"/>
        <v>█</v>
      </c>
      <c r="D8" t="str">
        <f>IF(NOT(ISNUMBER($AL8)),"",IF(IFERROR(INDEX('Level Engine'!$FS$9:$FS$55,MATCH($AL8,'Level Engine'!$AA$9:$AA$55,0)),0)=1,"⊙",""))</f>
        <v/>
      </c>
      <c r="E8" s="18" t="s">
        <v>4</v>
      </c>
      <c r="F8" s="19"/>
      <c r="G8" s="566" t="str">
        <f>'King Node Model'!A20</f>
        <v>BUY-LEAN REGIME  -  buy dips per matrix guidance.</v>
      </c>
      <c r="H8" s="566"/>
      <c r="I8" s="566"/>
      <c r="J8" s="566"/>
      <c r="K8" s="566"/>
      <c r="L8" s="566"/>
      <c r="M8" s="566"/>
      <c r="N8" s="566"/>
      <c r="O8" s="21"/>
      <c r="Q8" s="10"/>
      <c r="R8" s="3"/>
      <c r="S8" s="10"/>
      <c r="T8" s="481"/>
      <c r="U8" s="481"/>
      <c r="AL8" s="1">
        <f>'King Node Model'!A34</f>
        <v>7860</v>
      </c>
      <c r="AM8" s="10">
        <f>'King Node Model'!C34</f>
        <v>89475</v>
      </c>
      <c r="AN8" s="3">
        <f>'King Node Model'!T28</f>
        <v>7770</v>
      </c>
      <c r="AO8" s="10">
        <f>'King Node Model'!B34</f>
        <v>95407</v>
      </c>
      <c r="AY8" s="1">
        <f>IF(AND($B$2="Hide unsafe",$BB8=1),0,IF(AND(OR(AND(AND(ISNUMBER($AL8),OR(AND($AL8&gt;=$AQ$22,$AL8&lt;=$AR$22,$AS$22=1),$AL8=$AQ$22,$AL8=$AR$22,$AL8=$AQ$23,$AL8=$AR$23,$AL8=$AQ$24,$AL8=$AR$24),NOT(OR($AL8=$AN$5,$AL8=$AN$6,$AL8=$AN$7,$AL8=$AN$8,$AL8=$AN$10,$AL8=$AN$11))),NOT(OR(AND('King Node Model'!$P$13="Up",OR($AL8=$AQ$22,$AL8=$AQ$23,$AL8=$AQ$24,$AL8='King Node Model'!$AM$20,$AL8='King Node Model'!$AM$21,$AL8='King Node Model'!$AM$22),OR(AND('King Node Model'!$B$23-$AL8&gt;=0,'King Node Model'!$B$23-$AL8&lt;=5),AND('King Node Model'!$C$23-$AL8&gt;=0,'King Node Model'!$C$23-$AL8&lt;=5))),AND('King Node Model'!$P$13="Down",OR($AL8=$AR$22,$AL8=$AR$23,$AL8=$AR$24,$AL8='King Node Model'!$AN$20,$AL8='King Node Model'!$AN$21,$AL8='King Node Model'!$AN$22),OR(AND($AL8-'King Node Model'!$B$23&gt;=0,$AL8-'King Node Model'!$B$23&lt;=5),AND($AL8-'King Node Model'!$C$24&gt;=0,$AL8-'King Node Model'!$C$24&lt;=5)))))),AND(AND(ISNUMBER($AL8),OR(AND($AL8&gt;=$AQ$22,$AL8&lt;=$AR$22,$AS$22=1),$AL8=$AQ$22,$AL8=$AR$22,$AL8=$AQ$23,$AL8=$AR$23,$AL8=$AQ$24,$AL8=$AR$24,$AL8='King Node Model'!$AL$42,$AL8='King Node Model'!$AL$43),OR($AL8=$AN$5,$AL8=$AN$6,$AL8=$AN$7,$AL8=$AN$8,$AL8=$AN$10,$AL8=$AN$11)),NOT(OR(AND('King Node Model'!$P$13="Up",OR($AL8=$AQ$22,$AL8=$AQ$23,$AL8=$AQ$24,$AL8='King Node Model'!$AM$20,$AL8='King Node Model'!$AM$21,$AL8='King Node Model'!$AM$22),OR(AND('King Node Model'!$B$23-$AL8&gt;=0,'King Node Model'!$B$23-$AL8&lt;=5),AND('King Node Model'!$C$23-$AL8&gt;=0,'King Node Model'!$C$23-$AL8&lt;=5))),AND('King Node Model'!$P$13="Down",OR($AL8=$AR$22,$AL8=$AR$23,$AL8=$AR$24,$AL8='King Node Model'!$AN$20,$AL8='King Node Model'!$AN$21,$AL8='King Node Model'!$AN$22),OR(AND($AL8-'King Node Model'!$B$23&gt;=0,$AL8-'King Node Model'!$B$23&lt;=5),AND($AL8-'King Node Model'!$C$24&gt;=0,$AL8-'King Node Model'!$C$24&lt;=5)))))),AND(AND(ISNUMBER($AL8),OR(AND($AL8&gt;='King Node Model'!$AM$20,$AL8&lt;='King Node Model'!$AN$20,$AS$23=1),$AL8='King Node Model'!$AM$20,$AL8='King Node Model'!$AN$20,$AL8='King Node Model'!$AM$21,$AL8='King Node Model'!$AN$21,$AL8='King Node Model'!$AM$22,$AL8='King Node Model'!$AN$22),NOT(OR($AL8=$AN$5,$AL8=$AN$6,$AL8=$AN$7,$AL8=$AN$8,$AL8=$AN$10,$AL8=$AN$11))),NOT(AND(ISNUMBER('King Node Model'!$F$24),$AL8='King Node Model'!$F$24,IFERROR(INDEX('Level Engine'!$JN$9:$JN$55,MATCH($AL8,'Level Engine'!$AA$9:$AA$55,0)),0)&lt;&gt;1))),AND(AND(ISNUMBER($AL8),OR(AND($AL8&gt;='King Node Model'!$AM$20,$AL8&lt;='King Node Model'!$AN$20,$AS$23=1),$AL8='King Node Model'!$AM$20,$AL8='King Node Model'!$AN$20,$AL8='King Node Model'!$AM$21,$AL8='King Node Model'!$AN$21,$AL8='King Node Model'!$AM$22,$AL8='King Node Model'!$AN$22,$AL8='King Node Model'!$AL$49,$AL8='King Node Model'!$AL$50),OR($AL8=$AN$5,$AL8=$AN$6,$AL8=$AN$7,$AL8=$AN$8,$AL8=$AN$10,$AL8=$AN$11)),NOT(OR(AND('King Node Model'!$P$13="Up",OR($AL8=$AQ$22,$AL8=$AQ$23,$AL8=$AQ$24,$AL8='King Node Model'!$AM$20,$AL8='King Node Model'!$AM$21,$AL8='King Node Model'!$AM$22),OR(AND('King Node Model'!$B$23-$AL8&gt;=0,'King Node Model'!$B$23-$AL8&lt;=5),AND('King Node Model'!$C$23-$AL8&gt;=0,'King Node Model'!$C$23-$AL8&lt;=5))),AND('King Node Model'!$P$13="Down",OR($AL8=$AR$22,$AL8=$AR$23,$AL8=$AR$24,$AL8='King Node Model'!$AN$20,$AL8='King Node Model'!$AN$21,$AL8='King Node Model'!$AN$22),OR(AND($AL8-'King Node Model'!$B$23&gt;=0,$AL8-'King Node Model'!$B$23&lt;=5),AND($AL8-'King Node Model'!$C$24&gt;=0,$AL8-'King Node Model'!$C$24&lt;=5))))))),OR(COUNTIF('Level Engine'!$W$9:$W$14,$AL8)&gt;0,COUNTIF('Level Engine'!$W$18:$W$23,$AL8)&gt;0)),1,0))</f>
        <v>0</v>
      </c>
      <c r="AZ8" s="1">
        <f t="shared" si="1"/>
        <v>0</v>
      </c>
      <c r="BB8" s="1">
        <f>IF(OR(AND($AL8='King Node Model'!$AL$42,$AP$45&lt;&gt;"RASP"),AND($AL8='King Node Model'!$AL$43,$AP$46&lt;&gt;"RASP"),AND($AL8='King Node Model'!$AL$49,$AP$52&lt;&gt;"RASP"),AND($AL8='King Node Model'!$AL$50,$AP$53&lt;&gt;"RASP"),AND($AL8='King Node Model'!$AL$44,$AP$47&lt;&gt;"RASP"),AND($AL8='King Node Model'!$AL$51,$AP$54&lt;&gt;"RASP")),0,IF(AND(AND(ISNUMBER($AL8),OR(AND($AL8&gt;=$AQ$22,$AL8&lt;=$AR$22,$AP$45="RASP"),AND($AL8&gt;=$AQ$23,$AL8&lt;=$AR$23,$AP$46="RASP"),AND($AL8&gt;=$AQ$24,$AL8&lt;=$AR$24,$AP$47="RASP"),AND($AL8&gt;='King Node Model'!$AM$20,$AL8&lt;='King Node Model'!$AN$20,$AP$52="RASP",NOT($L$52=$AW$52)),AND($AL8='King Node Model'!$B$23,$AP$52="RASP",$L$52=$AW$52),AND($AL8&gt;='King Node Model'!$AM$21,$AL8&lt;='King Node Model'!$AN$21,$AP$53="RASP",NOT($L$53=$AW$53)),AND($AL8='King Node Model'!$B$23,$AP$53="RASP",$L$53=$AW$53),AND($AL8&gt;='King Node Model'!$AM$22,$AL8&lt;='King Node Model'!$AN$22,$AP$54="RASP"),AND($AL8&gt;=IFERROR(INDEX('Level Engine'!$AT$9:$AT$55,MATCH('King Node Model'!$AL$42,'Level Engine'!$AA$9:$AA$55,0)),""),$AL8&lt;=IFERROR(INDEX('Level Engine'!$AU$9:$AU$55,MATCH('King Node Model'!$AL$42,'Level Engine'!$AA$9:$AA$55,0)),""),$AP$45="RASP"),AND($AL8&gt;=IFERROR(INDEX('Level Engine'!$AT$9:$AT$55,MATCH('King Node Model'!$AL$43,'Level Engine'!$AA$9:$AA$55,0)),""),$AL8&lt;=IFERROR(INDEX('Level Engine'!$AU$9:$AU$55,MATCH('King Node Model'!$AL$43,'Level Engine'!$AA$9:$AA$55,0)),""),$AP$46="RASP"),AND($AL8&gt;=IFERROR(INDEX('Level Engine'!$AT$9:$AT$55,MATCH('King Node Model'!$AL$44,'Level Engine'!$AA$9:$AA$55,0)),""),$AL8&lt;=IFERROR(INDEX('Level Engine'!$AU$9:$AU$55,MATCH('King Node Model'!$AL$44,'Level Engine'!$AA$9:$AA$55,0)),""),$AP$47="RASP"),AND($AL8&gt;=IFERROR(INDEX('Level Engine'!$AT$9:$AT$55,MATCH('King Node Model'!$AL$49,'Level Engine'!$AA$9:$AA$55,0)),""),$AL8&lt;=IFERROR(INDEX('Level Engine'!$AU$9:$AU$55,MATCH('King Node Model'!$AL$49,'Level Engine'!$AA$9:$AA$55,0)),""),$AP$52="RASP",NOT($L$52=$AW$52)),AND($AL8&gt;=IFERROR(INDEX('Level Engine'!$AT$9:$AT$55,MATCH('King Node Model'!$AL$50,'Level Engine'!$AA$9:$AA$55,0)),""),$AL8&lt;=IFERROR(INDEX('Level Engine'!$AU$9:$AU$55,MATCH('King Node Model'!$AL$50,'Level Engine'!$AA$9:$AA$55,0)),""),$AP$53="RASP",NOT($L$53=$AW$53)),AND($AL8&gt;=IFERROR(INDEX('Level Engine'!$AT$9:$AT$55,MATCH('King Node Model'!$AL$51,'Level Engine'!$AA$9:$AA$55,0)),""),$AL8&lt;=IFERROR(INDEX('Level Engine'!$AU$9:$AU$55,MATCH('King Node Model'!$AL$51,'Level Engine'!$AA$9:$AA$55,0)),""),$AP$54="RASP"))),NOT(AND(ISNUMBER('King Node Model'!$F$24),$AL8='King Node Model'!$F$24,IFERROR(INDEX('Level Engine'!$JN$9:$JN$55,MATCH($AL8,'Level Engine'!$AA$9:$AA$55,0)),0)&lt;&gt;1,$AL8&lt;&gt;'King Node Model'!$AL$42,$AL8&lt;&gt;'King Node Model'!$AL$43,$AL8&lt;&gt;'King Node Model'!$AL$44,$AL8&lt;&gt;'King Node Model'!$AL$49,$AL8&lt;&gt;'King Node Model'!$AL$50,$AL8&lt;&gt;'King Node Model'!$AL$51))),1,0))</f>
        <v>0</v>
      </c>
      <c r="CO8">
        <f>IF(NOT(ISNUMBER($AL8)),"",IF(NOT(ISNUMBER(IFERROR(INDEX('Level Engine'!$FT$9:$FT$55,MATCH($AL8,'Level Engine'!$AA$9:$AA$55,0)),""))),"",IF(IFERROR(INDEX('Level Engine'!$FT$9:$FT$55,MATCH($AL8,'Level Engine'!$AA$9:$AA$55,0)),"")&lt;0,0,2)+IF(ABS(IFERROR(INDEX('Level Engine'!$FT$9:$FT$55,MATCH($AL8,'Level Engine'!$AA$9:$AA$55,0)),""))&gt;='Level Engine'!$FT$2,2,1)))</f>
        <v>4</v>
      </c>
      <c r="DJ8" t="str">
        <f>IF(ISNUMBER($AL8),IF($AL8='Level Engine'!$BG$122," ⫪","")&amp;IF($AL8='Level Engine'!$BG$118," S↑"&amp;IFERROR(INDEX('Level Engine'!$MV$9:$MV$55,MATCH($AL8,'Level Engine'!$AA$9:$AA$55,0)),""),"")&amp;IF($AL8='Level Engine'!$BG$119," S↓"&amp;IFERROR(INDEX('Level Engine'!$MV$9:$MV$55,MATCH($AL8,'Level Engine'!$AA$9:$AA$55,0)),""),"")&amp;IF($AL8='Level Engine'!$BG$120," D↑","")&amp;IF($AL8='Level Engine'!$BG$121," D↓","")&amp;IFERROR(INDEX('Level Engine'!$LG$9:$LG$55,MATCH($AL8,'Level Engine'!$AA$9:$AA$55,0)),"")&amp;IF(IFERROR(INDEX('Level Engine'!$MA$9:$MA$55,MATCH($AL8,'Level Engine'!$AA$9:$AA$55,0)),0)=1," SAND","")&amp;IF(IFERROR(INDEX('Level Engine'!$LM$9:$LM$55,MATCH($AL8,'Level Engine'!$AA$9:$AA$55,0)),0)&gt;0," TP","")&amp;IFERROR(" r"&amp;MATCH($AL8,'Level Engine'!$W$9:$W$14,0),IFERROR(" s"&amp;MATCH($AL8,'Level Engine'!$W$18:$W$23,0),""))&amp;IF($AL8='Level Engine'!$BG$165," ◇","")&amp;IF(N($DZ8)=1,IF($AL8&gt;'Level Engine'!$BG$165," ⚠ DOM↓"," ⚠ DOM↑")&amp;'Level Engine'!$BG$165,""),"")</f>
        <v/>
      </c>
      <c r="DK8" t="str">
        <f>IF(AND(ISNUMBER($AL8),OR($AL8='King Node Model'!$AL$42,$AL8='King Node Model'!$AL$43,$AL8='King Node Model'!$AL$44)),IFERROR(MATCH($AL8,'Level Engine'!$W$9:$W$14,0),""),"")</f>
        <v/>
      </c>
      <c r="DL8" t="str">
        <f>IF(AND(ISNUMBER($AL8),OR($AL8='King Node Model'!$AL$49,$AL8='King Node Model'!$AL$50,$AL8='King Node Model'!$AL$51)),IFERROR(MATCH($AL8,'Level Engine'!$W$18:$W$23,0),""),"")</f>
        <v/>
      </c>
      <c r="DM8">
        <f>IF(AND(ISNUMBER($AL8),IFERROR(INDEX('Level Engine'!$LC$9:$LC$55,MATCH($AL8,'Level Engine'!$AA$9:$AA$55,0)),0)=1,OR($AL8=$AN$3,IFERROR(INDEX('Level Engine'!$LB$9:$LB$55,MATCH($AL8,'Level Engine'!$AA$9:$AA$55,0)),0)=1)),1,0)</f>
        <v>0</v>
      </c>
      <c r="DZ8">
        <f>IF(ISNUMBER($AL8),IF(IFERROR(INDEX('Level Engine'!$NJ$9:$NJ$55,MATCH($AL8,'Level Engine'!$AA$9:$AA$55,0)),0)=1,1,0),0)</f>
      </c>
    </row>
    <row r="9" spans="1:117" s="33" customFormat="1" ht="15" customHeight="1" thickBot="1" x14ac:dyDescent="0.3">
      <c r="A9" s="7" t="str">
        <f t="shared" si="2"/>
        <v/>
      </c>
      <c r="B9" s="8" t="str">
        <f>TEXT(IF(IF('Level Engine'!$GJ$4=1,$AL9='Level Engine'!$GJ$3,AND($AL9-$AM$2&gt;-2.5,$AL9-$AM$2&lt;=2.5)),$AM$2,$AL9),"0")&amp;IF($AL9=$AN$1," ★","")&amp;IF($AL9=$AN$2," ★","")&amp;IF($AL9=$AN$3," ◆","")&amp;IF(AND(ISNUMBER($AN$4),$AL9=$AN$4)," Ⓕ","")&amp;IF(OR(AND(ISNUMBER('Level Engine'!$BG$87),$AL9='Level Engine'!$BG$87),AND(ISNUMBER('Level Engine'!$BG$105),$AL9='Level Engine'!$BG$105))," ζ","")&amp;IF(AND(ISNUMBER($AN$35),$AL9=$AN$35)," ⓏⒼ","")&amp;IF(OR($AL9='Level Engine'!$CP$4,$AL9='Level Engine'!$CP$5,$AL9='Level Engine'!$CP$6,$AL9='Level Engine'!$CP$7)," ☄","")&amp;IF(OR($AL9=$AN$5,$AL9=$AN$8)," ║1","")&amp;IF(OR($AL9=$AN$6,$AL9=$AN$10)," ║2","")&amp;IF(OR($AL9=$AN$7,$AL9=$AN$11)," ║3","")&amp;IF(OR($AL9=$AN$13,$AL9=$AN$16)," ▣1","")&amp;IF(OR($AL9=$AN$14,$AL9=$AN$17)," ▣2","")&amp;IF(OR($AL9=$AN$15,$AL9=$AN$18)," ▣3","")&amp;IF(AND(NOT(OR(AND(ISNUMBER(SEARCH("chop edge",$E$45)),IFERROR(ABS($AL9-'King Node Model'!$AL$42)&lt;=5,FALSE),NOT(ISNUMBER(SEARCH("UNSAFE",$L$45)))),AND(ISNUMBER(SEARCH("chop edge",$E$46)),IFERROR(ABS($AL9-'King Node Model'!$AL$43)&lt;=5,FALSE),NOT(ISNUMBER(SEARCH("UNSAFE",$L$46)))),AND(ISNUMBER(SEARCH("chop edge",$E$52)),IFERROR(ABS($AL9-'King Node Model'!$AL$49)&lt;=5,FALSE),NOT(ISNUMBER(SEARCH("UNSAFE",$L$52)))),AND(ISNUMBER(SEARCH("chop edge",$E$53)),IFERROR(ABS($AL9-'King Node Model'!$AL$50)&lt;=5,FALSE),NOT(ISNUMBER(SEARCH("UNSAFE",$L$53)))))),OR(AND(IFERROR(INDEX('Level Engine'!$IB$9:$IB$55,MATCH('King Node Model'!$AL$49,'Level Engine'!$AA$9:$AA$55,0)),0)&lt;&gt;1,$AL9=IFERROR(INDEX('Level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Engine'!$AA$9:$AA$55,0)),0)&lt;&gt;1,$AL9=IFERROR(INDEX('Level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edge",$E$45)),IFERROR(ABS($AL9-'King Node Model'!$AL$42)&lt;=5,FALSE),NOT(ISNUMBER(SEARCH("UNSAFE",$L$45)))),AND(ISNUMBER(SEARCH("chop edge",$E$46)),IFERROR(ABS($AL9-'King Node Model'!$AL$43)&lt;=5,FALSE),NOT(ISNUMBER(SEARCH("UNSAFE",$L$46)))),AND(ISNUMBER(SEARCH("chop edge",$E$52)),IFERROR(ABS($AL9-'King Node Model'!$AL$49)&lt;=5,FALSE),NOT(ISNUMBER(SEARCH("UNSAFE",$L$52)))),AND(ISNUMBER(SEARCH("chop edge",$E$53)),IFERROR(ABS($AL9-'King Node Model'!$AL$50)&lt;=5,FALSE),NOT(ISNUMBER(SEARCH("UNSAFE",$L$53)))))),OR(AND(IFERROR(INDEX('Level Engine'!$IB$9:$IB$55,MATCH('King Node Model'!$AL$42,'Level Engine'!$AA$9:$AA$55,0)),0)&lt;&gt;1,$AL9=IFERROR(INDEX('Level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Engine'!$AA$9:$AA$55,0)),0)&lt;&gt;1,$AL9=IFERROR(INDEX('Level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ⒷⓁ"),"")&amp;IF(OR(AND($AL9&gt;='King Node Model'!$AM$17,$AL9&lt;='King Node Model'!$AN$17,$AP$45="RASP"),AND($AL9&gt;='King Node Model'!$AM$18,$AL9&lt;='King Node Model'!$AN$18,$AP$46="RASP"),AND($AL9&gt;='King Node Model'!$AM$19,$AL9&lt;='King Node Model'!$AN$19,$AP$47="RASP"),AND($AL9&gt;='King Node Model'!$AM$20,$AL9&lt;='King Node Model'!$AN$20,$AP$52="RASP"),AND($AL9&gt;='King Node Model'!$AM$21,$AL9&lt;='King Node Model'!$AN$21,$AP$53="RASP"),AND($AL9&gt;='King Node Model'!$AM$22,$AL9&lt;='King Node Model'!$AN$22,$AP$54="RASP")),"","")&amp;IF(IF('Level Engine'!$GJ$4=1,$AL9='Level Engine'!$GJ$3,AND($AL9-$AM$2&gt;-2.5,$AL9-$AM$2&lt;=2.5))," ◄","")&amp;IF(IFERROR(INDEX('Level Engine'!$GV$9:$GV$55,MATCH($AL9,'Level Engine'!$AA$9:$AA$55,0)),0)=1," Ⓥ"&amp;IF(IFERROR(INDEX('Level Engine'!$ET$9:$ET$55,MATCH($AL9,'Level Engine'!$AA$9:$AA$55,0)),0)=1,"+",""),"")&amp;IF(OR(AND($AL9=$AN$38,IFERROR(INDEX('Level Engine'!$AN$9:$AN$55,MATCH($AL9,'Level Engine'!$AA$9:$AA$55,0)),0)&lt;&gt;1),$AL9=$AN$39)," ⊙","")&amp;IF(AND(OR('King Node Model'!$A$8="Neg",N('Level Engine'!$BG$72)=1),ABS(MIN($AM$3:$AM$64))&gt;MAX($AM$3:$AM$64),$AN$2&lt;$AM$2,$AL9&lt;$AM$2,ABS($AL9-$AN$2)&lt;=5,IFERROR(VALUE(MID('King Node Model'!$K$26,FIND(":",'King Node Model'!$K$26)-2,2)),0)&gt;=19,IFERROR(INDEX('Level Engine'!$EJ$9:$EJ$55,MATCH($AL9,'Level Engine'!$AA$9:$AA$55,0)),0)=0,$AN$3&gt;$AM$2)," ⟲rev","")&amp;IF($AL9='King Node Model'!$F$24," ⟂","")&amp;$DJ9&amp;IF(IFERROR(INDEX('Level Engine'!$EN$9:$EN$55,MATCH($AL9,'Level Engine'!$AA$9:$AA$55,0)),0)=1," Ⓟ"&amp;IF(AND(OR('King Node Model'!$A$8="Neg",N('Level Engine'!$BG$72)=1),IFERROR(INDEX('Level Engine'!$AN$9:$AN$55,MATCH($AL9,'Level Engine'!$AA$9:$AA$55,0)),0)&lt;&gt;1)," NO-REV",""),"")&amp;IF(AND(ISNUMBER($AL9),OR(AND(ISNUMBER(SEARCH("chop edge",$E$45)),$AL9='King Node Model'!$AL$42),AND(ISNUMBER(SEARCH("chop edge",$E$46)),$AL9='King Node Model'!$AL$43),AND(ISNUMBER(SEARCH("chop edge",$E$52)),$AL9='King Node Model'!$AL$49),AND(ISNUMBER(SEARCH("chop edge",$E$53)),$AL9='King Node Model'!$AL$50)))," ⒸⒺ","")&amp;IF(AND('Level Engine'!$GJ$4=1,OR($AL9='Level Engine'!$GJ$1,$AL9='Level Engine'!$GJ$2)),"","")&amp;IF(ABS(N(IFERROR(INDEX('Level Engine'!$AE$9:$AE$55,MATCH($AL9,'Level Engine'!$AA$9:$AA$55,0)),0)))&gt;='Level Engine'!$BG$85,IF(N(IFERROR(INDEX('Level Engine'!$AE$9:$AE$55,MATCH($AL9,'Level Engine'!$AA$9:$AA$55,0)),0))&gt;0," Δ+"," Δ−"),"")&amp;IFERROR(IF(AND(ISNUMBER(MATCH($AL9,'Level Engine'!$AA$9:$AA$55,0)),ABS(N(IFERROR(INDEX('Level Engine'!$AE$9:$AE$55,MATCH($AL9,'Level Engine'!$AA$9:$AA$55,0)),0)))&lt;'Level Engine'!$BG$85,ABS(N(IFERROR(INDEX('Level Engine'!$AE$9:$AE$55,MATCH($AL9,'Level Engine'!$AA$9:$AA$55,0)),0)))&lt;=ABS(N(IFERROR(INDEX('Level Engine'!$AE$9:$AE$55,MATCH($AL9+5,'Level Engine'!$AA$9:$AA$55,0)),0))),ABS(N(IFERROR(INDEX('Level Engine'!$AE$9:$AE$55,MATCH($AL9,'Level Engine'!$AA$9:$AA$55,0)),0)))&lt;=ABS(N(IFERROR(INDEX('Level Engine'!$AE$9:$AE$55,MATCH($AL9-5,'Level Engine'!$AA$9:$AA$55,0)),0))),OR(AND(ABS(N(IFERROR(INDEX('Level Engine'!$AE$9:$AE$55,MATCH($AL9+5,'Level Engine'!$AA$9:$AA$55,0)),0)))&gt;='Level Engine'!$BG$85,ABS(N(IFERROR(INDEX('Level Engine'!$AE$9:$AE$55,MATCH($AL9,'Level Engine'!$AA$9:$AA$55,0)),0)))&lt;='Level Engine'!$BG$88*ABS(N(IFERROR(INDEX('Level Engine'!$AE$9:$AE$55,MATCH($AL9+5,'Level Engine'!$AA$9:$AA$55,0)),0)))),AND(ABS(N(IFERROR(INDEX('Level Engine'!$AE$9:$AE$55,MATCH($AL9-5,'Level Engine'!$AA$9:$AA$55,0)),0)))&gt;='Level Engine'!$BG$85,ABS(N(IFERROR(INDEX('Level Engine'!$AE$9:$AE$55,MATCH($AL9,'Level Engine'!$AA$9:$AA$55,0)),0)))&lt;='Level Engine'!$BG$88*ABS(N(IFERROR(INDEX('Level Engine'!$AE$9:$AE$55,MATCH($AL9-5,'Level Engine'!$AA$9:$AA$55,0)),0)))))),IF(AND('King Node Model'!$A$8="Pos",N('Level Engine'!$BG$72)&lt;&gt;1),""," ∅"),""),"")&amp;IF(IFERROR(INDEX('Level Engine'!$JD$9:$JD$55,MATCH($AL9,'Level Engine'!$AA$9:$AA$55,0)),"")="P"," P-OI",IF(IFERROR(INDEX('Level Engine'!$JD$9:$JD$55,MATCH($AL9,'Level Engine'!$AA$9:$AA$55,0)),"")="C"," C-OI",""))</f>
        <v>7855</v>
      </c>
      <c r="C9" s="9" t="str">
        <f t="shared" si="0"/>
        <v>█</v>
      </c>
      <c r="D9" t="str">
        <f>IF(NOT(ISNUMBER($AL9)),"",IF(IFERROR(INDEX('Level Engine'!$FS$9:$FS$55,MATCH($AL9,'Level Engine'!$AA$9:$AA$55,0)),0)=1,"⊙",""))</f>
        <v/>
      </c>
      <c r="E9" s="22" t="s">
        <v>2090</v>
      </c>
      <c r="F9" s="656" t="s">
        <v>2799</v>
      </c>
      <c r="G9" s="517"/>
      <c r="H9" s="517"/>
      <c r="I9" s="517"/>
      <c r="J9" s="517"/>
      <c r="K9" s="517"/>
      <c r="L9" s="517"/>
      <c r="M9" s="517"/>
      <c r="N9" s="522"/>
      <c r="O9" s="471"/>
      <c r="P9" s="471"/>
      <c r="Q9" s="481"/>
      <c r="R9" s="516"/>
      <c r="S9" s="481"/>
      <c r="T9" s="481"/>
      <c r="U9" s="481"/>
      <c r="V9" s="471"/>
      <c r="AA9" s="471"/>
      <c r="AB9" s="471"/>
      <c r="AC9" s="471"/>
      <c r="AE9" s="471"/>
      <c r="AL9" s="1">
        <f>'King Node Model'!A35</f>
        <v>7855</v>
      </c>
      <c r="AM9" s="10">
        <f>'King Node Model'!C35</f>
        <v>75167</v>
      </c>
      <c r="AN9" s="516"/>
      <c r="AO9" s="10">
        <f>'King Node Model'!B35</f>
        <v>87098</v>
      </c>
      <c r="AP9" s="471"/>
      <c r="AY9" s="1">
        <f>IF(AND($B$2="Hide unsafe",$BB9=1),0,IF(AND(OR(AND(AND(ISNUMBER($AL9),OR(AND($AL9&gt;=$AQ$22,$AL9&lt;=$AR$22,$AS$22=1),$AL9=$AQ$22,$AL9=$AR$22,$AL9=$AQ$23,$AL9=$AR$23,$AL9=$AQ$24,$AL9=$AR$24),NOT(OR($AL9=$AN$5,$AL9=$AN$6,$AL9=$AN$7,$AL9=$AN$8,$AL9=$AN$10,$AL9=$AN$11))),NOT(OR(AND('King Node Model'!$P$13="Up",OR($AL9=$AQ$22,$AL9=$AQ$23,$AL9=$AQ$24,$AL9='King Node Model'!$AM$20,$AL9='King Node Model'!$AM$21,$AL9='King Node Model'!$AM$22),OR(AND('King Node Model'!$B$23-$AL9&gt;=0,'King Node Model'!$B$23-$AL9&lt;=5),AND('King Node Model'!$C$23-$AL9&gt;=0,'King Node Model'!$C$23-$AL9&lt;=5))),AND('King Node Model'!$P$13="Down",OR($AL9=$AR$22,$AL9=$AR$23,$AL9=$AR$24,$AL9='King Node Model'!$AN$20,$AL9='King Node Model'!$AN$21,$AL9='King Node Model'!$AN$22),OR(AND($AL9-'King Node Model'!$B$23&gt;=0,$AL9-'King Node Model'!$B$23&lt;=5),AND($AL9-'King Node Model'!$C$24&gt;=0,$AL9-'King Node Model'!$C$24&lt;=5)))))),AND(AND(ISNUMBER($AL9),OR(AND($AL9&gt;=$AQ$22,$AL9&lt;=$AR$22,$AS$22=1),$AL9=$AQ$22,$AL9=$AR$22,$AL9=$AQ$23,$AL9=$AR$23,$AL9=$AQ$24,$AL9=$AR$24,$AL9='King Node Model'!$AL$42,$AL9='King Node Model'!$AL$43),OR($AL9=$AN$5,$AL9=$AN$6,$AL9=$AN$7,$AL9=$AN$8,$AL9=$AN$10,$AL9=$AN$11)),NOT(OR(AND('King Node Model'!$P$13="Up",OR($AL9=$AQ$22,$AL9=$AQ$23,$AL9=$AQ$24,$AL9='King Node Model'!$AM$20,$AL9='King Node Model'!$AM$21,$AL9='King Node Model'!$AM$22),OR(AND('King Node Model'!$B$23-$AL9&gt;=0,'King Node Model'!$B$23-$AL9&lt;=5),AND('King Node Model'!$C$23-$AL9&gt;=0,'King Node Model'!$C$23-$AL9&lt;=5))),AND('King Node Model'!$P$13="Down",OR($AL9=$AR$22,$AL9=$AR$23,$AL9=$AR$24,$AL9='King Node Model'!$AN$20,$AL9='King Node Model'!$AN$21,$AL9='King Node Model'!$AN$22),OR(AND($AL9-'King Node Model'!$B$23&gt;=0,$AL9-'King Node Model'!$B$23&lt;=5),AND($AL9-'King Node Model'!$C$24&gt;=0,$AL9-'King Node Model'!$C$24&lt;=5)))))),AND(AND(ISNUMBER($AL9),OR(AND($AL9&gt;='King Node Model'!$AM$20,$AL9&lt;='King Node Model'!$AN$20,$AS$23=1),$AL9='King Node Model'!$AM$20,$AL9='King Node Model'!$AN$20,$AL9='King Node Model'!$AM$21,$AL9='King Node Model'!$AN$21,$AL9='King Node Model'!$AM$22,$AL9='King Node Model'!$AN$22),NOT(OR($AL9=$AN$5,$AL9=$AN$6,$AL9=$AN$7,$AL9=$AN$8,$AL9=$AN$10,$AL9=$AN$11))),NOT(AND(ISNUMBER('King Node Model'!$F$24),$AL9='King Node Model'!$F$24,IFERROR(INDEX('Level Engine'!$JN$9:$JN$55,MATCH($AL9,'Level Engine'!$AA$9:$AA$55,0)),0)&lt;&gt;1))),AND(AND(ISNUMBER($AL9),OR(AND($AL9&gt;='King Node Model'!$AM$20,$AL9&lt;='King Node Model'!$AN$20,$AS$23=1),$AL9='King Node Model'!$AM$20,$AL9='King Node Model'!$AN$20,$AL9='King Node Model'!$AM$21,$AL9='King Node Model'!$AN$21,$AL9='King Node Model'!$AM$22,$AL9='King Node Model'!$AN$22,$AL9='King Node Model'!$AL$49,$AL9='King Node Model'!$AL$50),OR($AL9=$AN$5,$AL9=$AN$6,$AL9=$AN$7,$AL9=$AN$8,$AL9=$AN$10,$AL9=$AN$11)),NOT(OR(AND('King Node Model'!$P$13="Up",OR($AL9=$AQ$22,$AL9=$AQ$23,$AL9=$AQ$24,$AL9='King Node Model'!$AM$20,$AL9='King Node Model'!$AM$21,$AL9='King Node Model'!$AM$22),OR(AND('King Node Model'!$B$23-$AL9&gt;=0,'King Node Model'!$B$23-$AL9&lt;=5),AND('King Node Model'!$C$23-$AL9&gt;=0,'King Node Model'!$C$23-$AL9&lt;=5))),AND('King Node Model'!$P$13="Down",OR($AL9=$AR$22,$AL9=$AR$23,$AL9=$AR$24,$AL9='King Node Model'!$AN$20,$AL9='King Node Model'!$AN$21,$AL9='King Node Model'!$AN$22),OR(AND($AL9-'King Node Model'!$B$23&gt;=0,$AL9-'King Node Model'!$B$23&lt;=5),AND($AL9-'King Node Model'!$C$24&gt;=0,$AL9-'King Node Model'!$C$24&lt;=5))))))),OR(COUNTIF('Level Engine'!$W$9:$W$14,$AL9)&gt;0,COUNTIF('Level Engine'!$W$18:$W$23,$AL9)&gt;0)),1,0))</f>
        <v>0</v>
      </c>
      <c r="AZ9" s="1">
        <f t="shared" si="1"/>
        <v>0</v>
      </c>
      <c r="BB9" s="1">
        <f>IF(OR(AND($AL9='King Node Model'!$AL$42,$AP$45&lt;&gt;"RASP"),AND($AL9='King Node Model'!$AL$43,$AP$46&lt;&gt;"RASP"),AND($AL9='King Node Model'!$AL$49,$AP$52&lt;&gt;"RASP"),AND($AL9='King Node Model'!$AL$50,$AP$53&lt;&gt;"RASP"),AND($AL9='King Node Model'!$AL$44,$AP$47&lt;&gt;"RASP"),AND($AL9='King Node Model'!$AL$51,$AP$54&lt;&gt;"RASP")),0,IF(AND(AND(ISNUMBER($AL9),OR(AND($AL9&gt;=$AQ$22,$AL9&lt;=$AR$22,$AP$45="RASP"),AND($AL9&gt;=$AQ$23,$AL9&lt;=$AR$23,$AP$46="RASP"),AND($AL9&gt;=$AQ$24,$AL9&lt;=$AR$24,$AP$47="RASP"),AND($AL9&gt;='King Node Model'!$AM$20,$AL9&lt;='King Node Model'!$AN$20,$AP$52="RASP",NOT($L$52=$AW$52)),AND($AL9='King Node Model'!$B$23,$AP$52="RASP",$L$52=$AW$52),AND($AL9&gt;='King Node Model'!$AM$21,$AL9&lt;='King Node Model'!$AN$21,$AP$53="RASP",NOT($L$53=$AW$53)),AND($AL9='King Node Model'!$B$23,$AP$53="RASP",$L$53=$AW$53),AND($AL9&gt;='King Node Model'!$AM$22,$AL9&lt;='King Node Model'!$AN$22,$AP$54="RASP"),AND($AL9&gt;=IFERROR(INDEX('Level Engine'!$AT$9:$AT$55,MATCH('King Node Model'!$AL$42,'Level Engine'!$AA$9:$AA$55,0)),""),$AL9&lt;=IFERROR(INDEX('Level Engine'!$AU$9:$AU$55,MATCH('King Node Model'!$AL$42,'Level Engine'!$AA$9:$AA$55,0)),""),$AP$45="RASP"),AND($AL9&gt;=IFERROR(INDEX('Level Engine'!$AT$9:$AT$55,MATCH('King Node Model'!$AL$43,'Level Engine'!$AA$9:$AA$55,0)),""),$AL9&lt;=IFERROR(INDEX('Level Engine'!$AU$9:$AU$55,MATCH('King Node Model'!$AL$43,'Level Engine'!$AA$9:$AA$55,0)),""),$AP$46="RASP"),AND($AL9&gt;=IFERROR(INDEX('Level Engine'!$AT$9:$AT$55,MATCH('King Node Model'!$AL$44,'Level Engine'!$AA$9:$AA$55,0)),""),$AL9&lt;=IFERROR(INDEX('Level Engine'!$AU$9:$AU$55,MATCH('King Node Model'!$AL$44,'Level Engine'!$AA$9:$AA$55,0)),""),$AP$47="RASP"),AND($AL9&gt;=IFERROR(INDEX('Level Engine'!$AT$9:$AT$55,MATCH('King Node Model'!$AL$49,'Level Engine'!$AA$9:$AA$55,0)),""),$AL9&lt;=IFERROR(INDEX('Level Engine'!$AU$9:$AU$55,MATCH('King Node Model'!$AL$49,'Level Engine'!$AA$9:$AA$55,0)),""),$AP$52="RASP",NOT($L$52=$AW$52)),AND($AL9&gt;=IFERROR(INDEX('Level Engine'!$AT$9:$AT$55,MATCH('King Node Model'!$AL$50,'Level Engine'!$AA$9:$AA$55,0)),""),$AL9&lt;=IFERROR(INDEX('Level Engine'!$AU$9:$AU$55,MATCH('King Node Model'!$AL$50,'Level Engine'!$AA$9:$AA$55,0)),""),$AP$53="RASP",NOT($L$53=$AW$53)),AND($AL9&gt;=IFERROR(INDEX('Level Engine'!$AT$9:$AT$55,MATCH('King Node Model'!$AL$51,'Level Engine'!$AA$9:$AA$55,0)),""),$AL9&lt;=IFERROR(INDEX('Level Engine'!$AU$9:$AU$55,MATCH('King Node Model'!$AL$51,'Level Engine'!$AA$9:$AA$55,0)),""),$AP$54="RASP"))),NOT(AND(ISNUMBER('King Node Model'!$F$24),$AL9='King Node Model'!$F$24,IFERROR(INDEX('Level Engine'!$JN$9:$JN$55,MATCH($AL9,'Level Engine'!$AA$9:$AA$55,0)),0)&lt;&gt;1,$AL9&lt;&gt;'King Node Model'!$AL$42,$AL9&lt;&gt;'King Node Model'!$AL$43,$AL9&lt;&gt;'King Node Model'!$AL$44,$AL9&lt;&gt;'King Node Model'!$AL$49,$AL9&lt;&gt;'King Node Model'!$AL$50,$AL9&lt;&gt;'King Node Model'!$AL$51))),1,0))</f>
        <v>0</v>
      </c>
      <c r="CO9">
        <f>IF(NOT(ISNUMBER($AL9)),"",IF(NOT(ISNUMBER(IFERROR(INDEX('Level Engine'!$FT$9:$FT$55,MATCH($AL9,'Level Engine'!$AA$9:$AA$55,0)),""))),"",IF(IFERROR(INDEX('Level Engine'!$FT$9:$FT$55,MATCH($AL9,'Level Engine'!$AA$9:$AA$55,0)),"")&lt;0,0,2)+IF(ABS(IFERROR(INDEX('Level Engine'!$FT$9:$FT$55,MATCH($AL9,'Level Engine'!$AA$9:$AA$55,0)),""))&gt;='Level Engine'!$FT$2,2,1)))</f>
        <v>4</v>
      </c>
      <c r="DJ9" t="str">
        <f>IF(ISNUMBER($AL9),IF($AL9='Level Engine'!$BG$122," ⫪","")&amp;IF($AL9='Level Engine'!$BG$118," S↑"&amp;IFERROR(INDEX('Level Engine'!$MV$9:$MV$55,MATCH($AL9,'Level Engine'!$AA$9:$AA$55,0)),""),"")&amp;IF($AL9='Level Engine'!$BG$119," S↓"&amp;IFERROR(INDEX('Level Engine'!$MV$9:$MV$55,MATCH($AL9,'Level Engine'!$AA$9:$AA$55,0)),""),"")&amp;IF($AL9='Level Engine'!$BG$120," D↑","")&amp;IF($AL9='Level Engine'!$BG$121," D↓","")&amp;IFERROR(INDEX('Level Engine'!$LG$9:$LG$55,MATCH($AL9,'Level Engine'!$AA$9:$AA$55,0)),"")&amp;IF(IFERROR(INDEX('Level Engine'!$MA$9:$MA$55,MATCH($AL9,'Level Engine'!$AA$9:$AA$55,0)),0)=1," SAND","")&amp;IF(IFERROR(INDEX('Level Engine'!$LM$9:$LM$55,MATCH($AL9,'Level Engine'!$AA$9:$AA$55,0)),0)&gt;0," TP","")&amp;IFERROR(" r"&amp;MATCH($AL9,'Level Engine'!$W$9:$W$14,0),IFERROR(" s"&amp;MATCH($AL9,'Level Engine'!$W$18:$W$23,0),""))&amp;IF($AL9='Level Engine'!$BG$165," ◇","")&amp;IF(N($DZ9)=1,IF($AL9&gt;'Level Engine'!$BG$165," ⚠ DOM↓"," ⚠ DOM↑")&amp;'Level Engine'!$BG$165,""),"")</f>
        <v/>
      </c>
      <c r="DK9" t="str">
        <f>IF(AND(ISNUMBER($AL9),OR($AL9='King Node Model'!$AL$42,$AL9='King Node Model'!$AL$43,$AL9='King Node Model'!$AL$44)),IFERROR(MATCH($AL9,'Level Engine'!$W$9:$W$14,0),""),"")</f>
        <v/>
      </c>
      <c r="DL9" t="str">
        <f>IF(AND(ISNUMBER($AL9),OR($AL9='King Node Model'!$AL$49,$AL9='King Node Model'!$AL$50,$AL9='King Node Model'!$AL$51)),IFERROR(MATCH($AL9,'Level Engine'!$W$18:$W$23,0),""),"")</f>
        <v/>
      </c>
      <c r="DM9">
        <f>IF(AND(ISNUMBER($AL9),IFERROR(INDEX('Level Engine'!$LC$9:$LC$55,MATCH($AL9,'Level Engine'!$AA$9:$AA$55,0)),0)=1,OR($AL9=$AN$3,IFERROR(INDEX('Level Engine'!$LB$9:$LB$55,MATCH($AL9,'Level Engine'!$AA$9:$AA$55,0)),0)=1)),1,0)</f>
        <v>0</v>
      </c>
      <c r="DZ9">
        <f>IF(ISNUMBER($AL9),IF(IFERROR(INDEX('Level Engine'!$NJ$9:$NJ$55,MATCH($AL9,'Level Engine'!$AA$9:$AA$55,0)),0)=1,1,0),0)</f>
      </c>
    </row>
    <row r="10" spans="1:117" ht="24.75" customHeight="1" x14ac:dyDescent="0.25">
      <c r="A10" s="7" t="str">
        <f t="shared" si="2"/>
        <v/>
      </c>
      <c r="B10" s="8" t="str">
        <f>TEXT(IF(IF('Level Engine'!$GJ$4=1,$AL10='Level Engine'!$GJ$3,AND($AL10-$AM$2&gt;-2.5,$AL10-$AM$2&lt;=2.5)),$AM$2,$AL10),"0")&amp;IF($AL10=$AN$1," ★","")&amp;IF($AL10=$AN$2," ★","")&amp;IF($AL10=$AN$3," ◆","")&amp;IF(AND(ISNUMBER($AN$4),$AL10=$AN$4)," Ⓕ","")&amp;IF(OR(AND(ISNUMBER('Level Engine'!$BG$87),$AL10='Level Engine'!$BG$87),AND(ISNUMBER('Level Engine'!$BG$105),$AL10='Level Engine'!$BG$105))," ζ","")&amp;IF(AND(ISNUMBER($AN$35),$AL10=$AN$35)," ⓏⒼ","")&amp;IF(OR($AL10='Level Engine'!$CP$4,$AL10='Level Engine'!$CP$5,$AL10='Level Engine'!$CP$6,$AL10='Level Engine'!$CP$7)," ☄","")&amp;IF(OR($AL10=$AN$5,$AL10=$AN$8)," ║1","")&amp;IF(OR($AL10=$AN$6,$AL10=$AN$10)," ║2","")&amp;IF(OR($AL10=$AN$7,$AL10=$AN$11)," ║3","")&amp;IF(OR($AL10=$AN$13,$AL10=$AN$16)," ▣1","")&amp;IF(OR($AL10=$AN$14,$AL10=$AN$17)," ▣2","")&amp;IF(OR($AL10=$AN$15,$AL10=$AN$18)," ▣3","")&amp;IF(AND(NOT(OR(AND(ISNUMBER(SEARCH("chop edge",$E$45)),IFERROR(ABS($AL10-'King Node Model'!$AL$42)&lt;=5,FALSE),NOT(ISNUMBER(SEARCH("UNSAFE",$L$45)))),AND(ISNUMBER(SEARCH("chop edge",$E$46)),IFERROR(ABS($AL10-'King Node Model'!$AL$43)&lt;=5,FALSE),NOT(ISNUMBER(SEARCH("UNSAFE",$L$46)))),AND(ISNUMBER(SEARCH("chop edge",$E$52)),IFERROR(ABS($AL10-'King Node Model'!$AL$49)&lt;=5,FALSE),NOT(ISNUMBER(SEARCH("UNSAFE",$L$52)))),AND(ISNUMBER(SEARCH("chop edge",$E$53)),IFERROR(ABS($AL10-'King Node Model'!$AL$50)&lt;=5,FALSE),NOT(ISNUMBER(SEARCH("UNSAFE",$L$53)))))),OR(AND(IFERROR(INDEX('Level Engine'!$IB$9:$IB$55,MATCH('King Node Model'!$AL$49,'Level Engine'!$AA$9:$AA$55,0)),0)&lt;&gt;1,$AL10=IFERROR(INDEX('Level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Engine'!$AA$9:$AA$55,0)),0)&lt;&gt;1,$AL10=IFERROR(INDEX('Level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edge",$E$45)),IFERROR(ABS($AL10-'King Node Model'!$AL$42)&lt;=5,FALSE),NOT(ISNUMBER(SEARCH("UNSAFE",$L$45)))),AND(ISNUMBER(SEARCH("chop edge",$E$46)),IFERROR(ABS($AL10-'King Node Model'!$AL$43)&lt;=5,FALSE),NOT(ISNUMBER(SEARCH("UNSAFE",$L$46)))),AND(ISNUMBER(SEARCH("chop edge",$E$52)),IFERROR(ABS($AL10-'King Node Model'!$AL$49)&lt;=5,FALSE),NOT(ISNUMBER(SEARCH("UNSAFE",$L$52)))),AND(ISNUMBER(SEARCH("chop edge",$E$53)),IFERROR(ABS($AL10-'King Node Model'!$AL$50)&lt;=5,FALSE),NOT(ISNUMBER(SEARCH("UNSAFE",$L$53)))))),OR(AND(IFERROR(INDEX('Level Engine'!$IB$9:$IB$55,MATCH('King Node Model'!$AL$42,'Level Engine'!$AA$9:$AA$55,0)),0)&lt;&gt;1,$AL10=IFERROR(INDEX('Level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Engine'!$AA$9:$AA$55,0)),0)&lt;&gt;1,$AL10=IFERROR(INDEX('Level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ⒷⓁ"),"")&amp;IF(OR(AND($AL10&gt;='King Node Model'!$AM$17,$AL10&lt;='King Node Model'!$AN$17,$AP$45="RASP"),AND($AL10&gt;='King Node Model'!$AM$18,$AL10&lt;='King Node Model'!$AN$18,$AP$46="RASP"),AND($AL10&gt;='King Node Model'!$AM$19,$AL10&lt;='King Node Model'!$AN$19,$AP$47="RASP"),AND($AL10&gt;='King Node Model'!$AM$20,$AL10&lt;='King Node Model'!$AN$20,$AP$52="RASP"),AND($AL10&gt;='King Node Model'!$AM$21,$AL10&lt;='King Node Model'!$AN$21,$AP$53="RASP"),AND($AL10&gt;='King Node Model'!$AM$22,$AL10&lt;='King Node Model'!$AN$22,$AP$54="RASP")),"","")&amp;IF(IF('Level Engine'!$GJ$4=1,$AL10='Level Engine'!$GJ$3,AND($AL10-$AM$2&gt;-2.5,$AL10-$AM$2&lt;=2.5))," ◄","")&amp;IF(IFERROR(INDEX('Level Engine'!$GV$9:$GV$55,MATCH($AL10,'Level Engine'!$AA$9:$AA$55,0)),0)=1," Ⓥ"&amp;IF(IFERROR(INDEX('Level Engine'!$ET$9:$ET$55,MATCH($AL10,'Level Engine'!$AA$9:$AA$55,0)),0)=1,"+",""),"")&amp;IF(OR(AND($AL10=$AN$38,IFERROR(INDEX('Level Engine'!$AN$9:$AN$55,MATCH($AL10,'Level Engine'!$AA$9:$AA$55,0)),0)&lt;&gt;1),$AL10=$AN$39)," ⊙","")&amp;IF(AND(OR('King Node Model'!$A$8="Neg",N('Level Engine'!$BG$72)=1),ABS(MIN($AM$3:$AM$64))&gt;MAX($AM$3:$AM$64),$AN$2&lt;$AM$2,$AL10&lt;$AM$2,ABS($AL10-$AN$2)&lt;=5,IFERROR(VALUE(MID('King Node Model'!$K$26,FIND(":",'King Node Model'!$K$26)-2,2)),0)&gt;=19,IFERROR(INDEX('Level Engine'!$EJ$9:$EJ$55,MATCH($AL10,'Level Engine'!$AA$9:$AA$55,0)),0)=0,$AN$3&gt;$AM$2)," ⟲rev","")&amp;IF($AL10='King Node Model'!$F$24," ⟂","")&amp;$DJ10&amp;IF(IFERROR(INDEX('Level Engine'!$EN$9:$EN$55,MATCH($AL10,'Level Engine'!$AA$9:$AA$55,0)),0)=1," Ⓟ"&amp;IF(AND(OR('King Node Model'!$A$8="Neg",N('Level Engine'!$BG$72)=1),IFERROR(INDEX('Level Engine'!$AN$9:$AN$55,MATCH($AL10,'Level Engine'!$AA$9:$AA$55,0)),0)&lt;&gt;1)," NO-REV",""),"")&amp;IF(AND(ISNUMBER($AL10),OR(AND(ISNUMBER(SEARCH("chop edge",$E$45)),$AL10='King Node Model'!$AL$42),AND(ISNUMBER(SEARCH("chop edge",$E$46)),$AL10='King Node Model'!$AL$43),AND(ISNUMBER(SEARCH("chop edge",$E$52)),$AL10='King Node Model'!$AL$49),AND(ISNUMBER(SEARCH("chop edge",$E$53)),$AL10='King Node Model'!$AL$50)))," ⒸⒺ","")&amp;IF(AND('Level Engine'!$GJ$4=1,OR($AL10='Level Engine'!$GJ$1,$AL10='Level Engine'!$GJ$2)),"","")&amp;IF(ABS(N(IFERROR(INDEX('Level Engine'!$AE$9:$AE$55,MATCH($AL10,'Level Engine'!$AA$9:$AA$55,0)),0)))&gt;='Level Engine'!$BG$85,IF(N(IFERROR(INDEX('Level Engine'!$AE$9:$AE$55,MATCH($AL10,'Level Engine'!$AA$9:$AA$55,0)),0))&gt;0," Δ+"," Δ−"),"")&amp;IFERROR(IF(AND(ISNUMBER(MATCH($AL10,'Level Engine'!$AA$9:$AA$55,0)),ABS(N(IFERROR(INDEX('Level Engine'!$AE$9:$AE$55,MATCH($AL10,'Level Engine'!$AA$9:$AA$55,0)),0)))&lt;'Level Engine'!$BG$85,ABS(N(IFERROR(INDEX('Level Engine'!$AE$9:$AE$55,MATCH($AL10,'Level Engine'!$AA$9:$AA$55,0)),0)))&lt;=ABS(N(IFERROR(INDEX('Level Engine'!$AE$9:$AE$55,MATCH($AL10+5,'Level Engine'!$AA$9:$AA$55,0)),0))),ABS(N(IFERROR(INDEX('Level Engine'!$AE$9:$AE$55,MATCH($AL10,'Level Engine'!$AA$9:$AA$55,0)),0)))&lt;=ABS(N(IFERROR(INDEX('Level Engine'!$AE$9:$AE$55,MATCH($AL10-5,'Level Engine'!$AA$9:$AA$55,0)),0))),OR(AND(ABS(N(IFERROR(INDEX('Level Engine'!$AE$9:$AE$55,MATCH($AL10+5,'Level Engine'!$AA$9:$AA$55,0)),0)))&gt;='Level Engine'!$BG$85,ABS(N(IFERROR(INDEX('Level Engine'!$AE$9:$AE$55,MATCH($AL10,'Level Engine'!$AA$9:$AA$55,0)),0)))&lt;='Level Engine'!$BG$88*ABS(N(IFERROR(INDEX('Level Engine'!$AE$9:$AE$55,MATCH($AL10+5,'Level Engine'!$AA$9:$AA$55,0)),0)))),AND(ABS(N(IFERROR(INDEX('Level Engine'!$AE$9:$AE$55,MATCH($AL10-5,'Level Engine'!$AA$9:$AA$55,0)),0)))&gt;='Level Engine'!$BG$85,ABS(N(IFERROR(INDEX('Level Engine'!$AE$9:$AE$55,MATCH($AL10,'Level Engine'!$AA$9:$AA$55,0)),0)))&lt;='Level Engine'!$BG$88*ABS(N(IFERROR(INDEX('Level Engine'!$AE$9:$AE$55,MATCH($AL10-5,'Level Engine'!$AA$9:$AA$55,0)),0)))))),IF(AND('King Node Model'!$A$8="Pos",N('Level Engine'!$BG$72)&lt;&gt;1),""," ∅"),""),"")&amp;IF(IFERROR(INDEX('Level Engine'!$JD$9:$JD$55,MATCH($AL10,'Level Engine'!$AA$9:$AA$55,0)),"")="P"," P-OI",IF(IFERROR(INDEX('Level Engine'!$JD$9:$JD$55,MATCH($AL10,'Level Engine'!$AA$9:$AA$55,0)),"")="C"," C-OI",""))</f>
        <v>7850 ▣1 P-OI</v>
      </c>
      <c r="C10" s="9" t="str">
        <f t="shared" si="0"/>
        <v>██</v>
      </c>
      <c r="D10" t="str">
        <f>IF(NOT(ISNUMBER($AL10)),"",IF(IFERROR(INDEX('Level Engine'!$FS$9:$FS$55,MATCH($AL10,'Level Engine'!$AA$9:$AA$55,0)),0)=1,"⊙",""))</f>
        <v/>
      </c>
      <c r="E10" s="22" t="s">
        <v>5</v>
      </c>
      <c r="F10" s="567" t="str">
        <f>'King Node Model'!C11&amp;IF(ISNUMBER(SEARCH("Long Gamma Compression — Reinforced",'King Node Model'!C11)),"  ·  Drift bias UP (11 of 14 sessions, pullbacks expected)  ·  monitor DEX for guidance",IF(ISNUMBER(SEARCH("Two-Way Long-Gamma Vol Compression",'King Node Model'!C11)),"  ·  Drift bias unclear (7 of 12 sessions up, wide range)  ·  monitor DEX for guidance",""))</f>
        <v>Low-Vol Grind-Up / Melt-Up — Dealers Comfortable with Upside Drift</v>
      </c>
      <c r="G10" s="567"/>
      <c r="H10" s="567"/>
      <c r="I10" s="567"/>
      <c r="J10" s="567"/>
      <c r="K10" s="567"/>
      <c r="L10" s="567"/>
      <c r="M10" s="567"/>
      <c r="N10" s="568"/>
      <c r="Q10" s="557" t="s">
        <v>1598</v>
      </c>
      <c r="R10" s="557"/>
      <c r="S10" s="557"/>
      <c r="T10" s="488"/>
      <c r="U10" s="488"/>
      <c r="AL10" s="1">
        <f>'King Node Model'!A36</f>
        <v>7850</v>
      </c>
      <c r="AM10" s="10">
        <f>'King Node Model'!C36</f>
        <v>214075</v>
      </c>
      <c r="AN10" s="3">
        <f>'King Node Model'!T29</f>
        <v>7775</v>
      </c>
      <c r="AO10" s="10">
        <f>'King Node Model'!B36</f>
        <v>351467</v>
      </c>
      <c r="AY10" s="1">
        <f>IF(AND($B$2="Hide unsafe",$BB10=1),0,IF(AND(OR(AND(AND(ISNUMBER($AL10),OR(AND($AL10&gt;=$AQ$22,$AL10&lt;=$AR$22,$AS$22=1),$AL10=$AQ$22,$AL10=$AR$22,$AL10=$AQ$23,$AL10=$AR$23,$AL10=$AQ$24,$AL10=$AR$24),NOT(OR($AL10=$AN$5,$AL10=$AN$6,$AL10=$AN$7,$AL10=$AN$8,$AL10=$AN$10,$AL10=$AN$11))),NOT(OR(AND('King Node Model'!$P$13="Up",OR($AL10=$AQ$22,$AL10=$AQ$23,$AL10=$AQ$24,$AL10='King Node Model'!$AM$20,$AL10='King Node Model'!$AM$21,$AL10='King Node Model'!$AM$22),OR(AND('King Node Model'!$B$23-$AL10&gt;=0,'King Node Model'!$B$23-$AL10&lt;=5),AND('King Node Model'!$C$23-$AL10&gt;=0,'King Node Model'!$C$23-$AL10&lt;=5))),AND('King Node Model'!$P$13="Down",OR($AL10=$AR$22,$AL10=$AR$23,$AL10=$AR$24,$AL10='King Node Model'!$AN$20,$AL10='King Node Model'!$AN$21,$AL10='King Node Model'!$AN$22),OR(AND($AL10-'King Node Model'!$B$23&gt;=0,$AL10-'King Node Model'!$B$23&lt;=5),AND($AL10-'King Node Model'!$C$24&gt;=0,$AL10-'King Node Model'!$C$24&lt;=5)))))),AND(AND(ISNUMBER($AL10),OR(AND($AL10&gt;=$AQ$22,$AL10&lt;=$AR$22,$AS$22=1),$AL10=$AQ$22,$AL10=$AR$22,$AL10=$AQ$23,$AL10=$AR$23,$AL10=$AQ$24,$AL10=$AR$24,$AL10='King Node Model'!$AL$42,$AL10='King Node Model'!$AL$43),OR($AL10=$AN$5,$AL10=$AN$6,$AL10=$AN$7,$AL10=$AN$8,$AL10=$AN$10,$AL10=$AN$11)),NOT(OR(AND('King Node Model'!$P$13="Up",OR($AL10=$AQ$22,$AL10=$AQ$23,$AL10=$AQ$24,$AL10='King Node Model'!$AM$20,$AL10='King Node Model'!$AM$21,$AL10='King Node Model'!$AM$22),OR(AND('King Node Model'!$B$23-$AL10&gt;=0,'King Node Model'!$B$23-$AL10&lt;=5),AND('King Node Model'!$C$23-$AL10&gt;=0,'King Node Model'!$C$23-$AL10&lt;=5))),AND('King Node Model'!$P$13="Down",OR($AL10=$AR$22,$AL10=$AR$23,$AL10=$AR$24,$AL10='King Node Model'!$AN$20,$AL10='King Node Model'!$AN$21,$AL10='King Node Model'!$AN$22),OR(AND($AL10-'King Node Model'!$B$23&gt;=0,$AL10-'King Node Model'!$B$23&lt;=5),AND($AL10-'King Node Model'!$C$24&gt;=0,$AL10-'King Node Model'!$C$24&lt;=5)))))),AND(AND(ISNUMBER($AL10),OR(AND($AL10&gt;='King Node Model'!$AM$20,$AL10&lt;='King Node Model'!$AN$20,$AS$23=1),$AL10='King Node Model'!$AM$20,$AL10='King Node Model'!$AN$20,$AL10='King Node Model'!$AM$21,$AL10='King Node Model'!$AN$21,$AL10='King Node Model'!$AM$22,$AL10='King Node Model'!$AN$22),NOT(OR($AL10=$AN$5,$AL10=$AN$6,$AL10=$AN$7,$AL10=$AN$8,$AL10=$AN$10,$AL10=$AN$11))),NOT(AND(ISNUMBER('King Node Model'!$F$24),$AL10='King Node Model'!$F$24,IFERROR(INDEX('Level Engine'!$JN$9:$JN$55,MATCH($AL10,'Level Engine'!$AA$9:$AA$55,0)),0)&lt;&gt;1))),AND(AND(ISNUMBER($AL10),OR(AND($AL10&gt;='King Node Model'!$AM$20,$AL10&lt;='King Node Model'!$AN$20,$AS$23=1),$AL10='King Node Model'!$AM$20,$AL10='King Node Model'!$AN$20,$AL10='King Node Model'!$AM$21,$AL10='King Node Model'!$AN$21,$AL10='King Node Model'!$AM$22,$AL10='King Node Model'!$AN$22,$AL10='King Node Model'!$AL$49,$AL10='King Node Model'!$AL$50),OR($AL10=$AN$5,$AL10=$AN$6,$AL10=$AN$7,$AL10=$AN$8,$AL10=$AN$10,$AL10=$AN$11)),NOT(OR(AND('King Node Model'!$P$13="Up",OR($AL10=$AQ$22,$AL10=$AQ$23,$AL10=$AQ$24,$AL10='King Node Model'!$AM$20,$AL10='King Node Model'!$AM$21,$AL10='King Node Model'!$AM$22),OR(AND('King Node Model'!$B$23-$AL10&gt;=0,'King Node Model'!$B$23-$AL10&lt;=5),AND('King Node Model'!$C$23-$AL10&gt;=0,'King Node Model'!$C$23-$AL10&lt;=5))),AND('King Node Model'!$P$13="Down",OR($AL10=$AR$22,$AL10=$AR$23,$AL10=$AR$24,$AL10='King Node Model'!$AN$20,$AL10='King Node Model'!$AN$21,$AL10='King Node Model'!$AN$22),OR(AND($AL10-'King Node Model'!$B$23&gt;=0,$AL10-'King Node Model'!$B$23&lt;=5),AND($AL10-'King Node Model'!$C$24&gt;=0,$AL10-'King Node Model'!$C$24&lt;=5))))))),OR(COUNTIF('Level Engine'!$W$9:$W$14,$AL10)&gt;0,COUNTIF('Level Engine'!$W$18:$W$23,$AL10)&gt;0)),1,0))</f>
        <v>0</v>
      </c>
      <c r="AZ10" s="1">
        <f t="shared" si="1"/>
        <v>0</v>
      </c>
      <c r="BB10" s="1">
        <f>IF(OR(AND($AL10='King Node Model'!$AL$42,$AP$45&lt;&gt;"RASP"),AND($AL10='King Node Model'!$AL$43,$AP$46&lt;&gt;"RASP"),AND($AL10='King Node Model'!$AL$49,$AP$52&lt;&gt;"RASP"),AND($AL10='King Node Model'!$AL$50,$AP$53&lt;&gt;"RASP"),AND($AL10='King Node Model'!$AL$44,$AP$47&lt;&gt;"RASP"),AND($AL10='King Node Model'!$AL$51,$AP$54&lt;&gt;"RASP")),0,IF(AND(AND(ISNUMBER($AL10),OR(AND($AL10&gt;=$AQ$22,$AL10&lt;=$AR$22,$AP$45="RASP"),AND($AL10&gt;=$AQ$23,$AL10&lt;=$AR$23,$AP$46="RASP"),AND($AL10&gt;=$AQ$24,$AL10&lt;=$AR$24,$AP$47="RASP"),AND($AL10&gt;='King Node Model'!$AM$20,$AL10&lt;='King Node Model'!$AN$20,$AP$52="RASP",NOT($L$52=$AW$52)),AND($AL10='King Node Model'!$B$23,$AP$52="RASP",$L$52=$AW$52),AND($AL10&gt;='King Node Model'!$AM$21,$AL10&lt;='King Node Model'!$AN$21,$AP$53="RASP",NOT($L$53=$AW$53)),AND($AL10='King Node Model'!$B$23,$AP$53="RASP",$L$53=$AW$53),AND($AL10&gt;='King Node Model'!$AM$22,$AL10&lt;='King Node Model'!$AN$22,$AP$54="RASP"),AND($AL10&gt;=IFERROR(INDEX('Level Engine'!$AT$9:$AT$55,MATCH('King Node Model'!$AL$42,'Level Engine'!$AA$9:$AA$55,0)),""),$AL10&lt;=IFERROR(INDEX('Level Engine'!$AU$9:$AU$55,MATCH('King Node Model'!$AL$42,'Level Engine'!$AA$9:$AA$55,0)),""),$AP$45="RASP"),AND($AL10&gt;=IFERROR(INDEX('Level Engine'!$AT$9:$AT$55,MATCH('King Node Model'!$AL$43,'Level Engine'!$AA$9:$AA$55,0)),""),$AL10&lt;=IFERROR(INDEX('Level Engine'!$AU$9:$AU$55,MATCH('King Node Model'!$AL$43,'Level Engine'!$AA$9:$AA$55,0)),""),$AP$46="RASP"),AND($AL10&gt;=IFERROR(INDEX('Level Engine'!$AT$9:$AT$55,MATCH('King Node Model'!$AL$44,'Level Engine'!$AA$9:$AA$55,0)),""),$AL10&lt;=IFERROR(INDEX('Level Engine'!$AU$9:$AU$55,MATCH('King Node Model'!$AL$44,'Level Engine'!$AA$9:$AA$55,0)),""),$AP$47="RASP"),AND($AL10&gt;=IFERROR(INDEX('Level Engine'!$AT$9:$AT$55,MATCH('King Node Model'!$AL$49,'Level Engine'!$AA$9:$AA$55,0)),""),$AL10&lt;=IFERROR(INDEX('Level Engine'!$AU$9:$AU$55,MATCH('King Node Model'!$AL$49,'Level Engine'!$AA$9:$AA$55,0)),""),$AP$52="RASP",NOT($L$52=$AW$52)),AND($AL10&gt;=IFERROR(INDEX('Level Engine'!$AT$9:$AT$55,MATCH('King Node Model'!$AL$50,'Level Engine'!$AA$9:$AA$55,0)),""),$AL10&lt;=IFERROR(INDEX('Level Engine'!$AU$9:$AU$55,MATCH('King Node Model'!$AL$50,'Level Engine'!$AA$9:$AA$55,0)),""),$AP$53="RASP",NOT($L$53=$AW$53)),AND($AL10&gt;=IFERROR(INDEX('Level Engine'!$AT$9:$AT$55,MATCH('King Node Model'!$AL$51,'Level Engine'!$AA$9:$AA$55,0)),""),$AL10&lt;=IFERROR(INDEX('Level Engine'!$AU$9:$AU$55,MATCH('King Node Model'!$AL$51,'Level Engine'!$AA$9:$AA$55,0)),""),$AP$54="RASP"))),NOT(AND(ISNUMBER('King Node Model'!$F$24),$AL10='King Node Model'!$F$24,IFERROR(INDEX('Level Engine'!$JN$9:$JN$55,MATCH($AL10,'Level Engine'!$AA$9:$AA$55,0)),0)&lt;&gt;1,$AL10&lt;&gt;'King Node Model'!$AL$42,$AL10&lt;&gt;'King Node Model'!$AL$43,$AL10&lt;&gt;'King Node Model'!$AL$44,$AL10&lt;&gt;'King Node Model'!$AL$49,$AL10&lt;&gt;'King Node Model'!$AL$50,$AL10&lt;&gt;'King Node Model'!$AL$51))),1,0))</f>
        <v>0</v>
      </c>
      <c r="CO10">
        <f>IF(NOT(ISNUMBER($AL10)),"",IF(NOT(ISNUMBER(IFERROR(INDEX('Level Engine'!$FT$9:$FT$55,MATCH($AL10,'Level Engine'!$AA$9:$AA$55,0)),""))),"",IF(IFERROR(INDEX('Level Engine'!$FT$9:$FT$55,MATCH($AL10,'Level Engine'!$AA$9:$AA$55,0)),"")&lt;0,0,2)+IF(ABS(IFERROR(INDEX('Level Engine'!$FT$9:$FT$55,MATCH($AL10,'Level Engine'!$AA$9:$AA$55,0)),""))&gt;='Level Engine'!$FT$2,2,1)))</f>
        <v>4</v>
      </c>
      <c r="DJ10" t="str">
        <f>IF(ISNUMBER($AL10),IF($AL10='Level Engine'!$BG$122," ⫪","")&amp;IF($AL10='Level Engine'!$BG$118," S↑"&amp;IFERROR(INDEX('Level Engine'!$MV$9:$MV$55,MATCH($AL10,'Level Engine'!$AA$9:$AA$55,0)),""),"")&amp;IF($AL10='Level Engine'!$BG$119," S↓"&amp;IFERROR(INDEX('Level Engine'!$MV$9:$MV$55,MATCH($AL10,'Level Engine'!$AA$9:$AA$55,0)),""),"")&amp;IF($AL10='Level Engine'!$BG$120," D↑","")&amp;IF($AL10='Level Engine'!$BG$121," D↓","")&amp;IFERROR(INDEX('Level Engine'!$LG$9:$LG$55,MATCH($AL10,'Level Engine'!$AA$9:$AA$55,0)),"")&amp;IF(IFERROR(INDEX('Level Engine'!$MA$9:$MA$55,MATCH($AL10,'Level Engine'!$AA$9:$AA$55,0)),0)=1," SAND","")&amp;IF(IFERROR(INDEX('Level Engine'!$LM$9:$LM$55,MATCH($AL10,'Level Engine'!$AA$9:$AA$55,0)),0)&gt;0," TP","")&amp;IFERROR(" r"&amp;MATCH($AL10,'Level Engine'!$W$9:$W$14,0),IFERROR(" s"&amp;MATCH($AL10,'Level Engine'!$W$18:$W$23,0),""))&amp;IF($AL10='Level Engine'!$BG$165," ◇","")&amp;IF(N($DZ10)=1,IF($AL10&gt;'Level Engine'!$BG$165," ⚠ DOM↓"," ⚠ DOM↑")&amp;'Level Engine'!$BG$165,""),"")</f>
        <v/>
      </c>
      <c r="DK10" t="str">
        <f>IF(AND(ISNUMBER($AL10),OR($AL10='King Node Model'!$AL$42,$AL10='King Node Model'!$AL$43,$AL10='King Node Model'!$AL$44)),IFERROR(MATCH($AL10,'Level Engine'!$W$9:$W$14,0),""),"")</f>
        <v/>
      </c>
      <c r="DL10" t="str">
        <f>IF(AND(ISNUMBER($AL10),OR($AL10='King Node Model'!$AL$49,$AL10='King Node Model'!$AL$50,$AL10='King Node Model'!$AL$51)),IFERROR(MATCH($AL10,'Level Engine'!$W$18:$W$23,0),""),"")</f>
        <v/>
      </c>
      <c r="DM10">
        <f>IF(AND(ISNUMBER($AL10),IFERROR(INDEX('Level Engine'!$LC$9:$LC$55,MATCH($AL10,'Level Engine'!$AA$9:$AA$55,0)),0)=1,OR($AL10=$AN$3,IFERROR(INDEX('Level Engine'!$LB$9:$LB$55,MATCH($AL10,'Level Engine'!$AA$9:$AA$55,0)),0)=1)),1,0)</f>
        <v>0</v>
      </c>
      <c r="DZ10">
        <f>IF(ISNUMBER($AL10),IF(IFERROR(INDEX('Level Engine'!$NJ$9:$NJ$55,MATCH($AL10,'Level Engine'!$AA$9:$AA$55,0)),0)=1,1,0),0)</f>
      </c>
    </row>
    <row r="11" spans="1:117" x14ac:dyDescent="0.25">
      <c r="A11" s="7" t="str">
        <f t="shared" si="2"/>
        <v/>
      </c>
      <c r="B11" s="8" t="str">
        <f>TEXT(IF(IF('Level Engine'!$GJ$4=1,$AL11='Level Engine'!$GJ$3,AND($AL11-$AM$2&gt;-2.5,$AL11-$AM$2&lt;=2.5)),$AM$2,$AL11),"0")&amp;IF($AL11=$AN$1," ★","")&amp;IF($AL11=$AN$2," ★","")&amp;IF($AL11=$AN$3," ◆","")&amp;IF(AND(ISNUMBER($AN$4),$AL11=$AN$4)," Ⓕ","")&amp;IF(OR(AND(ISNUMBER('Level Engine'!$BG$87),$AL11='Level Engine'!$BG$87),AND(ISNUMBER('Level Engine'!$BG$105),$AL11='Level Engine'!$BG$105))," ζ","")&amp;IF(AND(ISNUMBER($AN$35),$AL11=$AN$35)," ⓏⒼ","")&amp;IF(OR($AL11='Level Engine'!$CP$4,$AL11='Level Engine'!$CP$5,$AL11='Level Engine'!$CP$6,$AL11='Level Engine'!$CP$7)," ☄","")&amp;IF(OR($AL11=$AN$5,$AL11=$AN$8)," ║1","")&amp;IF(OR($AL11=$AN$6,$AL11=$AN$10)," ║2","")&amp;IF(OR($AL11=$AN$7,$AL11=$AN$11)," ║3","")&amp;IF(OR($AL11=$AN$13,$AL11=$AN$16)," ▣1","")&amp;IF(OR($AL11=$AN$14,$AL11=$AN$17)," ▣2","")&amp;IF(OR($AL11=$AN$15,$AL11=$AN$18)," ▣3","")&amp;IF(AND(NOT(OR(AND(ISNUMBER(SEARCH("chop edge",$E$45)),IFERROR(ABS($AL11-'King Node Model'!$AL$42)&lt;=5,FALSE),NOT(ISNUMBER(SEARCH("UNSAFE",$L$45)))),AND(ISNUMBER(SEARCH("chop edge",$E$46)),IFERROR(ABS($AL11-'King Node Model'!$AL$43)&lt;=5,FALSE),NOT(ISNUMBER(SEARCH("UNSAFE",$L$46)))),AND(ISNUMBER(SEARCH("chop edge",$E$52)),IFERROR(ABS($AL11-'King Node Model'!$AL$49)&lt;=5,FALSE),NOT(ISNUMBER(SEARCH("UNSAFE",$L$52)))),AND(ISNUMBER(SEARCH("chop edge",$E$53)),IFERROR(ABS($AL11-'King Node Model'!$AL$50)&lt;=5,FALSE),NOT(ISNUMBER(SEARCH("UNSAFE",$L$53)))))),OR(AND(IFERROR(INDEX('Level Engine'!$IB$9:$IB$55,MATCH('King Node Model'!$AL$49,'Level Engine'!$AA$9:$AA$55,0)),0)&lt;&gt;1,$AL11=IFERROR(INDEX('Level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Engine'!$AA$9:$AA$55,0)),0)&lt;&gt;1,$AL11=IFERROR(INDEX('Level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edge",$E$45)),IFERROR(ABS($AL11-'King Node Model'!$AL$42)&lt;=5,FALSE),NOT(ISNUMBER(SEARCH("UNSAFE",$L$45)))),AND(ISNUMBER(SEARCH("chop edge",$E$46)),IFERROR(ABS($AL11-'King Node Model'!$AL$43)&lt;=5,FALSE),NOT(ISNUMBER(SEARCH("UNSAFE",$L$46)))),AND(ISNUMBER(SEARCH("chop edge",$E$52)),IFERROR(ABS($AL11-'King Node Model'!$AL$49)&lt;=5,FALSE),NOT(ISNUMBER(SEARCH("UNSAFE",$L$52)))),AND(ISNUMBER(SEARCH("chop edge",$E$53)),IFERROR(ABS($AL11-'King Node Model'!$AL$50)&lt;=5,FALSE),NOT(ISNUMBER(SEARCH("UNSAFE",$L$53)))))),OR(AND(IFERROR(INDEX('Level Engine'!$IB$9:$IB$55,MATCH('King Node Model'!$AL$42,'Level Engine'!$AA$9:$AA$55,0)),0)&lt;&gt;1,$AL11=IFERROR(INDEX('Level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Engine'!$AA$9:$AA$55,0)),0)&lt;&gt;1,$AL11=IFERROR(INDEX('Level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ⒷⓁ"),"")&amp;IF(OR(AND($AL11&gt;='King Node Model'!$AM$17,$AL11&lt;='King Node Model'!$AN$17,$AP$45="RASP"),AND($AL11&gt;='King Node Model'!$AM$18,$AL11&lt;='King Node Model'!$AN$18,$AP$46="RASP"),AND($AL11&gt;='King Node Model'!$AM$19,$AL11&lt;='King Node Model'!$AN$19,$AP$47="RASP"),AND($AL11&gt;='King Node Model'!$AM$20,$AL11&lt;='King Node Model'!$AN$20,$AP$52="RASP"),AND($AL11&gt;='King Node Model'!$AM$21,$AL11&lt;='King Node Model'!$AN$21,$AP$53="RASP"),AND($AL11&gt;='King Node Model'!$AM$22,$AL11&lt;='King Node Model'!$AN$22,$AP$54="RASP")),"","")&amp;IF(IF('Level Engine'!$GJ$4=1,$AL11='Level Engine'!$GJ$3,AND($AL11-$AM$2&gt;-2.5,$AL11-$AM$2&lt;=2.5))," ◄","")&amp;IF(IFERROR(INDEX('Level Engine'!$GV$9:$GV$55,MATCH($AL11,'Level Engine'!$AA$9:$AA$55,0)),0)=1," Ⓥ"&amp;IF(IFERROR(INDEX('Level Engine'!$ET$9:$ET$55,MATCH($AL11,'Level Engine'!$AA$9:$AA$55,0)),0)=1,"+",""),"")&amp;IF(OR(AND($AL11=$AN$38,IFERROR(INDEX('Level Engine'!$AN$9:$AN$55,MATCH($AL11,'Level Engine'!$AA$9:$AA$55,0)),0)&lt;&gt;1),$AL11=$AN$39)," ⊙","")&amp;IF(AND(OR('King Node Model'!$A$8="Neg",N('Level Engine'!$BG$72)=1),ABS(MIN($AM$3:$AM$64))&gt;MAX($AM$3:$AM$64),$AN$2&lt;$AM$2,$AL11&lt;$AM$2,ABS($AL11-$AN$2)&lt;=5,IFERROR(VALUE(MID('King Node Model'!$K$26,FIND(":",'King Node Model'!$K$26)-2,2)),0)&gt;=19,IFERROR(INDEX('Level Engine'!$EJ$9:$EJ$55,MATCH($AL11,'Level Engine'!$AA$9:$AA$55,0)),0)=0,$AN$3&gt;$AM$2)," ⟲rev","")&amp;IF($AL11='King Node Model'!$F$24," ⟂","")&amp;$DJ11&amp;IF(IFERROR(INDEX('Level Engine'!$EN$9:$EN$55,MATCH($AL11,'Level Engine'!$AA$9:$AA$55,0)),0)=1," Ⓟ"&amp;IF(AND(OR('King Node Model'!$A$8="Neg",N('Level Engine'!$BG$72)=1),IFERROR(INDEX('Level Engine'!$AN$9:$AN$55,MATCH($AL11,'Level Engine'!$AA$9:$AA$55,0)),0)&lt;&gt;1)," NO-REV",""),"")&amp;IF(AND(ISNUMBER($AL11),OR(AND(ISNUMBER(SEARCH("chop edge",$E$45)),$AL11='King Node Model'!$AL$42),AND(ISNUMBER(SEARCH("chop edge",$E$46)),$AL11='King Node Model'!$AL$43),AND(ISNUMBER(SEARCH("chop edge",$E$52)),$AL11='King Node Model'!$AL$49),AND(ISNUMBER(SEARCH("chop edge",$E$53)),$AL11='King Node Model'!$AL$50)))," ⒸⒺ","")&amp;IF(AND('Level Engine'!$GJ$4=1,OR($AL11='Level Engine'!$GJ$1,$AL11='Level Engine'!$GJ$2)),"","")&amp;IF(ABS(N(IFERROR(INDEX('Level Engine'!$AE$9:$AE$55,MATCH($AL11,'Level Engine'!$AA$9:$AA$55,0)),0)))&gt;='Level Engine'!$BG$85,IF(N(IFERROR(INDEX('Level Engine'!$AE$9:$AE$55,MATCH($AL11,'Level Engine'!$AA$9:$AA$55,0)),0))&gt;0," Δ+"," Δ−"),"")&amp;IFERROR(IF(AND(ISNUMBER(MATCH($AL11,'Level Engine'!$AA$9:$AA$55,0)),ABS(N(IFERROR(INDEX('Level Engine'!$AE$9:$AE$55,MATCH($AL11,'Level Engine'!$AA$9:$AA$55,0)),0)))&lt;'Level Engine'!$BG$85,ABS(N(IFERROR(INDEX('Level Engine'!$AE$9:$AE$55,MATCH($AL11,'Level Engine'!$AA$9:$AA$55,0)),0)))&lt;=ABS(N(IFERROR(INDEX('Level Engine'!$AE$9:$AE$55,MATCH($AL11+5,'Level Engine'!$AA$9:$AA$55,0)),0))),ABS(N(IFERROR(INDEX('Level Engine'!$AE$9:$AE$55,MATCH($AL11,'Level Engine'!$AA$9:$AA$55,0)),0)))&lt;=ABS(N(IFERROR(INDEX('Level Engine'!$AE$9:$AE$55,MATCH($AL11-5,'Level Engine'!$AA$9:$AA$55,0)),0))),OR(AND(ABS(N(IFERROR(INDEX('Level Engine'!$AE$9:$AE$55,MATCH($AL11+5,'Level Engine'!$AA$9:$AA$55,0)),0)))&gt;='Level Engine'!$BG$85,ABS(N(IFERROR(INDEX('Level Engine'!$AE$9:$AE$55,MATCH($AL11,'Level Engine'!$AA$9:$AA$55,0)),0)))&lt;='Level Engine'!$BG$88*ABS(N(IFERROR(INDEX('Level Engine'!$AE$9:$AE$55,MATCH($AL11+5,'Level Engine'!$AA$9:$AA$55,0)),0)))),AND(ABS(N(IFERROR(INDEX('Level Engine'!$AE$9:$AE$55,MATCH($AL11-5,'Level Engine'!$AA$9:$AA$55,0)),0)))&gt;='Level Engine'!$BG$85,ABS(N(IFERROR(INDEX('Level Engine'!$AE$9:$AE$55,MATCH($AL11,'Level Engine'!$AA$9:$AA$55,0)),0)))&lt;='Level Engine'!$BG$88*ABS(N(IFERROR(INDEX('Level Engine'!$AE$9:$AE$55,MATCH($AL11-5,'Level Engine'!$AA$9:$AA$55,0)),0)))))),IF(AND('King Node Model'!$A$8="Pos",N('Level Engine'!$BG$72)&lt;&gt;1),""," ∅"),""),"")&amp;IF(IFERROR(INDEX('Level Engine'!$JD$9:$JD$55,MATCH($AL11,'Level Engine'!$AA$9:$AA$55,0)),"")="P"," P-OI",IF(IFERROR(INDEX('Level Engine'!$JD$9:$JD$55,MATCH($AL11,'Level Engine'!$AA$9:$AA$55,0)),"")="C"," C-OI",""))</f>
        <v>7845 C-OI</v>
      </c>
      <c r="C11" s="9" t="str">
        <f t="shared" si="0"/>
        <v>█</v>
      </c>
      <c r="D11" t="str">
        <f>IF(NOT(ISNUMBER($AL11)),"",IF(IFERROR(INDEX('Level Engine'!$FS$9:$FS$55,MATCH($AL11,'Level Engine'!$AA$9:$AA$55,0)),0)=1,"⊙",""))</f>
        <v/>
      </c>
      <c r="E11" s="22" t="s">
        <v>6</v>
      </c>
      <c r="F11" s="569" t="str">
        <f>'King Node Model'!C12</f>
        <v>Short ATM/near-ATM calls (dominant gamma) + Long OTM puts</v>
      </c>
      <c r="G11" s="569"/>
      <c r="H11" s="569"/>
      <c r="I11" s="569"/>
      <c r="J11" s="569"/>
      <c r="K11" s="569"/>
      <c r="L11" s="569"/>
      <c r="M11" s="569"/>
      <c r="N11" s="569"/>
      <c r="Q11" s="437" t="s">
        <v>1599</v>
      </c>
      <c r="R11" s="443" t="s">
        <v>1600</v>
      </c>
      <c r="S11" s="439" t="s">
        <v>1596</v>
      </c>
      <c r="T11" s="489"/>
      <c r="U11" s="489"/>
      <c r="AL11" s="1">
        <f>'King Node Model'!A37</f>
        <v>7845</v>
      </c>
      <c r="AM11" s="10">
        <f>'King Node Model'!C37</f>
        <v>92046</v>
      </c>
      <c r="AN11" s="3">
        <f>'King Node Model'!T30</f>
        <v>7780</v>
      </c>
      <c r="AO11" s="10">
        <f>'King Node Model'!B37</f>
        <v>101575</v>
      </c>
      <c r="AY11" s="1">
        <f>IF(AND($B$2="Hide unsafe",$BB11=1),0,IF(AND(OR(AND(AND(ISNUMBER($AL11),OR(AND($AL11&gt;=$AQ$22,$AL11&lt;=$AR$22,$AS$22=1),$AL11=$AQ$22,$AL11=$AR$22,$AL11=$AQ$23,$AL11=$AR$23,$AL11=$AQ$24,$AL11=$AR$24),NOT(OR($AL11=$AN$5,$AL11=$AN$6,$AL11=$AN$7,$AL11=$AN$8,$AL11=$AN$10,$AL11=$AN$11))),NOT(OR(AND('King Node Model'!$P$13="Up",OR($AL11=$AQ$22,$AL11=$AQ$23,$AL11=$AQ$24,$AL11='King Node Model'!$AM$20,$AL11='King Node Model'!$AM$21,$AL11='King Node Model'!$AM$22),OR(AND('King Node Model'!$B$23-$AL11&gt;=0,'King Node Model'!$B$23-$AL11&lt;=5),AND('King Node Model'!$C$23-$AL11&gt;=0,'King Node Model'!$C$23-$AL11&lt;=5))),AND('King Node Model'!$P$13="Down",OR($AL11=$AR$22,$AL11=$AR$23,$AL11=$AR$24,$AL11='King Node Model'!$AN$20,$AL11='King Node Model'!$AN$21,$AL11='King Node Model'!$AN$22),OR(AND($AL11-'King Node Model'!$B$23&gt;=0,$AL11-'King Node Model'!$B$23&lt;=5),AND($AL11-'King Node Model'!$C$24&gt;=0,$AL11-'King Node Model'!$C$24&lt;=5)))))),AND(AND(ISNUMBER($AL11),OR(AND($AL11&gt;=$AQ$22,$AL11&lt;=$AR$22,$AS$22=1),$AL11=$AQ$22,$AL11=$AR$22,$AL11=$AQ$23,$AL11=$AR$23,$AL11=$AQ$24,$AL11=$AR$24,$AL11='King Node Model'!$AL$42,$AL11='King Node Model'!$AL$43),OR($AL11=$AN$5,$AL11=$AN$6,$AL11=$AN$7,$AL11=$AN$8,$AL11=$AN$10,$AL11=$AN$11)),NOT(OR(AND('King Node Model'!$P$13="Up",OR($AL11=$AQ$22,$AL11=$AQ$23,$AL11=$AQ$24,$AL11='King Node Model'!$AM$20,$AL11='King Node Model'!$AM$21,$AL11='King Node Model'!$AM$22),OR(AND('King Node Model'!$B$23-$AL11&gt;=0,'King Node Model'!$B$23-$AL11&lt;=5),AND('King Node Model'!$C$23-$AL11&gt;=0,'King Node Model'!$C$23-$AL11&lt;=5))),AND('King Node Model'!$P$13="Down",OR($AL11=$AR$22,$AL11=$AR$23,$AL11=$AR$24,$AL11='King Node Model'!$AN$20,$AL11='King Node Model'!$AN$21,$AL11='King Node Model'!$AN$22),OR(AND($AL11-'King Node Model'!$B$23&gt;=0,$AL11-'King Node Model'!$B$23&lt;=5),AND($AL11-'King Node Model'!$C$24&gt;=0,$AL11-'King Node Model'!$C$24&lt;=5)))))),AND(AND(ISNUMBER($AL11),OR(AND($AL11&gt;='King Node Model'!$AM$20,$AL11&lt;='King Node Model'!$AN$20,$AS$23=1),$AL11='King Node Model'!$AM$20,$AL11='King Node Model'!$AN$20,$AL11='King Node Model'!$AM$21,$AL11='King Node Model'!$AN$21,$AL11='King Node Model'!$AM$22,$AL11='King Node Model'!$AN$22),NOT(OR($AL11=$AN$5,$AL11=$AN$6,$AL11=$AN$7,$AL11=$AN$8,$AL11=$AN$10,$AL11=$AN$11))),NOT(AND(ISNUMBER('King Node Model'!$F$24),$AL11='King Node Model'!$F$24,IFERROR(INDEX('Level Engine'!$JN$9:$JN$55,MATCH($AL11,'Level Engine'!$AA$9:$AA$55,0)),0)&lt;&gt;1))),AND(AND(ISNUMBER($AL11),OR(AND($AL11&gt;='King Node Model'!$AM$20,$AL11&lt;='King Node Model'!$AN$20,$AS$23=1),$AL11='King Node Model'!$AM$20,$AL11='King Node Model'!$AN$20,$AL11='King Node Model'!$AM$21,$AL11='King Node Model'!$AN$21,$AL11='King Node Model'!$AM$22,$AL11='King Node Model'!$AN$22,$AL11='King Node Model'!$AL$49,$AL11='King Node Model'!$AL$50),OR($AL11=$AN$5,$AL11=$AN$6,$AL11=$AN$7,$AL11=$AN$8,$AL11=$AN$10,$AL11=$AN$11)),NOT(OR(AND('King Node Model'!$P$13="Up",OR($AL11=$AQ$22,$AL11=$AQ$23,$AL11=$AQ$24,$AL11='King Node Model'!$AM$20,$AL11='King Node Model'!$AM$21,$AL11='King Node Model'!$AM$22),OR(AND('King Node Model'!$B$23-$AL11&gt;=0,'King Node Model'!$B$23-$AL11&lt;=5),AND('King Node Model'!$C$23-$AL11&gt;=0,'King Node Model'!$C$23-$AL11&lt;=5))),AND('King Node Model'!$P$13="Down",OR($AL11=$AR$22,$AL11=$AR$23,$AL11=$AR$24,$AL11='King Node Model'!$AN$20,$AL11='King Node Model'!$AN$21,$AL11='King Node Model'!$AN$22),OR(AND($AL11-'King Node Model'!$B$23&gt;=0,$AL11-'King Node Model'!$B$23&lt;=5),AND($AL11-'King Node Model'!$C$24&gt;=0,$AL11-'King Node Model'!$C$24&lt;=5))))))),OR(COUNTIF('Level Engine'!$W$9:$W$14,$AL11)&gt;0,COUNTIF('Level Engine'!$W$18:$W$23,$AL11)&gt;0)),1,0))</f>
        <v>0</v>
      </c>
      <c r="AZ11" s="1">
        <f t="shared" si="1"/>
        <v>0</v>
      </c>
      <c r="BB11" s="1">
        <f>IF(OR(AND($AL11='King Node Model'!$AL$42,$AP$45&lt;&gt;"RASP"),AND($AL11='King Node Model'!$AL$43,$AP$46&lt;&gt;"RASP"),AND($AL11='King Node Model'!$AL$49,$AP$52&lt;&gt;"RASP"),AND($AL11='King Node Model'!$AL$50,$AP$53&lt;&gt;"RASP"),AND($AL11='King Node Model'!$AL$44,$AP$47&lt;&gt;"RASP"),AND($AL11='King Node Model'!$AL$51,$AP$54&lt;&gt;"RASP")),0,IF(AND(AND(ISNUMBER($AL11),OR(AND($AL11&gt;=$AQ$22,$AL11&lt;=$AR$22,$AP$45="RASP"),AND($AL11&gt;=$AQ$23,$AL11&lt;=$AR$23,$AP$46="RASP"),AND($AL11&gt;=$AQ$24,$AL11&lt;=$AR$24,$AP$47="RASP"),AND($AL11&gt;='King Node Model'!$AM$20,$AL11&lt;='King Node Model'!$AN$20,$AP$52="RASP",NOT($L$52=$AW$52)),AND($AL11='King Node Model'!$B$23,$AP$52="RASP",$L$52=$AW$52),AND($AL11&gt;='King Node Model'!$AM$21,$AL11&lt;='King Node Model'!$AN$21,$AP$53="RASP",NOT($L$53=$AW$53)),AND($AL11='King Node Model'!$B$23,$AP$53="RASP",$L$53=$AW$53),AND($AL11&gt;='King Node Model'!$AM$22,$AL11&lt;='King Node Model'!$AN$22,$AP$54="RASP"),AND($AL11&gt;=IFERROR(INDEX('Level Engine'!$AT$9:$AT$55,MATCH('King Node Model'!$AL$42,'Level Engine'!$AA$9:$AA$55,0)),""),$AL11&lt;=IFERROR(INDEX('Level Engine'!$AU$9:$AU$55,MATCH('King Node Model'!$AL$42,'Level Engine'!$AA$9:$AA$55,0)),""),$AP$45="RASP"),AND($AL11&gt;=IFERROR(INDEX('Level Engine'!$AT$9:$AT$55,MATCH('King Node Model'!$AL$43,'Level Engine'!$AA$9:$AA$55,0)),""),$AL11&lt;=IFERROR(INDEX('Level Engine'!$AU$9:$AU$55,MATCH('King Node Model'!$AL$43,'Level Engine'!$AA$9:$AA$55,0)),""),$AP$46="RASP"),AND($AL11&gt;=IFERROR(INDEX('Level Engine'!$AT$9:$AT$55,MATCH('King Node Model'!$AL$44,'Level Engine'!$AA$9:$AA$55,0)),""),$AL11&lt;=IFERROR(INDEX('Level Engine'!$AU$9:$AU$55,MATCH('King Node Model'!$AL$44,'Level Engine'!$AA$9:$AA$55,0)),""),$AP$47="RASP"),AND($AL11&gt;=IFERROR(INDEX('Level Engine'!$AT$9:$AT$55,MATCH('King Node Model'!$AL$49,'Level Engine'!$AA$9:$AA$55,0)),""),$AL11&lt;=IFERROR(INDEX('Level Engine'!$AU$9:$AU$55,MATCH('King Node Model'!$AL$49,'Level Engine'!$AA$9:$AA$55,0)),""),$AP$52="RASP",NOT($L$52=$AW$52)),AND($AL11&gt;=IFERROR(INDEX('Level Engine'!$AT$9:$AT$55,MATCH('King Node Model'!$AL$50,'Level Engine'!$AA$9:$AA$55,0)),""),$AL11&lt;=IFERROR(INDEX('Level Engine'!$AU$9:$AU$55,MATCH('King Node Model'!$AL$50,'Level Engine'!$AA$9:$AA$55,0)),""),$AP$53="RASP",NOT($L$53=$AW$53)),AND($AL11&gt;=IFERROR(INDEX('Level Engine'!$AT$9:$AT$55,MATCH('King Node Model'!$AL$51,'Level Engine'!$AA$9:$AA$55,0)),""),$AL11&lt;=IFERROR(INDEX('Level Engine'!$AU$9:$AU$55,MATCH('King Node Model'!$AL$51,'Level Engine'!$AA$9:$AA$55,0)),""),$AP$54="RASP"))),NOT(AND(ISNUMBER('King Node Model'!$F$24),$AL11='King Node Model'!$F$24,IFERROR(INDEX('Level Engine'!$JN$9:$JN$55,MATCH($AL11,'Level Engine'!$AA$9:$AA$55,0)),0)&lt;&gt;1,$AL11&lt;&gt;'King Node Model'!$AL$42,$AL11&lt;&gt;'King Node Model'!$AL$43,$AL11&lt;&gt;'King Node Model'!$AL$44,$AL11&lt;&gt;'King Node Model'!$AL$49,$AL11&lt;&gt;'King Node Model'!$AL$50,$AL11&lt;&gt;'King Node Model'!$AL$51))),1,0))</f>
        <v>0</v>
      </c>
      <c r="CO11">
        <f>IF(NOT(ISNUMBER($AL11)),"",IF(NOT(ISNUMBER(IFERROR(INDEX('Level Engine'!$FT$9:$FT$55,MATCH($AL11,'Level Engine'!$AA$9:$AA$55,0)),""))),"",IF(IFERROR(INDEX('Level Engine'!$FT$9:$FT$55,MATCH($AL11,'Level Engine'!$AA$9:$AA$55,0)),"")&lt;0,0,2)+IF(ABS(IFERROR(INDEX('Level Engine'!$FT$9:$FT$55,MATCH($AL11,'Level Engine'!$AA$9:$AA$55,0)),""))&gt;='Level Engine'!$FT$2,2,1)))</f>
        <v>4</v>
      </c>
      <c r="DJ11" t="str">
        <f>IF(ISNUMBER($AL11),IF($AL11='Level Engine'!$BG$122," ⫪","")&amp;IF($AL11='Level Engine'!$BG$118," S↑"&amp;IFERROR(INDEX('Level Engine'!$MV$9:$MV$55,MATCH($AL11,'Level Engine'!$AA$9:$AA$55,0)),""),"")&amp;IF($AL11='Level Engine'!$BG$119," S↓"&amp;IFERROR(INDEX('Level Engine'!$MV$9:$MV$55,MATCH($AL11,'Level Engine'!$AA$9:$AA$55,0)),""),"")&amp;IF($AL11='Level Engine'!$BG$120," D↑","")&amp;IF($AL11='Level Engine'!$BG$121," D↓","")&amp;IFERROR(INDEX('Level Engine'!$LG$9:$LG$55,MATCH($AL11,'Level Engine'!$AA$9:$AA$55,0)),"")&amp;IF(IFERROR(INDEX('Level Engine'!$MA$9:$MA$55,MATCH($AL11,'Level Engine'!$AA$9:$AA$55,0)),0)=1," SAND","")&amp;IF(IFERROR(INDEX('Level Engine'!$LM$9:$LM$55,MATCH($AL11,'Level Engine'!$AA$9:$AA$55,0)),0)&gt;0," TP","")&amp;IFERROR(" r"&amp;MATCH($AL11,'Level Engine'!$W$9:$W$14,0),IFERROR(" s"&amp;MATCH($AL11,'Level Engine'!$W$18:$W$23,0),""))&amp;IF($AL11='Level Engine'!$BG$165," ◇","")&amp;IF(N($DZ11)=1,IF($AL11&gt;'Level Engine'!$BG$165," ⚠ DOM↓"," ⚠ DOM↑")&amp;'Level Engine'!$BG$165,""),"")</f>
        <v/>
      </c>
      <c r="DK11" t="str">
        <f>IF(AND(ISNUMBER($AL11),OR($AL11='King Node Model'!$AL$42,$AL11='King Node Model'!$AL$43,$AL11='King Node Model'!$AL$44)),IFERROR(MATCH($AL11,'Level Engine'!$W$9:$W$14,0),""),"")</f>
        <v/>
      </c>
      <c r="DL11" t="str">
        <f>IF(AND(ISNUMBER($AL11),OR($AL11='King Node Model'!$AL$49,$AL11='King Node Model'!$AL$50,$AL11='King Node Model'!$AL$51)),IFERROR(MATCH($AL11,'Level Engine'!$W$18:$W$23,0),""),"")</f>
        <v/>
      </c>
      <c r="DM11">
        <f>IF(AND(ISNUMBER($AL11),IFERROR(INDEX('Level Engine'!$LC$9:$LC$55,MATCH($AL11,'Level Engine'!$AA$9:$AA$55,0)),0)=1,OR($AL11=$AN$3,IFERROR(INDEX('Level Engine'!$LB$9:$LB$55,MATCH($AL11,'Level Engine'!$AA$9:$AA$55,0)),0)=1)),1,0)</f>
        <v>0</v>
      </c>
      <c r="DZ11">
        <f>IF(ISNUMBER($AL11),IF(IFERROR(INDEX('Level Engine'!$NJ$9:$NJ$55,MATCH($AL11,'Level Engine'!$AA$9:$AA$55,0)),0)=1,1,0),0)</f>
      </c>
    </row>
    <row r="12" spans="1:117" s="33" customFormat="1" ht="39.950000000000003" customHeight="1" x14ac:dyDescent="0.25">
      <c r="A12" s="7" t="str">
        <f t="shared" si="2"/>
        <v/>
      </c>
      <c r="B12" s="8" t="str">
        <f>TEXT(IF(IF('Level Engine'!$GJ$4=1,$AL12='Level Engine'!$GJ$3,AND($AL12-$AM$2&gt;-2.5,$AL12-$AM$2&lt;=2.5)),$AM$2,$AL12),"0")&amp;IF($AL12=$AN$1," ★","")&amp;IF($AL12=$AN$2," ★","")&amp;IF($AL12=$AN$3," ◆","")&amp;IF(AND(ISNUMBER($AN$4),$AL12=$AN$4)," Ⓕ","")&amp;IF(OR(AND(ISNUMBER('Level Engine'!$BG$87),$AL12='Level Engine'!$BG$87),AND(ISNUMBER('Level Engine'!$BG$105),$AL12='Level Engine'!$BG$105))," ζ","")&amp;IF(AND(ISNUMBER($AN$35),$AL12=$AN$35)," ⓏⒼ","")&amp;IF(OR($AL12='Level Engine'!$CP$4,$AL12='Level Engine'!$CP$5,$AL12='Level Engine'!$CP$6,$AL12='Level Engine'!$CP$7)," ☄","")&amp;IF(OR($AL12=$AN$5,$AL12=$AN$8)," ║1","")&amp;IF(OR($AL12=$AN$6,$AL12=$AN$10)," ║2","")&amp;IF(OR($AL12=$AN$7,$AL12=$AN$11)," ║3","")&amp;IF(OR($AL12=$AN$13,$AL12=$AN$16)," ▣1","")&amp;IF(OR($AL12=$AN$14,$AL12=$AN$17)," ▣2","")&amp;IF(OR($AL12=$AN$15,$AL12=$AN$18)," ▣3","")&amp;IF(AND(NOT(OR(AND(ISNUMBER(SEARCH("chop edge",$E$45)),IFERROR(ABS($AL12-'King Node Model'!$AL$42)&lt;=5,FALSE),NOT(ISNUMBER(SEARCH("UNSAFE",$L$45)))),AND(ISNUMBER(SEARCH("chop edge",$E$46)),IFERROR(ABS($AL12-'King Node Model'!$AL$43)&lt;=5,FALSE),NOT(ISNUMBER(SEARCH("UNSAFE",$L$46)))),AND(ISNUMBER(SEARCH("chop edge",$E$52)),IFERROR(ABS($AL12-'King Node Model'!$AL$49)&lt;=5,FALSE),NOT(ISNUMBER(SEARCH("UNSAFE",$L$52)))),AND(ISNUMBER(SEARCH("chop edge",$E$53)),IFERROR(ABS($AL12-'King Node Model'!$AL$50)&lt;=5,FALSE),NOT(ISNUMBER(SEARCH("UNSAFE",$L$53)))))),OR(AND(IFERROR(INDEX('Level Engine'!$IB$9:$IB$55,MATCH('King Node Model'!$AL$49,'Level Engine'!$AA$9:$AA$55,0)),0)&lt;&gt;1,$AL12=IFERROR(INDEX('Level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Engine'!$AA$9:$AA$55,0)),0)&lt;&gt;1,$AL12=IFERROR(INDEX('Level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edge",$E$45)),IFERROR(ABS($AL12-'King Node Model'!$AL$42)&lt;=5,FALSE),NOT(ISNUMBER(SEARCH("UNSAFE",$L$45)))),AND(ISNUMBER(SEARCH("chop edge",$E$46)),IFERROR(ABS($AL12-'King Node Model'!$AL$43)&lt;=5,FALSE),NOT(ISNUMBER(SEARCH("UNSAFE",$L$46)))),AND(ISNUMBER(SEARCH("chop edge",$E$52)),IFERROR(ABS($AL12-'King Node Model'!$AL$49)&lt;=5,FALSE),NOT(ISNUMBER(SEARCH("UNSAFE",$L$52)))),AND(ISNUMBER(SEARCH("chop edge",$E$53)),IFERROR(ABS($AL12-'King Node Model'!$AL$50)&lt;=5,FALSE),NOT(ISNUMBER(SEARCH("UNSAFE",$L$53)))))),OR(AND(IFERROR(INDEX('Level Engine'!$IB$9:$IB$55,MATCH('King Node Model'!$AL$42,'Level Engine'!$AA$9:$AA$55,0)),0)&lt;&gt;1,$AL12=IFERROR(INDEX('Level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Engine'!$AA$9:$AA$55,0)),0)&lt;&gt;1,$AL12=IFERROR(INDEX('Level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ⒷⓁ"),"")&amp;IF(OR(AND($AL12&gt;='King Node Model'!$AM$17,$AL12&lt;='King Node Model'!$AN$17,$AP$45="RASP"),AND($AL12&gt;='King Node Model'!$AM$18,$AL12&lt;='King Node Model'!$AN$18,$AP$46="RASP"),AND($AL12&gt;='King Node Model'!$AM$19,$AL12&lt;='King Node Model'!$AN$19,$AP$47="RASP"),AND($AL12&gt;='King Node Model'!$AM$20,$AL12&lt;='King Node Model'!$AN$20,$AP$52="RASP"),AND($AL12&gt;='King Node Model'!$AM$21,$AL12&lt;='King Node Model'!$AN$21,$AP$53="RASP"),AND($AL12&gt;='King Node Model'!$AM$22,$AL12&lt;='King Node Model'!$AN$22,$AP$54="RASP")),"","")&amp;IF(IF('Level Engine'!$GJ$4=1,$AL12='Level Engine'!$GJ$3,AND($AL12-$AM$2&gt;-2.5,$AL12-$AM$2&lt;=2.5))," ◄","")&amp;IF(IFERROR(INDEX('Level Engine'!$GV$9:$GV$55,MATCH($AL12,'Level Engine'!$AA$9:$AA$55,0)),0)=1," Ⓥ"&amp;IF(IFERROR(INDEX('Level Engine'!$ET$9:$ET$55,MATCH($AL12,'Level Engine'!$AA$9:$AA$55,0)),0)=1,"+",""),"")&amp;IF(OR(AND($AL12=$AN$38,IFERROR(INDEX('Level Engine'!$AN$9:$AN$55,MATCH($AL12,'Level Engine'!$AA$9:$AA$55,0)),0)&lt;&gt;1),$AL12=$AN$39)," ⊙","")&amp;IF(AND(OR('King Node Model'!$A$8="Neg",N('Level Engine'!$BG$72)=1),ABS(MIN($AM$3:$AM$64))&gt;MAX($AM$3:$AM$64),$AN$2&lt;$AM$2,$AL12&lt;$AM$2,ABS($AL12-$AN$2)&lt;=5,IFERROR(VALUE(MID('King Node Model'!$K$26,FIND(":",'King Node Model'!$K$26)-2,2)),0)&gt;=19,IFERROR(INDEX('Level Engine'!$EJ$9:$EJ$55,MATCH($AL12,'Level Engine'!$AA$9:$AA$55,0)),0)=0,$AN$3&gt;$AM$2)," ⟲rev","")&amp;IF($AL12='King Node Model'!$F$24," ⟂","")&amp;$DJ12&amp;IF(IFERROR(INDEX('Level Engine'!$EN$9:$EN$55,MATCH($AL12,'Level Engine'!$AA$9:$AA$55,0)),0)=1," Ⓟ"&amp;IF(AND(OR('King Node Model'!$A$8="Neg",N('Level Engine'!$BG$72)=1),IFERROR(INDEX('Level Engine'!$AN$9:$AN$55,MATCH($AL12,'Level Engine'!$AA$9:$AA$55,0)),0)&lt;&gt;1)," NO-REV",""),"")&amp;IF(AND(ISNUMBER($AL12),OR(AND(ISNUMBER(SEARCH("chop edge",$E$45)),$AL12='King Node Model'!$AL$42),AND(ISNUMBER(SEARCH("chop edge",$E$46)),$AL12='King Node Model'!$AL$43),AND(ISNUMBER(SEARCH("chop edge",$E$52)),$AL12='King Node Model'!$AL$49),AND(ISNUMBER(SEARCH("chop edge",$E$53)),$AL12='King Node Model'!$AL$50)))," ⒸⒺ","")&amp;IF(AND('Level Engine'!$GJ$4=1,OR($AL12='Level Engine'!$GJ$1,$AL12='Level Engine'!$GJ$2)),"","")&amp;IF(ABS(N(IFERROR(INDEX('Level Engine'!$AE$9:$AE$55,MATCH($AL12,'Level Engine'!$AA$9:$AA$55,0)),0)))&gt;='Level Engine'!$BG$85,IF(N(IFERROR(INDEX('Level Engine'!$AE$9:$AE$55,MATCH($AL12,'Level Engine'!$AA$9:$AA$55,0)),0))&gt;0," Δ+"," Δ−"),"")&amp;IFERROR(IF(AND(ISNUMBER(MATCH($AL12,'Level Engine'!$AA$9:$AA$55,0)),ABS(N(IFERROR(INDEX('Level Engine'!$AE$9:$AE$55,MATCH($AL12,'Level Engine'!$AA$9:$AA$55,0)),0)))&lt;'Level Engine'!$BG$85,ABS(N(IFERROR(INDEX('Level Engine'!$AE$9:$AE$55,MATCH($AL12,'Level Engine'!$AA$9:$AA$55,0)),0)))&lt;=ABS(N(IFERROR(INDEX('Level Engine'!$AE$9:$AE$55,MATCH($AL12+5,'Level Engine'!$AA$9:$AA$55,0)),0))),ABS(N(IFERROR(INDEX('Level Engine'!$AE$9:$AE$55,MATCH($AL12,'Level Engine'!$AA$9:$AA$55,0)),0)))&lt;=ABS(N(IFERROR(INDEX('Level Engine'!$AE$9:$AE$55,MATCH($AL12-5,'Level Engine'!$AA$9:$AA$55,0)),0))),OR(AND(ABS(N(IFERROR(INDEX('Level Engine'!$AE$9:$AE$55,MATCH($AL12+5,'Level Engine'!$AA$9:$AA$55,0)),0)))&gt;='Level Engine'!$BG$85,ABS(N(IFERROR(INDEX('Level Engine'!$AE$9:$AE$55,MATCH($AL12,'Level Engine'!$AA$9:$AA$55,0)),0)))&lt;='Level Engine'!$BG$88*ABS(N(IFERROR(INDEX('Level Engine'!$AE$9:$AE$55,MATCH($AL12+5,'Level Engine'!$AA$9:$AA$55,0)),0)))),AND(ABS(N(IFERROR(INDEX('Level Engine'!$AE$9:$AE$55,MATCH($AL12-5,'Level Engine'!$AA$9:$AA$55,0)),0)))&gt;='Level Engine'!$BG$85,ABS(N(IFERROR(INDEX('Level Engine'!$AE$9:$AE$55,MATCH($AL12,'Level Engine'!$AA$9:$AA$55,0)),0)))&lt;='Level Engine'!$BG$88*ABS(N(IFERROR(INDEX('Level Engine'!$AE$9:$AE$55,MATCH($AL12-5,'Level Engine'!$AA$9:$AA$55,0)),0)))))),IF(AND('King Node Model'!$A$8="Pos",N('Level Engine'!$BG$72)&lt;&gt;1),""," ∅"),""),"")&amp;IF(IFERROR(INDEX('Level Engine'!$JD$9:$JD$55,MATCH($AL12,'Level Engine'!$AA$9:$AA$55,0)),"")="P"," P-OI",IF(IFERROR(INDEX('Level Engine'!$JD$9:$JD$55,MATCH($AL12,'Level Engine'!$AA$9:$AA$55,0)),"")="C"," C-OI",""))</f>
        <v>7840</v>
      </c>
      <c r="C12" s="9" t="str">
        <f t="shared" si="0"/>
        <v>██</v>
      </c>
      <c r="D12" t="str">
        <f>IF(NOT(ISNUMBER($AL12)),"",IF(IFERROR(INDEX('Level Engine'!$FS$9:$FS$55,MATCH($AL12,'Level Engine'!$AA$9:$AA$55,0)),0)=1,"⊙",""))</f>
        <v/>
      </c>
      <c r="E12" s="521" t="s">
        <v>2072</v>
      </c>
      <c r="F12" s="572" t="str">
        <f>IFERROR(TRIM(INDEX(Matrix!$U$2:$U$79,MATCH('King Node Model'!$J$8,Matrix!$A$2:$A$79,0))&amp;""),"")</f>
        <v/>
      </c>
      <c r="G12" s="572"/>
      <c r="H12" s="572"/>
      <c r="I12" s="572"/>
      <c r="J12" s="572"/>
      <c r="K12" s="572"/>
      <c r="L12" s="572"/>
      <c r="M12" s="572"/>
      <c r="N12" s="572"/>
      <c r="O12" s="471"/>
      <c r="P12" s="471"/>
      <c r="Q12" s="437"/>
      <c r="R12" s="515"/>
      <c r="S12" s="439"/>
      <c r="T12" s="489"/>
      <c r="U12" s="489"/>
      <c r="V12" s="471"/>
      <c r="AA12" s="471"/>
      <c r="AB12" s="471"/>
      <c r="AC12" s="471"/>
      <c r="AE12" s="471"/>
      <c r="AL12" s="1">
        <f>'King Node Model'!A38</f>
        <v>7840</v>
      </c>
      <c r="AM12" s="10">
        <f>'King Node Model'!C38</f>
        <v>225627</v>
      </c>
      <c r="AN12" s="516"/>
      <c r="AO12" s="10">
        <f>'King Node Model'!B38</f>
        <v>265851</v>
      </c>
      <c r="AP12" s="471"/>
      <c r="AY12" s="1">
        <f>IF(AND($B$2="Hide unsafe",$BB12=1),0,IF(AND(OR(AND(AND(ISNUMBER($AL12),OR(AND($AL12&gt;=$AQ$22,$AL12&lt;=$AR$22,$AS$22=1),$AL12=$AQ$22,$AL12=$AR$22,$AL12=$AQ$23,$AL12=$AR$23,$AL12=$AQ$24,$AL12=$AR$24),NOT(OR($AL12=$AN$5,$AL12=$AN$6,$AL12=$AN$7,$AL12=$AN$8,$AL12=$AN$10,$AL12=$AN$11))),NOT(OR(AND('King Node Model'!$P$13="Up",OR($AL12=$AQ$22,$AL12=$AQ$23,$AL12=$AQ$24,$AL12='King Node Model'!$AM$20,$AL12='King Node Model'!$AM$21,$AL12='King Node Model'!$AM$22),OR(AND('King Node Model'!$B$23-$AL12&gt;=0,'King Node Model'!$B$23-$AL12&lt;=5),AND('King Node Model'!$C$23-$AL12&gt;=0,'King Node Model'!$C$23-$AL12&lt;=5))),AND('King Node Model'!$P$13="Down",OR($AL12=$AR$22,$AL12=$AR$23,$AL12=$AR$24,$AL12='King Node Model'!$AN$20,$AL12='King Node Model'!$AN$21,$AL12='King Node Model'!$AN$22),OR(AND($AL12-'King Node Model'!$B$23&gt;=0,$AL12-'King Node Model'!$B$23&lt;=5),AND($AL12-'King Node Model'!$C$24&gt;=0,$AL12-'King Node Model'!$C$24&lt;=5)))))),AND(AND(ISNUMBER($AL12),OR(AND($AL12&gt;=$AQ$22,$AL12&lt;=$AR$22,$AS$22=1),$AL12=$AQ$22,$AL12=$AR$22,$AL12=$AQ$23,$AL12=$AR$23,$AL12=$AQ$24,$AL12=$AR$24,$AL12='King Node Model'!$AL$42,$AL12='King Node Model'!$AL$43),OR($AL12=$AN$5,$AL12=$AN$6,$AL12=$AN$7,$AL12=$AN$8,$AL12=$AN$10,$AL12=$AN$11)),NOT(OR(AND('King Node Model'!$P$13="Up",OR($AL12=$AQ$22,$AL12=$AQ$23,$AL12=$AQ$24,$AL12='King Node Model'!$AM$20,$AL12='King Node Model'!$AM$21,$AL12='King Node Model'!$AM$22),OR(AND('King Node Model'!$B$23-$AL12&gt;=0,'King Node Model'!$B$23-$AL12&lt;=5),AND('King Node Model'!$C$23-$AL12&gt;=0,'King Node Model'!$C$23-$AL12&lt;=5))),AND('King Node Model'!$P$13="Down",OR($AL12=$AR$22,$AL12=$AR$23,$AL12=$AR$24,$AL12='King Node Model'!$AN$20,$AL12='King Node Model'!$AN$21,$AL12='King Node Model'!$AN$22),OR(AND($AL12-'King Node Model'!$B$23&gt;=0,$AL12-'King Node Model'!$B$23&lt;=5),AND($AL12-'King Node Model'!$C$24&gt;=0,$AL12-'King Node Model'!$C$24&lt;=5)))))),AND(AND(ISNUMBER($AL12),OR(AND($AL12&gt;='King Node Model'!$AM$20,$AL12&lt;='King Node Model'!$AN$20,$AS$23=1),$AL12='King Node Model'!$AM$20,$AL12='King Node Model'!$AN$20,$AL12='King Node Model'!$AM$21,$AL12='King Node Model'!$AN$21,$AL12='King Node Model'!$AM$22,$AL12='King Node Model'!$AN$22),NOT(OR($AL12=$AN$5,$AL12=$AN$6,$AL12=$AN$7,$AL12=$AN$8,$AL12=$AN$10,$AL12=$AN$11))),NOT(AND(ISNUMBER('King Node Model'!$F$24),$AL12='King Node Model'!$F$24,IFERROR(INDEX('Level Engine'!$JN$9:$JN$55,MATCH($AL12,'Level Engine'!$AA$9:$AA$55,0)),0)&lt;&gt;1))),AND(AND(ISNUMBER($AL12),OR(AND($AL12&gt;='King Node Model'!$AM$20,$AL12&lt;='King Node Model'!$AN$20,$AS$23=1),$AL12='King Node Model'!$AM$20,$AL12='King Node Model'!$AN$20,$AL12='King Node Model'!$AM$21,$AL12='King Node Model'!$AN$21,$AL12='King Node Model'!$AM$22,$AL12='King Node Model'!$AN$22,$AL12='King Node Model'!$AL$49,$AL12='King Node Model'!$AL$50),OR($AL12=$AN$5,$AL12=$AN$6,$AL12=$AN$7,$AL12=$AN$8,$AL12=$AN$10,$AL12=$AN$11)),NOT(OR(AND('King Node Model'!$P$13="Up",OR($AL12=$AQ$22,$AL12=$AQ$23,$AL12=$AQ$24,$AL12='King Node Model'!$AM$20,$AL12='King Node Model'!$AM$21,$AL12='King Node Model'!$AM$22),OR(AND('King Node Model'!$B$23-$AL12&gt;=0,'King Node Model'!$B$23-$AL12&lt;=5),AND('King Node Model'!$C$23-$AL12&gt;=0,'King Node Model'!$C$23-$AL12&lt;=5))),AND('King Node Model'!$P$13="Down",OR($AL12=$AR$22,$AL12=$AR$23,$AL12=$AR$24,$AL12='King Node Model'!$AN$20,$AL12='King Node Model'!$AN$21,$AL12='King Node Model'!$AN$22),OR(AND($AL12-'King Node Model'!$B$23&gt;=0,$AL12-'King Node Model'!$B$23&lt;=5),AND($AL12-'King Node Model'!$C$24&gt;=0,$AL12-'King Node Model'!$C$24&lt;=5))))))),OR(COUNTIF('Level Engine'!$W$9:$W$14,$AL12)&gt;0,COUNTIF('Level Engine'!$W$18:$W$23,$AL12)&gt;0)),1,0))</f>
        <v>0</v>
      </c>
      <c r="AZ12" s="1">
        <f t="shared" si="1"/>
        <v>0</v>
      </c>
      <c r="BB12" s="1">
        <f>IF(OR(AND($AL12='King Node Model'!$AL$42,$AP$45&lt;&gt;"RASP"),AND($AL12='King Node Model'!$AL$43,$AP$46&lt;&gt;"RASP"),AND($AL12='King Node Model'!$AL$49,$AP$52&lt;&gt;"RASP"),AND($AL12='King Node Model'!$AL$50,$AP$53&lt;&gt;"RASP"),AND($AL12='King Node Model'!$AL$44,$AP$47&lt;&gt;"RASP"),AND($AL12='King Node Model'!$AL$51,$AP$54&lt;&gt;"RASP")),0,IF(AND(AND(ISNUMBER($AL12),OR(AND($AL12&gt;=$AQ$22,$AL12&lt;=$AR$22,$AP$45="RASP"),AND($AL12&gt;=$AQ$23,$AL12&lt;=$AR$23,$AP$46="RASP"),AND($AL12&gt;=$AQ$24,$AL12&lt;=$AR$24,$AP$47="RASP"),AND($AL12&gt;='King Node Model'!$AM$20,$AL12&lt;='King Node Model'!$AN$20,$AP$52="RASP",NOT($L$52=$AW$52)),AND($AL12='King Node Model'!$B$23,$AP$52="RASP",$L$52=$AW$52),AND($AL12&gt;='King Node Model'!$AM$21,$AL12&lt;='King Node Model'!$AN$21,$AP$53="RASP",NOT($L$53=$AW$53)),AND($AL12='King Node Model'!$B$23,$AP$53="RASP",$L$53=$AW$53),AND($AL12&gt;='King Node Model'!$AM$22,$AL12&lt;='King Node Model'!$AN$22,$AP$54="RASP"),AND($AL12&gt;=IFERROR(INDEX('Level Engine'!$AT$9:$AT$55,MATCH('King Node Model'!$AL$42,'Level Engine'!$AA$9:$AA$55,0)),""),$AL12&lt;=IFERROR(INDEX('Level Engine'!$AU$9:$AU$55,MATCH('King Node Model'!$AL$42,'Level Engine'!$AA$9:$AA$55,0)),""),$AP$45="RASP"),AND($AL12&gt;=IFERROR(INDEX('Level Engine'!$AT$9:$AT$55,MATCH('King Node Model'!$AL$43,'Level Engine'!$AA$9:$AA$55,0)),""),$AL12&lt;=IFERROR(INDEX('Level Engine'!$AU$9:$AU$55,MATCH('King Node Model'!$AL$43,'Level Engine'!$AA$9:$AA$55,0)),""),$AP$46="RASP"),AND($AL12&gt;=IFERROR(INDEX('Level Engine'!$AT$9:$AT$55,MATCH('King Node Model'!$AL$44,'Level Engine'!$AA$9:$AA$55,0)),""),$AL12&lt;=IFERROR(INDEX('Level Engine'!$AU$9:$AU$55,MATCH('King Node Model'!$AL$44,'Level Engine'!$AA$9:$AA$55,0)),""),$AP$47="RASP"),AND($AL12&gt;=IFERROR(INDEX('Level Engine'!$AT$9:$AT$55,MATCH('King Node Model'!$AL$49,'Level Engine'!$AA$9:$AA$55,0)),""),$AL12&lt;=IFERROR(INDEX('Level Engine'!$AU$9:$AU$55,MATCH('King Node Model'!$AL$49,'Level Engine'!$AA$9:$AA$55,0)),""),$AP$52="RASP",NOT($L$52=$AW$52)),AND($AL12&gt;=IFERROR(INDEX('Level Engine'!$AT$9:$AT$55,MATCH('King Node Model'!$AL$50,'Level Engine'!$AA$9:$AA$55,0)),""),$AL12&lt;=IFERROR(INDEX('Level Engine'!$AU$9:$AU$55,MATCH('King Node Model'!$AL$50,'Level Engine'!$AA$9:$AA$55,0)),""),$AP$53="RASP",NOT($L$53=$AW$53)),AND($AL12&gt;=IFERROR(INDEX('Level Engine'!$AT$9:$AT$55,MATCH('King Node Model'!$AL$51,'Level Engine'!$AA$9:$AA$55,0)),""),$AL12&lt;=IFERROR(INDEX('Level Engine'!$AU$9:$AU$55,MATCH('King Node Model'!$AL$51,'Level Engine'!$AA$9:$AA$55,0)),""),$AP$54="RASP"))),NOT(AND(ISNUMBER('King Node Model'!$F$24),$AL12='King Node Model'!$F$24,IFERROR(INDEX('Level Engine'!$JN$9:$JN$55,MATCH($AL12,'Level Engine'!$AA$9:$AA$55,0)),0)&lt;&gt;1,$AL12&lt;&gt;'King Node Model'!$AL$42,$AL12&lt;&gt;'King Node Model'!$AL$43,$AL12&lt;&gt;'King Node Model'!$AL$44,$AL12&lt;&gt;'King Node Model'!$AL$49,$AL12&lt;&gt;'King Node Model'!$AL$50,$AL12&lt;&gt;'King Node Model'!$AL$51))),1,0))</f>
        <v>0</v>
      </c>
      <c r="CO12">
        <f>IF(NOT(ISNUMBER($AL12)),"",IF(NOT(ISNUMBER(IFERROR(INDEX('Level Engine'!$FT$9:$FT$55,MATCH($AL12,'Level Engine'!$AA$9:$AA$55,0)),""))),"",IF(IFERROR(INDEX('Level Engine'!$FT$9:$FT$55,MATCH($AL12,'Level Engine'!$AA$9:$AA$55,0)),"")&lt;0,0,2)+IF(ABS(IFERROR(INDEX('Level Engine'!$FT$9:$FT$55,MATCH($AL12,'Level Engine'!$AA$9:$AA$55,0)),""))&gt;='Level Engine'!$FT$2,2,1)))</f>
        <v>4</v>
      </c>
      <c r="DJ12" t="str">
        <f>IF(ISNUMBER($AL12),IF($AL12='Level Engine'!$BG$122," ⫪","")&amp;IF($AL12='Level Engine'!$BG$118," S↑"&amp;IFERROR(INDEX('Level Engine'!$MV$9:$MV$55,MATCH($AL12,'Level Engine'!$AA$9:$AA$55,0)),""),"")&amp;IF($AL12='Level Engine'!$BG$119," S↓"&amp;IFERROR(INDEX('Level Engine'!$MV$9:$MV$55,MATCH($AL12,'Level Engine'!$AA$9:$AA$55,0)),""),"")&amp;IF($AL12='Level Engine'!$BG$120," D↑","")&amp;IF($AL12='Level Engine'!$BG$121," D↓","")&amp;IFERROR(INDEX('Level Engine'!$LG$9:$LG$55,MATCH($AL12,'Level Engine'!$AA$9:$AA$55,0)),"")&amp;IF(IFERROR(INDEX('Level Engine'!$MA$9:$MA$55,MATCH($AL12,'Level Engine'!$AA$9:$AA$55,0)),0)=1," SAND","")&amp;IF(IFERROR(INDEX('Level Engine'!$LM$9:$LM$55,MATCH($AL12,'Level Engine'!$AA$9:$AA$55,0)),0)&gt;0," TP","")&amp;IFERROR(" r"&amp;MATCH($AL12,'Level Engine'!$W$9:$W$14,0),IFERROR(" s"&amp;MATCH($AL12,'Level Engine'!$W$18:$W$23,0),""))&amp;IF($AL12='Level Engine'!$BG$165," ◇","")&amp;IF(N($DZ12)=1,IF($AL12&gt;'Level Engine'!$BG$165," ⚠ DOM↓"," ⚠ DOM↑")&amp;'Level Engine'!$BG$165,""),"")</f>
        <v/>
      </c>
      <c r="DK12" t="str">
        <f>IF(AND(ISNUMBER($AL12),OR($AL12='King Node Model'!$AL$42,$AL12='King Node Model'!$AL$43,$AL12='King Node Model'!$AL$44)),IFERROR(MATCH($AL12,'Level Engine'!$W$9:$W$14,0),""),"")</f>
        <v/>
      </c>
      <c r="DL12" t="str">
        <f>IF(AND(ISNUMBER($AL12),OR($AL12='King Node Model'!$AL$49,$AL12='King Node Model'!$AL$50,$AL12='King Node Model'!$AL$51)),IFERROR(MATCH($AL12,'Level Engine'!$W$18:$W$23,0),""),"")</f>
        <v/>
      </c>
      <c r="DM12">
        <f>IF(AND(ISNUMBER($AL12),IFERROR(INDEX('Level Engine'!$LC$9:$LC$55,MATCH($AL12,'Level Engine'!$AA$9:$AA$55,0)),0)=1,OR($AL12=$AN$3,IFERROR(INDEX('Level Engine'!$LB$9:$LB$55,MATCH($AL12,'Level Engine'!$AA$9:$AA$55,0)),0)=1)),1,0)</f>
        <v>0</v>
      </c>
      <c r="DZ12">
        <f>IF(ISNUMBER($AL12),IF(IFERROR(INDEX('Level Engine'!$NJ$9:$NJ$55,MATCH($AL12,'Level Engine'!$AA$9:$AA$55,0)),0)=1,1,0),0)</f>
      </c>
    </row>
    <row r="13" spans="1:117" ht="20.25" customHeight="1" thickBot="1" x14ac:dyDescent="0.3">
      <c r="A13" s="7" t="str">
        <f t="shared" si="2"/>
        <v/>
      </c>
      <c r="B13" s="8" t="str">
        <f>TEXT(IF(IF('Level Engine'!$GJ$4=1,$AL13='Level Engine'!$GJ$3,AND($AL13-$AM$2&gt;-2.5,$AL13-$AM$2&lt;=2.5)),$AM$2,$AL13),"0")&amp;IF($AL13=$AN$1," ★","")&amp;IF($AL13=$AN$2," ★","")&amp;IF($AL13=$AN$3," ◆","")&amp;IF(AND(ISNUMBER($AN$4),$AL13=$AN$4)," Ⓕ","")&amp;IF(OR(AND(ISNUMBER('Level Engine'!$BG$87),$AL13='Level Engine'!$BG$87),AND(ISNUMBER('Level Engine'!$BG$105),$AL13='Level Engine'!$BG$105))," ζ","")&amp;IF(AND(ISNUMBER($AN$35),$AL13=$AN$35)," ⓏⒼ","")&amp;IF(OR($AL13='Level Engine'!$CP$4,$AL13='Level Engine'!$CP$5,$AL13='Level Engine'!$CP$6,$AL13='Level Engine'!$CP$7)," ☄","")&amp;IF(OR($AL13=$AN$5,$AL13=$AN$8)," ║1","")&amp;IF(OR($AL13=$AN$6,$AL13=$AN$10)," ║2","")&amp;IF(OR($AL13=$AN$7,$AL13=$AN$11)," ║3","")&amp;IF(OR($AL13=$AN$13,$AL13=$AN$16)," ▣1","")&amp;IF(OR($AL13=$AN$14,$AL13=$AN$17)," ▣2","")&amp;IF(OR($AL13=$AN$15,$AL13=$AN$18)," ▣3","")&amp;IF(AND(NOT(OR(AND(ISNUMBER(SEARCH("chop edge",$E$45)),IFERROR(ABS($AL13-'King Node Model'!$AL$42)&lt;=5,FALSE),NOT(ISNUMBER(SEARCH("UNSAFE",$L$45)))),AND(ISNUMBER(SEARCH("chop edge",$E$46)),IFERROR(ABS($AL13-'King Node Model'!$AL$43)&lt;=5,FALSE),NOT(ISNUMBER(SEARCH("UNSAFE",$L$46)))),AND(ISNUMBER(SEARCH("chop edge",$E$52)),IFERROR(ABS($AL13-'King Node Model'!$AL$49)&lt;=5,FALSE),NOT(ISNUMBER(SEARCH("UNSAFE",$L$52)))),AND(ISNUMBER(SEARCH("chop edge",$E$53)),IFERROR(ABS($AL13-'King Node Model'!$AL$50)&lt;=5,FALSE),NOT(ISNUMBER(SEARCH("UNSAFE",$L$53)))))),OR(AND(IFERROR(INDEX('Level Engine'!$IB$9:$IB$55,MATCH('King Node Model'!$AL$49,'Level Engine'!$AA$9:$AA$55,0)),0)&lt;&gt;1,$AL13=IFERROR(INDEX('Level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Engine'!$AA$9:$AA$55,0)),0)&lt;&gt;1,$AL13=IFERROR(INDEX('Level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edge",$E$45)),IFERROR(ABS($AL13-'King Node Model'!$AL$42)&lt;=5,FALSE),NOT(ISNUMBER(SEARCH("UNSAFE",$L$45)))),AND(ISNUMBER(SEARCH("chop edge",$E$46)),IFERROR(ABS($AL13-'King Node Model'!$AL$43)&lt;=5,FALSE),NOT(ISNUMBER(SEARCH("UNSAFE",$L$46)))),AND(ISNUMBER(SEARCH("chop edge",$E$52)),IFERROR(ABS($AL13-'King Node Model'!$AL$49)&lt;=5,FALSE),NOT(ISNUMBER(SEARCH("UNSAFE",$L$52)))),AND(ISNUMBER(SEARCH("chop edge",$E$53)),IFERROR(ABS($AL13-'King Node Model'!$AL$50)&lt;=5,FALSE),NOT(ISNUMBER(SEARCH("UNSAFE",$L$53)))))),OR(AND(IFERROR(INDEX('Level Engine'!$IB$9:$IB$55,MATCH('King Node Model'!$AL$42,'Level Engine'!$AA$9:$AA$55,0)),0)&lt;&gt;1,$AL13=IFERROR(INDEX('Level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Engine'!$AA$9:$AA$55,0)),0)&lt;&gt;1,$AL13=IFERROR(INDEX('Level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ⒷⓁ"),"")&amp;IF(OR(AND($AL13&gt;='King Node Model'!$AM$17,$AL13&lt;='King Node Model'!$AN$17,$AP$45="RASP"),AND($AL13&gt;='King Node Model'!$AM$18,$AL13&lt;='King Node Model'!$AN$18,$AP$46="RASP"),AND($AL13&gt;='King Node Model'!$AM$19,$AL13&lt;='King Node Model'!$AN$19,$AP$47="RASP"),AND($AL13&gt;='King Node Model'!$AM$20,$AL13&lt;='King Node Model'!$AN$20,$AP$52="RASP"),AND($AL13&gt;='King Node Model'!$AM$21,$AL13&lt;='King Node Model'!$AN$21,$AP$53="RASP"),AND($AL13&gt;='King Node Model'!$AM$22,$AL13&lt;='King Node Model'!$AN$22,$AP$54="RASP")),"","")&amp;IF(IF('Level Engine'!$GJ$4=1,$AL13='Level Engine'!$GJ$3,AND($AL13-$AM$2&gt;-2.5,$AL13-$AM$2&lt;=2.5))," ◄","")&amp;IF(IFERROR(INDEX('Level Engine'!$GV$9:$GV$55,MATCH($AL13,'Level Engine'!$AA$9:$AA$55,0)),0)=1," Ⓥ"&amp;IF(IFERROR(INDEX('Level Engine'!$ET$9:$ET$55,MATCH($AL13,'Level Engine'!$AA$9:$AA$55,0)),0)=1,"+",""),"")&amp;IF(OR(AND($AL13=$AN$38,IFERROR(INDEX('Level Engine'!$AN$9:$AN$55,MATCH($AL13,'Level Engine'!$AA$9:$AA$55,0)),0)&lt;&gt;1),$AL13=$AN$39)," ⊙","")&amp;IF(AND(OR('King Node Model'!$A$8="Neg",N('Level Engine'!$BG$72)=1),ABS(MIN($AM$3:$AM$64))&gt;MAX($AM$3:$AM$64),$AN$2&lt;$AM$2,$AL13&lt;$AM$2,ABS($AL13-$AN$2)&lt;=5,IFERROR(VALUE(MID('King Node Model'!$K$26,FIND(":",'King Node Model'!$K$26)-2,2)),0)&gt;=19,IFERROR(INDEX('Level Engine'!$EJ$9:$EJ$55,MATCH($AL13,'Level Engine'!$AA$9:$AA$55,0)),0)=0,$AN$3&gt;$AM$2)," ⟲rev","")&amp;IF($AL13='King Node Model'!$F$24," ⟂","")&amp;$DJ13&amp;IF(IFERROR(INDEX('Level Engine'!$EN$9:$EN$55,MATCH($AL13,'Level Engine'!$AA$9:$AA$55,0)),0)=1," Ⓟ"&amp;IF(AND(OR('King Node Model'!$A$8="Neg",N('Level Engine'!$BG$72)=1),IFERROR(INDEX('Level Engine'!$AN$9:$AN$55,MATCH($AL13,'Level Engine'!$AA$9:$AA$55,0)),0)&lt;&gt;1)," NO-REV",""),"")&amp;IF(AND(ISNUMBER($AL13),OR(AND(ISNUMBER(SEARCH("chop edge",$E$45)),$AL13='King Node Model'!$AL$42),AND(ISNUMBER(SEARCH("chop edge",$E$46)),$AL13='King Node Model'!$AL$43),AND(ISNUMBER(SEARCH("chop edge",$E$52)),$AL13='King Node Model'!$AL$49),AND(ISNUMBER(SEARCH("chop edge",$E$53)),$AL13='King Node Model'!$AL$50)))," ⒸⒺ","")&amp;IF(AND('Level Engine'!$GJ$4=1,OR($AL13='Level Engine'!$GJ$1,$AL13='Level Engine'!$GJ$2)),"","")&amp;IF(ABS(N(IFERROR(INDEX('Level Engine'!$AE$9:$AE$55,MATCH($AL13,'Level Engine'!$AA$9:$AA$55,0)),0)))&gt;='Level Engine'!$BG$85,IF(N(IFERROR(INDEX('Level Engine'!$AE$9:$AE$55,MATCH($AL13,'Level Engine'!$AA$9:$AA$55,0)),0))&gt;0," Δ+"," Δ−"),"")&amp;IFERROR(IF(AND(ISNUMBER(MATCH($AL13,'Level Engine'!$AA$9:$AA$55,0)),ABS(N(IFERROR(INDEX('Level Engine'!$AE$9:$AE$55,MATCH($AL13,'Level Engine'!$AA$9:$AA$55,0)),0)))&lt;'Level Engine'!$BG$85,ABS(N(IFERROR(INDEX('Level Engine'!$AE$9:$AE$55,MATCH($AL13,'Level Engine'!$AA$9:$AA$55,0)),0)))&lt;=ABS(N(IFERROR(INDEX('Level Engine'!$AE$9:$AE$55,MATCH($AL13+5,'Level Engine'!$AA$9:$AA$55,0)),0))),ABS(N(IFERROR(INDEX('Level Engine'!$AE$9:$AE$55,MATCH($AL13,'Level Engine'!$AA$9:$AA$55,0)),0)))&lt;=ABS(N(IFERROR(INDEX('Level Engine'!$AE$9:$AE$55,MATCH($AL13-5,'Level Engine'!$AA$9:$AA$55,0)),0))),OR(AND(ABS(N(IFERROR(INDEX('Level Engine'!$AE$9:$AE$55,MATCH($AL13+5,'Level Engine'!$AA$9:$AA$55,0)),0)))&gt;='Level Engine'!$BG$85,ABS(N(IFERROR(INDEX('Level Engine'!$AE$9:$AE$55,MATCH($AL13,'Level Engine'!$AA$9:$AA$55,0)),0)))&lt;='Level Engine'!$BG$88*ABS(N(IFERROR(INDEX('Level Engine'!$AE$9:$AE$55,MATCH($AL13+5,'Level Engine'!$AA$9:$AA$55,0)),0)))),AND(ABS(N(IFERROR(INDEX('Level Engine'!$AE$9:$AE$55,MATCH($AL13-5,'Level Engine'!$AA$9:$AA$55,0)),0)))&gt;='Level Engine'!$BG$85,ABS(N(IFERROR(INDEX('Level Engine'!$AE$9:$AE$55,MATCH($AL13,'Level Engine'!$AA$9:$AA$55,0)),0)))&lt;='Level Engine'!$BG$88*ABS(N(IFERROR(INDEX('Level Engine'!$AE$9:$AE$55,MATCH($AL13-5,'Level Engine'!$AA$9:$AA$55,0)),0)))))),IF(AND('King Node Model'!$A$8="Pos",N('Level Engine'!$BG$72)&lt;&gt;1),""," ∅"),""),"")&amp;IF(IFERROR(INDEX('Level Engine'!$JD$9:$JD$55,MATCH($AL13,'Level Engine'!$AA$9:$AA$55,0)),"")="P"," P-OI",IF(IFERROR(INDEX('Level Engine'!$JD$9:$JD$55,MATCH($AL13,'Level Engine'!$AA$9:$AA$55,0)),"")="C"," C-OI",""))</f>
        <v>7835</v>
      </c>
      <c r="C13" s="9" t="str">
        <f t="shared" si="0"/>
        <v>█</v>
      </c>
      <c r="D13" t="str">
        <f>IF(NOT(ISNUMBER($AL13)),"",IF(IFERROR(INDEX('Level Engine'!$FS$9:$FS$55,MATCH($AL13,'Level Engine'!$AA$9:$AA$55,0)),0)=1,"⊙",""))</f>
        <v/>
      </c>
      <c r="E13" s="22" t="s">
        <v>7</v>
      </c>
      <c r="F13" s="570" t="str">
        <f>'King Node Model'!C13</f>
        <v>BUY the dip dominant. Pro-cyclical hedging — buying into strength, chase accelerates on rallies. Ride the trend — on IV spike trend changes to dominant selling.</v>
      </c>
      <c r="G13" s="570"/>
      <c r="H13" s="570"/>
      <c r="I13" s="570"/>
      <c r="J13" s="570"/>
      <c r="K13" s="570"/>
      <c r="L13" s="570"/>
      <c r="M13" s="570"/>
      <c r="N13" s="570"/>
      <c r="Q13" s="440" t="str">
        <f>IF(OR($Q$5="",$R$5=""),"",IF(AND($Q$5="High",$R$5="Rising"),"Genuine volatility expansion",IF(AND($Q$5="High",$R$5="Falling"),"Possible false alarm / shakeout",IF(AND($Q$5="Low",$R$5="Falling"),"Genuine compression",IF(AND($Q$5="Low",$R$5="Rising"),"Early warning of regime change","—")))))</f>
        <v>—</v>
      </c>
      <c r="R13" s="441" t="str">
        <f>$Q$5</f>
        <v>Low</v>
      </c>
      <c r="S13" s="442" t="str">
        <f>$R$5</f>
        <v>Rising  (fast: Rising)</v>
      </c>
      <c r="T13" s="480"/>
      <c r="U13" s="480"/>
      <c r="AL13" s="1">
        <f>'King Node Model'!A39</f>
        <v>7835</v>
      </c>
      <c r="AM13" s="10">
        <f>'King Node Model'!C39</f>
        <v>176610</v>
      </c>
      <c r="AN13" s="1">
        <f>IFERROR(INDEX('King Node Model'!$A$29:$A$75,MATCH(LARGE('King Node Model'!$AU$29:$AU$75,1),'King Node Model'!$AU$29:$AU$75,0)),"-")</f>
        <v>7850</v>
      </c>
      <c r="AO13" s="10">
        <f>'King Node Model'!B39</f>
        <v>229319</v>
      </c>
      <c r="AY13" s="1">
        <f>IF(AND($B$2="Hide unsafe",$BB13=1),0,IF(AND(OR(AND(AND(ISNUMBER($AL13),OR(AND($AL13&gt;=$AQ$22,$AL13&lt;=$AR$22,$AS$22=1),$AL13=$AQ$22,$AL13=$AR$22,$AL13=$AQ$23,$AL13=$AR$23,$AL13=$AQ$24,$AL13=$AR$24),NOT(OR($AL13=$AN$5,$AL13=$AN$6,$AL13=$AN$7,$AL13=$AN$8,$AL13=$AN$10,$AL13=$AN$11))),NOT(OR(AND('King Node Model'!$P$13="Up",OR($AL13=$AQ$22,$AL13=$AQ$23,$AL13=$AQ$24,$AL13='King Node Model'!$AM$20,$AL13='King Node Model'!$AM$21,$AL13='King Node Model'!$AM$22),OR(AND('King Node Model'!$B$23-$AL13&gt;=0,'King Node Model'!$B$23-$AL13&lt;=5),AND('King Node Model'!$C$23-$AL13&gt;=0,'King Node Model'!$C$23-$AL13&lt;=5))),AND('King Node Model'!$P$13="Down",OR($AL13=$AR$22,$AL13=$AR$23,$AL13=$AR$24,$AL13='King Node Model'!$AN$20,$AL13='King Node Model'!$AN$21,$AL13='King Node Model'!$AN$22),OR(AND($AL13-'King Node Model'!$B$23&gt;=0,$AL13-'King Node Model'!$B$23&lt;=5),AND($AL13-'King Node Model'!$C$24&gt;=0,$AL13-'King Node Model'!$C$24&lt;=5)))))),AND(AND(ISNUMBER($AL13),OR(AND($AL13&gt;=$AQ$22,$AL13&lt;=$AR$22,$AS$22=1),$AL13=$AQ$22,$AL13=$AR$22,$AL13=$AQ$23,$AL13=$AR$23,$AL13=$AQ$24,$AL13=$AR$24,$AL13='King Node Model'!$AL$42,$AL13='King Node Model'!$AL$43),OR($AL13=$AN$5,$AL13=$AN$6,$AL13=$AN$7,$AL13=$AN$8,$AL13=$AN$10,$AL13=$AN$11)),NOT(OR(AND('King Node Model'!$P$13="Up",OR($AL13=$AQ$22,$AL13=$AQ$23,$AL13=$AQ$24,$AL13='King Node Model'!$AM$20,$AL13='King Node Model'!$AM$21,$AL13='King Node Model'!$AM$22),OR(AND('King Node Model'!$B$23-$AL13&gt;=0,'King Node Model'!$B$23-$AL13&lt;=5),AND('King Node Model'!$C$23-$AL13&gt;=0,'King Node Model'!$C$23-$AL13&lt;=5))),AND('King Node Model'!$P$13="Down",OR($AL13=$AR$22,$AL13=$AR$23,$AL13=$AR$24,$AL13='King Node Model'!$AN$20,$AL13='King Node Model'!$AN$21,$AL13='King Node Model'!$AN$22),OR(AND($AL13-'King Node Model'!$B$23&gt;=0,$AL13-'King Node Model'!$B$23&lt;=5),AND($AL13-'King Node Model'!$C$24&gt;=0,$AL13-'King Node Model'!$C$24&lt;=5)))))),AND(AND(ISNUMBER($AL13),OR(AND($AL13&gt;='King Node Model'!$AM$20,$AL13&lt;='King Node Model'!$AN$20,$AS$23=1),$AL13='King Node Model'!$AM$20,$AL13='King Node Model'!$AN$20,$AL13='King Node Model'!$AM$21,$AL13='King Node Model'!$AN$21,$AL13='King Node Model'!$AM$22,$AL13='King Node Model'!$AN$22),NOT(OR($AL13=$AN$5,$AL13=$AN$6,$AL13=$AN$7,$AL13=$AN$8,$AL13=$AN$10,$AL13=$AN$11))),NOT(AND(ISNUMBER('King Node Model'!$F$24),$AL13='King Node Model'!$F$24,IFERROR(INDEX('Level Engine'!$JN$9:$JN$55,MATCH($AL13,'Level Engine'!$AA$9:$AA$55,0)),0)&lt;&gt;1))),AND(AND(ISNUMBER($AL13),OR(AND($AL13&gt;='King Node Model'!$AM$20,$AL13&lt;='King Node Model'!$AN$20,$AS$23=1),$AL13='King Node Model'!$AM$20,$AL13='King Node Model'!$AN$20,$AL13='King Node Model'!$AM$21,$AL13='King Node Model'!$AN$21,$AL13='King Node Model'!$AM$22,$AL13='King Node Model'!$AN$22,$AL13='King Node Model'!$AL$49,$AL13='King Node Model'!$AL$50),OR($AL13=$AN$5,$AL13=$AN$6,$AL13=$AN$7,$AL13=$AN$8,$AL13=$AN$10,$AL13=$AN$11)),NOT(OR(AND('King Node Model'!$P$13="Up",OR($AL13=$AQ$22,$AL13=$AQ$23,$AL13=$AQ$24,$AL13='King Node Model'!$AM$20,$AL13='King Node Model'!$AM$21,$AL13='King Node Model'!$AM$22),OR(AND('King Node Model'!$B$23-$AL13&gt;=0,'King Node Model'!$B$23-$AL13&lt;=5),AND('King Node Model'!$C$23-$AL13&gt;=0,'King Node Model'!$C$23-$AL13&lt;=5))),AND('King Node Model'!$P$13="Down",OR($AL13=$AR$22,$AL13=$AR$23,$AL13=$AR$24,$AL13='King Node Model'!$AN$20,$AL13='King Node Model'!$AN$21,$AL13='King Node Model'!$AN$22),OR(AND($AL13-'King Node Model'!$B$23&gt;=0,$AL13-'King Node Model'!$B$23&lt;=5),AND($AL13-'King Node Model'!$C$24&gt;=0,$AL13-'King Node Model'!$C$24&lt;=5))))))),OR(COUNTIF('Level Engine'!$W$9:$W$14,$AL13)&gt;0,COUNTIF('Level Engine'!$W$18:$W$23,$AL13)&gt;0)),1,0))</f>
        <v>0</v>
      </c>
      <c r="AZ13" s="1">
        <f t="shared" si="1"/>
        <v>0</v>
      </c>
      <c r="BB13" s="1">
        <f>IF(OR(AND($AL13='King Node Model'!$AL$42,$AP$45&lt;&gt;"RASP"),AND($AL13='King Node Model'!$AL$43,$AP$46&lt;&gt;"RASP"),AND($AL13='King Node Model'!$AL$49,$AP$52&lt;&gt;"RASP"),AND($AL13='King Node Model'!$AL$50,$AP$53&lt;&gt;"RASP"),AND($AL13='King Node Model'!$AL$44,$AP$47&lt;&gt;"RASP"),AND($AL13='King Node Model'!$AL$51,$AP$54&lt;&gt;"RASP")),0,IF(AND(AND(ISNUMBER($AL13),OR(AND($AL13&gt;=$AQ$22,$AL13&lt;=$AR$22,$AP$45="RASP"),AND($AL13&gt;=$AQ$23,$AL13&lt;=$AR$23,$AP$46="RASP"),AND($AL13&gt;=$AQ$24,$AL13&lt;=$AR$24,$AP$47="RASP"),AND($AL13&gt;='King Node Model'!$AM$20,$AL13&lt;='King Node Model'!$AN$20,$AP$52="RASP",NOT($L$52=$AW$52)),AND($AL13='King Node Model'!$B$23,$AP$52="RASP",$L$52=$AW$52),AND($AL13&gt;='King Node Model'!$AM$21,$AL13&lt;='King Node Model'!$AN$21,$AP$53="RASP",NOT($L$53=$AW$53)),AND($AL13='King Node Model'!$B$23,$AP$53="RASP",$L$53=$AW$53),AND($AL13&gt;='King Node Model'!$AM$22,$AL13&lt;='King Node Model'!$AN$22,$AP$54="RASP"),AND($AL13&gt;=IFERROR(INDEX('Level Engine'!$AT$9:$AT$55,MATCH('King Node Model'!$AL$42,'Level Engine'!$AA$9:$AA$55,0)),""),$AL13&lt;=IFERROR(INDEX('Level Engine'!$AU$9:$AU$55,MATCH('King Node Model'!$AL$42,'Level Engine'!$AA$9:$AA$55,0)),""),$AP$45="RASP"),AND($AL13&gt;=IFERROR(INDEX('Level Engine'!$AT$9:$AT$55,MATCH('King Node Model'!$AL$43,'Level Engine'!$AA$9:$AA$55,0)),""),$AL13&lt;=IFERROR(INDEX('Level Engine'!$AU$9:$AU$55,MATCH('King Node Model'!$AL$43,'Level Engine'!$AA$9:$AA$55,0)),""),$AP$46="RASP"),AND($AL13&gt;=IFERROR(INDEX('Level Engine'!$AT$9:$AT$55,MATCH('King Node Model'!$AL$44,'Level Engine'!$AA$9:$AA$55,0)),""),$AL13&lt;=IFERROR(INDEX('Level Engine'!$AU$9:$AU$55,MATCH('King Node Model'!$AL$44,'Level Engine'!$AA$9:$AA$55,0)),""),$AP$47="RASP"),AND($AL13&gt;=IFERROR(INDEX('Level Engine'!$AT$9:$AT$55,MATCH('King Node Model'!$AL$49,'Level Engine'!$AA$9:$AA$55,0)),""),$AL13&lt;=IFERROR(INDEX('Level Engine'!$AU$9:$AU$55,MATCH('King Node Model'!$AL$49,'Level Engine'!$AA$9:$AA$55,0)),""),$AP$52="RASP",NOT($L$52=$AW$52)),AND($AL13&gt;=IFERROR(INDEX('Level Engine'!$AT$9:$AT$55,MATCH('King Node Model'!$AL$50,'Level Engine'!$AA$9:$AA$55,0)),""),$AL13&lt;=IFERROR(INDEX('Level Engine'!$AU$9:$AU$55,MATCH('King Node Model'!$AL$50,'Level Engine'!$AA$9:$AA$55,0)),""),$AP$53="RASP",NOT($L$53=$AW$53)),AND($AL13&gt;=IFERROR(INDEX('Level Engine'!$AT$9:$AT$55,MATCH('King Node Model'!$AL$51,'Level Engine'!$AA$9:$AA$55,0)),""),$AL13&lt;=IFERROR(INDEX('Level Engine'!$AU$9:$AU$55,MATCH('King Node Model'!$AL$51,'Level Engine'!$AA$9:$AA$55,0)),""),$AP$54="RASP"))),NOT(AND(ISNUMBER('King Node Model'!$F$24),$AL13='King Node Model'!$F$24,IFERROR(INDEX('Level Engine'!$JN$9:$JN$55,MATCH($AL13,'Level Engine'!$AA$9:$AA$55,0)),0)&lt;&gt;1,$AL13&lt;&gt;'King Node Model'!$AL$42,$AL13&lt;&gt;'King Node Model'!$AL$43,$AL13&lt;&gt;'King Node Model'!$AL$44,$AL13&lt;&gt;'King Node Model'!$AL$49,$AL13&lt;&gt;'King Node Model'!$AL$50,$AL13&lt;&gt;'King Node Model'!$AL$51))),1,0))</f>
        <v>0</v>
      </c>
      <c r="CO13">
        <f>IF(NOT(ISNUMBER($AL13)),"",IF(NOT(ISNUMBER(IFERROR(INDEX('Level Engine'!$FT$9:$FT$55,MATCH($AL13,'Level Engine'!$AA$9:$AA$55,0)),""))),"",IF(IFERROR(INDEX('Level Engine'!$FT$9:$FT$55,MATCH($AL13,'Level Engine'!$AA$9:$AA$55,0)),"")&lt;0,0,2)+IF(ABS(IFERROR(INDEX('Level Engine'!$FT$9:$FT$55,MATCH($AL13,'Level Engine'!$AA$9:$AA$55,0)),""))&gt;='Level Engine'!$FT$2,2,1)))</f>
        <v>4</v>
      </c>
      <c r="DJ13" t="str">
        <f>IF(ISNUMBER($AL13),IF($AL13='Level Engine'!$BG$122," ⫪","")&amp;IF($AL13='Level Engine'!$BG$118," S↑"&amp;IFERROR(INDEX('Level Engine'!$MV$9:$MV$55,MATCH($AL13,'Level Engine'!$AA$9:$AA$55,0)),""),"")&amp;IF($AL13='Level Engine'!$BG$119," S↓"&amp;IFERROR(INDEX('Level Engine'!$MV$9:$MV$55,MATCH($AL13,'Level Engine'!$AA$9:$AA$55,0)),""),"")&amp;IF($AL13='Level Engine'!$BG$120," D↑","")&amp;IF($AL13='Level Engine'!$BG$121," D↓","")&amp;IFERROR(INDEX('Level Engine'!$LG$9:$LG$55,MATCH($AL13,'Level Engine'!$AA$9:$AA$55,0)),"")&amp;IF(IFERROR(INDEX('Level Engine'!$MA$9:$MA$55,MATCH($AL13,'Level Engine'!$AA$9:$AA$55,0)),0)=1," SAND","")&amp;IF(IFERROR(INDEX('Level Engine'!$LM$9:$LM$55,MATCH($AL13,'Level Engine'!$AA$9:$AA$55,0)),0)&gt;0," TP","")&amp;IFERROR(" r"&amp;MATCH($AL13,'Level Engine'!$W$9:$W$14,0),IFERROR(" s"&amp;MATCH($AL13,'Level Engine'!$W$18:$W$23,0),""))&amp;IF($AL13='Level Engine'!$BG$165," ◇","")&amp;IF(N($DZ13)=1,IF($AL13&gt;'Level Engine'!$BG$165," ⚠ DOM↓"," ⚠ DOM↑")&amp;'Level Engine'!$BG$165,""),"")</f>
        <v/>
      </c>
      <c r="DK13" t="str">
        <f>IF(AND(ISNUMBER($AL13),OR($AL13='King Node Model'!$AL$42,$AL13='King Node Model'!$AL$43,$AL13='King Node Model'!$AL$44)),IFERROR(MATCH($AL13,'Level Engine'!$W$9:$W$14,0),""),"")</f>
        <v/>
      </c>
      <c r="DL13" t="str">
        <f>IF(AND(ISNUMBER($AL13),OR($AL13='King Node Model'!$AL$49,$AL13='King Node Model'!$AL$50,$AL13='King Node Model'!$AL$51)),IFERROR(MATCH($AL13,'Level Engine'!$W$18:$W$23,0),""),"")</f>
        <v/>
      </c>
      <c r="DM13">
        <f>IF(AND(ISNUMBER($AL13),IFERROR(INDEX('Level Engine'!$LC$9:$LC$55,MATCH($AL13,'Level Engine'!$AA$9:$AA$55,0)),0)=1,OR($AL13=$AN$3,IFERROR(INDEX('Level Engine'!$LB$9:$LB$55,MATCH($AL13,'Level Engine'!$AA$9:$AA$55,0)),0)=1)),1,0)</f>
        <v>0</v>
      </c>
      <c r="DZ13">
        <f>IF(ISNUMBER($AL13),IF(IFERROR(INDEX('Level Engine'!$NJ$9:$NJ$55,MATCH($AL13,'Level Engine'!$AA$9:$AA$55,0)),0)=1,1,0),0)</f>
      </c>
    </row>
    <row r="14" spans="1:117" ht="15" customHeight="1" x14ac:dyDescent="0.25">
      <c r="A14" s="7" t="str">
        <f t="shared" si="2"/>
        <v/>
      </c>
      <c r="B14" s="8" t="str">
        <f>TEXT(IF(IF('Level Engine'!$GJ$4=1,$AL14='Level Engine'!$GJ$3,AND($AL14-$AM$2&gt;-2.5,$AL14-$AM$2&lt;=2.5)),$AM$2,$AL14),"0")&amp;IF($AL14=$AN$1," ★","")&amp;IF($AL14=$AN$2," ★","")&amp;IF($AL14=$AN$3," ◆","")&amp;IF(AND(ISNUMBER($AN$4),$AL14=$AN$4)," Ⓕ","")&amp;IF(OR(AND(ISNUMBER('Level Engine'!$BG$87),$AL14='Level Engine'!$BG$87),AND(ISNUMBER('Level Engine'!$BG$105),$AL14='Level Engine'!$BG$105))," ζ","")&amp;IF(AND(ISNUMBER($AN$35),$AL14=$AN$35)," ⓏⒼ","")&amp;IF(OR($AL14='Level Engine'!$CP$4,$AL14='Level Engine'!$CP$5,$AL14='Level Engine'!$CP$6,$AL14='Level Engine'!$CP$7)," ☄","")&amp;IF(OR($AL14=$AN$5,$AL14=$AN$8)," ║1","")&amp;IF(OR($AL14=$AN$6,$AL14=$AN$10)," ║2","")&amp;IF(OR($AL14=$AN$7,$AL14=$AN$11)," ║3","")&amp;IF(OR($AL14=$AN$13,$AL14=$AN$16)," ▣1","")&amp;IF(OR($AL14=$AN$14,$AL14=$AN$17)," ▣2","")&amp;IF(OR($AL14=$AN$15,$AL14=$AN$18)," ▣3","")&amp;IF(AND(NOT(OR(AND(ISNUMBER(SEARCH("chop edge",$E$45)),IFERROR(ABS($AL14-'King Node Model'!$AL$42)&lt;=5,FALSE),NOT(ISNUMBER(SEARCH("UNSAFE",$L$45)))),AND(ISNUMBER(SEARCH("chop edge",$E$46)),IFERROR(ABS($AL14-'King Node Model'!$AL$43)&lt;=5,FALSE),NOT(ISNUMBER(SEARCH("UNSAFE",$L$46)))),AND(ISNUMBER(SEARCH("chop edge",$E$52)),IFERROR(ABS($AL14-'King Node Model'!$AL$49)&lt;=5,FALSE),NOT(ISNUMBER(SEARCH("UNSAFE",$L$52)))),AND(ISNUMBER(SEARCH("chop edge",$E$53)),IFERROR(ABS($AL14-'King Node Model'!$AL$50)&lt;=5,FALSE),NOT(ISNUMBER(SEARCH("UNSAFE",$L$53)))))),OR(AND(IFERROR(INDEX('Level Engine'!$IB$9:$IB$55,MATCH('King Node Model'!$AL$49,'Level Engine'!$AA$9:$AA$55,0)),0)&lt;&gt;1,$AL14=IFERROR(INDEX('Level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Engine'!$AA$9:$AA$55,0)),0)&lt;&gt;1,$AL14=IFERROR(INDEX('Level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edge",$E$45)),IFERROR(ABS($AL14-'King Node Model'!$AL$42)&lt;=5,FALSE),NOT(ISNUMBER(SEARCH("UNSAFE",$L$45)))),AND(ISNUMBER(SEARCH("chop edge",$E$46)),IFERROR(ABS($AL14-'King Node Model'!$AL$43)&lt;=5,FALSE),NOT(ISNUMBER(SEARCH("UNSAFE",$L$46)))),AND(ISNUMBER(SEARCH("chop edge",$E$52)),IFERROR(ABS($AL14-'King Node Model'!$AL$49)&lt;=5,FALSE),NOT(ISNUMBER(SEARCH("UNSAFE",$L$52)))),AND(ISNUMBER(SEARCH("chop edge",$E$53)),IFERROR(ABS($AL14-'King Node Model'!$AL$50)&lt;=5,FALSE),NOT(ISNUMBER(SEARCH("UNSAFE",$L$53)))))),OR(AND(IFERROR(INDEX('Level Engine'!$IB$9:$IB$55,MATCH('King Node Model'!$AL$42,'Level Engine'!$AA$9:$AA$55,0)),0)&lt;&gt;1,$AL14=IFERROR(INDEX('Level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Engine'!$AA$9:$AA$55,0)),0)&lt;&gt;1,$AL14=IFERROR(INDEX('Level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ⒷⓁ"),"")&amp;IF(OR(AND($AL14&gt;='King Node Model'!$AM$17,$AL14&lt;='King Node Model'!$AN$17,$AP$45="RASP"),AND($AL14&gt;='King Node Model'!$AM$18,$AL14&lt;='King Node Model'!$AN$18,$AP$46="RASP"),AND($AL14&gt;='King Node Model'!$AM$19,$AL14&lt;='King Node Model'!$AN$19,$AP$47="RASP"),AND($AL14&gt;='King Node Model'!$AM$20,$AL14&lt;='King Node Model'!$AN$20,$AP$52="RASP"),AND($AL14&gt;='King Node Model'!$AM$21,$AL14&lt;='King Node Model'!$AN$21,$AP$53="RASP"),AND($AL14&gt;='King Node Model'!$AM$22,$AL14&lt;='King Node Model'!$AN$22,$AP$54="RASP")),"","")&amp;IF(IF('Level Engine'!$GJ$4=1,$AL14='Level Engine'!$GJ$3,AND($AL14-$AM$2&gt;-2.5,$AL14-$AM$2&lt;=2.5))," ◄","")&amp;IF(IFERROR(INDEX('Level Engine'!$GV$9:$GV$55,MATCH($AL14,'Level Engine'!$AA$9:$AA$55,0)),0)=1," Ⓥ"&amp;IF(IFERROR(INDEX('Level Engine'!$ET$9:$ET$55,MATCH($AL14,'Level Engine'!$AA$9:$AA$55,0)),0)=1,"+",""),"")&amp;IF(OR(AND($AL14=$AN$38,IFERROR(INDEX('Level Engine'!$AN$9:$AN$55,MATCH($AL14,'Level Engine'!$AA$9:$AA$55,0)),0)&lt;&gt;1),$AL14=$AN$39)," ⊙","")&amp;IF(AND(OR('King Node Model'!$A$8="Neg",N('Level Engine'!$BG$72)=1),ABS(MIN($AM$3:$AM$64))&gt;MAX($AM$3:$AM$64),$AN$2&lt;$AM$2,$AL14&lt;$AM$2,ABS($AL14-$AN$2)&lt;=5,IFERROR(VALUE(MID('King Node Model'!$K$26,FIND(":",'King Node Model'!$K$26)-2,2)),0)&gt;=19,IFERROR(INDEX('Level Engine'!$EJ$9:$EJ$55,MATCH($AL14,'Level Engine'!$AA$9:$AA$55,0)),0)=0,$AN$3&gt;$AM$2)," ⟲rev","")&amp;IF($AL14='King Node Model'!$F$24," ⟂","")&amp;$DJ14&amp;IF(IFERROR(INDEX('Level Engine'!$EN$9:$EN$55,MATCH($AL14,'Level Engine'!$AA$9:$AA$55,0)),0)=1," Ⓟ"&amp;IF(AND(OR('King Node Model'!$A$8="Neg",N('Level Engine'!$BG$72)=1),IFERROR(INDEX('Level Engine'!$AN$9:$AN$55,MATCH($AL14,'Level Engine'!$AA$9:$AA$55,0)),0)&lt;&gt;1)," NO-REV",""),"")&amp;IF(AND(ISNUMBER($AL14),OR(AND(ISNUMBER(SEARCH("chop edge",$E$45)),$AL14='King Node Model'!$AL$42),AND(ISNUMBER(SEARCH("chop edge",$E$46)),$AL14='King Node Model'!$AL$43),AND(ISNUMBER(SEARCH("chop edge",$E$52)),$AL14='King Node Model'!$AL$49),AND(ISNUMBER(SEARCH("chop edge",$E$53)),$AL14='King Node Model'!$AL$50)))," ⒸⒺ","")&amp;IF(AND('Level Engine'!$GJ$4=1,OR($AL14='Level Engine'!$GJ$1,$AL14='Level Engine'!$GJ$2)),"","")&amp;IF(ABS(N(IFERROR(INDEX('Level Engine'!$AE$9:$AE$55,MATCH($AL14,'Level Engine'!$AA$9:$AA$55,0)),0)))&gt;='Level Engine'!$BG$85,IF(N(IFERROR(INDEX('Level Engine'!$AE$9:$AE$55,MATCH($AL14,'Level Engine'!$AA$9:$AA$55,0)),0))&gt;0," Δ+"," Δ−"),"")&amp;IFERROR(IF(AND(ISNUMBER(MATCH($AL14,'Level Engine'!$AA$9:$AA$55,0)),ABS(N(IFERROR(INDEX('Level Engine'!$AE$9:$AE$55,MATCH($AL14,'Level Engine'!$AA$9:$AA$55,0)),0)))&lt;'Level Engine'!$BG$85,ABS(N(IFERROR(INDEX('Level Engine'!$AE$9:$AE$55,MATCH($AL14,'Level Engine'!$AA$9:$AA$55,0)),0)))&lt;=ABS(N(IFERROR(INDEX('Level Engine'!$AE$9:$AE$55,MATCH($AL14+5,'Level Engine'!$AA$9:$AA$55,0)),0))),ABS(N(IFERROR(INDEX('Level Engine'!$AE$9:$AE$55,MATCH($AL14,'Level Engine'!$AA$9:$AA$55,0)),0)))&lt;=ABS(N(IFERROR(INDEX('Level Engine'!$AE$9:$AE$55,MATCH($AL14-5,'Level Engine'!$AA$9:$AA$55,0)),0))),OR(AND(ABS(N(IFERROR(INDEX('Level Engine'!$AE$9:$AE$55,MATCH($AL14+5,'Level Engine'!$AA$9:$AA$55,0)),0)))&gt;='Level Engine'!$BG$85,ABS(N(IFERROR(INDEX('Level Engine'!$AE$9:$AE$55,MATCH($AL14,'Level Engine'!$AA$9:$AA$55,0)),0)))&lt;='Level Engine'!$BG$88*ABS(N(IFERROR(INDEX('Level Engine'!$AE$9:$AE$55,MATCH($AL14+5,'Level Engine'!$AA$9:$AA$55,0)),0)))),AND(ABS(N(IFERROR(INDEX('Level Engine'!$AE$9:$AE$55,MATCH($AL14-5,'Level Engine'!$AA$9:$AA$55,0)),0)))&gt;='Level Engine'!$BG$85,ABS(N(IFERROR(INDEX('Level Engine'!$AE$9:$AE$55,MATCH($AL14,'Level Engine'!$AA$9:$AA$55,0)),0)))&lt;='Level Engine'!$BG$88*ABS(N(IFERROR(INDEX('Level Engine'!$AE$9:$AE$55,MATCH($AL14-5,'Level Engine'!$AA$9:$AA$55,0)),0)))))),IF(AND('King Node Model'!$A$8="Pos",N('Level Engine'!$BG$72)&lt;&gt;1),""," ∅"),""),"")&amp;IF(IFERROR(INDEX('Level Engine'!$JD$9:$JD$55,MATCH($AL14,'Level Engine'!$AA$9:$AA$55,0)),"")="P"," P-OI",IF(IFERROR(INDEX('Level Engine'!$JD$9:$JD$55,MATCH($AL14,'Level Engine'!$AA$9:$AA$55,0)),"")="C"," C-OI",""))</f>
        <v>7830 ▣2 r6</v>
      </c>
      <c r="C14" s="9" t="str">
        <f t="shared" si="0"/>
        <v>███</v>
      </c>
      <c r="D14" t="str">
        <f>IF(NOT(ISNUMBER($AL14)),"",IF(IFERROR(INDEX('Level Engine'!$FS$9:$FS$55,MATCH($AL14,'Level Engine'!$AA$9:$AA$55,0)),0)=1,"⊙",""))</f>
        <v/>
      </c>
      <c r="E14" s="22" t="s">
        <v>8</v>
      </c>
      <c r="F14" s="569" t="str">
        <f>'King Node Model'!C14</f>
        <v>BUY on Pullback. Pullbacks are generally shallow.</v>
      </c>
      <c r="G14" s="569"/>
      <c r="H14" s="569"/>
      <c r="I14" s="569"/>
      <c r="J14" s="569"/>
      <c r="K14" s="569"/>
      <c r="L14" s="569"/>
      <c r="M14" s="569"/>
      <c r="N14" s="569"/>
      <c r="Q14" s="10"/>
      <c r="S14" s="10"/>
      <c r="T14" s="481"/>
      <c r="U14" s="481"/>
      <c r="AL14" s="1">
        <f>'King Node Model'!A40</f>
        <v>7830</v>
      </c>
      <c r="AM14" s="10">
        <f>'King Node Model'!C40</f>
        <v>437700</v>
      </c>
      <c r="AN14" s="1">
        <f>IFERROR(INDEX('King Node Model'!$A$29:$A$75,MATCH(LARGE('King Node Model'!$AU$29:$AU$75,2),'King Node Model'!$AU$29:$AU$75,0)),"-")</f>
        <v>7830</v>
      </c>
      <c r="AO14" s="10">
        <f>'King Node Model'!B40</f>
        <v>560967</v>
      </c>
      <c r="AY14" s="1">
        <f>IF(AND($B$2="Hide unsafe",$BB14=1),0,IF(AND(OR(AND(AND(ISNUMBER($AL14),OR(AND($AL14&gt;=$AQ$22,$AL14&lt;=$AR$22,$AS$22=1),$AL14=$AQ$22,$AL14=$AR$22,$AL14=$AQ$23,$AL14=$AR$23,$AL14=$AQ$24,$AL14=$AR$24),NOT(OR($AL14=$AN$5,$AL14=$AN$6,$AL14=$AN$7,$AL14=$AN$8,$AL14=$AN$10,$AL14=$AN$11))),NOT(OR(AND('King Node Model'!$P$13="Up",OR($AL14=$AQ$22,$AL14=$AQ$23,$AL14=$AQ$24,$AL14='King Node Model'!$AM$20,$AL14='King Node Model'!$AM$21,$AL14='King Node Model'!$AM$22),OR(AND('King Node Model'!$B$23-$AL14&gt;=0,'King Node Model'!$B$23-$AL14&lt;=5),AND('King Node Model'!$C$23-$AL14&gt;=0,'King Node Model'!$C$23-$AL14&lt;=5))),AND('King Node Model'!$P$13="Down",OR($AL14=$AR$22,$AL14=$AR$23,$AL14=$AR$24,$AL14='King Node Model'!$AN$20,$AL14='King Node Model'!$AN$21,$AL14='King Node Model'!$AN$22),OR(AND($AL14-'King Node Model'!$B$23&gt;=0,$AL14-'King Node Model'!$B$23&lt;=5),AND($AL14-'King Node Model'!$C$24&gt;=0,$AL14-'King Node Model'!$C$24&lt;=5)))))),AND(AND(ISNUMBER($AL14),OR(AND($AL14&gt;=$AQ$22,$AL14&lt;=$AR$22,$AS$22=1),$AL14=$AQ$22,$AL14=$AR$22,$AL14=$AQ$23,$AL14=$AR$23,$AL14=$AQ$24,$AL14=$AR$24,$AL14='King Node Model'!$AL$42,$AL14='King Node Model'!$AL$43),OR($AL14=$AN$5,$AL14=$AN$6,$AL14=$AN$7,$AL14=$AN$8,$AL14=$AN$10,$AL14=$AN$11)),NOT(OR(AND('King Node Model'!$P$13="Up",OR($AL14=$AQ$22,$AL14=$AQ$23,$AL14=$AQ$24,$AL14='King Node Model'!$AM$20,$AL14='King Node Model'!$AM$21,$AL14='King Node Model'!$AM$22),OR(AND('King Node Model'!$B$23-$AL14&gt;=0,'King Node Model'!$B$23-$AL14&lt;=5),AND('King Node Model'!$C$23-$AL14&gt;=0,'King Node Model'!$C$23-$AL14&lt;=5))),AND('King Node Model'!$P$13="Down",OR($AL14=$AR$22,$AL14=$AR$23,$AL14=$AR$24,$AL14='King Node Model'!$AN$20,$AL14='King Node Model'!$AN$21,$AL14='King Node Model'!$AN$22),OR(AND($AL14-'King Node Model'!$B$23&gt;=0,$AL14-'King Node Model'!$B$23&lt;=5),AND($AL14-'King Node Model'!$C$24&gt;=0,$AL14-'King Node Model'!$C$24&lt;=5)))))),AND(AND(ISNUMBER($AL14),OR(AND($AL14&gt;='King Node Model'!$AM$20,$AL14&lt;='King Node Model'!$AN$20,$AS$23=1),$AL14='King Node Model'!$AM$20,$AL14='King Node Model'!$AN$20,$AL14='King Node Model'!$AM$21,$AL14='King Node Model'!$AN$21,$AL14='King Node Model'!$AM$22,$AL14='King Node Model'!$AN$22),NOT(OR($AL14=$AN$5,$AL14=$AN$6,$AL14=$AN$7,$AL14=$AN$8,$AL14=$AN$10,$AL14=$AN$11))),NOT(AND(ISNUMBER('King Node Model'!$F$24),$AL14='King Node Model'!$F$24,IFERROR(INDEX('Level Engine'!$JN$9:$JN$55,MATCH($AL14,'Level Engine'!$AA$9:$AA$55,0)),0)&lt;&gt;1))),AND(AND(ISNUMBER($AL14),OR(AND($AL14&gt;='King Node Model'!$AM$20,$AL14&lt;='King Node Model'!$AN$20,$AS$23=1),$AL14='King Node Model'!$AM$20,$AL14='King Node Model'!$AN$20,$AL14='King Node Model'!$AM$21,$AL14='King Node Model'!$AN$21,$AL14='King Node Model'!$AM$22,$AL14='King Node Model'!$AN$22,$AL14='King Node Model'!$AL$49,$AL14='King Node Model'!$AL$50),OR($AL14=$AN$5,$AL14=$AN$6,$AL14=$AN$7,$AL14=$AN$8,$AL14=$AN$10,$AL14=$AN$11)),NOT(OR(AND('King Node Model'!$P$13="Up",OR($AL14=$AQ$22,$AL14=$AQ$23,$AL14=$AQ$24,$AL14='King Node Model'!$AM$20,$AL14='King Node Model'!$AM$21,$AL14='King Node Model'!$AM$22),OR(AND('King Node Model'!$B$23-$AL14&gt;=0,'King Node Model'!$B$23-$AL14&lt;=5),AND('King Node Model'!$C$23-$AL14&gt;=0,'King Node Model'!$C$23-$AL14&lt;=5))),AND('King Node Model'!$P$13="Down",OR($AL14=$AR$22,$AL14=$AR$23,$AL14=$AR$24,$AL14='King Node Model'!$AN$20,$AL14='King Node Model'!$AN$21,$AL14='King Node Model'!$AN$22),OR(AND($AL14-'King Node Model'!$B$23&gt;=0,$AL14-'King Node Model'!$B$23&lt;=5),AND($AL14-'King Node Model'!$C$24&gt;=0,$AL14-'King Node Model'!$C$24&lt;=5))))))),OR(COUNTIF('Level Engine'!$W$9:$W$14,$AL14)&gt;0,COUNTIF('Level Engine'!$W$18:$W$23,$AL14)&gt;0)),1,0))</f>
        <v>0</v>
      </c>
      <c r="AZ14" s="1">
        <f t="shared" si="1"/>
        <v>0</v>
      </c>
      <c r="BB14" s="1">
        <f>IF(OR(AND($AL14='King Node Model'!$AL$42,$AP$45&lt;&gt;"RASP"),AND($AL14='King Node Model'!$AL$43,$AP$46&lt;&gt;"RASP"),AND($AL14='King Node Model'!$AL$49,$AP$52&lt;&gt;"RASP"),AND($AL14='King Node Model'!$AL$50,$AP$53&lt;&gt;"RASP"),AND($AL14='King Node Model'!$AL$44,$AP$47&lt;&gt;"RASP"),AND($AL14='King Node Model'!$AL$51,$AP$54&lt;&gt;"RASP")),0,IF(AND(AND(ISNUMBER($AL14),OR(AND($AL14&gt;=$AQ$22,$AL14&lt;=$AR$22,$AP$45="RASP"),AND($AL14&gt;=$AQ$23,$AL14&lt;=$AR$23,$AP$46="RASP"),AND($AL14&gt;=$AQ$24,$AL14&lt;=$AR$24,$AP$47="RASP"),AND($AL14&gt;='King Node Model'!$AM$20,$AL14&lt;='King Node Model'!$AN$20,$AP$52="RASP",NOT($L$52=$AW$52)),AND($AL14='King Node Model'!$B$23,$AP$52="RASP",$L$52=$AW$52),AND($AL14&gt;='King Node Model'!$AM$21,$AL14&lt;='King Node Model'!$AN$21,$AP$53="RASP",NOT($L$53=$AW$53)),AND($AL14='King Node Model'!$B$23,$AP$53="RASP",$L$53=$AW$53),AND($AL14&gt;='King Node Model'!$AM$22,$AL14&lt;='King Node Model'!$AN$22,$AP$54="RASP"),AND($AL14&gt;=IFERROR(INDEX('Level Engine'!$AT$9:$AT$55,MATCH('King Node Model'!$AL$42,'Level Engine'!$AA$9:$AA$55,0)),""),$AL14&lt;=IFERROR(INDEX('Level Engine'!$AU$9:$AU$55,MATCH('King Node Model'!$AL$42,'Level Engine'!$AA$9:$AA$55,0)),""),$AP$45="RASP"),AND($AL14&gt;=IFERROR(INDEX('Level Engine'!$AT$9:$AT$55,MATCH('King Node Model'!$AL$43,'Level Engine'!$AA$9:$AA$55,0)),""),$AL14&lt;=IFERROR(INDEX('Level Engine'!$AU$9:$AU$55,MATCH('King Node Model'!$AL$43,'Level Engine'!$AA$9:$AA$55,0)),""),$AP$46="RASP"),AND($AL14&gt;=IFERROR(INDEX('Level Engine'!$AT$9:$AT$55,MATCH('King Node Model'!$AL$44,'Level Engine'!$AA$9:$AA$55,0)),""),$AL14&lt;=IFERROR(INDEX('Level Engine'!$AU$9:$AU$55,MATCH('King Node Model'!$AL$44,'Level Engine'!$AA$9:$AA$55,0)),""),$AP$47="RASP"),AND($AL14&gt;=IFERROR(INDEX('Level Engine'!$AT$9:$AT$55,MATCH('King Node Model'!$AL$49,'Level Engine'!$AA$9:$AA$55,0)),""),$AL14&lt;=IFERROR(INDEX('Level Engine'!$AU$9:$AU$55,MATCH('King Node Model'!$AL$49,'Level Engine'!$AA$9:$AA$55,0)),""),$AP$52="RASP",NOT($L$52=$AW$52)),AND($AL14&gt;=IFERROR(INDEX('Level Engine'!$AT$9:$AT$55,MATCH('King Node Model'!$AL$50,'Level Engine'!$AA$9:$AA$55,0)),""),$AL14&lt;=IFERROR(INDEX('Level Engine'!$AU$9:$AU$55,MATCH('King Node Model'!$AL$50,'Level Engine'!$AA$9:$AA$55,0)),""),$AP$53="RASP",NOT($L$53=$AW$53)),AND($AL14&gt;=IFERROR(INDEX('Level Engine'!$AT$9:$AT$55,MATCH('King Node Model'!$AL$51,'Level Engine'!$AA$9:$AA$55,0)),""),$AL14&lt;=IFERROR(INDEX('Level Engine'!$AU$9:$AU$55,MATCH('King Node Model'!$AL$51,'Level Engine'!$AA$9:$AA$55,0)),""),$AP$54="RASP"))),NOT(AND(ISNUMBER('King Node Model'!$F$24),$AL14='King Node Model'!$F$24,IFERROR(INDEX('Level Engine'!$JN$9:$JN$55,MATCH($AL14,'Level Engine'!$AA$9:$AA$55,0)),0)&lt;&gt;1,$AL14&lt;&gt;'King Node Model'!$AL$42,$AL14&lt;&gt;'King Node Model'!$AL$43,$AL14&lt;&gt;'King Node Model'!$AL$44,$AL14&lt;&gt;'King Node Model'!$AL$49,$AL14&lt;&gt;'King Node Model'!$AL$50,$AL14&lt;&gt;'King Node Model'!$AL$51))),1,0))</f>
        <v>0</v>
      </c>
      <c r="CO14">
        <f>IF(NOT(ISNUMBER($AL14)),"",IF(NOT(ISNUMBER(IFERROR(INDEX('Level Engine'!$FT$9:$FT$55,MATCH($AL14,'Level Engine'!$AA$9:$AA$55,0)),""))),"",IF(IFERROR(INDEX('Level Engine'!$FT$9:$FT$55,MATCH($AL14,'Level Engine'!$AA$9:$AA$55,0)),"")&lt;0,0,2)+IF(ABS(IFERROR(INDEX('Level Engine'!$FT$9:$FT$55,MATCH($AL14,'Level Engine'!$AA$9:$AA$55,0)),""))&gt;='Level Engine'!$FT$2,2,1)))</f>
        <v>4</v>
      </c>
      <c r="DJ14" t="str">
        <f>IF(ISNUMBER($AL14),IF($AL14='Level Engine'!$BG$122," ⫪","")&amp;IF($AL14='Level Engine'!$BG$118," S↑"&amp;IFERROR(INDEX('Level Engine'!$MV$9:$MV$55,MATCH($AL14,'Level Engine'!$AA$9:$AA$55,0)),""),"")&amp;IF($AL14='Level Engine'!$BG$119," S↓"&amp;IFERROR(INDEX('Level Engine'!$MV$9:$MV$55,MATCH($AL14,'Level Engine'!$AA$9:$AA$55,0)),""),"")&amp;IF($AL14='Level Engine'!$BG$120," D↑","")&amp;IF($AL14='Level Engine'!$BG$121," D↓","")&amp;IFERROR(INDEX('Level Engine'!$LG$9:$LG$55,MATCH($AL14,'Level Engine'!$AA$9:$AA$55,0)),"")&amp;IF(IFERROR(INDEX('Level Engine'!$MA$9:$MA$55,MATCH($AL14,'Level Engine'!$AA$9:$AA$55,0)),0)=1," SAND","")&amp;IF(IFERROR(INDEX('Level Engine'!$LM$9:$LM$55,MATCH($AL14,'Level Engine'!$AA$9:$AA$55,0)),0)&gt;0," TP","")&amp;IFERROR(" r"&amp;MATCH($AL14,'Level Engine'!$W$9:$W$14,0),IFERROR(" s"&amp;MATCH($AL14,'Level Engine'!$W$18:$W$23,0),""))&amp;IF($AL14='Level Engine'!$BG$165," ◇","")&amp;IF(N($DZ14)=1,IF($AL14&gt;'Level Engine'!$BG$165," ⚠ DOM↓"," ⚠ DOM↑")&amp;'Level Engine'!$BG$165,""),"")</f>
        <v xml:space="preserve"> r6</v>
      </c>
      <c r="DK14" t="str">
        <f>IF(AND(ISNUMBER($AL14),OR($AL14='King Node Model'!$AL$42,$AL14='King Node Model'!$AL$43,$AL14='King Node Model'!$AL$44)),IFERROR(MATCH($AL14,'Level Engine'!$W$9:$W$14,0),""),"")</f>
        <v/>
      </c>
      <c r="DL14" t="str">
        <f>IF(AND(ISNUMBER($AL14),OR($AL14='King Node Model'!$AL$49,$AL14='King Node Model'!$AL$50,$AL14='King Node Model'!$AL$51)),IFERROR(MATCH($AL14,'Level Engine'!$W$18:$W$23,0),""),"")</f>
        <v/>
      </c>
      <c r="DM14">
        <f>IF(AND(ISNUMBER($AL14),IFERROR(INDEX('Level Engine'!$LC$9:$LC$55,MATCH($AL14,'Level Engine'!$AA$9:$AA$55,0)),0)=1,OR($AL14=$AN$3,IFERROR(INDEX('Level Engine'!$LB$9:$LB$55,MATCH($AL14,'Level Engine'!$AA$9:$AA$55,0)),0)=1)),1,0)</f>
        <v>0</v>
      </c>
      <c r="DZ14">
        <f>IF(ISNUMBER($AL14),IF(IFERROR(INDEX('Level Engine'!$NJ$9:$NJ$55,MATCH($AL14,'Level Engine'!$AA$9:$AA$55,0)),0)=1,1,0),0)</f>
      </c>
    </row>
    <row r="15" spans="1:117" ht="15" customHeight="1" x14ac:dyDescent="0.25">
      <c r="A15" s="7" t="str">
        <f t="shared" si="2"/>
        <v/>
      </c>
      <c r="B15" s="8" t="str">
        <f>TEXT(IF(IF('Level Engine'!$GJ$4=1,$AL15='Level Engine'!$GJ$3,AND($AL15-$AM$2&gt;-2.5,$AL15-$AM$2&lt;=2.5)),$AM$2,$AL15),"0")&amp;IF($AL15=$AN$1," ★","")&amp;IF($AL15=$AN$2," ★","")&amp;IF($AL15=$AN$3," ◆","")&amp;IF(AND(ISNUMBER($AN$4),$AL15=$AN$4)," Ⓕ","")&amp;IF(OR(AND(ISNUMBER('Level Engine'!$BG$87),$AL15='Level Engine'!$BG$87),AND(ISNUMBER('Level Engine'!$BG$105),$AL15='Level Engine'!$BG$105))," ζ","")&amp;IF(AND(ISNUMBER($AN$35),$AL15=$AN$35)," ⓏⒼ","")&amp;IF(OR($AL15='Level Engine'!$CP$4,$AL15='Level Engine'!$CP$5,$AL15='Level Engine'!$CP$6,$AL15='Level Engine'!$CP$7)," ☄","")&amp;IF(OR($AL15=$AN$5,$AL15=$AN$8)," ║1","")&amp;IF(OR($AL15=$AN$6,$AL15=$AN$10)," ║2","")&amp;IF(OR($AL15=$AN$7,$AL15=$AN$11)," ║3","")&amp;IF(OR($AL15=$AN$13,$AL15=$AN$16)," ▣1","")&amp;IF(OR($AL15=$AN$14,$AL15=$AN$17)," ▣2","")&amp;IF(OR($AL15=$AN$15,$AL15=$AN$18)," ▣3","")&amp;IF(AND(NOT(OR(AND(ISNUMBER(SEARCH("chop edge",$E$45)),IFERROR(ABS($AL15-'King Node Model'!$AL$42)&lt;=5,FALSE),NOT(ISNUMBER(SEARCH("UNSAFE",$L$45)))),AND(ISNUMBER(SEARCH("chop edge",$E$46)),IFERROR(ABS($AL15-'King Node Model'!$AL$43)&lt;=5,FALSE),NOT(ISNUMBER(SEARCH("UNSAFE",$L$46)))),AND(ISNUMBER(SEARCH("chop edge",$E$52)),IFERROR(ABS($AL15-'King Node Model'!$AL$49)&lt;=5,FALSE),NOT(ISNUMBER(SEARCH("UNSAFE",$L$52)))),AND(ISNUMBER(SEARCH("chop edge",$E$53)),IFERROR(ABS($AL15-'King Node Model'!$AL$50)&lt;=5,FALSE),NOT(ISNUMBER(SEARCH("UNSAFE",$L$53)))))),OR(AND(IFERROR(INDEX('Level Engine'!$IB$9:$IB$55,MATCH('King Node Model'!$AL$49,'Level Engine'!$AA$9:$AA$55,0)),0)&lt;&gt;1,$AL15=IFERROR(INDEX('Level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Engine'!$AA$9:$AA$55,0)),0)&lt;&gt;1,$AL15=IFERROR(INDEX('Level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edge",$E$45)),IFERROR(ABS($AL15-'King Node Model'!$AL$42)&lt;=5,FALSE),NOT(ISNUMBER(SEARCH("UNSAFE",$L$45)))),AND(ISNUMBER(SEARCH("chop edge",$E$46)),IFERROR(ABS($AL15-'King Node Model'!$AL$43)&lt;=5,FALSE),NOT(ISNUMBER(SEARCH("UNSAFE",$L$46)))),AND(ISNUMBER(SEARCH("chop edge",$E$52)),IFERROR(ABS($AL15-'King Node Model'!$AL$49)&lt;=5,FALSE),NOT(ISNUMBER(SEARCH("UNSAFE",$L$52)))),AND(ISNUMBER(SEARCH("chop edge",$E$53)),IFERROR(ABS($AL15-'King Node Model'!$AL$50)&lt;=5,FALSE),NOT(ISNUMBER(SEARCH("UNSAFE",$L$53)))))),OR(AND(IFERROR(INDEX('Level Engine'!$IB$9:$IB$55,MATCH('King Node Model'!$AL$42,'Level Engine'!$AA$9:$AA$55,0)),0)&lt;&gt;1,$AL15=IFERROR(INDEX('Level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Engine'!$AA$9:$AA$55,0)),0)&lt;&gt;1,$AL15=IFERROR(INDEX('Level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ⒷⓁ"),"")&amp;IF(OR(AND($AL15&gt;='King Node Model'!$AM$17,$AL15&lt;='King Node Model'!$AN$17,$AP$45="RASP"),AND($AL15&gt;='King Node Model'!$AM$18,$AL15&lt;='King Node Model'!$AN$18,$AP$46="RASP"),AND($AL15&gt;='King Node Model'!$AM$19,$AL15&lt;='King Node Model'!$AN$19,$AP$47="RASP"),AND($AL15&gt;='King Node Model'!$AM$20,$AL15&lt;='King Node Model'!$AN$20,$AP$52="RASP"),AND($AL15&gt;='King Node Model'!$AM$21,$AL15&lt;='King Node Model'!$AN$21,$AP$53="RASP"),AND($AL15&gt;='King Node Model'!$AM$22,$AL15&lt;='King Node Model'!$AN$22,$AP$54="RASP")),"","")&amp;IF(IF('Level Engine'!$GJ$4=1,$AL15='Level Engine'!$GJ$3,AND($AL15-$AM$2&gt;-2.5,$AL15-$AM$2&lt;=2.5))," ◄","")&amp;IF(IFERROR(INDEX('Level Engine'!$GV$9:$GV$55,MATCH($AL15,'Level Engine'!$AA$9:$AA$55,0)),0)=1," Ⓥ"&amp;IF(IFERROR(INDEX('Level Engine'!$ET$9:$ET$55,MATCH($AL15,'Level Engine'!$AA$9:$AA$55,0)),0)=1,"+",""),"")&amp;IF(OR(AND($AL15=$AN$38,IFERROR(INDEX('Level Engine'!$AN$9:$AN$55,MATCH($AL15,'Level Engine'!$AA$9:$AA$55,0)),0)&lt;&gt;1),$AL15=$AN$39)," ⊙","")&amp;IF(AND(OR('King Node Model'!$A$8="Neg",N('Level Engine'!$BG$72)=1),ABS(MIN($AM$3:$AM$64))&gt;MAX($AM$3:$AM$64),$AN$2&lt;$AM$2,$AL15&lt;$AM$2,ABS($AL15-$AN$2)&lt;=5,IFERROR(VALUE(MID('King Node Model'!$K$26,FIND(":",'King Node Model'!$K$26)-2,2)),0)&gt;=19,IFERROR(INDEX('Level Engine'!$EJ$9:$EJ$55,MATCH($AL15,'Level Engine'!$AA$9:$AA$55,0)),0)=0,$AN$3&gt;$AM$2)," ⟲rev","")&amp;IF($AL15='King Node Model'!$F$24," ⟂","")&amp;$DJ15&amp;IF(IFERROR(INDEX('Level Engine'!$EN$9:$EN$55,MATCH($AL15,'Level Engine'!$AA$9:$AA$55,0)),0)=1," Ⓟ"&amp;IF(AND(OR('King Node Model'!$A$8="Neg",N('Level Engine'!$BG$72)=1),IFERROR(INDEX('Level Engine'!$AN$9:$AN$55,MATCH($AL15,'Level Engine'!$AA$9:$AA$55,0)),0)&lt;&gt;1)," NO-REV",""),"")&amp;IF(AND(ISNUMBER($AL15),OR(AND(ISNUMBER(SEARCH("chop edge",$E$45)),$AL15='King Node Model'!$AL$42),AND(ISNUMBER(SEARCH("chop edge",$E$46)),$AL15='King Node Model'!$AL$43),AND(ISNUMBER(SEARCH("chop edge",$E$52)),$AL15='King Node Model'!$AL$49),AND(ISNUMBER(SEARCH("chop edge",$E$53)),$AL15='King Node Model'!$AL$50)))," ⒸⒺ","")&amp;IF(AND('Level Engine'!$GJ$4=1,OR($AL15='Level Engine'!$GJ$1,$AL15='Level Engine'!$GJ$2)),"","")&amp;IF(ABS(N(IFERROR(INDEX('Level Engine'!$AE$9:$AE$55,MATCH($AL15,'Level Engine'!$AA$9:$AA$55,0)),0)))&gt;='Level Engine'!$BG$85,IF(N(IFERROR(INDEX('Level Engine'!$AE$9:$AE$55,MATCH($AL15,'Level Engine'!$AA$9:$AA$55,0)),0))&gt;0," Δ+"," Δ−"),"")&amp;IFERROR(IF(AND(ISNUMBER(MATCH($AL15,'Level Engine'!$AA$9:$AA$55,0)),ABS(N(IFERROR(INDEX('Level Engine'!$AE$9:$AE$55,MATCH($AL15,'Level Engine'!$AA$9:$AA$55,0)),0)))&lt;'Level Engine'!$BG$85,ABS(N(IFERROR(INDEX('Level Engine'!$AE$9:$AE$55,MATCH($AL15,'Level Engine'!$AA$9:$AA$55,0)),0)))&lt;=ABS(N(IFERROR(INDEX('Level Engine'!$AE$9:$AE$55,MATCH($AL15+5,'Level Engine'!$AA$9:$AA$55,0)),0))),ABS(N(IFERROR(INDEX('Level Engine'!$AE$9:$AE$55,MATCH($AL15,'Level Engine'!$AA$9:$AA$55,0)),0)))&lt;=ABS(N(IFERROR(INDEX('Level Engine'!$AE$9:$AE$55,MATCH($AL15-5,'Level Engine'!$AA$9:$AA$55,0)),0))),OR(AND(ABS(N(IFERROR(INDEX('Level Engine'!$AE$9:$AE$55,MATCH($AL15+5,'Level Engine'!$AA$9:$AA$55,0)),0)))&gt;='Level Engine'!$BG$85,ABS(N(IFERROR(INDEX('Level Engine'!$AE$9:$AE$55,MATCH($AL15,'Level Engine'!$AA$9:$AA$55,0)),0)))&lt;='Level Engine'!$BG$88*ABS(N(IFERROR(INDEX('Level Engine'!$AE$9:$AE$55,MATCH($AL15+5,'Level Engine'!$AA$9:$AA$55,0)),0)))),AND(ABS(N(IFERROR(INDEX('Level Engine'!$AE$9:$AE$55,MATCH($AL15-5,'Level Engine'!$AA$9:$AA$55,0)),0)))&gt;='Level Engine'!$BG$85,ABS(N(IFERROR(INDEX('Level Engine'!$AE$9:$AE$55,MATCH($AL15,'Level Engine'!$AA$9:$AA$55,0)),0)))&lt;='Level Engine'!$BG$88*ABS(N(IFERROR(INDEX('Level Engine'!$AE$9:$AE$55,MATCH($AL15-5,'Level Engine'!$AA$9:$AA$55,0)),0)))))),IF(AND('King Node Model'!$A$8="Pos",N('Level Engine'!$BG$72)&lt;&gt;1),""," ∅"),""),"")&amp;IF(IFERROR(INDEX('Level Engine'!$JD$9:$JD$55,MATCH($AL15,'Level Engine'!$AA$9:$AA$55,0)),"")="P"," P-OI",IF(IFERROR(INDEX('Level Engine'!$JD$9:$JD$55,MATCH($AL15,'Level Engine'!$AA$9:$AA$55,0)),"")="C"," C-OI",""))</f>
        <v>7825 ★ ▣3</v>
      </c>
      <c r="C15" s="9" t="str">
        <f t="shared" si="0"/>
        <v>████</v>
      </c>
      <c r="D15" t="str">
        <f>IF(NOT(ISNUMBER($AL15)),"",IF(IFERROR(INDEX('Level Engine'!$FS$9:$FS$55,MATCH($AL15,'Level Engine'!$AA$9:$AA$55,0)),0)=1,"⊙",""))</f>
        <v/>
      </c>
      <c r="E15" s="22" t="s">
        <v>9</v>
      </c>
      <c r="F15" s="569" t="str">
        <f>'King Node Model'!C15</f>
        <v>Trend Day - Pos Speed grind.</v>
      </c>
      <c r="G15" s="569"/>
      <c r="H15" s="569"/>
      <c r="I15" s="569"/>
      <c r="J15" s="569"/>
      <c r="K15" s="569"/>
      <c r="L15" s="569"/>
      <c r="M15" s="569"/>
      <c r="N15" s="569"/>
      <c r="Q15" s="445" t="s">
        <v>23</v>
      </c>
      <c r="R15" s="445"/>
      <c r="S15" s="445"/>
      <c r="T15" s="488"/>
      <c r="U15" s="488"/>
      <c r="AL15" s="1">
        <f>'King Node Model'!A41</f>
        <v>7825</v>
      </c>
      <c r="AM15" s="10">
        <f>'King Node Model'!C41</f>
        <v>538591</v>
      </c>
      <c r="AN15" s="1">
        <f>IFERROR(INDEX('King Node Model'!$A$29:$A$75,MATCH(LARGE('King Node Model'!$AU$29:$AU$75,3),'King Node Model'!$AU$29:$AU$75,0)),"-")</f>
        <v>7825</v>
      </c>
      <c r="AO15" s="10">
        <f>'King Node Model'!B41</f>
        <v>680164</v>
      </c>
      <c r="AY15" s="1">
        <f>IF(AND($B$2="Hide unsafe",$BB15=1),0,IF(AND(OR(AND(AND(ISNUMBER($AL15),OR(AND($AL15&gt;=$AQ$22,$AL15&lt;=$AR$22,$AS$22=1),$AL15=$AQ$22,$AL15=$AR$22,$AL15=$AQ$23,$AL15=$AR$23,$AL15=$AQ$24,$AL15=$AR$24),NOT(OR($AL15=$AN$5,$AL15=$AN$6,$AL15=$AN$7,$AL15=$AN$8,$AL15=$AN$10,$AL15=$AN$11))),NOT(OR(AND('King Node Model'!$P$13="Up",OR($AL15=$AQ$22,$AL15=$AQ$23,$AL15=$AQ$24,$AL15='King Node Model'!$AM$20,$AL15='King Node Model'!$AM$21,$AL15='King Node Model'!$AM$22),OR(AND('King Node Model'!$B$23-$AL15&gt;=0,'King Node Model'!$B$23-$AL15&lt;=5),AND('King Node Model'!$C$23-$AL15&gt;=0,'King Node Model'!$C$23-$AL15&lt;=5))),AND('King Node Model'!$P$13="Down",OR($AL15=$AR$22,$AL15=$AR$23,$AL15=$AR$24,$AL15='King Node Model'!$AN$20,$AL15='King Node Model'!$AN$21,$AL15='King Node Model'!$AN$22),OR(AND($AL15-'King Node Model'!$B$23&gt;=0,$AL15-'King Node Model'!$B$23&lt;=5),AND($AL15-'King Node Model'!$C$24&gt;=0,$AL15-'King Node Model'!$C$24&lt;=5)))))),AND(AND(ISNUMBER($AL15),OR(AND($AL15&gt;=$AQ$22,$AL15&lt;=$AR$22,$AS$22=1),$AL15=$AQ$22,$AL15=$AR$22,$AL15=$AQ$23,$AL15=$AR$23,$AL15=$AQ$24,$AL15=$AR$24,$AL15='King Node Model'!$AL$42,$AL15='King Node Model'!$AL$43),OR($AL15=$AN$5,$AL15=$AN$6,$AL15=$AN$7,$AL15=$AN$8,$AL15=$AN$10,$AL15=$AN$11)),NOT(OR(AND('King Node Model'!$P$13="Up",OR($AL15=$AQ$22,$AL15=$AQ$23,$AL15=$AQ$24,$AL15='King Node Model'!$AM$20,$AL15='King Node Model'!$AM$21,$AL15='King Node Model'!$AM$22),OR(AND('King Node Model'!$B$23-$AL15&gt;=0,'King Node Model'!$B$23-$AL15&lt;=5),AND('King Node Model'!$C$23-$AL15&gt;=0,'King Node Model'!$C$23-$AL15&lt;=5))),AND('King Node Model'!$P$13="Down",OR($AL15=$AR$22,$AL15=$AR$23,$AL15=$AR$24,$AL15='King Node Model'!$AN$20,$AL15='King Node Model'!$AN$21,$AL15='King Node Model'!$AN$22),OR(AND($AL15-'King Node Model'!$B$23&gt;=0,$AL15-'King Node Model'!$B$23&lt;=5),AND($AL15-'King Node Model'!$C$24&gt;=0,$AL15-'King Node Model'!$C$24&lt;=5)))))),AND(AND(ISNUMBER($AL15),OR(AND($AL15&gt;='King Node Model'!$AM$20,$AL15&lt;='King Node Model'!$AN$20,$AS$23=1),$AL15='King Node Model'!$AM$20,$AL15='King Node Model'!$AN$20,$AL15='King Node Model'!$AM$21,$AL15='King Node Model'!$AN$21,$AL15='King Node Model'!$AM$22,$AL15='King Node Model'!$AN$22),NOT(OR($AL15=$AN$5,$AL15=$AN$6,$AL15=$AN$7,$AL15=$AN$8,$AL15=$AN$10,$AL15=$AN$11))),NOT(AND(ISNUMBER('King Node Model'!$F$24),$AL15='King Node Model'!$F$24,IFERROR(INDEX('Level Engine'!$JN$9:$JN$55,MATCH($AL15,'Level Engine'!$AA$9:$AA$55,0)),0)&lt;&gt;1))),AND(AND(ISNUMBER($AL15),OR(AND($AL15&gt;='King Node Model'!$AM$20,$AL15&lt;='King Node Model'!$AN$20,$AS$23=1),$AL15='King Node Model'!$AM$20,$AL15='King Node Model'!$AN$20,$AL15='King Node Model'!$AM$21,$AL15='King Node Model'!$AN$21,$AL15='King Node Model'!$AM$22,$AL15='King Node Model'!$AN$22,$AL15='King Node Model'!$AL$49,$AL15='King Node Model'!$AL$50),OR($AL15=$AN$5,$AL15=$AN$6,$AL15=$AN$7,$AL15=$AN$8,$AL15=$AN$10,$AL15=$AN$11)),NOT(OR(AND('King Node Model'!$P$13="Up",OR($AL15=$AQ$22,$AL15=$AQ$23,$AL15=$AQ$24,$AL15='King Node Model'!$AM$20,$AL15='King Node Model'!$AM$21,$AL15='King Node Model'!$AM$22),OR(AND('King Node Model'!$B$23-$AL15&gt;=0,'King Node Model'!$B$23-$AL15&lt;=5),AND('King Node Model'!$C$23-$AL15&gt;=0,'King Node Model'!$C$23-$AL15&lt;=5))),AND('King Node Model'!$P$13="Down",OR($AL15=$AR$22,$AL15=$AR$23,$AL15=$AR$24,$AL15='King Node Model'!$AN$20,$AL15='King Node Model'!$AN$21,$AL15='King Node Model'!$AN$22),OR(AND($AL15-'King Node Model'!$B$23&gt;=0,$AL15-'King Node Model'!$B$23&lt;=5),AND($AL15-'King Node Model'!$C$24&gt;=0,$AL15-'King Node Model'!$C$24&lt;=5))))))),OR(COUNTIF('Level Engine'!$W$9:$W$14,$AL15)&gt;0,COUNTIF('Level Engine'!$W$18:$W$23,$AL15)&gt;0)),1,0))</f>
        <v>0</v>
      </c>
      <c r="AZ15" s="1">
        <f t="shared" si="1"/>
        <v>0</v>
      </c>
      <c r="BB15" s="1">
        <f>IF(OR(AND($AL15='King Node Model'!$AL$42,$AP$45&lt;&gt;"RASP"),AND($AL15='King Node Model'!$AL$43,$AP$46&lt;&gt;"RASP"),AND($AL15='King Node Model'!$AL$49,$AP$52&lt;&gt;"RASP"),AND($AL15='King Node Model'!$AL$50,$AP$53&lt;&gt;"RASP"),AND($AL15='King Node Model'!$AL$44,$AP$47&lt;&gt;"RASP"),AND($AL15='King Node Model'!$AL$51,$AP$54&lt;&gt;"RASP")),0,IF(AND(AND(ISNUMBER($AL15),OR(AND($AL15&gt;=$AQ$22,$AL15&lt;=$AR$22,$AP$45="RASP"),AND($AL15&gt;=$AQ$23,$AL15&lt;=$AR$23,$AP$46="RASP"),AND($AL15&gt;=$AQ$24,$AL15&lt;=$AR$24,$AP$47="RASP"),AND($AL15&gt;='King Node Model'!$AM$20,$AL15&lt;='King Node Model'!$AN$20,$AP$52="RASP",NOT($L$52=$AW$52)),AND($AL15='King Node Model'!$B$23,$AP$52="RASP",$L$52=$AW$52),AND($AL15&gt;='King Node Model'!$AM$21,$AL15&lt;='King Node Model'!$AN$21,$AP$53="RASP",NOT($L$53=$AW$53)),AND($AL15='King Node Model'!$B$23,$AP$53="RASP",$L$53=$AW$53),AND($AL15&gt;='King Node Model'!$AM$22,$AL15&lt;='King Node Model'!$AN$22,$AP$54="RASP"),AND($AL15&gt;=IFERROR(INDEX('Level Engine'!$AT$9:$AT$55,MATCH('King Node Model'!$AL$42,'Level Engine'!$AA$9:$AA$55,0)),""),$AL15&lt;=IFERROR(INDEX('Level Engine'!$AU$9:$AU$55,MATCH('King Node Model'!$AL$42,'Level Engine'!$AA$9:$AA$55,0)),""),$AP$45="RASP"),AND($AL15&gt;=IFERROR(INDEX('Level Engine'!$AT$9:$AT$55,MATCH('King Node Model'!$AL$43,'Level Engine'!$AA$9:$AA$55,0)),""),$AL15&lt;=IFERROR(INDEX('Level Engine'!$AU$9:$AU$55,MATCH('King Node Model'!$AL$43,'Level Engine'!$AA$9:$AA$55,0)),""),$AP$46="RASP"),AND($AL15&gt;=IFERROR(INDEX('Level Engine'!$AT$9:$AT$55,MATCH('King Node Model'!$AL$44,'Level Engine'!$AA$9:$AA$55,0)),""),$AL15&lt;=IFERROR(INDEX('Level Engine'!$AU$9:$AU$55,MATCH('King Node Model'!$AL$44,'Level Engine'!$AA$9:$AA$55,0)),""),$AP$47="RASP"),AND($AL15&gt;=IFERROR(INDEX('Level Engine'!$AT$9:$AT$55,MATCH('King Node Model'!$AL$49,'Level Engine'!$AA$9:$AA$55,0)),""),$AL15&lt;=IFERROR(INDEX('Level Engine'!$AU$9:$AU$55,MATCH('King Node Model'!$AL$49,'Level Engine'!$AA$9:$AA$55,0)),""),$AP$52="RASP",NOT($L$52=$AW$52)),AND($AL15&gt;=IFERROR(INDEX('Level Engine'!$AT$9:$AT$55,MATCH('King Node Model'!$AL$50,'Level Engine'!$AA$9:$AA$55,0)),""),$AL15&lt;=IFERROR(INDEX('Level Engine'!$AU$9:$AU$55,MATCH('King Node Model'!$AL$50,'Level Engine'!$AA$9:$AA$55,0)),""),$AP$53="RASP",NOT($L$53=$AW$53)),AND($AL15&gt;=IFERROR(INDEX('Level Engine'!$AT$9:$AT$55,MATCH('King Node Model'!$AL$51,'Level Engine'!$AA$9:$AA$55,0)),""),$AL15&lt;=IFERROR(INDEX('Level Engine'!$AU$9:$AU$55,MATCH('King Node Model'!$AL$51,'Level Engine'!$AA$9:$AA$55,0)),""),$AP$54="RASP"))),NOT(AND(ISNUMBER('King Node Model'!$F$24),$AL15='King Node Model'!$F$24,IFERROR(INDEX('Level Engine'!$JN$9:$JN$55,MATCH($AL15,'Level Engine'!$AA$9:$AA$55,0)),0)&lt;&gt;1,$AL15&lt;&gt;'King Node Model'!$AL$42,$AL15&lt;&gt;'King Node Model'!$AL$43,$AL15&lt;&gt;'King Node Model'!$AL$44,$AL15&lt;&gt;'King Node Model'!$AL$49,$AL15&lt;&gt;'King Node Model'!$AL$50,$AL15&lt;&gt;'King Node Model'!$AL$51))),1,0))</f>
        <v>0</v>
      </c>
      <c r="CO15">
        <f>IF(NOT(ISNUMBER($AL15)),"",IF(NOT(ISNUMBER(IFERROR(INDEX('Level Engine'!$FT$9:$FT$55,MATCH($AL15,'Level Engine'!$AA$9:$AA$55,0)),""))),"",IF(IFERROR(INDEX('Level Engine'!$FT$9:$FT$55,MATCH($AL15,'Level Engine'!$AA$9:$AA$55,0)),"")&lt;0,0,2)+IF(ABS(IFERROR(INDEX('Level Engine'!$FT$9:$FT$55,MATCH($AL15,'Level Engine'!$AA$9:$AA$55,0)),""))&gt;='Level Engine'!$FT$2,2,1)))</f>
        <v>4</v>
      </c>
      <c r="DJ15" t="str">
        <f>IF(ISNUMBER($AL15),IF($AL15='Level Engine'!$BG$122," ⫪","")&amp;IF($AL15='Level Engine'!$BG$118," S↑"&amp;IFERROR(INDEX('Level Engine'!$MV$9:$MV$55,MATCH($AL15,'Level Engine'!$AA$9:$AA$55,0)),""),"")&amp;IF($AL15='Level Engine'!$BG$119," S↓"&amp;IFERROR(INDEX('Level Engine'!$MV$9:$MV$55,MATCH($AL15,'Level Engine'!$AA$9:$AA$55,0)),""),"")&amp;IF($AL15='Level Engine'!$BG$120," D↑","")&amp;IF($AL15='Level Engine'!$BG$121," D↓","")&amp;IFERROR(INDEX('Level Engine'!$LG$9:$LG$55,MATCH($AL15,'Level Engine'!$AA$9:$AA$55,0)),"")&amp;IF(IFERROR(INDEX('Level Engine'!$MA$9:$MA$55,MATCH($AL15,'Level Engine'!$AA$9:$AA$55,0)),0)=1," SAND","")&amp;IF(IFERROR(INDEX('Level Engine'!$LM$9:$LM$55,MATCH($AL15,'Level Engine'!$AA$9:$AA$55,0)),0)&gt;0," TP","")&amp;IFERROR(" r"&amp;MATCH($AL15,'Level Engine'!$W$9:$W$14,0),IFERROR(" s"&amp;MATCH($AL15,'Level Engine'!$W$18:$W$23,0),""))&amp;IF($AL15='Level Engine'!$BG$165," ◇","")&amp;IF(N($DZ15)=1,IF($AL15&gt;'Level Engine'!$BG$165," ⚠ DOM↓"," ⚠ DOM↑")&amp;'Level Engine'!$BG$165,""),"")</f>
        <v/>
      </c>
      <c r="DK15" t="str">
        <f>IF(AND(ISNUMBER($AL15),OR($AL15='King Node Model'!$AL$42,$AL15='King Node Model'!$AL$43,$AL15='King Node Model'!$AL$44)),IFERROR(MATCH($AL15,'Level Engine'!$W$9:$W$14,0),""),"")</f>
        <v/>
      </c>
      <c r="DL15" t="str">
        <f>IF(AND(ISNUMBER($AL15),OR($AL15='King Node Model'!$AL$49,$AL15='King Node Model'!$AL$50,$AL15='King Node Model'!$AL$51)),IFERROR(MATCH($AL15,'Level Engine'!$W$18:$W$23,0),""),"")</f>
        <v/>
      </c>
      <c r="DM15">
        <f>IF(AND(ISNUMBER($AL15),IFERROR(INDEX('Level Engine'!$LC$9:$LC$55,MATCH($AL15,'Level Engine'!$AA$9:$AA$55,0)),0)=1,OR($AL15=$AN$3,IFERROR(INDEX('Level Engine'!$LB$9:$LB$55,MATCH($AL15,'Level Engine'!$AA$9:$AA$55,0)),0)=1)),1,0)</f>
        <v>0</v>
      </c>
      <c r="DZ15">
        <f>IF(ISNUMBER($AL15),IF(IFERROR(INDEX('Level Engine'!$NJ$9:$NJ$55,MATCH($AL15,'Level Engine'!$AA$9:$AA$55,0)),0)=1,1,0),0)</f>
      </c>
    </row>
    <row r="16" spans="1:117" ht="24.75" customHeight="1" x14ac:dyDescent="0.25">
      <c r="A16" s="7" t="str">
        <f t="shared" si="2"/>
        <v/>
      </c>
      <c r="B16" s="8" t="str">
        <f>TEXT(IF(IF('Level Engine'!$GJ$4=1,$AL16='Level Engine'!$GJ$3,AND($AL16-$AM$2&gt;-2.5,$AL16-$AM$2&lt;=2.5)),$AM$2,$AL16),"0")&amp;IF($AL16=$AN$1," ★","")&amp;IF($AL16=$AN$2," ★","")&amp;IF($AL16=$AN$3," ◆","")&amp;IF(AND(ISNUMBER($AN$4),$AL16=$AN$4)," Ⓕ","")&amp;IF(OR(AND(ISNUMBER('Level Engine'!$BG$87),$AL16='Level Engine'!$BG$87),AND(ISNUMBER('Level Engine'!$BG$105),$AL16='Level Engine'!$BG$105))," ζ","")&amp;IF(AND(ISNUMBER($AN$35),$AL16=$AN$35)," ⓏⒼ","")&amp;IF(OR($AL16='Level Engine'!$CP$4,$AL16='Level Engine'!$CP$5,$AL16='Level Engine'!$CP$6,$AL16='Level Engine'!$CP$7)," ☄","")&amp;IF(OR($AL16=$AN$5,$AL16=$AN$8)," ║1","")&amp;IF(OR($AL16=$AN$6,$AL16=$AN$10)," ║2","")&amp;IF(OR($AL16=$AN$7,$AL16=$AN$11)," ║3","")&amp;IF(OR($AL16=$AN$13,$AL16=$AN$16)," ▣1","")&amp;IF(OR($AL16=$AN$14,$AL16=$AN$17)," ▣2","")&amp;IF(OR($AL16=$AN$15,$AL16=$AN$18)," ▣3","")&amp;IF(AND(NOT(OR(AND(ISNUMBER(SEARCH("chop edge",$E$45)),IFERROR(ABS($AL16-'King Node Model'!$AL$42)&lt;=5,FALSE),NOT(ISNUMBER(SEARCH("UNSAFE",$L$45)))),AND(ISNUMBER(SEARCH("chop edge",$E$46)),IFERROR(ABS($AL16-'King Node Model'!$AL$43)&lt;=5,FALSE),NOT(ISNUMBER(SEARCH("UNSAFE",$L$46)))),AND(ISNUMBER(SEARCH("chop edge",$E$52)),IFERROR(ABS($AL16-'King Node Model'!$AL$49)&lt;=5,FALSE),NOT(ISNUMBER(SEARCH("UNSAFE",$L$52)))),AND(ISNUMBER(SEARCH("chop edge",$E$53)),IFERROR(ABS($AL16-'King Node Model'!$AL$50)&lt;=5,FALSE),NOT(ISNUMBER(SEARCH("UNSAFE",$L$53)))))),OR(AND(IFERROR(INDEX('Level Engine'!$IB$9:$IB$55,MATCH('King Node Model'!$AL$49,'Level Engine'!$AA$9:$AA$55,0)),0)&lt;&gt;1,$AL16=IFERROR(INDEX('Level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Engine'!$AA$9:$AA$55,0)),0)&lt;&gt;1,$AL16=IFERROR(INDEX('Level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edge",$E$45)),IFERROR(ABS($AL16-'King Node Model'!$AL$42)&lt;=5,FALSE),NOT(ISNUMBER(SEARCH("UNSAFE",$L$45)))),AND(ISNUMBER(SEARCH("chop edge",$E$46)),IFERROR(ABS($AL16-'King Node Model'!$AL$43)&lt;=5,FALSE),NOT(ISNUMBER(SEARCH("UNSAFE",$L$46)))),AND(ISNUMBER(SEARCH("chop edge",$E$52)),IFERROR(ABS($AL16-'King Node Model'!$AL$49)&lt;=5,FALSE),NOT(ISNUMBER(SEARCH("UNSAFE",$L$52)))),AND(ISNUMBER(SEARCH("chop edge",$E$53)),IFERROR(ABS($AL16-'King Node Model'!$AL$50)&lt;=5,FALSE),NOT(ISNUMBER(SEARCH("UNSAFE",$L$53)))))),OR(AND(IFERROR(INDEX('Level Engine'!$IB$9:$IB$55,MATCH('King Node Model'!$AL$42,'Level Engine'!$AA$9:$AA$55,0)),0)&lt;&gt;1,$AL16=IFERROR(INDEX('Level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Engine'!$AA$9:$AA$55,0)),0)&lt;&gt;1,$AL16=IFERROR(INDEX('Level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ⒷⓁ"),"")&amp;IF(OR(AND($AL16&gt;='King Node Model'!$AM$17,$AL16&lt;='King Node Model'!$AN$17,$AP$45="RASP"),AND($AL16&gt;='King Node Model'!$AM$18,$AL16&lt;='King Node Model'!$AN$18,$AP$46="RASP"),AND($AL16&gt;='King Node Model'!$AM$19,$AL16&lt;='King Node Model'!$AN$19,$AP$47="RASP"),AND($AL16&gt;='King Node Model'!$AM$20,$AL16&lt;='King Node Model'!$AN$20,$AP$52="RASP"),AND($AL16&gt;='King Node Model'!$AM$21,$AL16&lt;='King Node Model'!$AN$21,$AP$53="RASP"),AND($AL16&gt;='King Node Model'!$AM$22,$AL16&lt;='King Node Model'!$AN$22,$AP$54="RASP")),"","")&amp;IF(IF('Level Engine'!$GJ$4=1,$AL16='Level Engine'!$GJ$3,AND($AL16-$AM$2&gt;-2.5,$AL16-$AM$2&lt;=2.5))," ◄","")&amp;IF(IFERROR(INDEX('Level Engine'!$GV$9:$GV$55,MATCH($AL16,'Level Engine'!$AA$9:$AA$55,0)),0)=1," Ⓥ"&amp;IF(IFERROR(INDEX('Level Engine'!$ET$9:$ET$55,MATCH($AL16,'Level Engine'!$AA$9:$AA$55,0)),0)=1,"+",""),"")&amp;IF(OR(AND($AL16=$AN$38,IFERROR(INDEX('Level Engine'!$AN$9:$AN$55,MATCH($AL16,'Level Engine'!$AA$9:$AA$55,0)),0)&lt;&gt;1),$AL16=$AN$39)," ⊙","")&amp;IF(AND(OR('King Node Model'!$A$8="Neg",N('Level Engine'!$BG$72)=1),ABS(MIN($AM$3:$AM$64))&gt;MAX($AM$3:$AM$64),$AN$2&lt;$AM$2,$AL16&lt;$AM$2,ABS($AL16-$AN$2)&lt;=5,IFERROR(VALUE(MID('King Node Model'!$K$26,FIND(":",'King Node Model'!$K$26)-2,2)),0)&gt;=19,IFERROR(INDEX('Level Engine'!$EJ$9:$EJ$55,MATCH($AL16,'Level Engine'!$AA$9:$AA$55,0)),0)=0,$AN$3&gt;$AM$2)," ⟲rev","")&amp;IF($AL16='King Node Model'!$F$24," ⟂","")&amp;$DJ16&amp;IF(IFERROR(INDEX('Level Engine'!$EN$9:$EN$55,MATCH($AL16,'Level Engine'!$AA$9:$AA$55,0)),0)=1," Ⓟ"&amp;IF(AND(OR('King Node Model'!$A$8="Neg",N('Level Engine'!$BG$72)=1),IFERROR(INDEX('Level Engine'!$AN$9:$AN$55,MATCH($AL16,'Level Engine'!$AA$9:$AA$55,0)),0)&lt;&gt;1)," NO-REV",""),"")&amp;IF(AND(ISNUMBER($AL16),OR(AND(ISNUMBER(SEARCH("chop edge",$E$45)),$AL16='King Node Model'!$AL$42),AND(ISNUMBER(SEARCH("chop edge",$E$46)),$AL16='King Node Model'!$AL$43),AND(ISNUMBER(SEARCH("chop edge",$E$52)),$AL16='King Node Model'!$AL$49),AND(ISNUMBER(SEARCH("chop edge",$E$53)),$AL16='King Node Model'!$AL$50)))," ⒸⒺ","")&amp;IF(AND('Level Engine'!$GJ$4=1,OR($AL16='Level Engine'!$GJ$1,$AL16='Level Engine'!$GJ$2)),"","")&amp;IF(ABS(N(IFERROR(INDEX('Level Engine'!$AE$9:$AE$55,MATCH($AL16,'Level Engine'!$AA$9:$AA$55,0)),0)))&gt;='Level Engine'!$BG$85,IF(N(IFERROR(INDEX('Level Engine'!$AE$9:$AE$55,MATCH($AL16,'Level Engine'!$AA$9:$AA$55,0)),0))&gt;0," Δ+"," Δ−"),"")&amp;IFERROR(IF(AND(ISNUMBER(MATCH($AL16,'Level Engine'!$AA$9:$AA$55,0)),ABS(N(IFERROR(INDEX('Level Engine'!$AE$9:$AE$55,MATCH($AL16,'Level Engine'!$AA$9:$AA$55,0)),0)))&lt;'Level Engine'!$BG$85,ABS(N(IFERROR(INDEX('Level Engine'!$AE$9:$AE$55,MATCH($AL16,'Level Engine'!$AA$9:$AA$55,0)),0)))&lt;=ABS(N(IFERROR(INDEX('Level Engine'!$AE$9:$AE$55,MATCH($AL16+5,'Level Engine'!$AA$9:$AA$55,0)),0))),ABS(N(IFERROR(INDEX('Level Engine'!$AE$9:$AE$55,MATCH($AL16,'Level Engine'!$AA$9:$AA$55,0)),0)))&lt;=ABS(N(IFERROR(INDEX('Level Engine'!$AE$9:$AE$55,MATCH($AL16-5,'Level Engine'!$AA$9:$AA$55,0)),0))),OR(AND(ABS(N(IFERROR(INDEX('Level Engine'!$AE$9:$AE$55,MATCH($AL16+5,'Level Engine'!$AA$9:$AA$55,0)),0)))&gt;='Level Engine'!$BG$85,ABS(N(IFERROR(INDEX('Level Engine'!$AE$9:$AE$55,MATCH($AL16,'Level Engine'!$AA$9:$AA$55,0)),0)))&lt;='Level Engine'!$BG$88*ABS(N(IFERROR(INDEX('Level Engine'!$AE$9:$AE$55,MATCH($AL16+5,'Level Engine'!$AA$9:$AA$55,0)),0)))),AND(ABS(N(IFERROR(INDEX('Level Engine'!$AE$9:$AE$55,MATCH($AL16-5,'Level Engine'!$AA$9:$AA$55,0)),0)))&gt;='Level Engine'!$BG$85,ABS(N(IFERROR(INDEX('Level Engine'!$AE$9:$AE$55,MATCH($AL16,'Level Engine'!$AA$9:$AA$55,0)),0)))&lt;='Level Engine'!$BG$88*ABS(N(IFERROR(INDEX('Level Engine'!$AE$9:$AE$55,MATCH($AL16-5,'Level Engine'!$AA$9:$AA$55,0)),0)))))),IF(AND('King Node Model'!$A$8="Pos",N('Level Engine'!$BG$72)&lt;&gt;1),""," ∅"),""),"")&amp;IF(IFERROR(INDEX('Level Engine'!$JD$9:$JD$55,MATCH($AL16,'Level Engine'!$AA$9:$AA$55,0)),"")="P"," P-OI",IF(IFERROR(INDEX('Level Engine'!$JD$9:$JD$55,MATCH($AL16,'Level Engine'!$AA$9:$AA$55,0)),"")="C"," C-OI",""))</f>
        <v>7820 r4</v>
      </c>
      <c r="C16" s="9" t="str">
        <f t="shared" si="0"/>
        <v>███</v>
      </c>
      <c r="D16" t="str">
        <f>IF(NOT(ISNUMBER($AL16)),"",IF(IFERROR(INDEX('Level Engine'!$FS$9:$FS$55,MATCH($AL16,'Level Engine'!$AA$9:$AA$55,0)),0)=1,"⊙",""))</f>
        <v/>
      </c>
      <c r="E16" s="22" t="s">
        <v>10</v>
      </c>
      <c r="F16" s="570" t="str">
        <f>'King Node Model'!C16</f>
        <v>Trend Day , Pull backs are enteries</v>
      </c>
      <c r="G16" s="570"/>
      <c r="H16" s="570"/>
      <c r="I16" s="570"/>
      <c r="J16" s="570"/>
      <c r="K16" s="570"/>
      <c r="L16" s="570"/>
      <c r="M16" s="570"/>
      <c r="N16" s="570"/>
      <c r="Q16" s="444" t="s">
        <v>24</v>
      </c>
      <c r="R16" s="446">
        <f>IF(ISNUMBER('Technical Analysis'!$J$5),'Technical Analysis'!$J$5,"")</f>
        <v>7827</v>
      </c>
      <c r="S16" s="446"/>
      <c r="T16" s="482"/>
      <c r="U16" s="482"/>
      <c r="AL16" s="1">
        <f>'King Node Model'!A42</f>
        <v>7820</v>
      </c>
      <c r="AM16" s="10">
        <f>'King Node Model'!C42</f>
        <v>188525</v>
      </c>
      <c r="AN16" s="1">
        <f>IFERROR(INDEX('King Node Model'!$A$29:$A$75,MATCH(LARGE('King Node Model'!$AV$29:$AV$75,1),'King Node Model'!$AV$29:$AV$75,0)),"-")</f>
        <v>7720</v>
      </c>
      <c r="AO16" s="10">
        <f>'King Node Model'!B42</f>
        <v>494366</v>
      </c>
      <c r="AY16" s="1">
        <f>IF(AND($B$2="Hide unsafe",$BB16=1),0,IF(AND(OR(AND(AND(ISNUMBER($AL16),OR(AND($AL16&gt;=$AQ$22,$AL16&lt;=$AR$22,$AS$22=1),$AL16=$AQ$22,$AL16=$AR$22,$AL16=$AQ$23,$AL16=$AR$23,$AL16=$AQ$24,$AL16=$AR$24),NOT(OR($AL16=$AN$5,$AL16=$AN$6,$AL16=$AN$7,$AL16=$AN$8,$AL16=$AN$10,$AL16=$AN$11))),NOT(OR(AND('King Node Model'!$P$13="Up",OR($AL16=$AQ$22,$AL16=$AQ$23,$AL16=$AQ$24,$AL16='King Node Model'!$AM$20,$AL16='King Node Model'!$AM$21,$AL16='King Node Model'!$AM$22),OR(AND('King Node Model'!$B$23-$AL16&gt;=0,'King Node Model'!$B$23-$AL16&lt;=5),AND('King Node Model'!$C$23-$AL16&gt;=0,'King Node Model'!$C$23-$AL16&lt;=5))),AND('King Node Model'!$P$13="Down",OR($AL16=$AR$22,$AL16=$AR$23,$AL16=$AR$24,$AL16='King Node Model'!$AN$20,$AL16='King Node Model'!$AN$21,$AL16='King Node Model'!$AN$22),OR(AND($AL16-'King Node Model'!$B$23&gt;=0,$AL16-'King Node Model'!$B$23&lt;=5),AND($AL16-'King Node Model'!$C$24&gt;=0,$AL16-'King Node Model'!$C$24&lt;=5)))))),AND(AND(ISNUMBER($AL16),OR(AND($AL16&gt;=$AQ$22,$AL16&lt;=$AR$22,$AS$22=1),$AL16=$AQ$22,$AL16=$AR$22,$AL16=$AQ$23,$AL16=$AR$23,$AL16=$AQ$24,$AL16=$AR$24,$AL16='King Node Model'!$AL$42,$AL16='King Node Model'!$AL$43),OR($AL16=$AN$5,$AL16=$AN$6,$AL16=$AN$7,$AL16=$AN$8,$AL16=$AN$10,$AL16=$AN$11)),NOT(OR(AND('King Node Model'!$P$13="Up",OR($AL16=$AQ$22,$AL16=$AQ$23,$AL16=$AQ$24,$AL16='King Node Model'!$AM$20,$AL16='King Node Model'!$AM$21,$AL16='King Node Model'!$AM$22),OR(AND('King Node Model'!$B$23-$AL16&gt;=0,'King Node Model'!$B$23-$AL16&lt;=5),AND('King Node Model'!$C$23-$AL16&gt;=0,'King Node Model'!$C$23-$AL16&lt;=5))),AND('King Node Model'!$P$13="Down",OR($AL16=$AR$22,$AL16=$AR$23,$AL16=$AR$24,$AL16='King Node Model'!$AN$20,$AL16='King Node Model'!$AN$21,$AL16='King Node Model'!$AN$22),OR(AND($AL16-'King Node Model'!$B$23&gt;=0,$AL16-'King Node Model'!$B$23&lt;=5),AND($AL16-'King Node Model'!$C$24&gt;=0,$AL16-'King Node Model'!$C$24&lt;=5)))))),AND(AND(ISNUMBER($AL16),OR(AND($AL16&gt;='King Node Model'!$AM$20,$AL16&lt;='King Node Model'!$AN$20,$AS$23=1),$AL16='King Node Model'!$AM$20,$AL16='King Node Model'!$AN$20,$AL16='King Node Model'!$AM$21,$AL16='King Node Model'!$AN$21,$AL16='King Node Model'!$AM$22,$AL16='King Node Model'!$AN$22),NOT(OR($AL16=$AN$5,$AL16=$AN$6,$AL16=$AN$7,$AL16=$AN$8,$AL16=$AN$10,$AL16=$AN$11))),NOT(AND(ISNUMBER('King Node Model'!$F$24),$AL16='King Node Model'!$F$24,IFERROR(INDEX('Level Engine'!$JN$9:$JN$55,MATCH($AL16,'Level Engine'!$AA$9:$AA$55,0)),0)&lt;&gt;1))),AND(AND(ISNUMBER($AL16),OR(AND($AL16&gt;='King Node Model'!$AM$20,$AL16&lt;='King Node Model'!$AN$20,$AS$23=1),$AL16='King Node Model'!$AM$20,$AL16='King Node Model'!$AN$20,$AL16='King Node Model'!$AM$21,$AL16='King Node Model'!$AN$21,$AL16='King Node Model'!$AM$22,$AL16='King Node Model'!$AN$22,$AL16='King Node Model'!$AL$49,$AL16='King Node Model'!$AL$50),OR($AL16=$AN$5,$AL16=$AN$6,$AL16=$AN$7,$AL16=$AN$8,$AL16=$AN$10,$AL16=$AN$11)),NOT(OR(AND('King Node Model'!$P$13="Up",OR($AL16=$AQ$22,$AL16=$AQ$23,$AL16=$AQ$24,$AL16='King Node Model'!$AM$20,$AL16='King Node Model'!$AM$21,$AL16='King Node Model'!$AM$22),OR(AND('King Node Model'!$B$23-$AL16&gt;=0,'King Node Model'!$B$23-$AL16&lt;=5),AND('King Node Model'!$C$23-$AL16&gt;=0,'King Node Model'!$C$23-$AL16&lt;=5))),AND('King Node Model'!$P$13="Down",OR($AL16=$AR$22,$AL16=$AR$23,$AL16=$AR$24,$AL16='King Node Model'!$AN$20,$AL16='King Node Model'!$AN$21,$AL16='King Node Model'!$AN$22),OR(AND($AL16-'King Node Model'!$B$23&gt;=0,$AL16-'King Node Model'!$B$23&lt;=5),AND($AL16-'King Node Model'!$C$24&gt;=0,$AL16-'King Node Model'!$C$24&lt;=5))))))),OR(COUNTIF('Level Engine'!$W$9:$W$14,$AL16)&gt;0,COUNTIF('Level Engine'!$W$18:$W$23,$AL16)&gt;0)),1,0))</f>
        <v>0</v>
      </c>
      <c r="AZ16" s="1">
        <f t="shared" si="1"/>
        <v>0</v>
      </c>
      <c r="BB16" s="1">
        <f>IF(OR(AND($AL16='King Node Model'!$AL$42,$AP$45&lt;&gt;"RASP"),AND($AL16='King Node Model'!$AL$43,$AP$46&lt;&gt;"RASP"),AND($AL16='King Node Model'!$AL$49,$AP$52&lt;&gt;"RASP"),AND($AL16='King Node Model'!$AL$50,$AP$53&lt;&gt;"RASP"),AND($AL16='King Node Model'!$AL$44,$AP$47&lt;&gt;"RASP"),AND($AL16='King Node Model'!$AL$51,$AP$54&lt;&gt;"RASP")),0,IF(AND(AND(ISNUMBER($AL16),OR(AND($AL16&gt;=$AQ$22,$AL16&lt;=$AR$22,$AP$45="RASP"),AND($AL16&gt;=$AQ$23,$AL16&lt;=$AR$23,$AP$46="RASP"),AND($AL16&gt;=$AQ$24,$AL16&lt;=$AR$24,$AP$47="RASP"),AND($AL16&gt;='King Node Model'!$AM$20,$AL16&lt;='King Node Model'!$AN$20,$AP$52="RASP",NOT($L$52=$AW$52)),AND($AL16='King Node Model'!$B$23,$AP$52="RASP",$L$52=$AW$52),AND($AL16&gt;='King Node Model'!$AM$21,$AL16&lt;='King Node Model'!$AN$21,$AP$53="RASP",NOT($L$53=$AW$53)),AND($AL16='King Node Model'!$B$23,$AP$53="RASP",$L$53=$AW$53),AND($AL16&gt;='King Node Model'!$AM$22,$AL16&lt;='King Node Model'!$AN$22,$AP$54="RASP"),AND($AL16&gt;=IFERROR(INDEX('Level Engine'!$AT$9:$AT$55,MATCH('King Node Model'!$AL$42,'Level Engine'!$AA$9:$AA$55,0)),""),$AL16&lt;=IFERROR(INDEX('Level Engine'!$AU$9:$AU$55,MATCH('King Node Model'!$AL$42,'Level Engine'!$AA$9:$AA$55,0)),""),$AP$45="RASP"),AND($AL16&gt;=IFERROR(INDEX('Level Engine'!$AT$9:$AT$55,MATCH('King Node Model'!$AL$43,'Level Engine'!$AA$9:$AA$55,0)),""),$AL16&lt;=IFERROR(INDEX('Level Engine'!$AU$9:$AU$55,MATCH('King Node Model'!$AL$43,'Level Engine'!$AA$9:$AA$55,0)),""),$AP$46="RASP"),AND($AL16&gt;=IFERROR(INDEX('Level Engine'!$AT$9:$AT$55,MATCH('King Node Model'!$AL$44,'Level Engine'!$AA$9:$AA$55,0)),""),$AL16&lt;=IFERROR(INDEX('Level Engine'!$AU$9:$AU$55,MATCH('King Node Model'!$AL$44,'Level Engine'!$AA$9:$AA$55,0)),""),$AP$47="RASP"),AND($AL16&gt;=IFERROR(INDEX('Level Engine'!$AT$9:$AT$55,MATCH('King Node Model'!$AL$49,'Level Engine'!$AA$9:$AA$55,0)),""),$AL16&lt;=IFERROR(INDEX('Level Engine'!$AU$9:$AU$55,MATCH('King Node Model'!$AL$49,'Level Engine'!$AA$9:$AA$55,0)),""),$AP$52="RASP",NOT($L$52=$AW$52)),AND($AL16&gt;=IFERROR(INDEX('Level Engine'!$AT$9:$AT$55,MATCH('King Node Model'!$AL$50,'Level Engine'!$AA$9:$AA$55,0)),""),$AL16&lt;=IFERROR(INDEX('Level Engine'!$AU$9:$AU$55,MATCH('King Node Model'!$AL$50,'Level Engine'!$AA$9:$AA$55,0)),""),$AP$53="RASP",NOT($L$53=$AW$53)),AND($AL16&gt;=IFERROR(INDEX('Level Engine'!$AT$9:$AT$55,MATCH('King Node Model'!$AL$51,'Level Engine'!$AA$9:$AA$55,0)),""),$AL16&lt;=IFERROR(INDEX('Level Engine'!$AU$9:$AU$55,MATCH('King Node Model'!$AL$51,'Level Engine'!$AA$9:$AA$55,0)),""),$AP$54="RASP"))),NOT(AND(ISNUMBER('King Node Model'!$F$24),$AL16='King Node Model'!$F$24,IFERROR(INDEX('Level Engine'!$JN$9:$JN$55,MATCH($AL16,'Level Engine'!$AA$9:$AA$55,0)),0)&lt;&gt;1,$AL16&lt;&gt;'King Node Model'!$AL$42,$AL16&lt;&gt;'King Node Model'!$AL$43,$AL16&lt;&gt;'King Node Model'!$AL$44,$AL16&lt;&gt;'King Node Model'!$AL$49,$AL16&lt;&gt;'King Node Model'!$AL$50,$AL16&lt;&gt;'King Node Model'!$AL$51))),1,0))</f>
        <v>0</v>
      </c>
      <c r="CO16">
        <f>IF(NOT(ISNUMBER($AL16)),"",IF(NOT(ISNUMBER(IFERROR(INDEX('Level Engine'!$FT$9:$FT$55,MATCH($AL16,'Level Engine'!$AA$9:$AA$55,0)),""))),"",IF(IFERROR(INDEX('Level Engine'!$FT$9:$FT$55,MATCH($AL16,'Level Engine'!$AA$9:$AA$55,0)),"")&lt;0,0,2)+IF(ABS(IFERROR(INDEX('Level Engine'!$FT$9:$FT$55,MATCH($AL16,'Level Engine'!$AA$9:$AA$55,0)),""))&gt;='Level Engine'!$FT$2,2,1)))</f>
        <v>3</v>
      </c>
      <c r="DJ16" t="str">
        <f>IF(ISNUMBER($AL16),IF($AL16='Level Engine'!$BG$122," ⫪","")&amp;IF($AL16='Level Engine'!$BG$118," S↑"&amp;IFERROR(INDEX('Level Engine'!$MV$9:$MV$55,MATCH($AL16,'Level Engine'!$AA$9:$AA$55,0)),""),"")&amp;IF($AL16='Level Engine'!$BG$119," S↓"&amp;IFERROR(INDEX('Level Engine'!$MV$9:$MV$55,MATCH($AL16,'Level Engine'!$AA$9:$AA$55,0)),""),"")&amp;IF($AL16='Level Engine'!$BG$120," D↑","")&amp;IF($AL16='Level Engine'!$BG$121," D↓","")&amp;IFERROR(INDEX('Level Engine'!$LG$9:$LG$55,MATCH($AL16,'Level Engine'!$AA$9:$AA$55,0)),"")&amp;IF(IFERROR(INDEX('Level Engine'!$MA$9:$MA$55,MATCH($AL16,'Level Engine'!$AA$9:$AA$55,0)),0)=1," SAND","")&amp;IF(IFERROR(INDEX('Level Engine'!$LM$9:$LM$55,MATCH($AL16,'Level Engine'!$AA$9:$AA$55,0)),0)&gt;0," TP","")&amp;IFERROR(" r"&amp;MATCH($AL16,'Level Engine'!$W$9:$W$14,0),IFERROR(" s"&amp;MATCH($AL16,'Level Engine'!$W$18:$W$23,0),""))&amp;IF($AL16='Level Engine'!$BG$165," ◇","")&amp;IF(N($DZ16)=1,IF($AL16&gt;'Level Engine'!$BG$165," ⚠ DOM↓"," ⚠ DOM↑")&amp;'Level Engine'!$BG$165,""),"")</f>
        <v xml:space="preserve"> r4</v>
      </c>
      <c r="DK16" t="str">
        <f>IF(AND(ISNUMBER($AL16),OR($AL16='King Node Model'!$AL$42,$AL16='King Node Model'!$AL$43,$AL16='King Node Model'!$AL$44)),IFERROR(MATCH($AL16,'Level Engine'!$W$9:$W$14,0),""),"")</f>
        <v/>
      </c>
      <c r="DL16" t="str">
        <f>IF(AND(ISNUMBER($AL16),OR($AL16='King Node Model'!$AL$49,$AL16='King Node Model'!$AL$50,$AL16='King Node Model'!$AL$51)),IFERROR(MATCH($AL16,'Level Engine'!$W$18:$W$23,0),""),"")</f>
        <v/>
      </c>
      <c r="DM16">
        <f>IF(AND(ISNUMBER($AL16),IFERROR(INDEX('Level Engine'!$LC$9:$LC$55,MATCH($AL16,'Level Engine'!$AA$9:$AA$55,0)),0)=1,OR($AL16=$AN$3,IFERROR(INDEX('Level Engine'!$LB$9:$LB$55,MATCH($AL16,'Level Engine'!$AA$9:$AA$55,0)),0)=1)),1,0)</f>
        <v>0</v>
      </c>
      <c r="DZ16">
        <f>IF(ISNUMBER($AL16),IF(IFERROR(INDEX('Level Engine'!$NJ$9:$NJ$55,MATCH($AL16,'Level Engine'!$AA$9:$AA$55,0)),0)=1,1,0),0)</f>
      </c>
    </row>
    <row r="17" spans="1:117" ht="31.5" customHeight="1" x14ac:dyDescent="0.25">
      <c r="A17" s="7" t="str">
        <f t="shared" si="2"/>
        <v/>
      </c>
      <c r="B17" s="8" t="str">
        <f>TEXT(IF(IF('Level Engine'!$GJ$4=1,$AL17='Level Engine'!$GJ$3,AND($AL17-$AM$2&gt;-2.5,$AL17-$AM$2&lt;=2.5)),$AM$2,$AL17),"0")&amp;IF($AL17=$AN$1," ★","")&amp;IF($AL17=$AN$2," ★","")&amp;IF($AL17=$AN$3," ◆","")&amp;IF(AND(ISNUMBER($AN$4),$AL17=$AN$4)," Ⓕ","")&amp;IF(OR(AND(ISNUMBER('Level Engine'!$BG$87),$AL17='Level Engine'!$BG$87),AND(ISNUMBER('Level Engine'!$BG$105),$AL17='Level Engine'!$BG$105))," ζ","")&amp;IF(AND(ISNUMBER($AN$35),$AL17=$AN$35)," ⓏⒼ","")&amp;IF(OR($AL17='Level Engine'!$CP$4,$AL17='Level Engine'!$CP$5,$AL17='Level Engine'!$CP$6,$AL17='Level Engine'!$CP$7)," ☄","")&amp;IF(OR($AL17=$AN$5,$AL17=$AN$8)," ║1","")&amp;IF(OR($AL17=$AN$6,$AL17=$AN$10)," ║2","")&amp;IF(OR($AL17=$AN$7,$AL17=$AN$11)," ║3","")&amp;IF(OR($AL17=$AN$13,$AL17=$AN$16)," ▣1","")&amp;IF(OR($AL17=$AN$14,$AL17=$AN$17)," ▣2","")&amp;IF(OR($AL17=$AN$15,$AL17=$AN$18)," ▣3","")&amp;IF(AND(NOT(OR(AND(ISNUMBER(SEARCH("chop edge",$E$45)),IFERROR(ABS($AL17-'King Node Model'!$AL$42)&lt;=5,FALSE),NOT(ISNUMBER(SEARCH("UNSAFE",$L$45)))),AND(ISNUMBER(SEARCH("chop edge",$E$46)),IFERROR(ABS($AL17-'King Node Model'!$AL$43)&lt;=5,FALSE),NOT(ISNUMBER(SEARCH("UNSAFE",$L$46)))),AND(ISNUMBER(SEARCH("chop edge",$E$52)),IFERROR(ABS($AL17-'King Node Model'!$AL$49)&lt;=5,FALSE),NOT(ISNUMBER(SEARCH("UNSAFE",$L$52)))),AND(ISNUMBER(SEARCH("chop edge",$E$53)),IFERROR(ABS($AL17-'King Node Model'!$AL$50)&lt;=5,FALSE),NOT(ISNUMBER(SEARCH("UNSAFE",$L$53)))))),OR(AND(IFERROR(INDEX('Level Engine'!$IB$9:$IB$55,MATCH('King Node Model'!$AL$49,'Level Engine'!$AA$9:$AA$55,0)),0)&lt;&gt;1,$AL17=IFERROR(INDEX('Level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Engine'!$AA$9:$AA$55,0)),0)&lt;&gt;1,$AL17=IFERROR(INDEX('Level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edge",$E$45)),IFERROR(ABS($AL17-'King Node Model'!$AL$42)&lt;=5,FALSE),NOT(ISNUMBER(SEARCH("UNSAFE",$L$45)))),AND(ISNUMBER(SEARCH("chop edge",$E$46)),IFERROR(ABS($AL17-'King Node Model'!$AL$43)&lt;=5,FALSE),NOT(ISNUMBER(SEARCH("UNSAFE",$L$46)))),AND(ISNUMBER(SEARCH("chop edge",$E$52)),IFERROR(ABS($AL17-'King Node Model'!$AL$49)&lt;=5,FALSE),NOT(ISNUMBER(SEARCH("UNSAFE",$L$52)))),AND(ISNUMBER(SEARCH("chop edge",$E$53)),IFERROR(ABS($AL17-'King Node Model'!$AL$50)&lt;=5,FALSE),NOT(ISNUMBER(SEARCH("UNSAFE",$L$53)))))),OR(AND(IFERROR(INDEX('Level Engine'!$IB$9:$IB$55,MATCH('King Node Model'!$AL$42,'Level Engine'!$AA$9:$AA$55,0)),0)&lt;&gt;1,$AL17=IFERROR(INDEX('Level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Engine'!$AA$9:$AA$55,0)),0)&lt;&gt;1,$AL17=IFERROR(INDEX('Level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ⒷⓁ"),"")&amp;IF(OR(AND($AL17&gt;='King Node Model'!$AM$17,$AL17&lt;='King Node Model'!$AN$17,$AP$45="RASP"),AND($AL17&gt;='King Node Model'!$AM$18,$AL17&lt;='King Node Model'!$AN$18,$AP$46="RASP"),AND($AL17&gt;='King Node Model'!$AM$19,$AL17&lt;='King Node Model'!$AN$19,$AP$47="RASP"),AND($AL17&gt;='King Node Model'!$AM$20,$AL17&lt;='King Node Model'!$AN$20,$AP$52="RASP"),AND($AL17&gt;='King Node Model'!$AM$21,$AL17&lt;='King Node Model'!$AN$21,$AP$53="RASP"),AND($AL17&gt;='King Node Model'!$AM$22,$AL17&lt;='King Node Model'!$AN$22,$AP$54="RASP")),"","")&amp;IF(IF('Level Engine'!$GJ$4=1,$AL17='Level Engine'!$GJ$3,AND($AL17-$AM$2&gt;-2.5,$AL17-$AM$2&lt;=2.5))," ◄","")&amp;IF(IFERROR(INDEX('Level Engine'!$GV$9:$GV$55,MATCH($AL17,'Level Engine'!$AA$9:$AA$55,0)),0)=1," Ⓥ"&amp;IF(IFERROR(INDEX('Level Engine'!$ET$9:$ET$55,MATCH($AL17,'Level Engine'!$AA$9:$AA$55,0)),0)=1,"+",""),"")&amp;IF(OR(AND($AL17=$AN$38,IFERROR(INDEX('Level Engine'!$AN$9:$AN$55,MATCH($AL17,'Level Engine'!$AA$9:$AA$55,0)),0)&lt;&gt;1),$AL17=$AN$39)," ⊙","")&amp;IF(AND(OR('King Node Model'!$A$8="Neg",N('Level Engine'!$BG$72)=1),ABS(MIN($AM$3:$AM$64))&gt;MAX($AM$3:$AM$64),$AN$2&lt;$AM$2,$AL17&lt;$AM$2,ABS($AL17-$AN$2)&lt;=5,IFERROR(VALUE(MID('King Node Model'!$K$26,FIND(":",'King Node Model'!$K$26)-2,2)),0)&gt;=19,IFERROR(INDEX('Level Engine'!$EJ$9:$EJ$55,MATCH($AL17,'Level Engine'!$AA$9:$AA$55,0)),0)=0,$AN$3&gt;$AM$2)," ⟲rev","")&amp;IF($AL17='King Node Model'!$F$24," ⟂","")&amp;$DJ17&amp;IF(IFERROR(INDEX('Level Engine'!$EN$9:$EN$55,MATCH($AL17,'Level Engine'!$AA$9:$AA$55,0)),0)=1," Ⓟ"&amp;IF(AND(OR('King Node Model'!$A$8="Neg",N('Level Engine'!$BG$72)=1),IFERROR(INDEX('Level Engine'!$AN$9:$AN$55,MATCH($AL17,'Level Engine'!$AA$9:$AA$55,0)),0)&lt;&gt;1)," NO-REV",""),"")&amp;IF(AND(ISNUMBER($AL17),OR(AND(ISNUMBER(SEARCH("chop edge",$E$45)),$AL17='King Node Model'!$AL$42),AND(ISNUMBER(SEARCH("chop edge",$E$46)),$AL17='King Node Model'!$AL$43),AND(ISNUMBER(SEARCH("chop edge",$E$52)),$AL17='King Node Model'!$AL$49),AND(ISNUMBER(SEARCH("chop edge",$E$53)),$AL17='King Node Model'!$AL$50)))," ⒸⒺ","")&amp;IF(AND('Level Engine'!$GJ$4=1,OR($AL17='Level Engine'!$GJ$1,$AL17='Level Engine'!$GJ$2)),"","")&amp;IF(ABS(N(IFERROR(INDEX('Level Engine'!$AE$9:$AE$55,MATCH($AL17,'Level Engine'!$AA$9:$AA$55,0)),0)))&gt;='Level Engine'!$BG$85,IF(N(IFERROR(INDEX('Level Engine'!$AE$9:$AE$55,MATCH($AL17,'Level Engine'!$AA$9:$AA$55,0)),0))&gt;0," Δ+"," Δ−"),"")&amp;IFERROR(IF(AND(ISNUMBER(MATCH($AL17,'Level Engine'!$AA$9:$AA$55,0)),ABS(N(IFERROR(INDEX('Level Engine'!$AE$9:$AE$55,MATCH($AL17,'Level Engine'!$AA$9:$AA$55,0)),0)))&lt;'Level Engine'!$BG$85,ABS(N(IFERROR(INDEX('Level Engine'!$AE$9:$AE$55,MATCH($AL17,'Level Engine'!$AA$9:$AA$55,0)),0)))&lt;=ABS(N(IFERROR(INDEX('Level Engine'!$AE$9:$AE$55,MATCH($AL17+5,'Level Engine'!$AA$9:$AA$55,0)),0))),ABS(N(IFERROR(INDEX('Level Engine'!$AE$9:$AE$55,MATCH($AL17,'Level Engine'!$AA$9:$AA$55,0)),0)))&lt;=ABS(N(IFERROR(INDEX('Level Engine'!$AE$9:$AE$55,MATCH($AL17-5,'Level Engine'!$AA$9:$AA$55,0)),0))),OR(AND(ABS(N(IFERROR(INDEX('Level Engine'!$AE$9:$AE$55,MATCH($AL17+5,'Level Engine'!$AA$9:$AA$55,0)),0)))&gt;='Level Engine'!$BG$85,ABS(N(IFERROR(INDEX('Level Engine'!$AE$9:$AE$55,MATCH($AL17,'Level Engine'!$AA$9:$AA$55,0)),0)))&lt;='Level Engine'!$BG$88*ABS(N(IFERROR(INDEX('Level Engine'!$AE$9:$AE$55,MATCH($AL17+5,'Level Engine'!$AA$9:$AA$55,0)),0)))),AND(ABS(N(IFERROR(INDEX('Level Engine'!$AE$9:$AE$55,MATCH($AL17-5,'Level Engine'!$AA$9:$AA$55,0)),0)))&gt;='Level Engine'!$BG$85,ABS(N(IFERROR(INDEX('Level Engine'!$AE$9:$AE$55,MATCH($AL17,'Level Engine'!$AA$9:$AA$55,0)),0)))&lt;='Level Engine'!$BG$88*ABS(N(IFERROR(INDEX('Level Engine'!$AE$9:$AE$55,MATCH($AL17-5,'Level Engine'!$AA$9:$AA$55,0)),0)))))),IF(AND('King Node Model'!$A$8="Pos",N('Level Engine'!$BG$72)&lt;&gt;1),""," ∅"),""),"")&amp;IF(IFERROR(INDEX('Level Engine'!$JD$9:$JD$55,MATCH($AL17,'Level Engine'!$AA$9:$AA$55,0)),"")="P"," P-OI",IF(IFERROR(INDEX('Level Engine'!$JD$9:$JD$55,MATCH($AL17,'Level Engine'!$AA$9:$AA$55,0)),"")="C"," C-OI",""))</f>
        <v>7815 C-OI</v>
      </c>
      <c r="C17" s="9" t="str">
        <f t="shared" si="0"/>
        <v>██</v>
      </c>
      <c r="D17"/>
      <c r="E17" s="23" t="s">
        <v>11</v>
      </c>
      <c r="F17" s="574" t="str">
        <f>IF('King Node Model'!$H$8="","— no charm data in this archive",IFERROR(INDEX(IF('King Node Model'!$H$8="Pos",Matrix!$Q$2:$Q$79,Matrix!$P$2:$P$79),MATCH('King Node Model'!$J$8,Matrix!$A$2:$A$79,0)),"no match"))</f>
        <v>Charm sells, small but active. Mild headwind on the chase — caps rallies, deepens dips slightly. Melt-up still wins. BUY-the-pullback per row. Grind slower than typical melt-up.</v>
      </c>
      <c r="G17" s="574"/>
      <c r="H17" s="574"/>
      <c r="I17" s="574"/>
      <c r="J17" s="574"/>
      <c r="K17" s="574"/>
      <c r="L17" s="574"/>
      <c r="M17" s="574"/>
      <c r="N17" s="574"/>
      <c r="Q17" s="577" t="s">
        <v>25</v>
      </c>
      <c r="R17" s="578">
        <f>IF(ISNUMBER('King Node Model'!$B$4),'King Node Model'!$B$4,"")</f>
        <v>7775.39</v>
      </c>
      <c r="S17" s="578"/>
      <c r="T17" s="482"/>
      <c r="U17" s="482"/>
      <c r="AL17" s="1">
        <f>'King Node Model'!A43</f>
        <v>7815</v>
      </c>
      <c r="AM17" s="10">
        <f>'King Node Model'!C43</f>
        <v>248997</v>
      </c>
      <c r="AN17" s="1">
        <f>IFERROR(INDEX('King Node Model'!$A$29:$A$75,MATCH(LARGE('King Node Model'!$AV$29:$AV$75,2),'King Node Model'!$AV$29:$AV$75,0)),"-")</f>
        <v>7700</v>
      </c>
      <c r="AO17" s="10">
        <f>'King Node Model'!B43</f>
        <v>358734</v>
      </c>
      <c r="AY17" s="1">
        <f>IF(AND($B$2="Hide unsafe",$BB17=1),0,IF(AND(OR(AND(AND(ISNUMBER($AL17),OR(AND($AL17&gt;=$AQ$22,$AL17&lt;=$AR$22,$AS$22=1),$AL17=$AQ$22,$AL17=$AR$22,$AL17=$AQ$23,$AL17=$AR$23,$AL17=$AQ$24,$AL17=$AR$24),NOT(OR($AL17=$AN$5,$AL17=$AN$6,$AL17=$AN$7,$AL17=$AN$8,$AL17=$AN$10,$AL17=$AN$11))),NOT(OR(AND('King Node Model'!$P$13="Up",OR($AL17=$AQ$22,$AL17=$AQ$23,$AL17=$AQ$24,$AL17='King Node Model'!$AM$20,$AL17='King Node Model'!$AM$21,$AL17='King Node Model'!$AM$22),OR(AND('King Node Model'!$B$23-$AL17&gt;=0,'King Node Model'!$B$23-$AL17&lt;=5),AND('King Node Model'!$C$23-$AL17&gt;=0,'King Node Model'!$C$23-$AL17&lt;=5))),AND('King Node Model'!$P$13="Down",OR($AL17=$AR$22,$AL17=$AR$23,$AL17=$AR$24,$AL17='King Node Model'!$AN$20,$AL17='King Node Model'!$AN$21,$AL17='King Node Model'!$AN$22),OR(AND($AL17-'King Node Model'!$B$23&gt;=0,$AL17-'King Node Model'!$B$23&lt;=5),AND($AL17-'King Node Model'!$C$24&gt;=0,$AL17-'King Node Model'!$C$24&lt;=5)))))),AND(AND(ISNUMBER($AL17),OR(AND($AL17&gt;=$AQ$22,$AL17&lt;=$AR$22,$AS$22=1),$AL17=$AQ$22,$AL17=$AR$22,$AL17=$AQ$23,$AL17=$AR$23,$AL17=$AQ$24,$AL17=$AR$24,$AL17='King Node Model'!$AL$42,$AL17='King Node Model'!$AL$43),OR($AL17=$AN$5,$AL17=$AN$6,$AL17=$AN$7,$AL17=$AN$8,$AL17=$AN$10,$AL17=$AN$11)),NOT(OR(AND('King Node Model'!$P$13="Up",OR($AL17=$AQ$22,$AL17=$AQ$23,$AL17=$AQ$24,$AL17='King Node Model'!$AM$20,$AL17='King Node Model'!$AM$21,$AL17='King Node Model'!$AM$22),OR(AND('King Node Model'!$B$23-$AL17&gt;=0,'King Node Model'!$B$23-$AL17&lt;=5),AND('King Node Model'!$C$23-$AL17&gt;=0,'King Node Model'!$C$23-$AL17&lt;=5))),AND('King Node Model'!$P$13="Down",OR($AL17=$AR$22,$AL17=$AR$23,$AL17=$AR$24,$AL17='King Node Model'!$AN$20,$AL17='King Node Model'!$AN$21,$AL17='King Node Model'!$AN$22),OR(AND($AL17-'King Node Model'!$B$23&gt;=0,$AL17-'King Node Model'!$B$23&lt;=5),AND($AL17-'King Node Model'!$C$24&gt;=0,$AL17-'King Node Model'!$C$24&lt;=5)))))),AND(AND(ISNUMBER($AL17),OR(AND($AL17&gt;='King Node Model'!$AM$20,$AL17&lt;='King Node Model'!$AN$20,$AS$23=1),$AL17='King Node Model'!$AM$20,$AL17='King Node Model'!$AN$20,$AL17='King Node Model'!$AM$21,$AL17='King Node Model'!$AN$21,$AL17='King Node Model'!$AM$22,$AL17='King Node Model'!$AN$22),NOT(OR($AL17=$AN$5,$AL17=$AN$6,$AL17=$AN$7,$AL17=$AN$8,$AL17=$AN$10,$AL17=$AN$11))),NOT(AND(ISNUMBER('King Node Model'!$F$24),$AL17='King Node Model'!$F$24,IFERROR(INDEX('Level Engine'!$JN$9:$JN$55,MATCH($AL17,'Level Engine'!$AA$9:$AA$55,0)),0)&lt;&gt;1))),AND(AND(ISNUMBER($AL17),OR(AND($AL17&gt;='King Node Model'!$AM$20,$AL17&lt;='King Node Model'!$AN$20,$AS$23=1),$AL17='King Node Model'!$AM$20,$AL17='King Node Model'!$AN$20,$AL17='King Node Model'!$AM$21,$AL17='King Node Model'!$AN$21,$AL17='King Node Model'!$AM$22,$AL17='King Node Model'!$AN$22,$AL17='King Node Model'!$AL$49,$AL17='King Node Model'!$AL$50),OR($AL17=$AN$5,$AL17=$AN$6,$AL17=$AN$7,$AL17=$AN$8,$AL17=$AN$10,$AL17=$AN$11)),NOT(OR(AND('King Node Model'!$P$13="Up",OR($AL17=$AQ$22,$AL17=$AQ$23,$AL17=$AQ$24,$AL17='King Node Model'!$AM$20,$AL17='King Node Model'!$AM$21,$AL17='King Node Model'!$AM$22),OR(AND('King Node Model'!$B$23-$AL17&gt;=0,'King Node Model'!$B$23-$AL17&lt;=5),AND('King Node Model'!$C$23-$AL17&gt;=0,'King Node Model'!$C$23-$AL17&lt;=5))),AND('King Node Model'!$P$13="Down",OR($AL17=$AR$22,$AL17=$AR$23,$AL17=$AR$24,$AL17='King Node Model'!$AN$20,$AL17='King Node Model'!$AN$21,$AL17='King Node Model'!$AN$22),OR(AND($AL17-'King Node Model'!$B$23&gt;=0,$AL17-'King Node Model'!$B$23&lt;=5),AND($AL17-'King Node Model'!$C$24&gt;=0,$AL17-'King Node Model'!$C$24&lt;=5))))))),OR(COUNTIF('Level Engine'!$W$9:$W$14,$AL17)&gt;0,COUNTIF('Level Engine'!$W$18:$W$23,$AL17)&gt;0)),1,0))</f>
        <v>0</v>
      </c>
      <c r="AZ17" s="1">
        <f t="shared" si="1"/>
        <v>0</v>
      </c>
      <c r="BB17" s="1">
        <f>IF(OR(AND($AL17='King Node Model'!$AL$42,$AP$45&lt;&gt;"RASP"),AND($AL17='King Node Model'!$AL$43,$AP$46&lt;&gt;"RASP"),AND($AL17='King Node Model'!$AL$49,$AP$52&lt;&gt;"RASP"),AND($AL17='King Node Model'!$AL$50,$AP$53&lt;&gt;"RASP"),AND($AL17='King Node Model'!$AL$44,$AP$47&lt;&gt;"RASP"),AND($AL17='King Node Model'!$AL$51,$AP$54&lt;&gt;"RASP")),0,IF(AND(AND(ISNUMBER($AL17),OR(AND($AL17&gt;=$AQ$22,$AL17&lt;=$AR$22,$AP$45="RASP"),AND($AL17&gt;=$AQ$23,$AL17&lt;=$AR$23,$AP$46="RASP"),AND($AL17&gt;=$AQ$24,$AL17&lt;=$AR$24,$AP$47="RASP"),AND($AL17&gt;='King Node Model'!$AM$20,$AL17&lt;='King Node Model'!$AN$20,$AP$52="RASP",NOT($L$52=$AW$52)),AND($AL17='King Node Model'!$B$23,$AP$52="RASP",$L$52=$AW$52),AND($AL17&gt;='King Node Model'!$AM$21,$AL17&lt;='King Node Model'!$AN$21,$AP$53="RASP",NOT($L$53=$AW$53)),AND($AL17='King Node Model'!$B$23,$AP$53="RASP",$L$53=$AW$53),AND($AL17&gt;='King Node Model'!$AM$22,$AL17&lt;='King Node Model'!$AN$22,$AP$54="RASP"),AND($AL17&gt;=IFERROR(INDEX('Level Engine'!$AT$9:$AT$55,MATCH('King Node Model'!$AL$42,'Level Engine'!$AA$9:$AA$55,0)),""),$AL17&lt;=IFERROR(INDEX('Level Engine'!$AU$9:$AU$55,MATCH('King Node Model'!$AL$42,'Level Engine'!$AA$9:$AA$55,0)),""),$AP$45="RASP"),AND($AL17&gt;=IFERROR(INDEX('Level Engine'!$AT$9:$AT$55,MATCH('King Node Model'!$AL$43,'Level Engine'!$AA$9:$AA$55,0)),""),$AL17&lt;=IFERROR(INDEX('Level Engine'!$AU$9:$AU$55,MATCH('King Node Model'!$AL$43,'Level Engine'!$AA$9:$AA$55,0)),""),$AP$46="RASP"),AND($AL17&gt;=IFERROR(INDEX('Level Engine'!$AT$9:$AT$55,MATCH('King Node Model'!$AL$44,'Level Engine'!$AA$9:$AA$55,0)),""),$AL17&lt;=IFERROR(INDEX('Level Engine'!$AU$9:$AU$55,MATCH('King Node Model'!$AL$44,'Level Engine'!$AA$9:$AA$55,0)),""),$AP$47="RASP"),AND($AL17&gt;=IFERROR(INDEX('Level Engine'!$AT$9:$AT$55,MATCH('King Node Model'!$AL$49,'Level Engine'!$AA$9:$AA$55,0)),""),$AL17&lt;=IFERROR(INDEX('Level Engine'!$AU$9:$AU$55,MATCH('King Node Model'!$AL$49,'Level Engine'!$AA$9:$AA$55,0)),""),$AP$52="RASP",NOT($L$52=$AW$52)),AND($AL17&gt;=IFERROR(INDEX('Level Engine'!$AT$9:$AT$55,MATCH('King Node Model'!$AL$50,'Level Engine'!$AA$9:$AA$55,0)),""),$AL17&lt;=IFERROR(INDEX('Level Engine'!$AU$9:$AU$55,MATCH('King Node Model'!$AL$50,'Level Engine'!$AA$9:$AA$55,0)),""),$AP$53="RASP",NOT($L$53=$AW$53)),AND($AL17&gt;=IFERROR(INDEX('Level Engine'!$AT$9:$AT$55,MATCH('King Node Model'!$AL$51,'Level Engine'!$AA$9:$AA$55,0)),""),$AL17&lt;=IFERROR(INDEX('Level Engine'!$AU$9:$AU$55,MATCH('King Node Model'!$AL$51,'Level Engine'!$AA$9:$AA$55,0)),""),$AP$54="RASP"))),NOT(AND(ISNUMBER('King Node Model'!$F$24),$AL17='King Node Model'!$F$24,IFERROR(INDEX('Level Engine'!$JN$9:$JN$55,MATCH($AL17,'Level Engine'!$AA$9:$AA$55,0)),0)&lt;&gt;1,$AL17&lt;&gt;'King Node Model'!$AL$42,$AL17&lt;&gt;'King Node Model'!$AL$43,$AL17&lt;&gt;'King Node Model'!$AL$44,$AL17&lt;&gt;'King Node Model'!$AL$49,$AL17&lt;&gt;'King Node Model'!$AL$50,$AL17&lt;&gt;'King Node Model'!$AL$51))),1,0))</f>
        <v>0</v>
      </c>
      <c r="CO17">
        <f>IF(NOT(ISNUMBER($AL17)),"",IF(NOT(ISNUMBER(IFERROR(INDEX('Level Engine'!$FT$9:$FT$55,MATCH($AL17,'Level Engine'!$AA$9:$AA$55,0)),""))),"",IF(IFERROR(INDEX('Level Engine'!$FT$9:$FT$55,MATCH($AL17,'Level Engine'!$AA$9:$AA$55,0)),"")&lt;0,0,2)+IF(ABS(IFERROR(INDEX('Level Engine'!$FT$9:$FT$55,MATCH($AL17,'Level Engine'!$AA$9:$AA$55,0)),""))&gt;='Level Engine'!$FT$2,2,1)))</f>
        <v>4</v>
      </c>
      <c r="DJ17" t="str">
        <f>IF(ISNUMBER($AL17),IF($AL17='Level Engine'!$BG$122," ⫪","")&amp;IF($AL17='Level Engine'!$BG$118," S↑"&amp;IFERROR(INDEX('Level Engine'!$MV$9:$MV$55,MATCH($AL17,'Level Engine'!$AA$9:$AA$55,0)),""),"")&amp;IF($AL17='Level Engine'!$BG$119," S↓"&amp;IFERROR(INDEX('Level Engine'!$MV$9:$MV$55,MATCH($AL17,'Level Engine'!$AA$9:$AA$55,0)),""),"")&amp;IF($AL17='Level Engine'!$BG$120," D↑","")&amp;IF($AL17='Level Engine'!$BG$121," D↓","")&amp;IFERROR(INDEX('Level Engine'!$LG$9:$LG$55,MATCH($AL17,'Level Engine'!$AA$9:$AA$55,0)),"")&amp;IF(IFERROR(INDEX('Level Engine'!$MA$9:$MA$55,MATCH($AL17,'Level Engine'!$AA$9:$AA$55,0)),0)=1," SAND","")&amp;IF(IFERROR(INDEX('Level Engine'!$LM$9:$LM$55,MATCH($AL17,'Level Engine'!$AA$9:$AA$55,0)),0)&gt;0," TP","")&amp;IFERROR(" r"&amp;MATCH($AL17,'Level Engine'!$W$9:$W$14,0),IFERROR(" s"&amp;MATCH($AL17,'Level Engine'!$W$18:$W$23,0),""))&amp;IF($AL17='Level Engine'!$BG$165," ◇","")&amp;IF(N($DZ17)=1,IF($AL17&gt;'Level Engine'!$BG$165," ⚠ DOM↓"," ⚠ DOM↑")&amp;'Level Engine'!$BG$165,""),"")</f>
        <v/>
      </c>
      <c r="DK17" t="str">
        <f>IF(AND(ISNUMBER($AL17),OR($AL17='King Node Model'!$AL$42,$AL17='King Node Model'!$AL$43,$AL17='King Node Model'!$AL$44)),IFERROR(MATCH($AL17,'Level Engine'!$W$9:$W$14,0),""),"")</f>
        <v/>
      </c>
      <c r="DL17" t="str">
        <f>IF(AND(ISNUMBER($AL17),OR($AL17='King Node Model'!$AL$49,$AL17='King Node Model'!$AL$50,$AL17='King Node Model'!$AL$51)),IFERROR(MATCH($AL17,'Level Engine'!$W$18:$W$23,0),""),"")</f>
        <v/>
      </c>
      <c r="DM17">
        <f>IF(AND(ISNUMBER($AL17),IFERROR(INDEX('Level Engine'!$LC$9:$LC$55,MATCH($AL17,'Level Engine'!$AA$9:$AA$55,0)),0)=1,OR($AL17=$AN$3,IFERROR(INDEX('Level Engine'!$LB$9:$LB$55,MATCH($AL17,'Level Engine'!$AA$9:$AA$55,0)),0)=1)),1,0)</f>
        <v>0</v>
      </c>
      <c r="DZ17">
        <f>IF(ISNUMBER($AL17),IF(IFERROR(INDEX('Level Engine'!$NJ$9:$NJ$55,MATCH($AL17,'Level Engine'!$AA$9:$AA$55,0)),0)=1,1,0),0)</f>
      </c>
    </row>
    <row r="18" spans="1:117" ht="23.25" customHeight="1" x14ac:dyDescent="0.25">
      <c r="A18" s="7" t="str">
        <f t="shared" si="2"/>
        <v/>
      </c>
      <c r="B18" s="8" t="str">
        <f>TEXT(IF(IF('Level Engine'!$GJ$4=1,$AL18='Level Engine'!$GJ$3,AND($AL18-$AM$2&gt;-2.5,$AL18-$AM$2&lt;=2.5)),$AM$2,$AL18),"0")&amp;IF($AL18=$AN$1," ★","")&amp;IF($AL18=$AN$2," ★","")&amp;IF($AL18=$AN$3," ◆","")&amp;IF(AND(ISNUMBER($AN$4),$AL18=$AN$4)," Ⓕ","")&amp;IF(OR(AND(ISNUMBER('Level Engine'!$BG$87),$AL18='Level Engine'!$BG$87),AND(ISNUMBER('Level Engine'!$BG$105),$AL18='Level Engine'!$BG$105))," ζ","")&amp;IF(AND(ISNUMBER($AN$35),$AL18=$AN$35)," ⓏⒼ","")&amp;IF(OR($AL18='Level Engine'!$CP$4,$AL18='Level Engine'!$CP$5,$AL18='Level Engine'!$CP$6,$AL18='Level Engine'!$CP$7)," ☄","")&amp;IF(OR($AL18=$AN$5,$AL18=$AN$8)," ║1","")&amp;IF(OR($AL18=$AN$6,$AL18=$AN$10)," ║2","")&amp;IF(OR($AL18=$AN$7,$AL18=$AN$11)," ║3","")&amp;IF(OR($AL18=$AN$13,$AL18=$AN$16)," ▣1","")&amp;IF(OR($AL18=$AN$14,$AL18=$AN$17)," ▣2","")&amp;IF(OR($AL18=$AN$15,$AL18=$AN$18)," ▣3","")&amp;IF(AND(NOT(OR(AND(ISNUMBER(SEARCH("chop edge",$E$45)),IFERROR(ABS($AL18-'King Node Model'!$AL$42)&lt;=5,FALSE),NOT(ISNUMBER(SEARCH("UNSAFE",$L$45)))),AND(ISNUMBER(SEARCH("chop edge",$E$46)),IFERROR(ABS($AL18-'King Node Model'!$AL$43)&lt;=5,FALSE),NOT(ISNUMBER(SEARCH("UNSAFE",$L$46)))),AND(ISNUMBER(SEARCH("chop edge",$E$52)),IFERROR(ABS($AL18-'King Node Model'!$AL$49)&lt;=5,FALSE),NOT(ISNUMBER(SEARCH("UNSAFE",$L$52)))),AND(ISNUMBER(SEARCH("chop edge",$E$53)),IFERROR(ABS($AL18-'King Node Model'!$AL$50)&lt;=5,FALSE),NOT(ISNUMBER(SEARCH("UNSAFE",$L$53)))))),OR(AND(IFERROR(INDEX('Level Engine'!$IB$9:$IB$55,MATCH('King Node Model'!$AL$49,'Level Engine'!$AA$9:$AA$55,0)),0)&lt;&gt;1,$AL18=IFERROR(INDEX('Level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Engine'!$AA$9:$AA$55,0)),0)&lt;&gt;1,$AL18=IFERROR(INDEX('Level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edge",$E$45)),IFERROR(ABS($AL18-'King Node Model'!$AL$42)&lt;=5,FALSE),NOT(ISNUMBER(SEARCH("UNSAFE",$L$45)))),AND(ISNUMBER(SEARCH("chop edge",$E$46)),IFERROR(ABS($AL18-'King Node Model'!$AL$43)&lt;=5,FALSE),NOT(ISNUMBER(SEARCH("UNSAFE",$L$46)))),AND(ISNUMBER(SEARCH("chop edge",$E$52)),IFERROR(ABS($AL18-'King Node Model'!$AL$49)&lt;=5,FALSE),NOT(ISNUMBER(SEARCH("UNSAFE",$L$52)))),AND(ISNUMBER(SEARCH("chop edge",$E$53)),IFERROR(ABS($AL18-'King Node Model'!$AL$50)&lt;=5,FALSE),NOT(ISNUMBER(SEARCH("UNSAFE",$L$53)))))),OR(AND(IFERROR(INDEX('Level Engine'!$IB$9:$IB$55,MATCH('King Node Model'!$AL$42,'Level Engine'!$AA$9:$AA$55,0)),0)&lt;&gt;1,$AL18=IFERROR(INDEX('Level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Engine'!$AA$9:$AA$55,0)),0)&lt;&gt;1,$AL18=IFERROR(INDEX('Level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ⒷⓁ"),"")&amp;IF(OR(AND($AL18&gt;='King Node Model'!$AM$17,$AL18&lt;='King Node Model'!$AN$17,$AP$45="RASP"),AND($AL18&gt;='King Node Model'!$AM$18,$AL18&lt;='King Node Model'!$AN$18,$AP$46="RASP"),AND($AL18&gt;='King Node Model'!$AM$19,$AL18&lt;='King Node Model'!$AN$19,$AP$47="RASP"),AND($AL18&gt;='King Node Model'!$AM$20,$AL18&lt;='King Node Model'!$AN$20,$AP$52="RASP"),AND($AL18&gt;='King Node Model'!$AM$21,$AL18&lt;='King Node Model'!$AN$21,$AP$53="RASP"),AND($AL18&gt;='King Node Model'!$AM$22,$AL18&lt;='King Node Model'!$AN$22,$AP$54="RASP")),"","")&amp;IF(IF('Level Engine'!$GJ$4=1,$AL18='Level Engine'!$GJ$3,AND($AL18-$AM$2&gt;-2.5,$AL18-$AM$2&lt;=2.5))," ◄","")&amp;IF(IFERROR(INDEX('Level Engine'!$GV$9:$GV$55,MATCH($AL18,'Level Engine'!$AA$9:$AA$55,0)),0)=1," Ⓥ"&amp;IF(IFERROR(INDEX('Level Engine'!$ET$9:$ET$55,MATCH($AL18,'Level Engine'!$AA$9:$AA$55,0)),0)=1,"+",""),"")&amp;IF(OR(AND($AL18=$AN$38,IFERROR(INDEX('Level Engine'!$AN$9:$AN$55,MATCH($AL18,'Level Engine'!$AA$9:$AA$55,0)),0)&lt;&gt;1),$AL18=$AN$39)," ⊙","")&amp;IF(AND(OR('King Node Model'!$A$8="Neg",N('Level Engine'!$BG$72)=1),ABS(MIN($AM$3:$AM$64))&gt;MAX($AM$3:$AM$64),$AN$2&lt;$AM$2,$AL18&lt;$AM$2,ABS($AL18-$AN$2)&lt;=5,IFERROR(VALUE(MID('King Node Model'!$K$26,FIND(":",'King Node Model'!$K$26)-2,2)),0)&gt;=19,IFERROR(INDEX('Level Engine'!$EJ$9:$EJ$55,MATCH($AL18,'Level Engine'!$AA$9:$AA$55,0)),0)=0,$AN$3&gt;$AM$2)," ⟲rev","")&amp;IF($AL18='King Node Model'!$F$24," ⟂","")&amp;$DJ18&amp;IF(IFERROR(INDEX('Level Engine'!$EN$9:$EN$55,MATCH($AL18,'Level Engine'!$AA$9:$AA$55,0)),0)=1," Ⓟ"&amp;IF(AND(OR('King Node Model'!$A$8="Neg",N('Level Engine'!$BG$72)=1),IFERROR(INDEX('Level Engine'!$AN$9:$AN$55,MATCH($AL18,'Level Engine'!$AA$9:$AA$55,0)),0)&lt;&gt;1)," NO-REV",""),"")&amp;IF(AND(ISNUMBER($AL18),OR(AND(ISNUMBER(SEARCH("chop edge",$E$45)),$AL18='King Node Model'!$AL$42),AND(ISNUMBER(SEARCH("chop edge",$E$46)),$AL18='King Node Model'!$AL$43),AND(ISNUMBER(SEARCH("chop edge",$E$52)),$AL18='King Node Model'!$AL$49),AND(ISNUMBER(SEARCH("chop edge",$E$53)),$AL18='King Node Model'!$AL$50)))," ⒸⒺ","")&amp;IF(AND('Level Engine'!$GJ$4=1,OR($AL18='Level Engine'!$GJ$1,$AL18='Level Engine'!$GJ$2)),"","")&amp;IF(ABS(N(IFERROR(INDEX('Level Engine'!$AE$9:$AE$55,MATCH($AL18,'Level Engine'!$AA$9:$AA$55,0)),0)))&gt;='Level Engine'!$BG$85,IF(N(IFERROR(INDEX('Level Engine'!$AE$9:$AE$55,MATCH($AL18,'Level Engine'!$AA$9:$AA$55,0)),0))&gt;0," Δ+"," Δ−"),"")&amp;IFERROR(IF(AND(ISNUMBER(MATCH($AL18,'Level Engine'!$AA$9:$AA$55,0)),ABS(N(IFERROR(INDEX('Level Engine'!$AE$9:$AE$55,MATCH($AL18,'Level Engine'!$AA$9:$AA$55,0)),0)))&lt;'Level Engine'!$BG$85,ABS(N(IFERROR(INDEX('Level Engine'!$AE$9:$AE$55,MATCH($AL18,'Level Engine'!$AA$9:$AA$55,0)),0)))&lt;=ABS(N(IFERROR(INDEX('Level Engine'!$AE$9:$AE$55,MATCH($AL18+5,'Level Engine'!$AA$9:$AA$55,0)),0))),ABS(N(IFERROR(INDEX('Level Engine'!$AE$9:$AE$55,MATCH($AL18,'Level Engine'!$AA$9:$AA$55,0)),0)))&lt;=ABS(N(IFERROR(INDEX('Level Engine'!$AE$9:$AE$55,MATCH($AL18-5,'Level Engine'!$AA$9:$AA$55,0)),0))),OR(AND(ABS(N(IFERROR(INDEX('Level Engine'!$AE$9:$AE$55,MATCH($AL18+5,'Level Engine'!$AA$9:$AA$55,0)),0)))&gt;='Level Engine'!$BG$85,ABS(N(IFERROR(INDEX('Level Engine'!$AE$9:$AE$55,MATCH($AL18,'Level Engine'!$AA$9:$AA$55,0)),0)))&lt;='Level Engine'!$BG$88*ABS(N(IFERROR(INDEX('Level Engine'!$AE$9:$AE$55,MATCH($AL18+5,'Level Engine'!$AA$9:$AA$55,0)),0)))),AND(ABS(N(IFERROR(INDEX('Level Engine'!$AE$9:$AE$55,MATCH($AL18-5,'Level Engine'!$AA$9:$AA$55,0)),0)))&gt;='Level Engine'!$BG$85,ABS(N(IFERROR(INDEX('Level Engine'!$AE$9:$AE$55,MATCH($AL18,'Level Engine'!$AA$9:$AA$55,0)),0)))&lt;='Level Engine'!$BG$88*ABS(N(IFERROR(INDEX('Level Engine'!$AE$9:$AE$55,MATCH($AL18-5,'Level Engine'!$AA$9:$AA$55,0)),0)))))),IF(AND('King Node Model'!$A$8="Pos",N('Level Engine'!$BG$72)&lt;&gt;1),""," ∅"),""),"")&amp;IF(IFERROR(INDEX('Level Engine'!$JD$9:$JD$55,MATCH($AL18,'Level Engine'!$AA$9:$AA$55,0)),"")="P"," P-OI",IF(IFERROR(INDEX('Level Engine'!$JD$9:$JD$55,MATCH($AL18,'Level Engine'!$AA$9:$AA$55,0)),"")="C"," C-OI",""))</f>
        <v>7810 ║3 r3</v>
      </c>
      <c r="C18" s="9" t="str">
        <f t="shared" si="0"/>
        <v>████</v>
      </c>
      <c r="D18" t="str">
        <f>IF(NOT(ISNUMBER($AL18)),"",IF(IFERROR(INDEX('Level Engine'!$FS$9:$FS$55,MATCH($AL18,'Level Engine'!$AA$9:$AA$55,0)),0)=1,"⊙",""))</f>
        <v/>
      </c>
      <c r="E18" s="22" t="s">
        <v>12</v>
      </c>
      <c r="F18" s="575" t="str">
        <f>IF(AND('King Node Model'!$F$5/'King Node Model'!$B$5&gt;0.75,'King Node Model'!$P$6="Up"),"Rising vol (confirmed) — downside risk",IF('King Node Model'!$F$5/'King Node Model'!$B$5&gt;0.75,"Rising vol — front-end spike, downside risk",IF('King Node Model'!$P$6="Up","Rising vol (unconfirmed)",IF(ISNUMBER(SEARCH("▽",'King Node Model'!$AB$14)),"Falling vol — melt-up possible",IF('King Node Model'!$AB$13&lt;&gt;"",'King Node Model'!$AB$13,"Flat — no front-end bid")))))&amp;"  ·  VIX1D/VIX "&amp;TEXT('King Node Model'!$F$5/'King Node Model'!$B$5,"0.00")</f>
        <v>Rising vol (unconfirmed)  ·  VIX1D/VIX 0.55</v>
      </c>
      <c r="G18" s="575"/>
      <c r="H18" s="575"/>
      <c r="I18" s="575"/>
      <c r="J18" s="575"/>
      <c r="K18" s="575"/>
      <c r="L18" s="575"/>
      <c r="M18" s="575"/>
      <c r="N18" s="576"/>
      <c r="Q18" s="444" t="s">
        <v>26</v>
      </c>
      <c r="R18" s="579">
        <f>IF(OR($R$16="",$R$17=""),"",$R$16-$R$17)</f>
        <v>51.609999999999673</v>
      </c>
      <c r="S18" s="579"/>
      <c r="T18" s="483"/>
      <c r="U18" s="483"/>
      <c r="AL18" s="1">
        <f>'King Node Model'!A44</f>
        <v>7810</v>
      </c>
      <c r="AM18" s="10">
        <f>'King Node Model'!C44</f>
        <v>353277</v>
      </c>
      <c r="AN18" s="1">
        <f>IFERROR(INDEX('King Node Model'!$A$29:$A$75,MATCH(LARGE('King Node Model'!$AV$29:$AV$75,3),'King Node Model'!$AV$29:$AV$75,0)),"-")</f>
        <v>7750</v>
      </c>
      <c r="AO18" s="10">
        <f>'King Node Model'!B44</f>
        <v>756012</v>
      </c>
      <c r="AY18" s="1">
        <f>IF(AND($B$2="Hide unsafe",$BB18=1),0,IF(AND(OR(AND(AND(ISNUMBER($AL18),OR(AND($AL18&gt;=$AQ$22,$AL18&lt;=$AR$22,$AS$22=1),$AL18=$AQ$22,$AL18=$AR$22,$AL18=$AQ$23,$AL18=$AR$23,$AL18=$AQ$24,$AL18=$AR$24),NOT(OR($AL18=$AN$5,$AL18=$AN$6,$AL18=$AN$7,$AL18=$AN$8,$AL18=$AN$10,$AL18=$AN$11))),NOT(OR(AND('King Node Model'!$P$13="Up",OR($AL18=$AQ$22,$AL18=$AQ$23,$AL18=$AQ$24,$AL18='King Node Model'!$AM$20,$AL18='King Node Model'!$AM$21,$AL18='King Node Model'!$AM$22),OR(AND('King Node Model'!$B$23-$AL18&gt;=0,'King Node Model'!$B$23-$AL18&lt;=5),AND('King Node Model'!$C$23-$AL18&gt;=0,'King Node Model'!$C$23-$AL18&lt;=5))),AND('King Node Model'!$P$13="Down",OR($AL18=$AR$22,$AL18=$AR$23,$AL18=$AR$24,$AL18='King Node Model'!$AN$20,$AL18='King Node Model'!$AN$21,$AL18='King Node Model'!$AN$22),OR(AND($AL18-'King Node Model'!$B$23&gt;=0,$AL18-'King Node Model'!$B$23&lt;=5),AND($AL18-'King Node Model'!$C$24&gt;=0,$AL18-'King Node Model'!$C$24&lt;=5)))))),AND(AND(ISNUMBER($AL18),OR(AND($AL18&gt;=$AQ$22,$AL18&lt;=$AR$22,$AS$22=1),$AL18=$AQ$22,$AL18=$AR$22,$AL18=$AQ$23,$AL18=$AR$23,$AL18=$AQ$24,$AL18=$AR$24,$AL18='King Node Model'!$AL$42,$AL18='King Node Model'!$AL$43),OR($AL18=$AN$5,$AL18=$AN$6,$AL18=$AN$7,$AL18=$AN$8,$AL18=$AN$10,$AL18=$AN$11)),NOT(OR(AND('King Node Model'!$P$13="Up",OR($AL18=$AQ$22,$AL18=$AQ$23,$AL18=$AQ$24,$AL18='King Node Model'!$AM$20,$AL18='King Node Model'!$AM$21,$AL18='King Node Model'!$AM$22),OR(AND('King Node Model'!$B$23-$AL18&gt;=0,'King Node Model'!$B$23-$AL18&lt;=5),AND('King Node Model'!$C$23-$AL18&gt;=0,'King Node Model'!$C$23-$AL18&lt;=5))),AND('King Node Model'!$P$13="Down",OR($AL18=$AR$22,$AL18=$AR$23,$AL18=$AR$24,$AL18='King Node Model'!$AN$20,$AL18='King Node Model'!$AN$21,$AL18='King Node Model'!$AN$22),OR(AND($AL18-'King Node Model'!$B$23&gt;=0,$AL18-'King Node Model'!$B$23&lt;=5),AND($AL18-'King Node Model'!$C$24&gt;=0,$AL18-'King Node Model'!$C$24&lt;=5)))))),AND(AND(ISNUMBER($AL18),OR(AND($AL18&gt;='King Node Model'!$AM$20,$AL18&lt;='King Node Model'!$AN$20,$AS$23=1),$AL18='King Node Model'!$AM$20,$AL18='King Node Model'!$AN$20,$AL18='King Node Model'!$AM$21,$AL18='King Node Model'!$AN$21,$AL18='King Node Model'!$AM$22,$AL18='King Node Model'!$AN$22),NOT(OR($AL18=$AN$5,$AL18=$AN$6,$AL18=$AN$7,$AL18=$AN$8,$AL18=$AN$10,$AL18=$AN$11))),NOT(AND(ISNUMBER('King Node Model'!$F$24),$AL18='King Node Model'!$F$24,IFERROR(INDEX('Level Engine'!$JN$9:$JN$55,MATCH($AL18,'Level Engine'!$AA$9:$AA$55,0)),0)&lt;&gt;1))),AND(AND(ISNUMBER($AL18),OR(AND($AL18&gt;='King Node Model'!$AM$20,$AL18&lt;='King Node Model'!$AN$20,$AS$23=1),$AL18='King Node Model'!$AM$20,$AL18='King Node Model'!$AN$20,$AL18='King Node Model'!$AM$21,$AL18='King Node Model'!$AN$21,$AL18='King Node Model'!$AM$22,$AL18='King Node Model'!$AN$22,$AL18='King Node Model'!$AL$49,$AL18='King Node Model'!$AL$50),OR($AL18=$AN$5,$AL18=$AN$6,$AL18=$AN$7,$AL18=$AN$8,$AL18=$AN$10,$AL18=$AN$11)),NOT(OR(AND('King Node Model'!$P$13="Up",OR($AL18=$AQ$22,$AL18=$AQ$23,$AL18=$AQ$24,$AL18='King Node Model'!$AM$20,$AL18='King Node Model'!$AM$21,$AL18='King Node Model'!$AM$22),OR(AND('King Node Model'!$B$23-$AL18&gt;=0,'King Node Model'!$B$23-$AL18&lt;=5),AND('King Node Model'!$C$23-$AL18&gt;=0,'King Node Model'!$C$23-$AL18&lt;=5))),AND('King Node Model'!$P$13="Down",OR($AL18=$AR$22,$AL18=$AR$23,$AL18=$AR$24,$AL18='King Node Model'!$AN$20,$AL18='King Node Model'!$AN$21,$AL18='King Node Model'!$AN$22),OR(AND($AL18-'King Node Model'!$B$23&gt;=0,$AL18-'King Node Model'!$B$23&lt;=5),AND($AL18-'King Node Model'!$C$24&gt;=0,$AL18-'King Node Model'!$C$24&lt;=5))))))),OR(COUNTIF('Level Engine'!$W$9:$W$14,$AL18)&gt;0,COUNTIF('Level Engine'!$W$18:$W$23,$AL18)&gt;0)),1,0))</f>
        <v>0</v>
      </c>
      <c r="AZ18" s="1">
        <f t="shared" si="1"/>
        <v>0</v>
      </c>
      <c r="BB18" s="1">
        <f>IF(OR(AND($AL18='King Node Model'!$AL$42,$AP$45&lt;&gt;"RASP"),AND($AL18='King Node Model'!$AL$43,$AP$46&lt;&gt;"RASP"),AND($AL18='King Node Model'!$AL$49,$AP$52&lt;&gt;"RASP"),AND($AL18='King Node Model'!$AL$50,$AP$53&lt;&gt;"RASP"),AND($AL18='King Node Model'!$AL$44,$AP$47&lt;&gt;"RASP"),AND($AL18='King Node Model'!$AL$51,$AP$54&lt;&gt;"RASP")),0,IF(AND(AND(ISNUMBER($AL18),OR(AND($AL18&gt;=$AQ$22,$AL18&lt;=$AR$22,$AP$45="RASP"),AND($AL18&gt;=$AQ$23,$AL18&lt;=$AR$23,$AP$46="RASP"),AND($AL18&gt;=$AQ$24,$AL18&lt;=$AR$24,$AP$47="RASP"),AND($AL18&gt;='King Node Model'!$AM$20,$AL18&lt;='King Node Model'!$AN$20,$AP$52="RASP",NOT($L$52=$AW$52)),AND($AL18='King Node Model'!$B$23,$AP$52="RASP",$L$52=$AW$52),AND($AL18&gt;='King Node Model'!$AM$21,$AL18&lt;='King Node Model'!$AN$21,$AP$53="RASP",NOT($L$53=$AW$53)),AND($AL18='King Node Model'!$B$23,$AP$53="RASP",$L$53=$AW$53),AND($AL18&gt;='King Node Model'!$AM$22,$AL18&lt;='King Node Model'!$AN$22,$AP$54="RASP"),AND($AL18&gt;=IFERROR(INDEX('Level Engine'!$AT$9:$AT$55,MATCH('King Node Model'!$AL$42,'Level Engine'!$AA$9:$AA$55,0)),""),$AL18&lt;=IFERROR(INDEX('Level Engine'!$AU$9:$AU$55,MATCH('King Node Model'!$AL$42,'Level Engine'!$AA$9:$AA$55,0)),""),$AP$45="RASP"),AND($AL18&gt;=IFERROR(INDEX('Level Engine'!$AT$9:$AT$55,MATCH('King Node Model'!$AL$43,'Level Engine'!$AA$9:$AA$55,0)),""),$AL18&lt;=IFERROR(INDEX('Level Engine'!$AU$9:$AU$55,MATCH('King Node Model'!$AL$43,'Level Engine'!$AA$9:$AA$55,0)),""),$AP$46="RASP"),AND($AL18&gt;=IFERROR(INDEX('Level Engine'!$AT$9:$AT$55,MATCH('King Node Model'!$AL$44,'Level Engine'!$AA$9:$AA$55,0)),""),$AL18&lt;=IFERROR(INDEX('Level Engine'!$AU$9:$AU$55,MATCH('King Node Model'!$AL$44,'Level Engine'!$AA$9:$AA$55,0)),""),$AP$47="RASP"),AND($AL18&gt;=IFERROR(INDEX('Level Engine'!$AT$9:$AT$55,MATCH('King Node Model'!$AL$49,'Level Engine'!$AA$9:$AA$55,0)),""),$AL18&lt;=IFERROR(INDEX('Level Engine'!$AU$9:$AU$55,MATCH('King Node Model'!$AL$49,'Level Engine'!$AA$9:$AA$55,0)),""),$AP$52="RASP",NOT($L$52=$AW$52)),AND($AL18&gt;=IFERROR(INDEX('Level Engine'!$AT$9:$AT$55,MATCH('King Node Model'!$AL$50,'Level Engine'!$AA$9:$AA$55,0)),""),$AL18&lt;=IFERROR(INDEX('Level Engine'!$AU$9:$AU$55,MATCH('King Node Model'!$AL$50,'Level Engine'!$AA$9:$AA$55,0)),""),$AP$53="RASP",NOT($L$53=$AW$53)),AND($AL18&gt;=IFERROR(INDEX('Level Engine'!$AT$9:$AT$55,MATCH('King Node Model'!$AL$51,'Level Engine'!$AA$9:$AA$55,0)),""),$AL18&lt;=IFERROR(INDEX('Level Engine'!$AU$9:$AU$55,MATCH('King Node Model'!$AL$51,'Level Engine'!$AA$9:$AA$55,0)),""),$AP$54="RASP"))),NOT(AND(ISNUMBER('King Node Model'!$F$24),$AL18='King Node Model'!$F$24,IFERROR(INDEX('Level Engine'!$JN$9:$JN$55,MATCH($AL18,'Level Engine'!$AA$9:$AA$55,0)),0)&lt;&gt;1,$AL18&lt;&gt;'King Node Model'!$AL$42,$AL18&lt;&gt;'King Node Model'!$AL$43,$AL18&lt;&gt;'King Node Model'!$AL$44,$AL18&lt;&gt;'King Node Model'!$AL$49,$AL18&lt;&gt;'King Node Model'!$AL$50,$AL18&lt;&gt;'King Node Model'!$AL$51))),1,0))</f>
        <v>0</v>
      </c>
      <c r="CO18">
        <f>IF(NOT(ISNUMBER($AL18)),"",IF(NOT(ISNUMBER(IFERROR(INDEX('Level Engine'!$FT$9:$FT$55,MATCH($AL18,'Level Engine'!$AA$9:$AA$55,0)),""))),"",IF(IFERROR(INDEX('Level Engine'!$FT$9:$FT$55,MATCH($AL18,'Level Engine'!$AA$9:$AA$55,0)),"")&lt;0,0,2)+IF(ABS(IFERROR(INDEX('Level Engine'!$FT$9:$FT$55,MATCH($AL18,'Level Engine'!$AA$9:$AA$55,0)),""))&gt;='Level Engine'!$FT$2,2,1)))</f>
        <v>3</v>
      </c>
      <c r="DJ18" t="str">
        <f>IF(ISNUMBER($AL18),IF($AL18='Level Engine'!$BG$122," ⫪","")&amp;IF($AL18='Level Engine'!$BG$118," S↑"&amp;IFERROR(INDEX('Level Engine'!$MV$9:$MV$55,MATCH($AL18,'Level Engine'!$AA$9:$AA$55,0)),""),"")&amp;IF($AL18='Level Engine'!$BG$119," S↓"&amp;IFERROR(INDEX('Level Engine'!$MV$9:$MV$55,MATCH($AL18,'Level Engine'!$AA$9:$AA$55,0)),""),"")&amp;IF($AL18='Level Engine'!$BG$120," D↑","")&amp;IF($AL18='Level Engine'!$BG$121," D↓","")&amp;IFERROR(INDEX('Level Engine'!$LG$9:$LG$55,MATCH($AL18,'Level Engine'!$AA$9:$AA$55,0)),"")&amp;IF(IFERROR(INDEX('Level Engine'!$MA$9:$MA$55,MATCH($AL18,'Level Engine'!$AA$9:$AA$55,0)),0)=1," SAND","")&amp;IF(IFERROR(INDEX('Level Engine'!$LM$9:$LM$55,MATCH($AL18,'Level Engine'!$AA$9:$AA$55,0)),0)&gt;0," TP","")&amp;IFERROR(" r"&amp;MATCH($AL18,'Level Engine'!$W$9:$W$14,0),IFERROR(" s"&amp;MATCH($AL18,'Level Engine'!$W$18:$W$23,0),""))&amp;IF($AL18='Level Engine'!$BG$165," ◇","")&amp;IF(N($DZ18)=1,IF($AL18&gt;'Level Engine'!$BG$165," ⚠ DOM↓"," ⚠ DOM↑")&amp;'Level Engine'!$BG$165,""),"")</f>
        <v xml:space="preserve"> r3</v>
      </c>
      <c r="DK18" t="str">
        <f>IF(AND(ISNUMBER($AL18),OR($AL18='King Node Model'!$AL$42,$AL18='King Node Model'!$AL$43,$AL18='King Node Model'!$AL$44)),IFERROR(MATCH($AL18,'Level Engine'!$W$9:$W$14,0),""),"")</f>
        <v/>
      </c>
      <c r="DL18" t="str">
        <f>IF(AND(ISNUMBER($AL18),OR($AL18='King Node Model'!$AL$49,$AL18='King Node Model'!$AL$50,$AL18='King Node Model'!$AL$51)),IFERROR(MATCH($AL18,'Level Engine'!$W$18:$W$23,0),""),"")</f>
        <v/>
      </c>
      <c r="DM18">
        <f>IF(AND(ISNUMBER($AL18),IFERROR(INDEX('Level Engine'!$LC$9:$LC$55,MATCH($AL18,'Level Engine'!$AA$9:$AA$55,0)),0)=1,OR($AL18=$AN$3,IFERROR(INDEX('Level Engine'!$LB$9:$LB$55,MATCH($AL18,'Level Engine'!$AA$9:$AA$55,0)),0)=1)),1,0)</f>
        <v>0</v>
      </c>
      <c r="DZ18">
        <f>IF(ISNUMBER($AL18),IF(IFERROR(INDEX('Level Engine'!$NJ$9:$NJ$55,MATCH($AL18,'Level Engine'!$AA$9:$AA$55,0)),0)=1,1,0),0)</f>
      </c>
    </row>
    <row r="19" spans="1:117" s="1" customFormat="1" x14ac:dyDescent="0.25">
      <c r="A19" s="7"/>
      <c r="B19" s="8" t="str">
        <f>TEXT(IF(IF('Level Engine'!$GJ$4=1,$AL19='Level Engine'!$GJ$3,AND($AL19-$AM$2&gt;-2.5,$AL19-$AM$2&lt;=2.5)),$AM$2,$AL19),"0")&amp;IF($AL19=$AN$1," ★","")&amp;IF($AL19=$AN$2," ★","")&amp;IF($AL19=$AN$3," ◆","")&amp;IF(AND(ISNUMBER($AN$4),$AL19=$AN$4)," Ⓕ","")&amp;IF(OR(AND(ISNUMBER('Level Engine'!$BG$87),$AL19='Level Engine'!$BG$87),AND(ISNUMBER('Level Engine'!$BG$105),$AL19='Level Engine'!$BG$105))," ζ","")&amp;IF(AND(ISNUMBER($AN$35),$AL19=$AN$35)," ⓏⒼ","")&amp;IF(OR($AL19='Level Engine'!$CP$4,$AL19='Level Engine'!$CP$5,$AL19='Level Engine'!$CP$6,$AL19='Level Engine'!$CP$7)," ☄","")&amp;IF(OR($AL19=$AN$5,$AL19=$AN$8)," ║1","")&amp;IF(OR($AL19=$AN$6,$AL19=$AN$10)," ║2","")&amp;IF(OR($AL19=$AN$7,$AL19=$AN$11)," ║3","")&amp;IF(OR($AL19=$AN$13,$AL19=$AN$16)," ▣1","")&amp;IF(OR($AL19=$AN$14,$AL19=$AN$17)," ▣2","")&amp;IF(OR($AL19=$AN$15,$AL19=$AN$18)," ▣3","")&amp;IF(AND(NOT(OR(AND(ISNUMBER(SEARCH("chop edge",$E$45)),IFERROR(ABS($AL19-'King Node Model'!$AL$42)&lt;=5,FALSE),NOT(ISNUMBER(SEARCH("UNSAFE",$L$45)))),AND(ISNUMBER(SEARCH("chop edge",$E$46)),IFERROR(ABS($AL19-'King Node Model'!$AL$43)&lt;=5,FALSE),NOT(ISNUMBER(SEARCH("UNSAFE",$L$46)))),AND(ISNUMBER(SEARCH("chop edge",$E$52)),IFERROR(ABS($AL19-'King Node Model'!$AL$49)&lt;=5,FALSE),NOT(ISNUMBER(SEARCH("UNSAFE",$L$52)))),AND(ISNUMBER(SEARCH("chop edge",$E$53)),IFERROR(ABS($AL19-'King Node Model'!$AL$50)&lt;=5,FALSE),NOT(ISNUMBER(SEARCH("UNSAFE",$L$53)))))),OR(AND(IFERROR(INDEX('Level Engine'!$IB$9:$IB$55,MATCH('King Node Model'!$AL$49,'Level Engine'!$AA$9:$AA$55,0)),0)&lt;&gt;1,$AL19=IFERROR(INDEX('Level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Engine'!$AA$9:$AA$55,0)),0)&lt;&gt;1,$AL19=IFERROR(INDEX('Level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edge",$E$45)),IFERROR(ABS($AL19-'King Node Model'!$AL$42)&lt;=5,FALSE),NOT(ISNUMBER(SEARCH("UNSAFE",$L$45)))),AND(ISNUMBER(SEARCH("chop edge",$E$46)),IFERROR(ABS($AL19-'King Node Model'!$AL$43)&lt;=5,FALSE),NOT(ISNUMBER(SEARCH("UNSAFE",$L$46)))),AND(ISNUMBER(SEARCH("chop edge",$E$52)),IFERROR(ABS($AL19-'King Node Model'!$AL$49)&lt;=5,FALSE),NOT(ISNUMBER(SEARCH("UNSAFE",$L$52)))),AND(ISNUMBER(SEARCH("chop edge",$E$53)),IFERROR(ABS($AL19-'King Node Model'!$AL$50)&lt;=5,FALSE),NOT(ISNUMBER(SEARCH("UNSAFE",$L$53)))))),OR(AND(IFERROR(INDEX('Level Engine'!$IB$9:$IB$55,MATCH('King Node Model'!$AL$42,'Level Engine'!$AA$9:$AA$55,0)),0)&lt;&gt;1,$AL19=IFERROR(INDEX('Level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Engine'!$AA$9:$AA$55,0)),0)&lt;&gt;1,$AL19=IFERROR(INDEX('Level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ⒷⓁ"),"")&amp;IF(OR(AND($AL19&gt;='King Node Model'!$AM$17,$AL19&lt;='King Node Model'!$AN$17,$AP$45="RASP"),AND($AL19&gt;='King Node Model'!$AM$18,$AL19&lt;='King Node Model'!$AN$18,$AP$46="RASP"),AND($AL19&gt;='King Node Model'!$AM$19,$AL19&lt;='King Node Model'!$AN$19,$AP$47="RASP"),AND($AL19&gt;='King Node Model'!$AM$20,$AL19&lt;='King Node Model'!$AN$20,$AP$52="RASP"),AND($AL19&gt;='King Node Model'!$AM$21,$AL19&lt;='King Node Model'!$AN$21,$AP$53="RASP"),AND($AL19&gt;='King Node Model'!$AM$22,$AL19&lt;='King Node Model'!$AN$22,$AP$54="RASP")),"","")&amp;IF(IF('Level Engine'!$GJ$4=1,$AL19='Level Engine'!$GJ$3,AND($AL19-$AM$2&gt;-2.5,$AL19-$AM$2&lt;=2.5))," ◄","")&amp;IF(IFERROR(INDEX('Level Engine'!$GV$9:$GV$55,MATCH($AL19,'Level Engine'!$AA$9:$AA$55,0)),0)=1," Ⓥ"&amp;IF(IFERROR(INDEX('Level Engine'!$ET$9:$ET$55,MATCH($AL19,'Level Engine'!$AA$9:$AA$55,0)),0)=1,"+",""),"")&amp;IF(OR(AND($AL19=$AN$38,IFERROR(INDEX('Level Engine'!$AN$9:$AN$55,MATCH($AL19,'Level Engine'!$AA$9:$AA$55,0)),0)&lt;&gt;1),$AL19=$AN$39)," ⊙","")&amp;IF(AND(OR('King Node Model'!$A$8="Neg",N('Level Engine'!$BG$72)=1),ABS(MIN($AM$3:$AM$64))&gt;MAX($AM$3:$AM$64),$AN$2&lt;$AM$2,$AL19&lt;$AM$2,ABS($AL19-$AN$2)&lt;=5,IFERROR(VALUE(MID('King Node Model'!$K$26,FIND(":",'King Node Model'!$K$26)-2,2)),0)&gt;=19,IFERROR(INDEX('Level Engine'!$EJ$9:$EJ$55,MATCH($AL19,'Level Engine'!$AA$9:$AA$55,0)),0)=0,$AN$3&gt;$AM$2)," ⟲rev","")&amp;IF($AL19='King Node Model'!$F$24," ⟂","")&amp;$DJ19&amp;IF(IFERROR(INDEX('Level Engine'!$EN$9:$EN$55,MATCH($AL19,'Level Engine'!$AA$9:$AA$55,0)),0)=1," Ⓟ"&amp;IF(AND(OR('King Node Model'!$A$8="Neg",N('Level Engine'!$BG$72)=1),IFERROR(INDEX('Level Engine'!$AN$9:$AN$55,MATCH($AL19,'Level Engine'!$AA$9:$AA$55,0)),0)&lt;&gt;1)," NO-REV",""),"")&amp;IF(AND(ISNUMBER($AL19),OR(AND(ISNUMBER(SEARCH("chop edge",$E$45)),$AL19='King Node Model'!$AL$42),AND(ISNUMBER(SEARCH("chop edge",$E$46)),$AL19='King Node Model'!$AL$43),AND(ISNUMBER(SEARCH("chop edge",$E$52)),$AL19='King Node Model'!$AL$49),AND(ISNUMBER(SEARCH("chop edge",$E$53)),$AL19='King Node Model'!$AL$50)))," ⒸⒺ","")&amp;IF(AND('Level Engine'!$GJ$4=1,OR($AL19='Level Engine'!$GJ$1,$AL19='Level Engine'!$GJ$2)),"","")&amp;IF(ABS(N(IFERROR(INDEX('Level Engine'!$AE$9:$AE$55,MATCH($AL19,'Level Engine'!$AA$9:$AA$55,0)),0)))&gt;='Level Engine'!$BG$85,IF(N(IFERROR(INDEX('Level Engine'!$AE$9:$AE$55,MATCH($AL19,'Level Engine'!$AA$9:$AA$55,0)),0))&gt;0," Δ+"," Δ−"),"")&amp;IFERROR(IF(AND(ISNUMBER(MATCH($AL19,'Level Engine'!$AA$9:$AA$55,0)),ABS(N(IFERROR(INDEX('Level Engine'!$AE$9:$AE$55,MATCH($AL19,'Level Engine'!$AA$9:$AA$55,0)),0)))&lt;'Level Engine'!$BG$85,ABS(N(IFERROR(INDEX('Level Engine'!$AE$9:$AE$55,MATCH($AL19,'Level Engine'!$AA$9:$AA$55,0)),0)))&lt;=ABS(N(IFERROR(INDEX('Level Engine'!$AE$9:$AE$55,MATCH($AL19+5,'Level Engine'!$AA$9:$AA$55,0)),0))),ABS(N(IFERROR(INDEX('Level Engine'!$AE$9:$AE$55,MATCH($AL19,'Level Engine'!$AA$9:$AA$55,0)),0)))&lt;=ABS(N(IFERROR(INDEX('Level Engine'!$AE$9:$AE$55,MATCH($AL19-5,'Level Engine'!$AA$9:$AA$55,0)),0))),OR(AND(ABS(N(IFERROR(INDEX('Level Engine'!$AE$9:$AE$55,MATCH($AL19+5,'Level Engine'!$AA$9:$AA$55,0)),0)))&gt;='Level Engine'!$BG$85,ABS(N(IFERROR(INDEX('Level Engine'!$AE$9:$AE$55,MATCH($AL19,'Level Engine'!$AA$9:$AA$55,0)),0)))&lt;='Level Engine'!$BG$88*ABS(N(IFERROR(INDEX('Level Engine'!$AE$9:$AE$55,MATCH($AL19+5,'Level Engine'!$AA$9:$AA$55,0)),0)))),AND(ABS(N(IFERROR(INDEX('Level Engine'!$AE$9:$AE$55,MATCH($AL19-5,'Level Engine'!$AA$9:$AA$55,0)),0)))&gt;='Level Engine'!$BG$85,ABS(N(IFERROR(INDEX('Level Engine'!$AE$9:$AE$55,MATCH($AL19,'Level Engine'!$AA$9:$AA$55,0)),0)))&lt;='Level Engine'!$BG$88*ABS(N(IFERROR(INDEX('Level Engine'!$AE$9:$AE$55,MATCH($AL19-5,'Level Engine'!$AA$9:$AA$55,0)),0)))))),IF(AND('King Node Model'!$A$8="Pos",N('Level Engine'!$BG$72)&lt;&gt;1),""," ∅"),""),"")&amp;IF(IFERROR(INDEX('Level Engine'!$JD$9:$JD$55,MATCH($AL19,'Level Engine'!$AA$9:$AA$55,0)),"")="P"," P-OI",IF(IFERROR(INDEX('Level Engine'!$JD$9:$JD$55,MATCH($AL19,'Level Engine'!$AA$9:$AA$55,0)),"")="C"," C-OI",""))</f>
        <v>7805 Ⓕ ║2 r2 ∅</v>
      </c>
      <c r="C19" s="9" t="str">
        <f t="shared" si="0"/>
        <v>█████</v>
      </c>
      <c r="D19" t="str">
        <f>IF(NOT(ISNUMBER($AL19)),"",IF(IFERROR(INDEX('Level Engine'!$FS$9:$FS$55,MATCH($AL19,'Level Engine'!$AA$9:$AA$55,0)),0)=1,"⊙",""))</f>
        <v/>
      </c>
      <c r="E19" s="22" t="s">
        <v>13</v>
      </c>
      <c r="F19" s="587" t="s">
        <v>2795</v>
      </c>
      <c r="G19" s="587"/>
      <c r="H19" s="587"/>
      <c r="I19" s="587"/>
      <c r="J19" s="587"/>
      <c r="K19" s="587"/>
      <c r="L19" s="587"/>
      <c r="M19" s="587"/>
      <c r="N19" s="587"/>
      <c r="P19" s="471"/>
      <c r="Q19" s="444" t="s">
        <v>27</v>
      </c>
      <c r="R19" s="580">
        <v>7740</v>
      </c>
      <c r="S19" s="581"/>
      <c r="T19" s="490"/>
      <c r="U19" s="490"/>
      <c r="AL19" s="1">
        <f>'King Node Model'!A45</f>
        <v>7805</v>
      </c>
      <c r="AM19" s="10">
        <f>'King Node Model'!C45</f>
        <v>308525</v>
      </c>
      <c r="AO19" s="10">
        <f>'King Node Model'!B45</f>
        <v>874234</v>
      </c>
      <c r="AY19" s="1">
        <f>IF(AND($B$2="Hide unsafe",$BB19=1),0,IF(AND(OR(AND(AND(ISNUMBER($AL19),OR(AND($AL19&gt;=$AQ$22,$AL19&lt;=$AR$22,$AS$22=1),$AL19=$AQ$22,$AL19=$AR$22,$AL19=$AQ$23,$AL19=$AR$23,$AL19=$AQ$24,$AL19=$AR$24),NOT(OR($AL19=$AN$5,$AL19=$AN$6,$AL19=$AN$7,$AL19=$AN$8,$AL19=$AN$10,$AL19=$AN$11))),NOT(OR(AND('King Node Model'!$P$13="Up",OR($AL19=$AQ$22,$AL19=$AQ$23,$AL19=$AQ$24,$AL19='King Node Model'!$AM$20,$AL19='King Node Model'!$AM$21,$AL19='King Node Model'!$AM$22),OR(AND('King Node Model'!$B$23-$AL19&gt;=0,'King Node Model'!$B$23-$AL19&lt;=5),AND('King Node Model'!$C$23-$AL19&gt;=0,'King Node Model'!$C$23-$AL19&lt;=5))),AND('King Node Model'!$P$13="Down",OR($AL19=$AR$22,$AL19=$AR$23,$AL19=$AR$24,$AL19='King Node Model'!$AN$20,$AL19='King Node Model'!$AN$21,$AL19='King Node Model'!$AN$22),OR(AND($AL19-'King Node Model'!$B$23&gt;=0,$AL19-'King Node Model'!$B$23&lt;=5),AND($AL19-'King Node Model'!$C$24&gt;=0,$AL19-'King Node Model'!$C$24&lt;=5)))))),AND(AND(ISNUMBER($AL19),OR(AND($AL19&gt;=$AQ$22,$AL19&lt;=$AR$22,$AS$22=1),$AL19=$AQ$22,$AL19=$AR$22,$AL19=$AQ$23,$AL19=$AR$23,$AL19=$AQ$24,$AL19=$AR$24,$AL19='King Node Model'!$AL$42,$AL19='King Node Model'!$AL$43),OR($AL19=$AN$5,$AL19=$AN$6,$AL19=$AN$7,$AL19=$AN$8,$AL19=$AN$10,$AL19=$AN$11)),NOT(OR(AND('King Node Model'!$P$13="Up",OR($AL19=$AQ$22,$AL19=$AQ$23,$AL19=$AQ$24,$AL19='King Node Model'!$AM$20,$AL19='King Node Model'!$AM$21,$AL19='King Node Model'!$AM$22),OR(AND('King Node Model'!$B$23-$AL19&gt;=0,'King Node Model'!$B$23-$AL19&lt;=5),AND('King Node Model'!$C$23-$AL19&gt;=0,'King Node Model'!$C$23-$AL19&lt;=5))),AND('King Node Model'!$P$13="Down",OR($AL19=$AR$22,$AL19=$AR$23,$AL19=$AR$24,$AL19='King Node Model'!$AN$20,$AL19='King Node Model'!$AN$21,$AL19='King Node Model'!$AN$22),OR(AND($AL19-'King Node Model'!$B$23&gt;=0,$AL19-'King Node Model'!$B$23&lt;=5),AND($AL19-'King Node Model'!$C$24&gt;=0,$AL19-'King Node Model'!$C$24&lt;=5)))))),AND(AND(ISNUMBER($AL19),OR(AND($AL19&gt;='King Node Model'!$AM$20,$AL19&lt;='King Node Model'!$AN$20,$AS$23=1),$AL19='King Node Model'!$AM$20,$AL19='King Node Model'!$AN$20,$AL19='King Node Model'!$AM$21,$AL19='King Node Model'!$AN$21,$AL19='King Node Model'!$AM$22,$AL19='King Node Model'!$AN$22),NOT(OR($AL19=$AN$5,$AL19=$AN$6,$AL19=$AN$7,$AL19=$AN$8,$AL19=$AN$10,$AL19=$AN$11))),NOT(AND(ISNUMBER('King Node Model'!$F$24),$AL19='King Node Model'!$F$24,IFERROR(INDEX('Level Engine'!$JN$9:$JN$55,MATCH($AL19,'Level Engine'!$AA$9:$AA$55,0)),0)&lt;&gt;1))),AND(AND(ISNUMBER($AL19),OR(AND($AL19&gt;='King Node Model'!$AM$20,$AL19&lt;='King Node Model'!$AN$20,$AS$23=1),$AL19='King Node Model'!$AM$20,$AL19='King Node Model'!$AN$20,$AL19='King Node Model'!$AM$21,$AL19='King Node Model'!$AN$21,$AL19='King Node Model'!$AM$22,$AL19='King Node Model'!$AN$22,$AL19='King Node Model'!$AL$49,$AL19='King Node Model'!$AL$50),OR($AL19=$AN$5,$AL19=$AN$6,$AL19=$AN$7,$AL19=$AN$8,$AL19=$AN$10,$AL19=$AN$11)),NOT(OR(AND('King Node Model'!$P$13="Up",OR($AL19=$AQ$22,$AL19=$AQ$23,$AL19=$AQ$24,$AL19='King Node Model'!$AM$20,$AL19='King Node Model'!$AM$21,$AL19='King Node Model'!$AM$22),OR(AND('King Node Model'!$B$23-$AL19&gt;=0,'King Node Model'!$B$23-$AL19&lt;=5),AND('King Node Model'!$C$23-$AL19&gt;=0,'King Node Model'!$C$23-$AL19&lt;=5))),AND('King Node Model'!$P$13="Down",OR($AL19=$AR$22,$AL19=$AR$23,$AL19=$AR$24,$AL19='King Node Model'!$AN$20,$AL19='King Node Model'!$AN$21,$AL19='King Node Model'!$AN$22),OR(AND($AL19-'King Node Model'!$B$23&gt;=0,$AL19-'King Node Model'!$B$23&lt;=5),AND($AL19-'King Node Model'!$C$24&gt;=0,$AL19-'King Node Model'!$C$24&lt;=5))))))),OR(COUNTIF('Level Engine'!$W$9:$W$14,$AL19)&gt;0,COUNTIF('Level Engine'!$W$18:$W$23,$AL19)&gt;0)),1,0))</f>
        <v>0</v>
      </c>
      <c r="AZ19" s="1">
        <f t="shared" si="1"/>
        <v>0</v>
      </c>
      <c r="BB19" s="1">
        <f>IF(OR(AND($AL19='King Node Model'!$AL$42,$AP$45&lt;&gt;"RASP"),AND($AL19='King Node Model'!$AL$43,$AP$46&lt;&gt;"RASP"),AND($AL19='King Node Model'!$AL$49,$AP$52&lt;&gt;"RASP"),AND($AL19='King Node Model'!$AL$50,$AP$53&lt;&gt;"RASP"),AND($AL19='King Node Model'!$AL$44,$AP$47&lt;&gt;"RASP"),AND($AL19='King Node Model'!$AL$51,$AP$54&lt;&gt;"RASP")),0,IF(AND(AND(ISNUMBER($AL19),OR(AND($AL19&gt;=$AQ$22,$AL19&lt;=$AR$22,$AP$45="RASP"),AND($AL19&gt;=$AQ$23,$AL19&lt;=$AR$23,$AP$46="RASP"),AND($AL19&gt;=$AQ$24,$AL19&lt;=$AR$24,$AP$47="RASP"),AND($AL19&gt;='King Node Model'!$AM$20,$AL19&lt;='King Node Model'!$AN$20,$AP$52="RASP",NOT($L$52=$AW$52)),AND($AL19='King Node Model'!$B$23,$AP$52="RASP",$L$52=$AW$52),AND($AL19&gt;='King Node Model'!$AM$21,$AL19&lt;='King Node Model'!$AN$21,$AP$53="RASP",NOT($L$53=$AW$53)),AND($AL19='King Node Model'!$B$23,$AP$53="RASP",$L$53=$AW$53),AND($AL19&gt;='King Node Model'!$AM$22,$AL19&lt;='King Node Model'!$AN$22,$AP$54="RASP"),AND($AL19&gt;=IFERROR(INDEX('Level Engine'!$AT$9:$AT$55,MATCH('King Node Model'!$AL$42,'Level Engine'!$AA$9:$AA$55,0)),""),$AL19&lt;=IFERROR(INDEX('Level Engine'!$AU$9:$AU$55,MATCH('King Node Model'!$AL$42,'Level Engine'!$AA$9:$AA$55,0)),""),$AP$45="RASP"),AND($AL19&gt;=IFERROR(INDEX('Level Engine'!$AT$9:$AT$55,MATCH('King Node Model'!$AL$43,'Level Engine'!$AA$9:$AA$55,0)),""),$AL19&lt;=IFERROR(INDEX('Level Engine'!$AU$9:$AU$55,MATCH('King Node Model'!$AL$43,'Level Engine'!$AA$9:$AA$55,0)),""),$AP$46="RASP"),AND($AL19&gt;=IFERROR(INDEX('Level Engine'!$AT$9:$AT$55,MATCH('King Node Model'!$AL$44,'Level Engine'!$AA$9:$AA$55,0)),""),$AL19&lt;=IFERROR(INDEX('Level Engine'!$AU$9:$AU$55,MATCH('King Node Model'!$AL$44,'Level Engine'!$AA$9:$AA$55,0)),""),$AP$47="RASP"),AND($AL19&gt;=IFERROR(INDEX('Level Engine'!$AT$9:$AT$55,MATCH('King Node Model'!$AL$49,'Level Engine'!$AA$9:$AA$55,0)),""),$AL19&lt;=IFERROR(INDEX('Level Engine'!$AU$9:$AU$55,MATCH('King Node Model'!$AL$49,'Level Engine'!$AA$9:$AA$55,0)),""),$AP$52="RASP",NOT($L$52=$AW$52)),AND($AL19&gt;=IFERROR(INDEX('Level Engine'!$AT$9:$AT$55,MATCH('King Node Model'!$AL$50,'Level Engine'!$AA$9:$AA$55,0)),""),$AL19&lt;=IFERROR(INDEX('Level Engine'!$AU$9:$AU$55,MATCH('King Node Model'!$AL$50,'Level Engine'!$AA$9:$AA$55,0)),""),$AP$53="RASP",NOT($L$53=$AW$53)),AND($AL19&gt;=IFERROR(INDEX('Level Engine'!$AT$9:$AT$55,MATCH('King Node Model'!$AL$51,'Level Engine'!$AA$9:$AA$55,0)),""),$AL19&lt;=IFERROR(INDEX('Level Engine'!$AU$9:$AU$55,MATCH('King Node Model'!$AL$51,'Level Engine'!$AA$9:$AA$55,0)),""),$AP$54="RASP"))),NOT(AND(ISNUMBER('King Node Model'!$F$24),$AL19='King Node Model'!$F$24,IFERROR(INDEX('Level Engine'!$JN$9:$JN$55,MATCH($AL19,'Level Engine'!$AA$9:$AA$55,0)),0)&lt;&gt;1,$AL19&lt;&gt;'King Node Model'!$AL$42,$AL19&lt;&gt;'King Node Model'!$AL$43,$AL19&lt;&gt;'King Node Model'!$AL$44,$AL19&lt;&gt;'King Node Model'!$AL$49,$AL19&lt;&gt;'King Node Model'!$AL$50,$AL19&lt;&gt;'King Node Model'!$AL$51))),1,0))</f>
        <v>1</v>
      </c>
      <c r="CO19">
        <f>IF(NOT(ISNUMBER($AL19)),"",IF(NOT(ISNUMBER(IFERROR(INDEX('Level Engine'!$FT$9:$FT$55,MATCH($AL19,'Level Engine'!$AA$9:$AA$55,0)),""))),"",IF(IFERROR(INDEX('Level Engine'!$FT$9:$FT$55,MATCH($AL19,'Level Engine'!$AA$9:$AA$55,0)),"")&lt;0,0,2)+IF(ABS(IFERROR(INDEX('Level Engine'!$FT$9:$FT$55,MATCH($AL19,'Level Engine'!$AA$9:$AA$55,0)),""))&gt;='Level Engine'!$FT$2,2,1)))</f>
        <v>3</v>
      </c>
      <c r="DJ19" t="str">
        <f>IF(ISNUMBER($AL19),IF($AL19='Level Engine'!$BG$122," ⫪","")&amp;IF($AL19='Level Engine'!$BG$118," S↑"&amp;IFERROR(INDEX('Level Engine'!$MV$9:$MV$55,MATCH($AL19,'Level Engine'!$AA$9:$AA$55,0)),""),"")&amp;IF($AL19='Level Engine'!$BG$119," S↓"&amp;IFERROR(INDEX('Level Engine'!$MV$9:$MV$55,MATCH($AL19,'Level Engine'!$AA$9:$AA$55,0)),""),"")&amp;IF($AL19='Level Engine'!$BG$120," D↑","")&amp;IF($AL19='Level Engine'!$BG$121," D↓","")&amp;IFERROR(INDEX('Level Engine'!$LG$9:$LG$55,MATCH($AL19,'Level Engine'!$AA$9:$AA$55,0)),"")&amp;IF(IFERROR(INDEX('Level Engine'!$MA$9:$MA$55,MATCH($AL19,'Level Engine'!$AA$9:$AA$55,0)),0)=1," SAND","")&amp;IF(IFERROR(INDEX('Level Engine'!$LM$9:$LM$55,MATCH($AL19,'Level Engine'!$AA$9:$AA$55,0)),0)&gt;0," TP","")&amp;IFERROR(" r"&amp;MATCH($AL19,'Level Engine'!$W$9:$W$14,0),IFERROR(" s"&amp;MATCH($AL19,'Level Engine'!$W$18:$W$23,0),""))&amp;IF($AL19='Level Engine'!$BG$165," ◇","")&amp;IF(N($DZ19)=1,IF($AL19&gt;'Level Engine'!$BG$165," ⚠ DOM↓"," ⚠ DOM↑")&amp;'Level Engine'!$BG$165,""),"")</f>
        <v xml:space="preserve"> r2</v>
      </c>
      <c r="DK19">
        <f>IF(AND(ISNUMBER($AL19),OR($AL19='King Node Model'!$AL$42,$AL19='King Node Model'!$AL$43,$AL19='King Node Model'!$AL$44)),IFERROR(MATCH($AL19,'Level Engine'!$W$9:$W$14,0),""),"")</f>
        <v>2</v>
      </c>
      <c r="DL19" t="str">
        <f>IF(AND(ISNUMBER($AL19),OR($AL19='King Node Model'!$AL$49,$AL19='King Node Model'!$AL$50,$AL19='King Node Model'!$AL$51)),IFERROR(MATCH($AL19,'Level Engine'!$W$18:$W$23,0),""),"")</f>
        <v/>
      </c>
      <c r="DM19">
        <f>IF(AND(ISNUMBER($AL19),IFERROR(INDEX('Level Engine'!$LC$9:$LC$55,MATCH($AL19,'Level Engine'!$AA$9:$AA$55,0)),0)=1,OR($AL19=$AN$3,IFERROR(INDEX('Level Engine'!$LB$9:$LB$55,MATCH($AL19,'Level Engine'!$AA$9:$AA$55,0)),0)=1)),1,0)</f>
        <v>0</v>
      </c>
      <c r="DZ19">
        <f>IF(ISNUMBER($AL19),IF(IFERROR(INDEX('Level Engine'!$NJ$9:$NJ$55,MATCH($AL19,'Level Engine'!$AA$9:$AA$55,0)),0)=1,1,0),0)</f>
      </c>
    </row>
    <row r="20" spans="1:117" s="418" customFormat="1" ht="15" customHeight="1" x14ac:dyDescent="0.25">
      <c r="A20" s="7" t="str">
        <f t="shared" ref="A20:A49" si="3">IF(AND(ISNUMBER($AM20),$AM20&lt;0,ISNUMBER($AO20),$AO$1&gt;0),REPT("█",ROUND($AO20/$AO$1*26,0)),"")</f>
        <v>██████████████████████</v>
      </c>
      <c r="B20" s="8" t="str">
        <f>TEXT(IF(IF('Level Engine'!$GJ$4=1,$AL20='Level Engine'!$GJ$3,AND($AL20-$AM$2&gt;-2.5,$AL20-$AM$2&lt;=2.5)),$AM$2,$AL20),"0")&amp;IF($AL20=$AN$1," ★","")&amp;IF($AL20=$AN$2," ★","")&amp;IF($AL20=$AN$3," ◆","")&amp;IF(AND(ISNUMBER($AN$4),$AL20=$AN$4)," Ⓕ","")&amp;IF(OR(AND(ISNUMBER('Level Engine'!$BG$87),$AL20='Level Engine'!$BG$87),AND(ISNUMBER('Level Engine'!$BG$105),$AL20='Level Engine'!$BG$105))," ζ","")&amp;IF(AND(ISNUMBER($AN$35),$AL20=$AN$35)," ⓏⒼ","")&amp;IF(OR($AL20='Level Engine'!$CP$4,$AL20='Level Engine'!$CP$5,$AL20='Level Engine'!$CP$6,$AL20='Level Engine'!$CP$7)," ☄","")&amp;IF(OR($AL20=$AN$5,$AL20=$AN$8)," ║1","")&amp;IF(OR($AL20=$AN$6,$AL20=$AN$10)," ║2","")&amp;IF(OR($AL20=$AN$7,$AL20=$AN$11)," ║3","")&amp;IF(OR($AL20=$AN$13,$AL20=$AN$16)," ▣1","")&amp;IF(OR($AL20=$AN$14,$AL20=$AN$17)," ▣2","")&amp;IF(OR($AL20=$AN$15,$AL20=$AN$18)," ▣3","")&amp;IF(AND(NOT(OR(AND(ISNUMBER(SEARCH("chop edge",$E$45)),IFERROR(ABS($AL20-'King Node Model'!$AL$42)&lt;=5,FALSE),NOT(ISNUMBER(SEARCH("UNSAFE",$L$45)))),AND(ISNUMBER(SEARCH("chop edge",$E$46)),IFERROR(ABS($AL20-'King Node Model'!$AL$43)&lt;=5,FALSE),NOT(ISNUMBER(SEARCH("UNSAFE",$L$46)))),AND(ISNUMBER(SEARCH("chop edge",$E$52)),IFERROR(ABS($AL20-'King Node Model'!$AL$49)&lt;=5,FALSE),NOT(ISNUMBER(SEARCH("UNSAFE",$L$52)))),AND(ISNUMBER(SEARCH("chop edge",$E$53)),IFERROR(ABS($AL20-'King Node Model'!$AL$50)&lt;=5,FALSE),NOT(ISNUMBER(SEARCH("UNSAFE",$L$53)))))),OR(AND(IFERROR(INDEX('Level Engine'!$IB$9:$IB$55,MATCH('King Node Model'!$AL$49,'Level Engine'!$AA$9:$AA$55,0)),0)&lt;&gt;1,$AL20=IFERROR(INDEX('Level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Engine'!$AA$9:$AA$55,0)),0)&lt;&gt;1,$AL20=IFERROR(INDEX('Level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edge",$E$45)),IFERROR(ABS($AL20-'King Node Model'!$AL$42)&lt;=5,FALSE),NOT(ISNUMBER(SEARCH("UNSAFE",$L$45)))),AND(ISNUMBER(SEARCH("chop edge",$E$46)),IFERROR(ABS($AL20-'King Node Model'!$AL$43)&lt;=5,FALSE),NOT(ISNUMBER(SEARCH("UNSAFE",$L$46)))),AND(ISNUMBER(SEARCH("chop edge",$E$52)),IFERROR(ABS($AL20-'King Node Model'!$AL$49)&lt;=5,FALSE),NOT(ISNUMBER(SEARCH("UNSAFE",$L$52)))),AND(ISNUMBER(SEARCH("chop edge",$E$53)),IFERROR(ABS($AL20-'King Node Model'!$AL$50)&lt;=5,FALSE),NOT(ISNUMBER(SEARCH("UNSAFE",$L$53)))))),OR(AND(IFERROR(INDEX('Level Engine'!$IB$9:$IB$55,MATCH('King Node Model'!$AL$42,'Level Engine'!$AA$9:$AA$55,0)),0)&lt;&gt;1,$AL20=IFERROR(INDEX('Level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Engine'!$AA$9:$AA$55,0)),0)&lt;&gt;1,$AL20=IFERROR(INDEX('Level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ⒷⓁ"),"")&amp;IF(OR(AND($AL20&gt;='King Node Model'!$AM$17,$AL20&lt;='King Node Model'!$AN$17,$AP$45="RASP"),AND($AL20&gt;='King Node Model'!$AM$18,$AL20&lt;='King Node Model'!$AN$18,$AP$46="RASP"),AND($AL20&gt;='King Node Model'!$AM$19,$AL20&lt;='King Node Model'!$AN$19,$AP$47="RASP"),AND($AL20&gt;='King Node Model'!$AM$20,$AL20&lt;='King Node Model'!$AN$20,$AP$52="RASP"),AND($AL20&gt;='King Node Model'!$AM$21,$AL20&lt;='King Node Model'!$AN$21,$AP$53="RASP"),AND($AL20&gt;='King Node Model'!$AM$22,$AL20&lt;='King Node Model'!$AN$22,$AP$54="RASP")),"","")&amp;IF(IF('Level Engine'!$GJ$4=1,$AL20='Level Engine'!$GJ$3,AND($AL20-$AM$2&gt;-2.5,$AL20-$AM$2&lt;=2.5))," ◄","")&amp;IF(IFERROR(INDEX('Level Engine'!$GV$9:$GV$55,MATCH($AL20,'Level Engine'!$AA$9:$AA$55,0)),0)=1," Ⓥ"&amp;IF(IFERROR(INDEX('Level Engine'!$ET$9:$ET$55,MATCH($AL20,'Level Engine'!$AA$9:$AA$55,0)),0)=1,"+",""),"")&amp;IF(OR(AND($AL20=$AN$38,IFERROR(INDEX('Level Engine'!$AN$9:$AN$55,MATCH($AL20,'Level Engine'!$AA$9:$AA$55,0)),0)&lt;&gt;1),$AL20=$AN$39)," ⊙","")&amp;IF(AND(OR('King Node Model'!$A$8="Neg",N('Level Engine'!$BG$72)=1),ABS(MIN($AM$3:$AM$64))&gt;MAX($AM$3:$AM$64),$AN$2&lt;$AM$2,$AL20&lt;$AM$2,ABS($AL20-$AN$2)&lt;=5,IFERROR(VALUE(MID('King Node Model'!$K$26,FIND(":",'King Node Model'!$K$26)-2,2)),0)&gt;=19,IFERROR(INDEX('Level Engine'!$EJ$9:$EJ$55,MATCH($AL20,'Level Engine'!$AA$9:$AA$55,0)),0)=0,$AN$3&gt;$AM$2)," ⟲rev","")&amp;IF($AL20='King Node Model'!$F$24," ⟂","")&amp;$DJ20&amp;IF(IFERROR(INDEX('Level Engine'!$EN$9:$EN$55,MATCH($AL20,'Level Engine'!$AA$9:$AA$55,0)),0)=1," Ⓟ"&amp;IF(AND(OR('King Node Model'!$A$8="Neg",N('Level Engine'!$BG$72)=1),IFERROR(INDEX('Level Engine'!$AN$9:$AN$55,MATCH($AL20,'Level Engine'!$AA$9:$AA$55,0)),0)&lt;&gt;1)," NO-REV",""),"")&amp;IF(AND(ISNUMBER($AL20),OR(AND(ISNUMBER(SEARCH("chop edge",$E$45)),$AL20='King Node Model'!$AL$42),AND(ISNUMBER(SEARCH("chop edge",$E$46)),$AL20='King Node Model'!$AL$43),AND(ISNUMBER(SEARCH("chop edge",$E$52)),$AL20='King Node Model'!$AL$49),AND(ISNUMBER(SEARCH("chop edge",$E$53)),$AL20='King Node Model'!$AL$50)))," ⒸⒺ","")&amp;IF(AND('Level Engine'!$GJ$4=1,OR($AL20='Level Engine'!$GJ$1,$AL20='Level Engine'!$GJ$2)),"","")&amp;IF(ABS(N(IFERROR(INDEX('Level Engine'!$AE$9:$AE$55,MATCH($AL20,'Level Engine'!$AA$9:$AA$55,0)),0)))&gt;='Level Engine'!$BG$85,IF(N(IFERROR(INDEX('Level Engine'!$AE$9:$AE$55,MATCH($AL20,'Level Engine'!$AA$9:$AA$55,0)),0))&gt;0," Δ+"," Δ−"),"")&amp;IFERROR(IF(AND(ISNUMBER(MATCH($AL20,'Level Engine'!$AA$9:$AA$55,0)),ABS(N(IFERROR(INDEX('Level Engine'!$AE$9:$AE$55,MATCH($AL20,'Level Engine'!$AA$9:$AA$55,0)),0)))&lt;'Level Engine'!$BG$85,ABS(N(IFERROR(INDEX('Level Engine'!$AE$9:$AE$55,MATCH($AL20,'Level Engine'!$AA$9:$AA$55,0)),0)))&lt;=ABS(N(IFERROR(INDEX('Level Engine'!$AE$9:$AE$55,MATCH($AL20+5,'Level Engine'!$AA$9:$AA$55,0)),0))),ABS(N(IFERROR(INDEX('Level Engine'!$AE$9:$AE$55,MATCH($AL20,'Level Engine'!$AA$9:$AA$55,0)),0)))&lt;=ABS(N(IFERROR(INDEX('Level Engine'!$AE$9:$AE$55,MATCH($AL20-5,'Level Engine'!$AA$9:$AA$55,0)),0))),OR(AND(ABS(N(IFERROR(INDEX('Level Engine'!$AE$9:$AE$55,MATCH($AL20+5,'Level Engine'!$AA$9:$AA$55,0)),0)))&gt;='Level Engine'!$BG$85,ABS(N(IFERROR(INDEX('Level Engine'!$AE$9:$AE$55,MATCH($AL20,'Level Engine'!$AA$9:$AA$55,0)),0)))&lt;='Level Engine'!$BG$88*ABS(N(IFERROR(INDEX('Level Engine'!$AE$9:$AE$55,MATCH($AL20+5,'Level Engine'!$AA$9:$AA$55,0)),0)))),AND(ABS(N(IFERROR(INDEX('Level Engine'!$AE$9:$AE$55,MATCH($AL20-5,'Level Engine'!$AA$9:$AA$55,0)),0)))&gt;='Level Engine'!$BG$85,ABS(N(IFERROR(INDEX('Level Engine'!$AE$9:$AE$55,MATCH($AL20,'Level Engine'!$AA$9:$AA$55,0)),0)))&lt;='Level Engine'!$BG$88*ABS(N(IFERROR(INDEX('Level Engine'!$AE$9:$AE$55,MATCH($AL20-5,'Level Engine'!$AA$9:$AA$55,0)),0)))))),IF(AND('King Node Model'!$A$8="Pos",N('Level Engine'!$BG$72)&lt;&gt;1),""," ∅"),""),"")&amp;IF(IFERROR(INDEX('Level Engine'!$JD$9:$JD$55,MATCH($AL20,'Level Engine'!$AA$9:$AA$55,0)),"")="P"," P-OI",IF(IFERROR(INDEX('Level Engine'!$JD$9:$JD$55,MATCH($AL20,'Level Engine'!$AA$9:$AA$55,0)),"")="C"," C-OI",""))</f>
        <v>7800 ⊙ D↓ r1 Δ−</v>
      </c>
      <c r="C20" s="9" t="str">
        <f t="shared" si="0"/>
        <v/>
      </c>
      <c r="D20" t="str">
        <f>IF(NOT(ISNUMBER($AL20)),"",IF(IFERROR(INDEX('Level Engine'!$FS$9:$FS$55,MATCH($AL20,'Level Engine'!$AA$9:$AA$55,0)),0)=1,"⊙",""))</f>
        <v/>
      </c>
      <c r="E20" s="22" t="s">
        <v>1545</v>
      </c>
      <c r="F20" s="421" t="s">
        <v>2798</v>
      </c>
      <c r="G20" s="421"/>
      <c r="H20" s="421"/>
      <c r="I20" s="421"/>
      <c r="J20" s="421"/>
      <c r="K20" s="534"/>
      <c r="L20" s="421"/>
      <c r="M20" s="421"/>
      <c r="N20" s="419"/>
      <c r="P20" s="471"/>
      <c r="Q20" s="444" t="s">
        <v>29</v>
      </c>
      <c r="R20" s="582">
        <f>IF(OR($R$18="",$R$19=""),"",MROUND($R$19+$R$18,0.25))</f>
        <v>7791.5</v>
      </c>
      <c r="S20" s="583"/>
      <c r="T20" s="490"/>
      <c r="U20" s="490"/>
      <c r="AL20" s="1">
        <f>'King Node Model'!A46</f>
        <v>7800</v>
      </c>
      <c r="AM20" s="10">
        <f>'King Node Model'!C46</f>
        <v>-80182</v>
      </c>
      <c r="AO20" s="10">
        <f>'King Node Model'!B46</f>
        <v>3752257</v>
      </c>
      <c r="AY20" s="1">
        <f>IF(AND($B$2="Hide unsafe",$BB20=1),0,IF(AND(OR(AND(AND(ISNUMBER($AL20),OR(AND($AL20&gt;=$AQ$22,$AL20&lt;=$AR$22,$AS$22=1),$AL20=$AQ$22,$AL20=$AR$22,$AL20=$AQ$23,$AL20=$AR$23,$AL20=$AQ$24,$AL20=$AR$24),NOT(OR($AL20=$AN$5,$AL20=$AN$6,$AL20=$AN$7,$AL20=$AN$8,$AL20=$AN$10,$AL20=$AN$11))),NOT(OR(AND('King Node Model'!$P$13="Up",OR($AL20=$AQ$22,$AL20=$AQ$23,$AL20=$AQ$24,$AL20='King Node Model'!$AM$20,$AL20='King Node Model'!$AM$21,$AL20='King Node Model'!$AM$22),OR(AND('King Node Model'!$B$23-$AL20&gt;=0,'King Node Model'!$B$23-$AL20&lt;=5),AND('King Node Model'!$C$23-$AL20&gt;=0,'King Node Model'!$C$23-$AL20&lt;=5))),AND('King Node Model'!$P$13="Down",OR($AL20=$AR$22,$AL20=$AR$23,$AL20=$AR$24,$AL20='King Node Model'!$AN$20,$AL20='King Node Model'!$AN$21,$AL20='King Node Model'!$AN$22),OR(AND($AL20-'King Node Model'!$B$23&gt;=0,$AL20-'King Node Model'!$B$23&lt;=5),AND($AL20-'King Node Model'!$C$24&gt;=0,$AL20-'King Node Model'!$C$24&lt;=5)))))),AND(AND(ISNUMBER($AL20),OR(AND($AL20&gt;=$AQ$22,$AL20&lt;=$AR$22,$AS$22=1),$AL20=$AQ$22,$AL20=$AR$22,$AL20=$AQ$23,$AL20=$AR$23,$AL20=$AQ$24,$AL20=$AR$24,$AL20='King Node Model'!$AL$42,$AL20='King Node Model'!$AL$43),OR($AL20=$AN$5,$AL20=$AN$6,$AL20=$AN$7,$AL20=$AN$8,$AL20=$AN$10,$AL20=$AN$11)),NOT(OR(AND('King Node Model'!$P$13="Up",OR($AL20=$AQ$22,$AL20=$AQ$23,$AL20=$AQ$24,$AL20='King Node Model'!$AM$20,$AL20='King Node Model'!$AM$21,$AL20='King Node Model'!$AM$22),OR(AND('King Node Model'!$B$23-$AL20&gt;=0,'King Node Model'!$B$23-$AL20&lt;=5),AND('King Node Model'!$C$23-$AL20&gt;=0,'King Node Model'!$C$23-$AL20&lt;=5))),AND('King Node Model'!$P$13="Down",OR($AL20=$AR$22,$AL20=$AR$23,$AL20=$AR$24,$AL20='King Node Model'!$AN$20,$AL20='King Node Model'!$AN$21,$AL20='King Node Model'!$AN$22),OR(AND($AL20-'King Node Model'!$B$23&gt;=0,$AL20-'King Node Model'!$B$23&lt;=5),AND($AL20-'King Node Model'!$C$24&gt;=0,$AL20-'King Node Model'!$C$24&lt;=5)))))),AND(AND(ISNUMBER($AL20),OR(AND($AL20&gt;='King Node Model'!$AM$20,$AL20&lt;='King Node Model'!$AN$20,$AS$23=1),$AL20='King Node Model'!$AM$20,$AL20='King Node Model'!$AN$20,$AL20='King Node Model'!$AM$21,$AL20='King Node Model'!$AN$21,$AL20='King Node Model'!$AM$22,$AL20='King Node Model'!$AN$22),NOT(OR($AL20=$AN$5,$AL20=$AN$6,$AL20=$AN$7,$AL20=$AN$8,$AL20=$AN$10,$AL20=$AN$11))),NOT(AND(ISNUMBER('King Node Model'!$F$24),$AL20='King Node Model'!$F$24,IFERROR(INDEX('Level Engine'!$JN$9:$JN$55,MATCH($AL20,'Level Engine'!$AA$9:$AA$55,0)),0)&lt;&gt;1))),AND(AND(ISNUMBER($AL20),OR(AND($AL20&gt;='King Node Model'!$AM$20,$AL20&lt;='King Node Model'!$AN$20,$AS$23=1),$AL20='King Node Model'!$AM$20,$AL20='King Node Model'!$AN$20,$AL20='King Node Model'!$AM$21,$AL20='King Node Model'!$AN$21,$AL20='King Node Model'!$AM$22,$AL20='King Node Model'!$AN$22,$AL20='King Node Model'!$AL$49,$AL20='King Node Model'!$AL$50),OR($AL20=$AN$5,$AL20=$AN$6,$AL20=$AN$7,$AL20=$AN$8,$AL20=$AN$10,$AL20=$AN$11)),NOT(OR(AND('King Node Model'!$P$13="Up",OR($AL20=$AQ$22,$AL20=$AQ$23,$AL20=$AQ$24,$AL20='King Node Model'!$AM$20,$AL20='King Node Model'!$AM$21,$AL20='King Node Model'!$AM$22),OR(AND('King Node Model'!$B$23-$AL20&gt;=0,'King Node Model'!$B$23-$AL20&lt;=5),AND('King Node Model'!$C$23-$AL20&gt;=0,'King Node Model'!$C$23-$AL20&lt;=5))),AND('King Node Model'!$P$13="Down",OR($AL20=$AR$22,$AL20=$AR$23,$AL20=$AR$24,$AL20='King Node Model'!$AN$20,$AL20='King Node Model'!$AN$21,$AL20='King Node Model'!$AN$22),OR(AND($AL20-'King Node Model'!$B$23&gt;=0,$AL20-'King Node Model'!$B$23&lt;=5),AND($AL20-'King Node Model'!$C$24&gt;=0,$AL20-'King Node Model'!$C$24&lt;=5))))))),OR(COUNTIF('Level Engine'!$W$9:$W$14,$AL20)&gt;0,COUNTIF('Level Engine'!$W$18:$W$23,$AL20)&gt;0)),1,0))</f>
        <v>0</v>
      </c>
      <c r="AZ20" s="1">
        <f t="shared" si="1"/>
        <v>0</v>
      </c>
      <c r="BB20" s="1">
        <f>IF(OR(AND($AL20='King Node Model'!$AL$42,$AP$45&lt;&gt;"RASP"),AND($AL20='King Node Model'!$AL$43,$AP$46&lt;&gt;"RASP"),AND($AL20='King Node Model'!$AL$49,$AP$52&lt;&gt;"RASP"),AND($AL20='King Node Model'!$AL$50,$AP$53&lt;&gt;"RASP"),AND($AL20='King Node Model'!$AL$44,$AP$47&lt;&gt;"RASP"),AND($AL20='King Node Model'!$AL$51,$AP$54&lt;&gt;"RASP")),0,IF(AND(AND(ISNUMBER($AL20),OR(AND($AL20&gt;=$AQ$22,$AL20&lt;=$AR$22,$AP$45="RASP"),AND($AL20&gt;=$AQ$23,$AL20&lt;=$AR$23,$AP$46="RASP"),AND($AL20&gt;=$AQ$24,$AL20&lt;=$AR$24,$AP$47="RASP"),AND($AL20&gt;='King Node Model'!$AM$20,$AL20&lt;='King Node Model'!$AN$20,$AP$52="RASP",NOT($L$52=$AW$52)),AND($AL20='King Node Model'!$B$23,$AP$52="RASP",$L$52=$AW$52),AND($AL20&gt;='King Node Model'!$AM$21,$AL20&lt;='King Node Model'!$AN$21,$AP$53="RASP",NOT($L$53=$AW$53)),AND($AL20='King Node Model'!$B$23,$AP$53="RASP",$L$53=$AW$53),AND($AL20&gt;='King Node Model'!$AM$22,$AL20&lt;='King Node Model'!$AN$22,$AP$54="RASP"),AND($AL20&gt;=IFERROR(INDEX('Level Engine'!$AT$9:$AT$55,MATCH('King Node Model'!$AL$42,'Level Engine'!$AA$9:$AA$55,0)),""),$AL20&lt;=IFERROR(INDEX('Level Engine'!$AU$9:$AU$55,MATCH('King Node Model'!$AL$42,'Level Engine'!$AA$9:$AA$55,0)),""),$AP$45="RASP"),AND($AL20&gt;=IFERROR(INDEX('Level Engine'!$AT$9:$AT$55,MATCH('King Node Model'!$AL$43,'Level Engine'!$AA$9:$AA$55,0)),""),$AL20&lt;=IFERROR(INDEX('Level Engine'!$AU$9:$AU$55,MATCH('King Node Model'!$AL$43,'Level Engine'!$AA$9:$AA$55,0)),""),$AP$46="RASP"),AND($AL20&gt;=IFERROR(INDEX('Level Engine'!$AT$9:$AT$55,MATCH('King Node Model'!$AL$44,'Level Engine'!$AA$9:$AA$55,0)),""),$AL20&lt;=IFERROR(INDEX('Level Engine'!$AU$9:$AU$55,MATCH('King Node Model'!$AL$44,'Level Engine'!$AA$9:$AA$55,0)),""),$AP$47="RASP"),AND($AL20&gt;=IFERROR(INDEX('Level Engine'!$AT$9:$AT$55,MATCH('King Node Model'!$AL$49,'Level Engine'!$AA$9:$AA$55,0)),""),$AL20&lt;=IFERROR(INDEX('Level Engine'!$AU$9:$AU$55,MATCH('King Node Model'!$AL$49,'Level Engine'!$AA$9:$AA$55,0)),""),$AP$52="RASP",NOT($L$52=$AW$52)),AND($AL20&gt;=IFERROR(INDEX('Level Engine'!$AT$9:$AT$55,MATCH('King Node Model'!$AL$50,'Level Engine'!$AA$9:$AA$55,0)),""),$AL20&lt;=IFERROR(INDEX('Level Engine'!$AU$9:$AU$55,MATCH('King Node Model'!$AL$50,'Level Engine'!$AA$9:$AA$55,0)),""),$AP$53="RASP",NOT($L$53=$AW$53)),AND($AL20&gt;=IFERROR(INDEX('Level Engine'!$AT$9:$AT$55,MATCH('King Node Model'!$AL$51,'Level Engine'!$AA$9:$AA$55,0)),""),$AL20&lt;=IFERROR(INDEX('Level Engine'!$AU$9:$AU$55,MATCH('King Node Model'!$AL$51,'Level Engine'!$AA$9:$AA$55,0)),""),$AP$54="RASP"))),NOT(AND(ISNUMBER('King Node Model'!$F$24),$AL20='King Node Model'!$F$24,IFERROR(INDEX('Level Engine'!$JN$9:$JN$55,MATCH($AL20,'Level Engine'!$AA$9:$AA$55,0)),0)&lt;&gt;1,$AL20&lt;&gt;'King Node Model'!$AL$42,$AL20&lt;&gt;'King Node Model'!$AL$43,$AL20&lt;&gt;'King Node Model'!$AL$44,$AL20&lt;&gt;'King Node Model'!$AL$49,$AL20&lt;&gt;'King Node Model'!$AL$50,$AL20&lt;&gt;'King Node Model'!$AL$51))),1,0))</f>
        <v>1</v>
      </c>
      <c r="CO20">
        <f>IF(NOT(ISNUMBER($AL20)),"",IF(NOT(ISNUMBER(IFERROR(INDEX('Level Engine'!$FT$9:$FT$55,MATCH($AL20,'Level Engine'!$AA$9:$AA$55,0)),""))),"",IF(IFERROR(INDEX('Level Engine'!$FT$9:$FT$55,MATCH($AL20,'Level Engine'!$AA$9:$AA$55,0)),"")&lt;0,0,2)+IF(ABS(IFERROR(INDEX('Level Engine'!$FT$9:$FT$55,MATCH($AL20,'Level Engine'!$AA$9:$AA$55,0)),""))&gt;='Level Engine'!$FT$2,2,1)))</f>
        <v>1</v>
      </c>
      <c r="DJ20" t="str">
        <f>IF(ISNUMBER($AL20),IF($AL20='Level Engine'!$BG$122," ⫪","")&amp;IF($AL20='Level Engine'!$BG$118," S↑"&amp;IFERROR(INDEX('Level Engine'!$MV$9:$MV$55,MATCH($AL20,'Level Engine'!$AA$9:$AA$55,0)),""),"")&amp;IF($AL20='Level Engine'!$BG$119," S↓"&amp;IFERROR(INDEX('Level Engine'!$MV$9:$MV$55,MATCH($AL20,'Level Engine'!$AA$9:$AA$55,0)),""),"")&amp;IF($AL20='Level Engine'!$BG$120," D↑","")&amp;IF($AL20='Level Engine'!$BG$121," D↓","")&amp;IFERROR(INDEX('Level Engine'!$LG$9:$LG$55,MATCH($AL20,'Level Engine'!$AA$9:$AA$55,0)),"")&amp;IF(IFERROR(INDEX('Level Engine'!$MA$9:$MA$55,MATCH($AL20,'Level Engine'!$AA$9:$AA$55,0)),0)=1," SAND","")&amp;IF(IFERROR(INDEX('Level Engine'!$LM$9:$LM$55,MATCH($AL20,'Level Engine'!$AA$9:$AA$55,0)),0)&gt;0," TP","")&amp;IFERROR(" r"&amp;MATCH($AL20,'Level Engine'!$W$9:$W$14,0),IFERROR(" s"&amp;MATCH($AL20,'Level Engine'!$W$18:$W$23,0),""))&amp;IF($AL20='Level Engine'!$BG$165," ◇","")&amp;IF(N($DZ20)=1,IF($AL20&gt;'Level Engine'!$BG$165," ⚠ DOM↓"," ⚠ DOM↑")&amp;'Level Engine'!$BG$165,""),"")</f>
        <v xml:space="preserve"> D↓ r1</v>
      </c>
      <c r="DK20">
        <f>IF(AND(ISNUMBER($AL20),OR($AL20='King Node Model'!$AL$42,$AL20='King Node Model'!$AL$43,$AL20='King Node Model'!$AL$44)),IFERROR(MATCH($AL20,'Level Engine'!$W$9:$W$14,0),""),"")</f>
        <v>1</v>
      </c>
      <c r="DL20" t="str">
        <f>IF(AND(ISNUMBER($AL20),OR($AL20='King Node Model'!$AL$49,$AL20='King Node Model'!$AL$50,$AL20='King Node Model'!$AL$51)),IFERROR(MATCH($AL20,'Level Engine'!$W$18:$W$23,0),""),"")</f>
        <v/>
      </c>
      <c r="DM20">
        <f>IF(AND(ISNUMBER($AL20),IFERROR(INDEX('Level Engine'!$LC$9:$LC$55,MATCH($AL20,'Level Engine'!$AA$9:$AA$55,0)),0)=1,OR($AL20=$AN$3,IFERROR(INDEX('Level Engine'!$LB$9:$LB$55,MATCH($AL20,'Level Engine'!$AA$9:$AA$55,0)),0)=1)),1,0)</f>
        <v>0</v>
      </c>
      <c r="DZ20">
        <f>IF(ISNUMBER($AL20),IF(IFERROR(INDEX('Level Engine'!$NJ$9:$NJ$55,MATCH($AL20,'Level Engine'!$AA$9:$AA$55,0)),0)=1,1,0),0)</f>
      </c>
    </row>
    <row r="21" spans="1:117" s="471" customFormat="1" ht="15" customHeight="1" x14ac:dyDescent="0.25">
      <c r="A21" s="7" t="str">
        <f t="shared" si="3"/>
        <v/>
      </c>
      <c r="B21" s="8" t="str">
        <f>TEXT(IF(IF('Level Engine'!$GJ$4=1,$AL21='Level Engine'!$GJ$3,AND($AL21-$AM$2&gt;-2.5,$AL21-$AM$2&lt;=2.5)),$AM$2,$AL21),"0")&amp;IF($AL21=$AN$1," ★","")&amp;IF($AL21=$AN$2," ★","")&amp;IF($AL21=$AN$3," ◆","")&amp;IF(AND(ISNUMBER($AN$4),$AL21=$AN$4)," Ⓕ","")&amp;IF(OR(AND(ISNUMBER('Level Engine'!$BG$87),$AL21='Level Engine'!$BG$87),AND(ISNUMBER('Level Engine'!$BG$105),$AL21='Level Engine'!$BG$105))," ζ","")&amp;IF(AND(ISNUMBER($AN$35),$AL21=$AN$35)," ⓏⒼ","")&amp;IF(OR($AL21='Level Engine'!$CP$4,$AL21='Level Engine'!$CP$5,$AL21='Level Engine'!$CP$6,$AL21='Level Engine'!$CP$7)," ☄","")&amp;IF(OR($AL21=$AN$5,$AL21=$AN$8)," ║1","")&amp;IF(OR($AL21=$AN$6,$AL21=$AN$10)," ║2","")&amp;IF(OR($AL21=$AN$7,$AL21=$AN$11)," ║3","")&amp;IF(OR($AL21=$AN$13,$AL21=$AN$16)," ▣1","")&amp;IF(OR($AL21=$AN$14,$AL21=$AN$17)," ▣2","")&amp;IF(OR($AL21=$AN$15,$AL21=$AN$18)," ▣3","")&amp;IF(AND(NOT(OR(AND(ISNUMBER(SEARCH("chop edge",$E$45)),IFERROR(ABS($AL21-'King Node Model'!$AL$42)&lt;=5,FALSE),NOT(ISNUMBER(SEARCH("UNSAFE",$L$45)))),AND(ISNUMBER(SEARCH("chop edge",$E$46)),IFERROR(ABS($AL21-'King Node Model'!$AL$43)&lt;=5,FALSE),NOT(ISNUMBER(SEARCH("UNSAFE",$L$46)))),AND(ISNUMBER(SEARCH("chop edge",$E$52)),IFERROR(ABS($AL21-'King Node Model'!$AL$49)&lt;=5,FALSE),NOT(ISNUMBER(SEARCH("UNSAFE",$L$52)))),AND(ISNUMBER(SEARCH("chop edge",$E$53)),IFERROR(ABS($AL21-'King Node Model'!$AL$50)&lt;=5,FALSE),NOT(ISNUMBER(SEARCH("UNSAFE",$L$53)))))),OR(AND(IFERROR(INDEX('Level Engine'!$IB$9:$IB$55,MATCH('King Node Model'!$AL$49,'Level Engine'!$AA$9:$AA$55,0)),0)&lt;&gt;1,$AL21=IFERROR(INDEX('Level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Engine'!$AA$9:$AA$55,0)),0)&lt;&gt;1,$AL21=IFERROR(INDEX('Level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edge",$E$45)),IFERROR(ABS($AL21-'King Node Model'!$AL$42)&lt;=5,FALSE),NOT(ISNUMBER(SEARCH("UNSAFE",$L$45)))),AND(ISNUMBER(SEARCH("chop edge",$E$46)),IFERROR(ABS($AL21-'King Node Model'!$AL$43)&lt;=5,FALSE),NOT(ISNUMBER(SEARCH("UNSAFE",$L$46)))),AND(ISNUMBER(SEARCH("chop edge",$E$52)),IFERROR(ABS($AL21-'King Node Model'!$AL$49)&lt;=5,FALSE),NOT(ISNUMBER(SEARCH("UNSAFE",$L$52)))),AND(ISNUMBER(SEARCH("chop edge",$E$53)),IFERROR(ABS($AL21-'King Node Model'!$AL$50)&lt;=5,FALSE),NOT(ISNUMBER(SEARCH("UNSAFE",$L$53)))))),OR(AND(IFERROR(INDEX('Level Engine'!$IB$9:$IB$55,MATCH('King Node Model'!$AL$42,'Level Engine'!$AA$9:$AA$55,0)),0)&lt;&gt;1,$AL21=IFERROR(INDEX('Level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Engine'!$AA$9:$AA$55,0)),0)&lt;&gt;1,$AL21=IFERROR(INDEX('Level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ⒷⓁ"),"")&amp;IF(OR(AND($AL21&gt;='King Node Model'!$AM$17,$AL21&lt;='King Node Model'!$AN$17,$AP$45="RASP"),AND($AL21&gt;='King Node Model'!$AM$18,$AL21&lt;='King Node Model'!$AN$18,$AP$46="RASP"),AND($AL21&gt;='King Node Model'!$AM$19,$AL21&lt;='King Node Model'!$AN$19,$AP$47="RASP"),AND($AL21&gt;='King Node Model'!$AM$20,$AL21&lt;='King Node Model'!$AN$20,$AP$52="RASP"),AND($AL21&gt;='King Node Model'!$AM$21,$AL21&lt;='King Node Model'!$AN$21,$AP$53="RASP"),AND($AL21&gt;='King Node Model'!$AM$22,$AL21&lt;='King Node Model'!$AN$22,$AP$54="RASP")),"","")&amp;IF(IF('Level Engine'!$GJ$4=1,$AL21='Level Engine'!$GJ$3,AND($AL21-$AM$2&gt;-2.5,$AL21-$AM$2&lt;=2.5))," ◄","")&amp;IF(IFERROR(INDEX('Level Engine'!$GV$9:$GV$55,MATCH($AL21,'Level Engine'!$AA$9:$AA$55,0)),0)=1," Ⓥ"&amp;IF(IFERROR(INDEX('Level Engine'!$ET$9:$ET$55,MATCH($AL21,'Level Engine'!$AA$9:$AA$55,0)),0)=1,"+",""),"")&amp;IF(OR(AND($AL21=$AN$38,IFERROR(INDEX('Level Engine'!$AN$9:$AN$55,MATCH($AL21,'Level Engine'!$AA$9:$AA$55,0)),0)&lt;&gt;1),$AL21=$AN$39)," ⊙","")&amp;IF(AND(OR('King Node Model'!$A$8="Neg",N('Level Engine'!$BG$72)=1),ABS(MIN($AM$3:$AM$64))&gt;MAX($AM$3:$AM$64),$AN$2&lt;$AM$2,$AL21&lt;$AM$2,ABS($AL21-$AN$2)&lt;=5,IFERROR(VALUE(MID('King Node Model'!$K$26,FIND(":",'King Node Model'!$K$26)-2,2)),0)&gt;=19,IFERROR(INDEX('Level Engine'!$EJ$9:$EJ$55,MATCH($AL21,'Level Engine'!$AA$9:$AA$55,0)),0)=0,$AN$3&gt;$AM$2)," ⟲rev","")&amp;IF($AL21='King Node Model'!$F$24," ⟂","")&amp;$DJ21&amp;IF(IFERROR(INDEX('Level Engine'!$EN$9:$EN$55,MATCH($AL21,'Level Engine'!$AA$9:$AA$55,0)),0)=1," Ⓟ"&amp;IF(AND(OR('King Node Model'!$A$8="Neg",N('Level Engine'!$BG$72)=1),IFERROR(INDEX('Level Engine'!$AN$9:$AN$55,MATCH($AL21,'Level Engine'!$AA$9:$AA$55,0)),0)&lt;&gt;1)," NO-REV",""),"")&amp;IF(AND(ISNUMBER($AL21),OR(AND(ISNUMBER(SEARCH("chop edge",$E$45)),$AL21='King Node Model'!$AL$42),AND(ISNUMBER(SEARCH("chop edge",$E$46)),$AL21='King Node Model'!$AL$43),AND(ISNUMBER(SEARCH("chop edge",$E$52)),$AL21='King Node Model'!$AL$49),AND(ISNUMBER(SEARCH("chop edge",$E$53)),$AL21='King Node Model'!$AL$50)))," ⒸⒺ","")&amp;IF(AND('Level Engine'!$GJ$4=1,OR($AL21='Level Engine'!$GJ$1,$AL21='Level Engine'!$GJ$2)),"","")&amp;IF(ABS(N(IFERROR(INDEX('Level Engine'!$AE$9:$AE$55,MATCH($AL21,'Level Engine'!$AA$9:$AA$55,0)),0)))&gt;='Level Engine'!$BG$85,IF(N(IFERROR(INDEX('Level Engine'!$AE$9:$AE$55,MATCH($AL21,'Level Engine'!$AA$9:$AA$55,0)),0))&gt;0," Δ+"," Δ−"),"")&amp;IFERROR(IF(AND(ISNUMBER(MATCH($AL21,'Level Engine'!$AA$9:$AA$55,0)),ABS(N(IFERROR(INDEX('Level Engine'!$AE$9:$AE$55,MATCH($AL21,'Level Engine'!$AA$9:$AA$55,0)),0)))&lt;'Level Engine'!$BG$85,ABS(N(IFERROR(INDEX('Level Engine'!$AE$9:$AE$55,MATCH($AL21,'Level Engine'!$AA$9:$AA$55,0)),0)))&lt;=ABS(N(IFERROR(INDEX('Level Engine'!$AE$9:$AE$55,MATCH($AL21+5,'Level Engine'!$AA$9:$AA$55,0)),0))),ABS(N(IFERROR(INDEX('Level Engine'!$AE$9:$AE$55,MATCH($AL21,'Level Engine'!$AA$9:$AA$55,0)),0)))&lt;=ABS(N(IFERROR(INDEX('Level Engine'!$AE$9:$AE$55,MATCH($AL21-5,'Level Engine'!$AA$9:$AA$55,0)),0))),OR(AND(ABS(N(IFERROR(INDEX('Level Engine'!$AE$9:$AE$55,MATCH($AL21+5,'Level Engine'!$AA$9:$AA$55,0)),0)))&gt;='Level Engine'!$BG$85,ABS(N(IFERROR(INDEX('Level Engine'!$AE$9:$AE$55,MATCH($AL21,'Level Engine'!$AA$9:$AA$55,0)),0)))&lt;='Level Engine'!$BG$88*ABS(N(IFERROR(INDEX('Level Engine'!$AE$9:$AE$55,MATCH($AL21+5,'Level Engine'!$AA$9:$AA$55,0)),0)))),AND(ABS(N(IFERROR(INDEX('Level Engine'!$AE$9:$AE$55,MATCH($AL21-5,'Level Engine'!$AA$9:$AA$55,0)),0)))&gt;='Level Engine'!$BG$85,ABS(N(IFERROR(INDEX('Level Engine'!$AE$9:$AE$55,MATCH($AL21,'Level Engine'!$AA$9:$AA$55,0)),0)))&lt;='Level Engine'!$BG$88*ABS(N(IFERROR(INDEX('Level Engine'!$AE$9:$AE$55,MATCH($AL21-5,'Level Engine'!$AA$9:$AA$55,0)),0)))))),IF(AND('King Node Model'!$A$8="Pos",N('Level Engine'!$BG$72)&lt;&gt;1),""," ∅"),""),"")&amp;IF(IFERROR(INDEX('Level Engine'!$JD$9:$JD$55,MATCH($AL21,'Level Engine'!$AA$9:$AA$55,0)),"")="P"," P-OI",IF(IFERROR(INDEX('Level Engine'!$JD$9:$JD$55,MATCH($AL21,'Level Engine'!$AA$9:$AA$55,0)),"")="C"," C-OI",""))</f>
        <v>7795 ║1 ∅</v>
      </c>
      <c r="C21" s="9" t="str">
        <f t="shared" si="0"/>
        <v>████████</v>
      </c>
      <c r="D21" t="str">
        <f>IF(NOT(ISNUMBER($AL21)),"",IF(IFERROR(INDEX('Level Engine'!$FS$9:$FS$55,MATCH($AL21,'Level Engine'!$AA$9:$AA$55,0)),0)=1,"⊙",""))</f>
        <v/>
      </c>
      <c r="E21" s="22" t="s">
        <v>1605</v>
      </c>
      <c r="F21" s="421"/>
      <c r="G21" s="492"/>
      <c r="H21" s="492"/>
      <c r="I21" s="492"/>
      <c r="J21" s="492"/>
      <c r="K21" s="492"/>
      <c r="L21" s="492"/>
      <c r="M21" s="492"/>
      <c r="N21" s="493"/>
      <c r="Q21" s="491"/>
      <c r="R21" s="494"/>
      <c r="S21" s="532"/>
      <c r="T21" s="490"/>
      <c r="U21" s="490"/>
      <c r="AL21" s="1">
        <f>'King Node Model'!A47</f>
        <v>7795</v>
      </c>
      <c r="AM21" s="10">
        <f>'King Node Model'!C47</f>
        <v>46251</v>
      </c>
      <c r="AO21" s="10">
        <f>'King Node Model'!B47</f>
        <v>1459310</v>
      </c>
      <c r="AY21" s="1">
        <f>IF(AND($B$2="Hide unsafe",$BB21=1),0,IF(AND(OR(AND(AND(ISNUMBER($AL21),OR(AND($AL21&gt;=$AQ$22,$AL21&lt;=$AR$22,$AS$22=1),$AL21=$AQ$22,$AL21=$AR$22,$AL21=$AQ$23,$AL21=$AR$23,$AL21=$AQ$24,$AL21=$AR$24),NOT(OR($AL21=$AN$5,$AL21=$AN$6,$AL21=$AN$7,$AL21=$AN$8,$AL21=$AN$10,$AL21=$AN$11))),NOT(OR(AND('King Node Model'!$P$13="Up",OR($AL21=$AQ$22,$AL21=$AQ$23,$AL21=$AQ$24,$AL21='King Node Model'!$AM$20,$AL21='King Node Model'!$AM$21,$AL21='King Node Model'!$AM$22),OR(AND('King Node Model'!$B$23-$AL21&gt;=0,'King Node Model'!$B$23-$AL21&lt;=5),AND('King Node Model'!$C$23-$AL21&gt;=0,'King Node Model'!$C$23-$AL21&lt;=5))),AND('King Node Model'!$P$13="Down",OR($AL21=$AR$22,$AL21=$AR$23,$AL21=$AR$24,$AL21='King Node Model'!$AN$20,$AL21='King Node Model'!$AN$21,$AL21='King Node Model'!$AN$22),OR(AND($AL21-'King Node Model'!$B$23&gt;=0,$AL21-'King Node Model'!$B$23&lt;=5),AND($AL21-'King Node Model'!$C$24&gt;=0,$AL21-'King Node Model'!$C$24&lt;=5)))))),AND(AND(ISNUMBER($AL21),OR(AND($AL21&gt;=$AQ$22,$AL21&lt;=$AR$22,$AS$22=1),$AL21=$AQ$22,$AL21=$AR$22,$AL21=$AQ$23,$AL21=$AR$23,$AL21=$AQ$24,$AL21=$AR$24,$AL21='King Node Model'!$AL$42,$AL21='King Node Model'!$AL$43),OR($AL21=$AN$5,$AL21=$AN$6,$AL21=$AN$7,$AL21=$AN$8,$AL21=$AN$10,$AL21=$AN$11)),NOT(OR(AND('King Node Model'!$P$13="Up",OR($AL21=$AQ$22,$AL21=$AQ$23,$AL21=$AQ$24,$AL21='King Node Model'!$AM$20,$AL21='King Node Model'!$AM$21,$AL21='King Node Model'!$AM$22),OR(AND('King Node Model'!$B$23-$AL21&gt;=0,'King Node Model'!$B$23-$AL21&lt;=5),AND('King Node Model'!$C$23-$AL21&gt;=0,'King Node Model'!$C$23-$AL21&lt;=5))),AND('King Node Model'!$P$13="Down",OR($AL21=$AR$22,$AL21=$AR$23,$AL21=$AR$24,$AL21='King Node Model'!$AN$20,$AL21='King Node Model'!$AN$21,$AL21='King Node Model'!$AN$22),OR(AND($AL21-'King Node Model'!$B$23&gt;=0,$AL21-'King Node Model'!$B$23&lt;=5),AND($AL21-'King Node Model'!$C$24&gt;=0,$AL21-'King Node Model'!$C$24&lt;=5)))))),AND(AND(ISNUMBER($AL21),OR(AND($AL21&gt;='King Node Model'!$AM$20,$AL21&lt;='King Node Model'!$AN$20,$AS$23=1),$AL21='King Node Model'!$AM$20,$AL21='King Node Model'!$AN$20,$AL21='King Node Model'!$AM$21,$AL21='King Node Model'!$AN$21,$AL21='King Node Model'!$AM$22,$AL21='King Node Model'!$AN$22),NOT(OR($AL21=$AN$5,$AL21=$AN$6,$AL21=$AN$7,$AL21=$AN$8,$AL21=$AN$10,$AL21=$AN$11))),NOT(AND(ISNUMBER('King Node Model'!$F$24),$AL21='King Node Model'!$F$24,IFERROR(INDEX('Level Engine'!$JN$9:$JN$55,MATCH($AL21,'Level Engine'!$AA$9:$AA$55,0)),0)&lt;&gt;1))),AND(AND(ISNUMBER($AL21),OR(AND($AL21&gt;='King Node Model'!$AM$20,$AL21&lt;='King Node Model'!$AN$20,$AS$23=1),$AL21='King Node Model'!$AM$20,$AL21='King Node Model'!$AN$20,$AL21='King Node Model'!$AM$21,$AL21='King Node Model'!$AN$21,$AL21='King Node Model'!$AM$22,$AL21='King Node Model'!$AN$22,$AL21='King Node Model'!$AL$49,$AL21='King Node Model'!$AL$50),OR($AL21=$AN$5,$AL21=$AN$6,$AL21=$AN$7,$AL21=$AN$8,$AL21=$AN$10,$AL21=$AN$11)),NOT(OR(AND('King Node Model'!$P$13="Up",OR($AL21=$AQ$22,$AL21=$AQ$23,$AL21=$AQ$24,$AL21='King Node Model'!$AM$20,$AL21='King Node Model'!$AM$21,$AL21='King Node Model'!$AM$22),OR(AND('King Node Model'!$B$23-$AL21&gt;=0,'King Node Model'!$B$23-$AL21&lt;=5),AND('King Node Model'!$C$23-$AL21&gt;=0,'King Node Model'!$C$23-$AL21&lt;=5))),AND('King Node Model'!$P$13="Down",OR($AL21=$AR$22,$AL21=$AR$23,$AL21=$AR$24,$AL21='King Node Model'!$AN$20,$AL21='King Node Model'!$AN$21,$AL21='King Node Model'!$AN$22),OR(AND($AL21-'King Node Model'!$B$23&gt;=0,$AL21-'King Node Model'!$B$23&lt;=5),AND($AL21-'King Node Model'!$C$24&gt;=0,$AL21-'King Node Model'!$C$24&lt;=5))))))),OR(COUNTIF('Level Engine'!$W$9:$W$14,$AL21)&gt;0,COUNTIF('Level Engine'!$W$18:$W$23,$AL21)&gt;0)),1,0))</f>
        <v>0</v>
      </c>
      <c r="AZ21" s="1">
        <f t="shared" si="1"/>
        <v>0</v>
      </c>
      <c r="BB21" s="1">
        <f>IF(OR(AND($AL21='King Node Model'!$AL$42,$AP$45&lt;&gt;"RASP"),AND($AL21='King Node Model'!$AL$43,$AP$46&lt;&gt;"RASP"),AND($AL21='King Node Model'!$AL$49,$AP$52&lt;&gt;"RASP"),AND($AL21='King Node Model'!$AL$50,$AP$53&lt;&gt;"RASP"),AND($AL21='King Node Model'!$AL$44,$AP$47&lt;&gt;"RASP"),AND($AL21='King Node Model'!$AL$51,$AP$54&lt;&gt;"RASP")),0,IF(AND(AND(ISNUMBER($AL21),OR(AND($AL21&gt;=$AQ$22,$AL21&lt;=$AR$22,$AP$45="RASP"),AND($AL21&gt;=$AQ$23,$AL21&lt;=$AR$23,$AP$46="RASP"),AND($AL21&gt;=$AQ$24,$AL21&lt;=$AR$24,$AP$47="RASP"),AND($AL21&gt;='King Node Model'!$AM$20,$AL21&lt;='King Node Model'!$AN$20,$AP$52="RASP",NOT($L$52=$AW$52)),AND($AL21='King Node Model'!$B$23,$AP$52="RASP",$L$52=$AW$52),AND($AL21&gt;='King Node Model'!$AM$21,$AL21&lt;='King Node Model'!$AN$21,$AP$53="RASP",NOT($L$53=$AW$53)),AND($AL21='King Node Model'!$B$23,$AP$53="RASP",$L$53=$AW$53),AND($AL21&gt;='King Node Model'!$AM$22,$AL21&lt;='King Node Model'!$AN$22,$AP$54="RASP"),AND($AL21&gt;=IFERROR(INDEX('Level Engine'!$AT$9:$AT$55,MATCH('King Node Model'!$AL$42,'Level Engine'!$AA$9:$AA$55,0)),""),$AL21&lt;=IFERROR(INDEX('Level Engine'!$AU$9:$AU$55,MATCH('King Node Model'!$AL$42,'Level Engine'!$AA$9:$AA$55,0)),""),$AP$45="RASP"),AND($AL21&gt;=IFERROR(INDEX('Level Engine'!$AT$9:$AT$55,MATCH('King Node Model'!$AL$43,'Level Engine'!$AA$9:$AA$55,0)),""),$AL21&lt;=IFERROR(INDEX('Level Engine'!$AU$9:$AU$55,MATCH('King Node Model'!$AL$43,'Level Engine'!$AA$9:$AA$55,0)),""),$AP$46="RASP"),AND($AL21&gt;=IFERROR(INDEX('Level Engine'!$AT$9:$AT$55,MATCH('King Node Model'!$AL$44,'Level Engine'!$AA$9:$AA$55,0)),""),$AL21&lt;=IFERROR(INDEX('Level Engine'!$AU$9:$AU$55,MATCH('King Node Model'!$AL$44,'Level Engine'!$AA$9:$AA$55,0)),""),$AP$47="RASP"),AND($AL21&gt;=IFERROR(INDEX('Level Engine'!$AT$9:$AT$55,MATCH('King Node Model'!$AL$49,'Level Engine'!$AA$9:$AA$55,0)),""),$AL21&lt;=IFERROR(INDEX('Level Engine'!$AU$9:$AU$55,MATCH('King Node Model'!$AL$49,'Level Engine'!$AA$9:$AA$55,0)),""),$AP$52="RASP",NOT($L$52=$AW$52)),AND($AL21&gt;=IFERROR(INDEX('Level Engine'!$AT$9:$AT$55,MATCH('King Node Model'!$AL$50,'Level Engine'!$AA$9:$AA$55,0)),""),$AL21&lt;=IFERROR(INDEX('Level Engine'!$AU$9:$AU$55,MATCH('King Node Model'!$AL$50,'Level Engine'!$AA$9:$AA$55,0)),""),$AP$53="RASP",NOT($L$53=$AW$53)),AND($AL21&gt;=IFERROR(INDEX('Level Engine'!$AT$9:$AT$55,MATCH('King Node Model'!$AL$51,'Level Engine'!$AA$9:$AA$55,0)),""),$AL21&lt;=IFERROR(INDEX('Level Engine'!$AU$9:$AU$55,MATCH('King Node Model'!$AL$51,'Level Engine'!$AA$9:$AA$55,0)),""),$AP$54="RASP"))),NOT(AND(ISNUMBER('King Node Model'!$F$24),$AL21='King Node Model'!$F$24,IFERROR(INDEX('Level Engine'!$JN$9:$JN$55,MATCH($AL21,'Level Engine'!$AA$9:$AA$55,0)),0)&lt;&gt;1,$AL21&lt;&gt;'King Node Model'!$AL$42,$AL21&lt;&gt;'King Node Model'!$AL$43,$AL21&lt;&gt;'King Node Model'!$AL$44,$AL21&lt;&gt;'King Node Model'!$AL$49,$AL21&lt;&gt;'King Node Model'!$AL$50,$AL21&lt;&gt;'King Node Model'!$AL$51))),1,0))</f>
        <v>0</v>
      </c>
      <c r="CO21">
        <f>IF(NOT(ISNUMBER($AL21)),"",IF(NOT(ISNUMBER(IFERROR(INDEX('Level Engine'!$FT$9:$FT$55,MATCH($AL21,'Level Engine'!$AA$9:$AA$55,0)),""))),"",IF(IFERROR(INDEX('Level Engine'!$FT$9:$FT$55,MATCH($AL21,'Level Engine'!$AA$9:$AA$55,0)),"")&lt;0,0,2)+IF(ABS(IFERROR(INDEX('Level Engine'!$FT$9:$FT$55,MATCH($AL21,'Level Engine'!$AA$9:$AA$55,0)),""))&gt;='Level Engine'!$FT$2,2,1)))</f>
        <v>3</v>
      </c>
      <c r="DJ21" t="str">
        <f>IF(ISNUMBER($AL21),IF($AL21='Level Engine'!$BG$122," ⫪","")&amp;IF($AL21='Level Engine'!$BG$118," S↑"&amp;IFERROR(INDEX('Level Engine'!$MV$9:$MV$55,MATCH($AL21,'Level Engine'!$AA$9:$AA$55,0)),""),"")&amp;IF($AL21='Level Engine'!$BG$119," S↓"&amp;IFERROR(INDEX('Level Engine'!$MV$9:$MV$55,MATCH($AL21,'Level Engine'!$AA$9:$AA$55,0)),""),"")&amp;IF($AL21='Level Engine'!$BG$120," D↑","")&amp;IF($AL21='Level Engine'!$BG$121," D↓","")&amp;IFERROR(INDEX('Level Engine'!$LG$9:$LG$55,MATCH($AL21,'Level Engine'!$AA$9:$AA$55,0)),"")&amp;IF(IFERROR(INDEX('Level Engine'!$MA$9:$MA$55,MATCH($AL21,'Level Engine'!$AA$9:$AA$55,0)),0)=1," SAND","")&amp;IF(IFERROR(INDEX('Level Engine'!$LM$9:$LM$55,MATCH($AL21,'Level Engine'!$AA$9:$AA$55,0)),0)&gt;0," TP","")&amp;IFERROR(" r"&amp;MATCH($AL21,'Level Engine'!$W$9:$W$14,0),IFERROR(" s"&amp;MATCH($AL21,'Level Engine'!$W$18:$W$23,0),""))&amp;IF($AL21='Level Engine'!$BG$165," ◇","")&amp;IF(N($DZ21)=1,IF($AL21&gt;'Level Engine'!$BG$165," ⚠ DOM↓"," ⚠ DOM↑")&amp;'Level Engine'!$BG$165,""),"")</f>
        <v/>
      </c>
      <c r="DK21" t="str">
        <f>IF(AND(ISNUMBER($AL21),OR($AL21='King Node Model'!$AL$42,$AL21='King Node Model'!$AL$43,$AL21='King Node Model'!$AL$44)),IFERROR(MATCH($AL21,'Level Engine'!$W$9:$W$14,0),""),"")</f>
        <v/>
      </c>
      <c r="DL21" t="str">
        <f>IF(AND(ISNUMBER($AL21),OR($AL21='King Node Model'!$AL$49,$AL21='King Node Model'!$AL$50,$AL21='King Node Model'!$AL$51)),IFERROR(MATCH($AL21,'Level Engine'!$W$18:$W$23,0),""),"")</f>
        <v/>
      </c>
      <c r="DM21">
        <f>IF(AND(ISNUMBER($AL21),IFERROR(INDEX('Level Engine'!$LC$9:$LC$55,MATCH($AL21,'Level Engine'!$AA$9:$AA$55,0)),0)=1,OR($AL21=$AN$3,IFERROR(INDEX('Level Engine'!$LB$9:$LB$55,MATCH($AL21,'Level Engine'!$AA$9:$AA$55,0)),0)=1)),1,0)</f>
        <v>0</v>
      </c>
      <c r="DZ21">
        <f>IF(ISNUMBER($AL21),IF(IFERROR(INDEX('Level Engine'!$NJ$9:$NJ$55,MATCH($AL21,'Level Engine'!$AA$9:$AA$55,0)),0)=1,1,0),0)</f>
      </c>
    </row>
    <row r="22" spans="1:117" ht="30.75" customHeight="1" x14ac:dyDescent="0.25">
      <c r="A22" s="7" t="str">
        <f t="shared" si="3"/>
        <v>████████████</v>
      </c>
      <c r="B22" s="8" t="str">
        <f>TEXT(IF(IF('Level Engine'!$GJ$4=1,$AL22='Level Engine'!$GJ$3,AND($AL22-$AM$2&gt;-2.5,$AL22-$AM$2&lt;=2.5)),$AM$2,$AL22),"0")&amp;IF($AL22=$AN$1," ★","")&amp;IF($AL22=$AN$2," ★","")&amp;IF($AL22=$AN$3," ◆","")&amp;IF(AND(ISNUMBER($AN$4),$AL22=$AN$4)," Ⓕ","")&amp;IF(OR(AND(ISNUMBER('Level Engine'!$BG$87),$AL22='Level Engine'!$BG$87),AND(ISNUMBER('Level Engine'!$BG$105),$AL22='Level Engine'!$BG$105))," ζ","")&amp;IF(AND(ISNUMBER($AN$35),$AL22=$AN$35)," ⓏⒼ","")&amp;IF(OR($AL22='Level Engine'!$CP$4,$AL22='Level Engine'!$CP$5,$AL22='Level Engine'!$CP$6,$AL22='Level Engine'!$CP$7)," ☄","")&amp;IF(OR($AL22=$AN$5,$AL22=$AN$8)," ║1","")&amp;IF(OR($AL22=$AN$6,$AL22=$AN$10)," ║2","")&amp;IF(OR($AL22=$AN$7,$AL22=$AN$11)," ║3","")&amp;IF(OR($AL22=$AN$13,$AL22=$AN$16)," ▣1","")&amp;IF(OR($AL22=$AN$14,$AL22=$AN$17)," ▣2","")&amp;IF(OR($AL22=$AN$15,$AL22=$AN$18)," ▣3","")&amp;IF(AND(NOT(OR(AND(ISNUMBER(SEARCH("chop edge",$E$45)),IFERROR(ABS($AL22-'King Node Model'!$AL$42)&lt;=5,FALSE),NOT(ISNUMBER(SEARCH("UNSAFE",$L$45)))),AND(ISNUMBER(SEARCH("chop edge",$E$46)),IFERROR(ABS($AL22-'King Node Model'!$AL$43)&lt;=5,FALSE),NOT(ISNUMBER(SEARCH("UNSAFE",$L$46)))),AND(ISNUMBER(SEARCH("chop edge",$E$52)),IFERROR(ABS($AL22-'King Node Model'!$AL$49)&lt;=5,FALSE),NOT(ISNUMBER(SEARCH("UNSAFE",$L$52)))),AND(ISNUMBER(SEARCH("chop edge",$E$53)),IFERROR(ABS($AL22-'King Node Model'!$AL$50)&lt;=5,FALSE),NOT(ISNUMBER(SEARCH("UNSAFE",$L$53)))))),OR(AND(IFERROR(INDEX('Level Engine'!$IB$9:$IB$55,MATCH('King Node Model'!$AL$49,'Level Engine'!$AA$9:$AA$55,0)),0)&lt;&gt;1,$AL22=IFERROR(INDEX('Level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Engine'!$AA$9:$AA$55,0)),0)&lt;&gt;1,$AL22=IFERROR(INDEX('Level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edge",$E$45)),IFERROR(ABS($AL22-'King Node Model'!$AL$42)&lt;=5,FALSE),NOT(ISNUMBER(SEARCH("UNSAFE",$L$45)))),AND(ISNUMBER(SEARCH("chop edge",$E$46)),IFERROR(ABS($AL22-'King Node Model'!$AL$43)&lt;=5,FALSE),NOT(ISNUMBER(SEARCH("UNSAFE",$L$46)))),AND(ISNUMBER(SEARCH("chop edge",$E$52)),IFERROR(ABS($AL22-'King Node Model'!$AL$49)&lt;=5,FALSE),NOT(ISNUMBER(SEARCH("UNSAFE",$L$52)))),AND(ISNUMBER(SEARCH("chop edge",$E$53)),IFERROR(ABS($AL22-'King Node Model'!$AL$50)&lt;=5,FALSE),NOT(ISNUMBER(SEARCH("UNSAFE",$L$53)))))),OR(AND(IFERROR(INDEX('Level Engine'!$IB$9:$IB$55,MATCH('King Node Model'!$AL$42,'Level Engine'!$AA$9:$AA$55,0)),0)&lt;&gt;1,$AL22=IFERROR(INDEX('Level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Engine'!$AA$9:$AA$55,0)),0)&lt;&gt;1,$AL22=IFERROR(INDEX('Level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ⒷⓁ"),"")&amp;IF(OR(AND($AL22&gt;='King Node Model'!$AM$17,$AL22&lt;='King Node Model'!$AN$17,$AP$45="RASP"),AND($AL22&gt;='King Node Model'!$AM$18,$AL22&lt;='King Node Model'!$AN$18,$AP$46="RASP"),AND($AL22&gt;='King Node Model'!$AM$19,$AL22&lt;='King Node Model'!$AN$19,$AP$47="RASP"),AND($AL22&gt;='King Node Model'!$AM$20,$AL22&lt;='King Node Model'!$AN$20,$AP$52="RASP"),AND($AL22&gt;='King Node Model'!$AM$21,$AL22&lt;='King Node Model'!$AN$21,$AP$53="RASP"),AND($AL22&gt;='King Node Model'!$AM$22,$AL22&lt;='King Node Model'!$AN$22,$AP$54="RASP")),"","")&amp;IF(IF('Level Engine'!$GJ$4=1,$AL22='Level Engine'!$GJ$3,AND($AL22-$AM$2&gt;-2.5,$AL22-$AM$2&lt;=2.5))," ◄","")&amp;IF(IFERROR(INDEX('Level Engine'!$GV$9:$GV$55,MATCH($AL22,'Level Engine'!$AA$9:$AA$55,0)),0)=1," Ⓥ"&amp;IF(IFERROR(INDEX('Level Engine'!$ET$9:$ET$55,MATCH($AL22,'Level Engine'!$AA$9:$AA$55,0)),0)=1,"+",""),"")&amp;IF(OR(AND($AL22=$AN$38,IFERROR(INDEX('Level Engine'!$AN$9:$AN$55,MATCH($AL22,'Level Engine'!$AA$9:$AA$55,0)),0)&lt;&gt;1),$AL22=$AN$39)," ⊙","")&amp;IF(AND(OR('King Node Model'!$A$8="Neg",N('Level Engine'!$BG$72)=1),ABS(MIN($AM$3:$AM$64))&gt;MAX($AM$3:$AM$64),$AN$2&lt;$AM$2,$AL22&lt;$AM$2,ABS($AL22-$AN$2)&lt;=5,IFERROR(VALUE(MID('King Node Model'!$K$26,FIND(":",'King Node Model'!$K$26)-2,2)),0)&gt;=19,IFERROR(INDEX('Level Engine'!$EJ$9:$EJ$55,MATCH($AL22,'Level Engine'!$AA$9:$AA$55,0)),0)=0,$AN$3&gt;$AM$2)," ⟲rev","")&amp;IF($AL22='King Node Model'!$F$24," ⟂","")&amp;$DJ22&amp;IF(IFERROR(INDEX('Level Engine'!$EN$9:$EN$55,MATCH($AL22,'Level Engine'!$AA$9:$AA$55,0)),0)=1," Ⓟ"&amp;IF(AND(OR('King Node Model'!$A$8="Neg",N('Level Engine'!$BG$72)=1),IFERROR(INDEX('Level Engine'!$AN$9:$AN$55,MATCH($AL22,'Level Engine'!$AA$9:$AA$55,0)),0)&lt;&gt;1)," NO-REV",""),"")&amp;IF(AND(ISNUMBER($AL22),OR(AND(ISNUMBER(SEARCH("chop edge",$E$45)),$AL22='King Node Model'!$AL$42),AND(ISNUMBER(SEARCH("chop edge",$E$46)),$AL22='King Node Model'!$AL$43),AND(ISNUMBER(SEARCH("chop edge",$E$52)),$AL22='King Node Model'!$AL$49),AND(ISNUMBER(SEARCH("chop edge",$E$53)),$AL22='King Node Model'!$AL$50)))," ⒸⒺ","")&amp;IF(AND('Level Engine'!$GJ$4=1,OR($AL22='Level Engine'!$GJ$1,$AL22='Level Engine'!$GJ$2)),"","")&amp;IF(ABS(N(IFERROR(INDEX('Level Engine'!$AE$9:$AE$55,MATCH($AL22,'Level Engine'!$AA$9:$AA$55,0)),0)))&gt;='Level Engine'!$BG$85,IF(N(IFERROR(INDEX('Level Engine'!$AE$9:$AE$55,MATCH($AL22,'Level Engine'!$AA$9:$AA$55,0)),0))&gt;0," Δ+"," Δ−"),"")&amp;IFERROR(IF(AND(ISNUMBER(MATCH($AL22,'Level Engine'!$AA$9:$AA$55,0)),ABS(N(IFERROR(INDEX('Level Engine'!$AE$9:$AE$55,MATCH($AL22,'Level Engine'!$AA$9:$AA$55,0)),0)))&lt;'Level Engine'!$BG$85,ABS(N(IFERROR(INDEX('Level Engine'!$AE$9:$AE$55,MATCH($AL22,'Level Engine'!$AA$9:$AA$55,0)),0)))&lt;=ABS(N(IFERROR(INDEX('Level Engine'!$AE$9:$AE$55,MATCH($AL22+5,'Level Engine'!$AA$9:$AA$55,0)),0))),ABS(N(IFERROR(INDEX('Level Engine'!$AE$9:$AE$55,MATCH($AL22,'Level Engine'!$AA$9:$AA$55,0)),0)))&lt;=ABS(N(IFERROR(INDEX('Level Engine'!$AE$9:$AE$55,MATCH($AL22-5,'Level Engine'!$AA$9:$AA$55,0)),0))),OR(AND(ABS(N(IFERROR(INDEX('Level Engine'!$AE$9:$AE$55,MATCH($AL22+5,'Level Engine'!$AA$9:$AA$55,0)),0)))&gt;='Level Engine'!$BG$85,ABS(N(IFERROR(INDEX('Level Engine'!$AE$9:$AE$55,MATCH($AL22,'Level Engine'!$AA$9:$AA$55,0)),0)))&lt;='Level Engine'!$BG$88*ABS(N(IFERROR(INDEX('Level Engine'!$AE$9:$AE$55,MATCH($AL22+5,'Level Engine'!$AA$9:$AA$55,0)),0)))),AND(ABS(N(IFERROR(INDEX('Level Engine'!$AE$9:$AE$55,MATCH($AL22-5,'Level Engine'!$AA$9:$AA$55,0)),0)))&gt;='Level Engine'!$BG$85,ABS(N(IFERROR(INDEX('Level Engine'!$AE$9:$AE$55,MATCH($AL22,'Level Engine'!$AA$9:$AA$55,0)),0)))&lt;='Level Engine'!$BG$88*ABS(N(IFERROR(INDEX('Level Engine'!$AE$9:$AE$55,MATCH($AL22-5,'Level Engine'!$AA$9:$AA$55,0)),0)))))),IF(AND('King Node Model'!$A$8="Pos",N('Level Engine'!$BG$72)&lt;&gt;1),""," ∅"),""),"")&amp;IF(IFERROR(INDEX('Level Engine'!$JD$9:$JD$55,MATCH($AL22,'Level Engine'!$AA$9:$AA$55,0)),"")="P"," P-OI",IF(IFERROR(INDEX('Level Engine'!$JD$9:$JD$55,MATCH($AL22,'Level Engine'!$AA$9:$AA$55,0)),"")="C"," C-OI",""))</f>
        <v>7790 TP</v>
      </c>
      <c r="C22" s="9" t="str">
        <f t="shared" si="0"/>
        <v/>
      </c>
      <c r="D22" t="str">
        <f>IF(NOT(ISNUMBER($AL22)),"",IF(IFERROR(INDEX('Level Engine'!$FS$9:$FS$55,MATCH($AL22,'Level Engine'!$AA$9:$AA$55,0)),0)=1,"⊙",""))</f>
        <v/>
      </c>
      <c r="E22" s="22"/>
      <c r="F22" s="25" t="s">
        <v>14</v>
      </c>
      <c r="G22" s="25" t="s">
        <v>15</v>
      </c>
      <c r="H22" s="25" t="s">
        <v>16</v>
      </c>
      <c r="I22" s="25" t="s">
        <v>17</v>
      </c>
      <c r="J22" s="25" t="s">
        <v>18</v>
      </c>
      <c r="K22" s="25" t="s">
        <v>19</v>
      </c>
      <c r="L22" s="25" t="s">
        <v>20</v>
      </c>
      <c r="M22" s="26" t="s">
        <v>11</v>
      </c>
      <c r="N22" s="12"/>
      <c r="Q22" s="448" t="s">
        <v>30</v>
      </c>
      <c r="R22" s="584">
        <v>7765</v>
      </c>
      <c r="S22" s="585"/>
      <c r="T22" s="479"/>
      <c r="U22" s="479"/>
      <c r="W22" s="571"/>
      <c r="X22" s="571"/>
      <c r="Y22" s="571"/>
      <c r="Z22" s="571"/>
      <c r="AL22" s="1">
        <f>'King Node Model'!A48</f>
        <v>7790</v>
      </c>
      <c r="AM22" s="10">
        <f>'King Node Model'!C48</f>
        <v>-302758</v>
      </c>
      <c r="AN22" s="3">
        <f>'King Node Model'!AL42</f>
        <v>7780</v>
      </c>
      <c r="AO22" s="10">
        <f>'King Node Model'!B48</f>
        <v>1987754</v>
      </c>
      <c r="AQ22" s="27">
        <f>'King Node Model'!AM17</f>
        <v>7780</v>
      </c>
      <c r="AR22" s="27">
        <f>'King Node Model'!AN17</f>
        <v>7780</v>
      </c>
      <c r="AS22" s="27">
        <f>IFERROR(IF(AND(INDEX('Level Engine'!$AN$9:$AN$55,MATCH('King Node Model'!$AL$42,'Level Engine'!$AA$9:$AA$55,0))=1,INDEX('Level Engine'!$CZ$9:$CZ$55,MATCH('King Node Model'!$AL$42,'Level Engine'!$AA$9:$AA$55,0))&lt;&gt;1),1,0),0)</f>
        <v>1</v>
      </c>
      <c r="AY22" s="1">
        <f>IF(AND($B$2="Hide unsafe",$BB22=1),0,IF(AND(OR(AND(AND(ISNUMBER($AL22),OR(AND($AL22&gt;=$AQ$22,$AL22&lt;=$AR$22,$AS$22=1),$AL22=$AQ$22,$AL22=$AR$22,$AL22=$AQ$23,$AL22=$AR$23,$AL22=$AQ$24,$AL22=$AR$24),NOT(OR($AL22=$AN$5,$AL22=$AN$6,$AL22=$AN$7,$AL22=$AN$8,$AL22=$AN$10,$AL22=$AN$11))),NOT(OR(AND('King Node Model'!$P$13="Up",OR($AL22=$AQ$22,$AL22=$AQ$23,$AL22=$AQ$24,$AL22='King Node Model'!$AM$20,$AL22='King Node Model'!$AM$21,$AL22='King Node Model'!$AM$22),OR(AND('King Node Model'!$B$23-$AL22&gt;=0,'King Node Model'!$B$23-$AL22&lt;=5),AND('King Node Model'!$C$23-$AL22&gt;=0,'King Node Model'!$C$23-$AL22&lt;=5))),AND('King Node Model'!$P$13="Down",OR($AL22=$AR$22,$AL22=$AR$23,$AL22=$AR$24,$AL22='King Node Model'!$AN$20,$AL22='King Node Model'!$AN$21,$AL22='King Node Model'!$AN$22),OR(AND($AL22-'King Node Model'!$B$23&gt;=0,$AL22-'King Node Model'!$B$23&lt;=5),AND($AL22-'King Node Model'!$C$24&gt;=0,$AL22-'King Node Model'!$C$24&lt;=5)))))),AND(AND(ISNUMBER($AL22),OR(AND($AL22&gt;=$AQ$22,$AL22&lt;=$AR$22,$AS$22=1),$AL22=$AQ$22,$AL22=$AR$22,$AL22=$AQ$23,$AL22=$AR$23,$AL22=$AQ$24,$AL22=$AR$24,$AL22='King Node Model'!$AL$42,$AL22='King Node Model'!$AL$43),OR($AL22=$AN$5,$AL22=$AN$6,$AL22=$AN$7,$AL22=$AN$8,$AL22=$AN$10,$AL22=$AN$11)),NOT(OR(AND('King Node Model'!$P$13="Up",OR($AL22=$AQ$22,$AL22=$AQ$23,$AL22=$AQ$24,$AL22='King Node Model'!$AM$20,$AL22='King Node Model'!$AM$21,$AL22='King Node Model'!$AM$22),OR(AND('King Node Model'!$B$23-$AL22&gt;=0,'King Node Model'!$B$23-$AL22&lt;=5),AND('King Node Model'!$C$23-$AL22&gt;=0,'King Node Model'!$C$23-$AL22&lt;=5))),AND('King Node Model'!$P$13="Down",OR($AL22=$AR$22,$AL22=$AR$23,$AL22=$AR$24,$AL22='King Node Model'!$AN$20,$AL22='King Node Model'!$AN$21,$AL22='King Node Model'!$AN$22),OR(AND($AL22-'King Node Model'!$B$23&gt;=0,$AL22-'King Node Model'!$B$23&lt;=5),AND($AL22-'King Node Model'!$C$24&gt;=0,$AL22-'King Node Model'!$C$24&lt;=5)))))),AND(AND(ISNUMBER($AL22),OR(AND($AL22&gt;='King Node Model'!$AM$20,$AL22&lt;='King Node Model'!$AN$20,$AS$23=1),$AL22='King Node Model'!$AM$20,$AL22='King Node Model'!$AN$20,$AL22='King Node Model'!$AM$21,$AL22='King Node Model'!$AN$21,$AL22='King Node Model'!$AM$22,$AL22='King Node Model'!$AN$22),NOT(OR($AL22=$AN$5,$AL22=$AN$6,$AL22=$AN$7,$AL22=$AN$8,$AL22=$AN$10,$AL22=$AN$11))),NOT(AND(ISNUMBER('King Node Model'!$F$24),$AL22='King Node Model'!$F$24,IFERROR(INDEX('Level Engine'!$JN$9:$JN$55,MATCH($AL22,'Level Engine'!$AA$9:$AA$55,0)),0)&lt;&gt;1))),AND(AND(ISNUMBER($AL22),OR(AND($AL22&gt;='King Node Model'!$AM$20,$AL22&lt;='King Node Model'!$AN$20,$AS$23=1),$AL22='King Node Model'!$AM$20,$AL22='King Node Model'!$AN$20,$AL22='King Node Model'!$AM$21,$AL22='King Node Model'!$AN$21,$AL22='King Node Model'!$AM$22,$AL22='King Node Model'!$AN$22,$AL22='King Node Model'!$AL$49,$AL22='King Node Model'!$AL$50),OR($AL22=$AN$5,$AL22=$AN$6,$AL22=$AN$7,$AL22=$AN$8,$AL22=$AN$10,$AL22=$AN$11)),NOT(OR(AND('King Node Model'!$P$13="Up",OR($AL22=$AQ$22,$AL22=$AQ$23,$AL22=$AQ$24,$AL22='King Node Model'!$AM$20,$AL22='King Node Model'!$AM$21,$AL22='King Node Model'!$AM$22),OR(AND('King Node Model'!$B$23-$AL22&gt;=0,'King Node Model'!$B$23-$AL22&lt;=5),AND('King Node Model'!$C$23-$AL22&gt;=0,'King Node Model'!$C$23-$AL22&lt;=5))),AND('King Node Model'!$P$13="Down",OR($AL22=$AR$22,$AL22=$AR$23,$AL22=$AR$24,$AL22='King Node Model'!$AN$20,$AL22='King Node Model'!$AN$21,$AL22='King Node Model'!$AN$22),OR(AND($AL22-'King Node Model'!$B$23&gt;=0,$AL22-'King Node Model'!$B$23&lt;=5),AND($AL22-'King Node Model'!$C$24&gt;=0,$AL22-'King Node Model'!$C$24&lt;=5))))))),OR(COUNTIF('Level Engine'!$W$9:$W$14,$AL22)&gt;0,COUNTIF('Level Engine'!$W$18:$W$23,$AL22)&gt;0)),1,0))</f>
        <v>0</v>
      </c>
      <c r="AZ22" s="1">
        <f t="shared" si="1"/>
        <v>0</v>
      </c>
      <c r="BB22" s="1">
        <f>IF(OR(AND($AL22='King Node Model'!$AL$42,$AP$45&lt;&gt;"RASP"),AND($AL22='King Node Model'!$AL$43,$AP$46&lt;&gt;"RASP"),AND($AL22='King Node Model'!$AL$49,$AP$52&lt;&gt;"RASP"),AND($AL22='King Node Model'!$AL$50,$AP$53&lt;&gt;"RASP"),AND($AL22='King Node Model'!$AL$44,$AP$47&lt;&gt;"RASP"),AND($AL22='King Node Model'!$AL$51,$AP$54&lt;&gt;"RASP")),0,IF(AND(AND(ISNUMBER($AL22),OR(AND($AL22&gt;=$AQ$22,$AL22&lt;=$AR$22,$AP$45="RASP"),AND($AL22&gt;=$AQ$23,$AL22&lt;=$AR$23,$AP$46="RASP"),AND($AL22&gt;=$AQ$24,$AL22&lt;=$AR$24,$AP$47="RASP"),AND($AL22&gt;='King Node Model'!$AM$20,$AL22&lt;='King Node Model'!$AN$20,$AP$52="RASP",NOT($L$52=$AW$52)),AND($AL22='King Node Model'!$B$23,$AP$52="RASP",$L$52=$AW$52),AND($AL22&gt;='King Node Model'!$AM$21,$AL22&lt;='King Node Model'!$AN$21,$AP$53="RASP",NOT($L$53=$AW$53)),AND($AL22='King Node Model'!$B$23,$AP$53="RASP",$L$53=$AW$53),AND($AL22&gt;='King Node Model'!$AM$22,$AL22&lt;='King Node Model'!$AN$22,$AP$54="RASP"),AND($AL22&gt;=IFERROR(INDEX('Level Engine'!$AT$9:$AT$55,MATCH('King Node Model'!$AL$42,'Level Engine'!$AA$9:$AA$55,0)),""),$AL22&lt;=IFERROR(INDEX('Level Engine'!$AU$9:$AU$55,MATCH('King Node Model'!$AL$42,'Level Engine'!$AA$9:$AA$55,0)),""),$AP$45="RASP"),AND($AL22&gt;=IFERROR(INDEX('Level Engine'!$AT$9:$AT$55,MATCH('King Node Model'!$AL$43,'Level Engine'!$AA$9:$AA$55,0)),""),$AL22&lt;=IFERROR(INDEX('Level Engine'!$AU$9:$AU$55,MATCH('King Node Model'!$AL$43,'Level Engine'!$AA$9:$AA$55,0)),""),$AP$46="RASP"),AND($AL22&gt;=IFERROR(INDEX('Level Engine'!$AT$9:$AT$55,MATCH('King Node Model'!$AL$44,'Level Engine'!$AA$9:$AA$55,0)),""),$AL22&lt;=IFERROR(INDEX('Level Engine'!$AU$9:$AU$55,MATCH('King Node Model'!$AL$44,'Level Engine'!$AA$9:$AA$55,0)),""),$AP$47="RASP"),AND($AL22&gt;=IFERROR(INDEX('Level Engine'!$AT$9:$AT$55,MATCH('King Node Model'!$AL$49,'Level Engine'!$AA$9:$AA$55,0)),""),$AL22&lt;=IFERROR(INDEX('Level Engine'!$AU$9:$AU$55,MATCH('King Node Model'!$AL$49,'Level Engine'!$AA$9:$AA$55,0)),""),$AP$52="RASP",NOT($L$52=$AW$52)),AND($AL22&gt;=IFERROR(INDEX('Level Engine'!$AT$9:$AT$55,MATCH('King Node Model'!$AL$50,'Level Engine'!$AA$9:$AA$55,0)),""),$AL22&lt;=IFERROR(INDEX('Level Engine'!$AU$9:$AU$55,MATCH('King Node Model'!$AL$50,'Level Engine'!$AA$9:$AA$55,0)),""),$AP$53="RASP",NOT($L$53=$AW$53)),AND($AL22&gt;=IFERROR(INDEX('Level Engine'!$AT$9:$AT$55,MATCH('King Node Model'!$AL$51,'Level Engine'!$AA$9:$AA$55,0)),""),$AL22&lt;=IFERROR(INDEX('Level Engine'!$AU$9:$AU$55,MATCH('King Node Model'!$AL$51,'Level Engine'!$AA$9:$AA$55,0)),""),$AP$54="RASP"))),NOT(AND(ISNUMBER('King Node Model'!$F$24),$AL22='King Node Model'!$F$24,IFERROR(INDEX('Level Engine'!$JN$9:$JN$55,MATCH($AL22,'Level Engine'!$AA$9:$AA$55,0)),0)&lt;&gt;1,$AL22&lt;&gt;'King Node Model'!$AL$42,$AL22&lt;&gt;'King Node Model'!$AL$43,$AL22&lt;&gt;'King Node Model'!$AL$44,$AL22&lt;&gt;'King Node Model'!$AL$49,$AL22&lt;&gt;'King Node Model'!$AL$50,$AL22&lt;&gt;'King Node Model'!$AL$51))),1,0))</f>
        <v>0</v>
      </c>
      <c r="CO22">
        <f>IF(NOT(ISNUMBER($AL22)),"",IF(NOT(ISNUMBER(IFERROR(INDEX('Level Engine'!$FT$9:$FT$55,MATCH($AL22,'Level Engine'!$AA$9:$AA$55,0)),""))),"",IF(IFERROR(INDEX('Level Engine'!$FT$9:$FT$55,MATCH($AL22,'Level Engine'!$AA$9:$AA$55,0)),"")&lt;0,0,2)+IF(ABS(IFERROR(INDEX('Level Engine'!$FT$9:$FT$55,MATCH($AL22,'Level Engine'!$AA$9:$AA$55,0)),""))&gt;='Level Engine'!$FT$2,2,1)))</f>
        <v>1</v>
      </c>
      <c r="DJ22" t="str">
        <f>IF(ISNUMBER($AL22),IF($AL22='Level Engine'!$BG$122," ⫪","")&amp;IF($AL22='Level Engine'!$BG$118," S↑"&amp;IFERROR(INDEX('Level Engine'!$MV$9:$MV$55,MATCH($AL22,'Level Engine'!$AA$9:$AA$55,0)),""),"")&amp;IF($AL22='Level Engine'!$BG$119," S↓"&amp;IFERROR(INDEX('Level Engine'!$MV$9:$MV$55,MATCH($AL22,'Level Engine'!$AA$9:$AA$55,0)),""),"")&amp;IF($AL22='Level Engine'!$BG$120," D↑","")&amp;IF($AL22='Level Engine'!$BG$121," D↓","")&amp;IFERROR(INDEX('Level Engine'!$LG$9:$LG$55,MATCH($AL22,'Level Engine'!$AA$9:$AA$55,0)),"")&amp;IF(IFERROR(INDEX('Level Engine'!$MA$9:$MA$55,MATCH($AL22,'Level Engine'!$AA$9:$AA$55,0)),0)=1," SAND","")&amp;IF(IFERROR(INDEX('Level Engine'!$LM$9:$LM$55,MATCH($AL22,'Level Engine'!$AA$9:$AA$55,0)),0)&gt;0," TP","")&amp;IFERROR(" r"&amp;MATCH($AL22,'Level Engine'!$W$9:$W$14,0),IFERROR(" s"&amp;MATCH($AL22,'Level Engine'!$W$18:$W$23,0),""))&amp;IF($AL22='Level Engine'!$BG$165," ◇","")&amp;IF(N($DZ22)=1,IF($AL22&gt;'Level Engine'!$BG$165," ⚠ DOM↓"," ⚠ DOM↑")&amp;'Level Engine'!$BG$165,""),"")</f>
        <v xml:space="preserve"> TP</v>
      </c>
      <c r="DK22" t="str">
        <f>IF(AND(ISNUMBER($AL22),OR($AL22='King Node Model'!$AL$42,$AL22='King Node Model'!$AL$43,$AL22='King Node Model'!$AL$44)),IFERROR(MATCH($AL22,'Level Engine'!$W$9:$W$14,0),""),"")</f>
        <v/>
      </c>
      <c r="DL22" t="str">
        <f>IF(AND(ISNUMBER($AL22),OR($AL22='King Node Model'!$AL$49,$AL22='King Node Model'!$AL$50,$AL22='King Node Model'!$AL$51)),IFERROR(MATCH($AL22,'Level Engine'!$W$18:$W$23,0),""),"")</f>
        <v/>
      </c>
      <c r="DM22">
        <f>IF(AND(ISNUMBER($AL22),IFERROR(INDEX('Level Engine'!$LC$9:$LC$55,MATCH($AL22,'Level Engine'!$AA$9:$AA$55,0)),0)=1,OR($AL22=$AN$3,IFERROR(INDEX('Level Engine'!$LB$9:$LB$55,MATCH($AL22,'Level Engine'!$AA$9:$AA$55,0)),0)=1)),1,0)</f>
        <v>0</v>
      </c>
      <c r="DZ22">
        <f>IF(ISNUMBER($AL22),IF(IFERROR(INDEX('Level Engine'!$NJ$9:$NJ$55,MATCH($AL22,'Level Engine'!$AA$9:$AA$55,0)),0)=1,1,0),0)</f>
      </c>
    </row>
    <row r="23" spans="1:117" ht="15" customHeight="1" x14ac:dyDescent="0.25">
      <c r="A23" s="7" t="str">
        <f t="shared" si="3"/>
        <v>█████████</v>
      </c>
      <c r="B23" s="8" t="str">
        <f>TEXT(IF(IF('Level Engine'!$GJ$4=1,$AL23='Level Engine'!$GJ$3,AND($AL23-$AM$2&gt;-2.5,$AL23-$AM$2&lt;=2.5)),$AM$2,$AL23),"0")&amp;IF($AL23=$AN$1," ★","")&amp;IF($AL23=$AN$2," ★","")&amp;IF($AL23=$AN$3," ◆","")&amp;IF(AND(ISNUMBER($AN$4),$AL23=$AN$4)," Ⓕ","")&amp;IF(OR(AND(ISNUMBER('Level Engine'!$BG$87),$AL23='Level Engine'!$BG$87),AND(ISNUMBER('Level Engine'!$BG$105),$AL23='Level Engine'!$BG$105))," ζ","")&amp;IF(AND(ISNUMBER($AN$35),$AL23=$AN$35)," ⓏⒼ","")&amp;IF(OR($AL23='Level Engine'!$CP$4,$AL23='Level Engine'!$CP$5,$AL23='Level Engine'!$CP$6,$AL23='Level Engine'!$CP$7)," ☄","")&amp;IF(OR($AL23=$AN$5,$AL23=$AN$8)," ║1","")&amp;IF(OR($AL23=$AN$6,$AL23=$AN$10)," ║2","")&amp;IF(OR($AL23=$AN$7,$AL23=$AN$11)," ║3","")&amp;IF(OR($AL23=$AN$13,$AL23=$AN$16)," ▣1","")&amp;IF(OR($AL23=$AN$14,$AL23=$AN$17)," ▣2","")&amp;IF(OR($AL23=$AN$15,$AL23=$AN$18)," ▣3","")&amp;IF(AND(NOT(OR(AND(ISNUMBER(SEARCH("chop edge",$E$45)),IFERROR(ABS($AL23-'King Node Model'!$AL$42)&lt;=5,FALSE),NOT(ISNUMBER(SEARCH("UNSAFE",$L$45)))),AND(ISNUMBER(SEARCH("chop edge",$E$46)),IFERROR(ABS($AL23-'King Node Model'!$AL$43)&lt;=5,FALSE),NOT(ISNUMBER(SEARCH("UNSAFE",$L$46)))),AND(ISNUMBER(SEARCH("chop edge",$E$52)),IFERROR(ABS($AL23-'King Node Model'!$AL$49)&lt;=5,FALSE),NOT(ISNUMBER(SEARCH("UNSAFE",$L$52)))),AND(ISNUMBER(SEARCH("chop edge",$E$53)),IFERROR(ABS($AL23-'King Node Model'!$AL$50)&lt;=5,FALSE),NOT(ISNUMBER(SEARCH("UNSAFE",$L$53)))))),OR(AND(IFERROR(INDEX('Level Engine'!$IB$9:$IB$55,MATCH('King Node Model'!$AL$49,'Level Engine'!$AA$9:$AA$55,0)),0)&lt;&gt;1,$AL23=IFERROR(INDEX('Level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Engine'!$AA$9:$AA$55,0)),0)&lt;&gt;1,$AL23=IFERROR(INDEX('Level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edge",$E$45)),IFERROR(ABS($AL23-'King Node Model'!$AL$42)&lt;=5,FALSE),NOT(ISNUMBER(SEARCH("UNSAFE",$L$45)))),AND(ISNUMBER(SEARCH("chop edge",$E$46)),IFERROR(ABS($AL23-'King Node Model'!$AL$43)&lt;=5,FALSE),NOT(ISNUMBER(SEARCH("UNSAFE",$L$46)))),AND(ISNUMBER(SEARCH("chop edge",$E$52)),IFERROR(ABS($AL23-'King Node Model'!$AL$49)&lt;=5,FALSE),NOT(ISNUMBER(SEARCH("UNSAFE",$L$52)))),AND(ISNUMBER(SEARCH("chop edge",$E$53)),IFERROR(ABS($AL23-'King Node Model'!$AL$50)&lt;=5,FALSE),NOT(ISNUMBER(SEARCH("UNSAFE",$L$53)))))),OR(AND(IFERROR(INDEX('Level Engine'!$IB$9:$IB$55,MATCH('King Node Model'!$AL$42,'Level Engine'!$AA$9:$AA$55,0)),0)&lt;&gt;1,$AL23=IFERROR(INDEX('Level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Engine'!$AA$9:$AA$55,0)),0)&lt;&gt;1,$AL23=IFERROR(INDEX('Level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ⒷⓁ"),"")&amp;IF(OR(AND($AL23&gt;='King Node Model'!$AM$17,$AL23&lt;='King Node Model'!$AN$17,$AP$45="RASP"),AND($AL23&gt;='King Node Model'!$AM$18,$AL23&lt;='King Node Model'!$AN$18,$AP$46="RASP"),AND($AL23&gt;='King Node Model'!$AM$19,$AL23&lt;='King Node Model'!$AN$19,$AP$47="RASP"),AND($AL23&gt;='King Node Model'!$AM$20,$AL23&lt;='King Node Model'!$AN$20,$AP$52="RASP"),AND($AL23&gt;='King Node Model'!$AM$21,$AL23&lt;='King Node Model'!$AN$21,$AP$53="RASP"),AND($AL23&gt;='King Node Model'!$AM$22,$AL23&lt;='King Node Model'!$AN$22,$AP$54="RASP")),"","")&amp;IF(IF('Level Engine'!$GJ$4=1,$AL23='Level Engine'!$GJ$3,AND($AL23-$AM$2&gt;-2.5,$AL23-$AM$2&lt;=2.5))," ◄","")&amp;IF(IFERROR(INDEX('Level Engine'!$GV$9:$GV$55,MATCH($AL23,'Level Engine'!$AA$9:$AA$55,0)),0)=1," Ⓥ"&amp;IF(IFERROR(INDEX('Level Engine'!$ET$9:$ET$55,MATCH($AL23,'Level Engine'!$AA$9:$AA$55,0)),0)=1,"+",""),"")&amp;IF(OR(AND($AL23=$AN$38,IFERROR(INDEX('Level Engine'!$AN$9:$AN$55,MATCH($AL23,'Level Engine'!$AA$9:$AA$55,0)),0)&lt;&gt;1),$AL23=$AN$39)," ⊙","")&amp;IF(AND(OR('King Node Model'!$A$8="Neg",N('Level Engine'!$BG$72)=1),ABS(MIN($AM$3:$AM$64))&gt;MAX($AM$3:$AM$64),$AN$2&lt;$AM$2,$AL23&lt;$AM$2,ABS($AL23-$AN$2)&lt;=5,IFERROR(VALUE(MID('King Node Model'!$K$26,FIND(":",'King Node Model'!$K$26)-2,2)),0)&gt;=19,IFERROR(INDEX('Level Engine'!$EJ$9:$EJ$55,MATCH($AL23,'Level Engine'!$AA$9:$AA$55,0)),0)=0,$AN$3&gt;$AM$2)," ⟲rev","")&amp;IF($AL23='King Node Model'!$F$24," ⟂","")&amp;$DJ23&amp;IF(IFERROR(INDEX('Level Engine'!$EN$9:$EN$55,MATCH($AL23,'Level Engine'!$AA$9:$AA$55,0)),0)=1," Ⓟ"&amp;IF(AND(OR('King Node Model'!$A$8="Neg",N('Level Engine'!$BG$72)=1),IFERROR(INDEX('Level Engine'!$AN$9:$AN$55,MATCH($AL23,'Level Engine'!$AA$9:$AA$55,0)),0)&lt;&gt;1)," NO-REV",""),"")&amp;IF(AND(ISNUMBER($AL23),OR(AND(ISNUMBER(SEARCH("chop edge",$E$45)),$AL23='King Node Model'!$AL$42),AND(ISNUMBER(SEARCH("chop edge",$E$46)),$AL23='King Node Model'!$AL$43),AND(ISNUMBER(SEARCH("chop edge",$E$52)),$AL23='King Node Model'!$AL$49),AND(ISNUMBER(SEARCH("chop edge",$E$53)),$AL23='King Node Model'!$AL$50)))," ⒸⒺ","")&amp;IF(AND('Level Engine'!$GJ$4=1,OR($AL23='Level Engine'!$GJ$1,$AL23='Level Engine'!$GJ$2)),"","")&amp;IF(ABS(N(IFERROR(INDEX('Level Engine'!$AE$9:$AE$55,MATCH($AL23,'Level Engine'!$AA$9:$AA$55,0)),0)))&gt;='Level Engine'!$BG$85,IF(N(IFERROR(INDEX('Level Engine'!$AE$9:$AE$55,MATCH($AL23,'Level Engine'!$AA$9:$AA$55,0)),0))&gt;0," Δ+"," Δ−"),"")&amp;IFERROR(IF(AND(ISNUMBER(MATCH($AL23,'Level Engine'!$AA$9:$AA$55,0)),ABS(N(IFERROR(INDEX('Level Engine'!$AE$9:$AE$55,MATCH($AL23,'Level Engine'!$AA$9:$AA$55,0)),0)))&lt;'Level Engine'!$BG$85,ABS(N(IFERROR(INDEX('Level Engine'!$AE$9:$AE$55,MATCH($AL23,'Level Engine'!$AA$9:$AA$55,0)),0)))&lt;=ABS(N(IFERROR(INDEX('Level Engine'!$AE$9:$AE$55,MATCH($AL23+5,'Level Engine'!$AA$9:$AA$55,0)),0))),ABS(N(IFERROR(INDEX('Level Engine'!$AE$9:$AE$55,MATCH($AL23,'Level Engine'!$AA$9:$AA$55,0)),0)))&lt;=ABS(N(IFERROR(INDEX('Level Engine'!$AE$9:$AE$55,MATCH($AL23-5,'Level Engine'!$AA$9:$AA$55,0)),0))),OR(AND(ABS(N(IFERROR(INDEX('Level Engine'!$AE$9:$AE$55,MATCH($AL23+5,'Level Engine'!$AA$9:$AA$55,0)),0)))&gt;='Level Engine'!$BG$85,ABS(N(IFERROR(INDEX('Level Engine'!$AE$9:$AE$55,MATCH($AL23,'Level Engine'!$AA$9:$AA$55,0)),0)))&lt;='Level Engine'!$BG$88*ABS(N(IFERROR(INDEX('Level Engine'!$AE$9:$AE$55,MATCH($AL23+5,'Level Engine'!$AA$9:$AA$55,0)),0)))),AND(ABS(N(IFERROR(INDEX('Level Engine'!$AE$9:$AE$55,MATCH($AL23-5,'Level Engine'!$AA$9:$AA$55,0)),0)))&gt;='Level Engine'!$BG$85,ABS(N(IFERROR(INDEX('Level Engine'!$AE$9:$AE$55,MATCH($AL23,'Level Engine'!$AA$9:$AA$55,0)),0)))&lt;='Level Engine'!$BG$88*ABS(N(IFERROR(INDEX('Level Engine'!$AE$9:$AE$55,MATCH($AL23-5,'Level Engine'!$AA$9:$AA$55,0)),0)))))),IF(AND('King Node Model'!$A$8="Pos",N('Level Engine'!$BG$72)&lt;&gt;1),""," ∅"),""),"")&amp;IF(IFERROR(INDEX('Level Engine'!$JD$9:$JD$55,MATCH($AL23,'Level Engine'!$AA$9:$AA$55,0)),"")="P"," P-OI",IF(IFERROR(INDEX('Level Engine'!$JD$9:$JD$55,MATCH($AL23,'Level Engine'!$AA$9:$AA$55,0)),"")="C"," C-OI",""))</f>
        <v>7785</v>
      </c>
      <c r="C23" s="9" t="str">
        <f t="shared" si="0"/>
        <v/>
      </c>
      <c r="D23" t="str">
        <f>IF(NOT(ISNUMBER($AL23)),"",IF(IFERROR(INDEX('Level Engine'!$FS$9:$FS$55,MATCH($AL23,'Level Engine'!$AA$9:$AA$55,0)),0)=1,"⊙",""))</f>
        <v/>
      </c>
      <c r="E23" s="28" t="s">
        <v>21</v>
      </c>
      <c r="F23" s="29" t="str">
        <f>'King Node Model'!A8</f>
        <v>Neg</v>
      </c>
      <c r="G23" s="29" t="str">
        <f>'King Node Model'!B8</f>
        <v>Pos</v>
      </c>
      <c r="H23" s="29" t="str">
        <f>'King Node Model'!C8</f>
        <v>Neg</v>
      </c>
      <c r="I23" s="29" t="str">
        <f>'King Node Model'!D8</f>
        <v>Pos</v>
      </c>
      <c r="J23" s="29" t="str">
        <f>'King Node Model'!E8</f>
        <v>Pos</v>
      </c>
      <c r="K23" s="29" t="str">
        <f>'King Node Model'!F8</f>
        <v>Pos</v>
      </c>
      <c r="L23" s="29" t="str">
        <f>'King Node Model'!G8</f>
        <v>Pos</v>
      </c>
      <c r="M23" s="30" t="str">
        <f>IF('King Node Model'!H8="","—",'King Node Model'!H8)</f>
        <v>Pos</v>
      </c>
      <c r="N23" s="15"/>
      <c r="Q23" s="470" t="str">
        <f>'King Node Model'!K26</f>
        <v>Updated 17:39:36</v>
      </c>
      <c r="R23" s="586"/>
      <c r="S23" s="586"/>
      <c r="T23" s="481"/>
      <c r="U23" s="481"/>
      <c r="V23" s="2"/>
      <c r="W23" s="573"/>
      <c r="X23" s="573"/>
      <c r="Y23" s="573"/>
      <c r="Z23" s="573"/>
      <c r="AL23" s="1">
        <f>'King Node Model'!A49</f>
        <v>7785</v>
      </c>
      <c r="AM23" s="10">
        <f>'King Node Model'!C49</f>
        <v>-60487</v>
      </c>
      <c r="AN23" s="32">
        <f>'King Node Model'!AL43</f>
        <v>7805</v>
      </c>
      <c r="AO23" s="10">
        <f>'King Node Model'!B49</f>
        <v>1617739</v>
      </c>
      <c r="AQ23" s="33">
        <f>'King Node Model'!AM18</f>
        <v>7805</v>
      </c>
      <c r="AR23" s="33">
        <f>'King Node Model'!AN18</f>
        <v>7805</v>
      </c>
      <c r="AS23" s="33">
        <f>IFERROR(IF(AND(INDEX('Level Engine'!$AN$9:$AN$55,MATCH('King Node Model'!$AP$67,'Level Engine'!$AA$9:$AA$55,0))=1,INDEX('Level Engine'!$CZ$9:$CZ$55,MATCH('King Node Model'!$AP$67,'Level Engine'!$AA$9:$AA$55,0))&lt;&gt;1),1,0),0)</f>
        <v>0</v>
      </c>
      <c r="AY23" s="1">
        <f>IF(AND($B$2="Hide unsafe",$BB23=1),0,IF(AND(OR(AND(AND(ISNUMBER($AL23),OR(AND($AL23&gt;=$AQ$22,$AL23&lt;=$AR$22,$AS$22=1),$AL23=$AQ$22,$AL23=$AR$22,$AL23=$AQ$23,$AL23=$AR$23,$AL23=$AQ$24,$AL23=$AR$24),NOT(OR($AL23=$AN$5,$AL23=$AN$6,$AL23=$AN$7,$AL23=$AN$8,$AL23=$AN$10,$AL23=$AN$11))),NOT(OR(AND('King Node Model'!$P$13="Up",OR($AL23=$AQ$22,$AL23=$AQ$23,$AL23=$AQ$24,$AL23='King Node Model'!$AM$20,$AL23='King Node Model'!$AM$21,$AL23='King Node Model'!$AM$22),OR(AND('King Node Model'!$B$23-$AL23&gt;=0,'King Node Model'!$B$23-$AL23&lt;=5),AND('King Node Model'!$C$23-$AL23&gt;=0,'King Node Model'!$C$23-$AL23&lt;=5))),AND('King Node Model'!$P$13="Down",OR($AL23=$AR$22,$AL23=$AR$23,$AL23=$AR$24,$AL23='King Node Model'!$AN$20,$AL23='King Node Model'!$AN$21,$AL23='King Node Model'!$AN$22),OR(AND($AL23-'King Node Model'!$B$23&gt;=0,$AL23-'King Node Model'!$B$23&lt;=5),AND($AL23-'King Node Model'!$C$24&gt;=0,$AL23-'King Node Model'!$C$24&lt;=5)))))),AND(AND(ISNUMBER($AL23),OR(AND($AL23&gt;=$AQ$22,$AL23&lt;=$AR$22,$AS$22=1),$AL23=$AQ$22,$AL23=$AR$22,$AL23=$AQ$23,$AL23=$AR$23,$AL23=$AQ$24,$AL23=$AR$24,$AL23='King Node Model'!$AL$42,$AL23='King Node Model'!$AL$43),OR($AL23=$AN$5,$AL23=$AN$6,$AL23=$AN$7,$AL23=$AN$8,$AL23=$AN$10,$AL23=$AN$11)),NOT(OR(AND('King Node Model'!$P$13="Up",OR($AL23=$AQ$22,$AL23=$AQ$23,$AL23=$AQ$24,$AL23='King Node Model'!$AM$20,$AL23='King Node Model'!$AM$21,$AL23='King Node Model'!$AM$22),OR(AND('King Node Model'!$B$23-$AL23&gt;=0,'King Node Model'!$B$23-$AL23&lt;=5),AND('King Node Model'!$C$23-$AL23&gt;=0,'King Node Model'!$C$23-$AL23&lt;=5))),AND('King Node Model'!$P$13="Down",OR($AL23=$AR$22,$AL23=$AR$23,$AL23=$AR$24,$AL23='King Node Model'!$AN$20,$AL23='King Node Model'!$AN$21,$AL23='King Node Model'!$AN$22),OR(AND($AL23-'King Node Model'!$B$23&gt;=0,$AL23-'King Node Model'!$B$23&lt;=5),AND($AL23-'King Node Model'!$C$24&gt;=0,$AL23-'King Node Model'!$C$24&lt;=5)))))),AND(AND(ISNUMBER($AL23),OR(AND($AL23&gt;='King Node Model'!$AM$20,$AL23&lt;='King Node Model'!$AN$20,$AS$23=1),$AL23='King Node Model'!$AM$20,$AL23='King Node Model'!$AN$20,$AL23='King Node Model'!$AM$21,$AL23='King Node Model'!$AN$21,$AL23='King Node Model'!$AM$22,$AL23='King Node Model'!$AN$22),NOT(OR($AL23=$AN$5,$AL23=$AN$6,$AL23=$AN$7,$AL23=$AN$8,$AL23=$AN$10,$AL23=$AN$11))),NOT(AND(ISNUMBER('King Node Model'!$F$24),$AL23='King Node Model'!$F$24,IFERROR(INDEX('Level Engine'!$JN$9:$JN$55,MATCH($AL23,'Level Engine'!$AA$9:$AA$55,0)),0)&lt;&gt;1))),AND(AND(ISNUMBER($AL23),OR(AND($AL23&gt;='King Node Model'!$AM$20,$AL23&lt;='King Node Model'!$AN$20,$AS$23=1),$AL23='King Node Model'!$AM$20,$AL23='King Node Model'!$AN$20,$AL23='King Node Model'!$AM$21,$AL23='King Node Model'!$AN$21,$AL23='King Node Model'!$AM$22,$AL23='King Node Model'!$AN$22,$AL23='King Node Model'!$AL$49,$AL23='King Node Model'!$AL$50),OR($AL23=$AN$5,$AL23=$AN$6,$AL23=$AN$7,$AL23=$AN$8,$AL23=$AN$10,$AL23=$AN$11)),NOT(OR(AND('King Node Model'!$P$13="Up",OR($AL23=$AQ$22,$AL23=$AQ$23,$AL23=$AQ$24,$AL23='King Node Model'!$AM$20,$AL23='King Node Model'!$AM$21,$AL23='King Node Model'!$AM$22),OR(AND('King Node Model'!$B$23-$AL23&gt;=0,'King Node Model'!$B$23-$AL23&lt;=5),AND('King Node Model'!$C$23-$AL23&gt;=0,'King Node Model'!$C$23-$AL23&lt;=5))),AND('King Node Model'!$P$13="Down",OR($AL23=$AR$22,$AL23=$AR$23,$AL23=$AR$24,$AL23='King Node Model'!$AN$20,$AL23='King Node Model'!$AN$21,$AL23='King Node Model'!$AN$22),OR(AND($AL23-'King Node Model'!$B$23&gt;=0,$AL23-'King Node Model'!$B$23&lt;=5),AND($AL23-'King Node Model'!$C$24&gt;=0,$AL23-'King Node Model'!$C$24&lt;=5))))))),OR(COUNTIF('Level Engine'!$W$9:$W$14,$AL23)&gt;0,COUNTIF('Level Engine'!$W$18:$W$23,$AL23)&gt;0)),1,0))</f>
        <v>0</v>
      </c>
      <c r="AZ23" s="1">
        <f t="shared" si="1"/>
        <v>0</v>
      </c>
      <c r="BB23" s="1">
        <f>IF(OR(AND($AL23='King Node Model'!$AL$42,$AP$45&lt;&gt;"RASP"),AND($AL23='King Node Model'!$AL$43,$AP$46&lt;&gt;"RASP"),AND($AL23='King Node Model'!$AL$49,$AP$52&lt;&gt;"RASP"),AND($AL23='King Node Model'!$AL$50,$AP$53&lt;&gt;"RASP"),AND($AL23='King Node Model'!$AL$44,$AP$47&lt;&gt;"RASP"),AND($AL23='King Node Model'!$AL$51,$AP$54&lt;&gt;"RASP")),0,IF(AND(AND(ISNUMBER($AL23),OR(AND($AL23&gt;=$AQ$22,$AL23&lt;=$AR$22,$AP$45="RASP"),AND($AL23&gt;=$AQ$23,$AL23&lt;=$AR$23,$AP$46="RASP"),AND($AL23&gt;=$AQ$24,$AL23&lt;=$AR$24,$AP$47="RASP"),AND($AL23&gt;='King Node Model'!$AM$20,$AL23&lt;='King Node Model'!$AN$20,$AP$52="RASP",NOT($L$52=$AW$52)),AND($AL23='King Node Model'!$B$23,$AP$52="RASP",$L$52=$AW$52),AND($AL23&gt;='King Node Model'!$AM$21,$AL23&lt;='King Node Model'!$AN$21,$AP$53="RASP",NOT($L$53=$AW$53)),AND($AL23='King Node Model'!$B$23,$AP$53="RASP",$L$53=$AW$53),AND($AL23&gt;='King Node Model'!$AM$22,$AL23&lt;='King Node Model'!$AN$22,$AP$54="RASP"),AND($AL23&gt;=IFERROR(INDEX('Level Engine'!$AT$9:$AT$55,MATCH('King Node Model'!$AL$42,'Level Engine'!$AA$9:$AA$55,0)),""),$AL23&lt;=IFERROR(INDEX('Level Engine'!$AU$9:$AU$55,MATCH('King Node Model'!$AL$42,'Level Engine'!$AA$9:$AA$55,0)),""),$AP$45="RASP"),AND($AL23&gt;=IFERROR(INDEX('Level Engine'!$AT$9:$AT$55,MATCH('King Node Model'!$AL$43,'Level Engine'!$AA$9:$AA$55,0)),""),$AL23&lt;=IFERROR(INDEX('Level Engine'!$AU$9:$AU$55,MATCH('King Node Model'!$AL$43,'Level Engine'!$AA$9:$AA$55,0)),""),$AP$46="RASP"),AND($AL23&gt;=IFERROR(INDEX('Level Engine'!$AT$9:$AT$55,MATCH('King Node Model'!$AL$44,'Level Engine'!$AA$9:$AA$55,0)),""),$AL23&lt;=IFERROR(INDEX('Level Engine'!$AU$9:$AU$55,MATCH('King Node Model'!$AL$44,'Level Engine'!$AA$9:$AA$55,0)),""),$AP$47="RASP"),AND($AL23&gt;=IFERROR(INDEX('Level Engine'!$AT$9:$AT$55,MATCH('King Node Model'!$AL$49,'Level Engine'!$AA$9:$AA$55,0)),""),$AL23&lt;=IFERROR(INDEX('Level Engine'!$AU$9:$AU$55,MATCH('King Node Model'!$AL$49,'Level Engine'!$AA$9:$AA$55,0)),""),$AP$52="RASP",NOT($L$52=$AW$52)),AND($AL23&gt;=IFERROR(INDEX('Level Engine'!$AT$9:$AT$55,MATCH('King Node Model'!$AL$50,'Level Engine'!$AA$9:$AA$55,0)),""),$AL23&lt;=IFERROR(INDEX('Level Engine'!$AU$9:$AU$55,MATCH('King Node Model'!$AL$50,'Level Engine'!$AA$9:$AA$55,0)),""),$AP$53="RASP",NOT($L$53=$AW$53)),AND($AL23&gt;=IFERROR(INDEX('Level Engine'!$AT$9:$AT$55,MATCH('King Node Model'!$AL$51,'Level Engine'!$AA$9:$AA$55,0)),""),$AL23&lt;=IFERROR(INDEX('Level Engine'!$AU$9:$AU$55,MATCH('King Node Model'!$AL$51,'Level Engine'!$AA$9:$AA$55,0)),""),$AP$54="RASP"))),NOT(AND(ISNUMBER('King Node Model'!$F$24),$AL23='King Node Model'!$F$24,IFERROR(INDEX('Level Engine'!$JN$9:$JN$55,MATCH($AL23,'Level Engine'!$AA$9:$AA$55,0)),0)&lt;&gt;1,$AL23&lt;&gt;'King Node Model'!$AL$42,$AL23&lt;&gt;'King Node Model'!$AL$43,$AL23&lt;&gt;'King Node Model'!$AL$44,$AL23&lt;&gt;'King Node Model'!$AL$49,$AL23&lt;&gt;'King Node Model'!$AL$50,$AL23&lt;&gt;'King Node Model'!$AL$51))),1,0))</f>
        <v>0</v>
      </c>
      <c r="CO23">
        <f>IF(NOT(ISNUMBER($AL23)),"",IF(NOT(ISNUMBER(IFERROR(INDEX('Level Engine'!$FT$9:$FT$55,MATCH($AL23,'Level Engine'!$AA$9:$AA$55,0)),""))),"",IF(IFERROR(INDEX('Level Engine'!$FT$9:$FT$55,MATCH($AL23,'Level Engine'!$AA$9:$AA$55,0)),"")&lt;0,0,2)+IF(ABS(IFERROR(INDEX('Level Engine'!$FT$9:$FT$55,MATCH($AL23,'Level Engine'!$AA$9:$AA$55,0)),""))&gt;='Level Engine'!$FT$2,2,1)))</f>
        <v>1</v>
      </c>
      <c r="DJ23" t="str">
        <f>IF(ISNUMBER($AL23),IF($AL23='Level Engine'!$BG$122," ⫪","")&amp;IF($AL23='Level Engine'!$BG$118," S↑"&amp;IFERROR(INDEX('Level Engine'!$MV$9:$MV$55,MATCH($AL23,'Level Engine'!$AA$9:$AA$55,0)),""),"")&amp;IF($AL23='Level Engine'!$BG$119," S↓"&amp;IFERROR(INDEX('Level Engine'!$MV$9:$MV$55,MATCH($AL23,'Level Engine'!$AA$9:$AA$55,0)),""),"")&amp;IF($AL23='Level Engine'!$BG$120," D↑","")&amp;IF($AL23='Level Engine'!$BG$121," D↓","")&amp;IFERROR(INDEX('Level Engine'!$LG$9:$LG$55,MATCH($AL23,'Level Engine'!$AA$9:$AA$55,0)),"")&amp;IF(IFERROR(INDEX('Level Engine'!$MA$9:$MA$55,MATCH($AL23,'Level Engine'!$AA$9:$AA$55,0)),0)=1," SAND","")&amp;IF(IFERROR(INDEX('Level Engine'!$LM$9:$LM$55,MATCH($AL23,'Level Engine'!$AA$9:$AA$55,0)),0)&gt;0," TP","")&amp;IFERROR(" r"&amp;MATCH($AL23,'Level Engine'!$W$9:$W$14,0),IFERROR(" s"&amp;MATCH($AL23,'Level Engine'!$W$18:$W$23,0),""))&amp;IF($AL23='Level Engine'!$BG$165," ◇","")&amp;IF(N($DZ23)=1,IF($AL23&gt;'Level Engine'!$BG$165," ⚠ DOM↓"," ⚠ DOM↑")&amp;'Level Engine'!$BG$165,""),"")</f>
        <v/>
      </c>
      <c r="DK23" t="str">
        <f>IF(AND(ISNUMBER($AL23),OR($AL23='King Node Model'!$AL$42,$AL23='King Node Model'!$AL$43,$AL23='King Node Model'!$AL$44)),IFERROR(MATCH($AL23,'Level Engine'!$W$9:$W$14,0),""),"")</f>
        <v/>
      </c>
      <c r="DL23" t="str">
        <f>IF(AND(ISNUMBER($AL23),OR($AL23='King Node Model'!$AL$49,$AL23='King Node Model'!$AL$50,$AL23='King Node Model'!$AL$51)),IFERROR(MATCH($AL23,'Level Engine'!$W$18:$W$23,0),""),"")</f>
        <v/>
      </c>
      <c r="DM23">
        <f>IF(AND(ISNUMBER($AL23),IFERROR(INDEX('Level Engine'!$LC$9:$LC$55,MATCH($AL23,'Level Engine'!$AA$9:$AA$55,0)),0)=1,OR($AL23=$AN$3,IFERROR(INDEX('Level Engine'!$LB$9:$LB$55,MATCH($AL23,'Level Engine'!$AA$9:$AA$55,0)),0)=1)),1,0)</f>
        <v>0</v>
      </c>
      <c r="DZ23">
        <f>IF(ISNUMBER($AL23),IF(IFERROR(INDEX('Level Engine'!$NJ$9:$NJ$55,MATCH($AL23,'Level Engine'!$AA$9:$AA$55,0)),0)=1,1,0),0)</f>
      </c>
    </row>
    <row r="24" spans="1:117" ht="15.75" customHeight="1" x14ac:dyDescent="0.25">
      <c r="A24" s="7" t="str">
        <f t="shared" si="3"/>
        <v>███████████████████████</v>
      </c>
      <c r="B24" s="8" t="str">
        <f>TEXT(IF(IF('Level Engine'!$GJ$4=1,$AL24='Level Engine'!$GJ$3,AND($AL24-$AM$2&gt;-2.5,$AL24-$AM$2&lt;=2.5)),$AM$2,$AL24),"0")&amp;IF($AL24=$AN$1," ★","")&amp;IF($AL24=$AN$2," ★","")&amp;IF($AL24=$AN$3," ◆","")&amp;IF(AND(ISNUMBER($AN$4),$AL24=$AN$4)," Ⓕ","")&amp;IF(OR(AND(ISNUMBER('Level Engine'!$BG$87),$AL24='Level Engine'!$BG$87),AND(ISNUMBER('Level Engine'!$BG$105),$AL24='Level Engine'!$BG$105))," ζ","")&amp;IF(AND(ISNUMBER($AN$35),$AL24=$AN$35)," ⓏⒼ","")&amp;IF(OR($AL24='Level Engine'!$CP$4,$AL24='Level Engine'!$CP$5,$AL24='Level Engine'!$CP$6,$AL24='Level Engine'!$CP$7)," ☄","")&amp;IF(OR($AL24=$AN$5,$AL24=$AN$8)," ║1","")&amp;IF(OR($AL24=$AN$6,$AL24=$AN$10)," ║2","")&amp;IF(OR($AL24=$AN$7,$AL24=$AN$11)," ║3","")&amp;IF(OR($AL24=$AN$13,$AL24=$AN$16)," ▣1","")&amp;IF(OR($AL24=$AN$14,$AL24=$AN$17)," ▣2","")&amp;IF(OR($AL24=$AN$15,$AL24=$AN$18)," ▣3","")&amp;IF(AND(NOT(OR(AND(ISNUMBER(SEARCH("chop edge",$E$45)),IFERROR(ABS($AL24-'King Node Model'!$AL$42)&lt;=5,FALSE),NOT(ISNUMBER(SEARCH("UNSAFE",$L$45)))),AND(ISNUMBER(SEARCH("chop edge",$E$46)),IFERROR(ABS($AL24-'King Node Model'!$AL$43)&lt;=5,FALSE),NOT(ISNUMBER(SEARCH("UNSAFE",$L$46)))),AND(ISNUMBER(SEARCH("chop edge",$E$52)),IFERROR(ABS($AL24-'King Node Model'!$AL$49)&lt;=5,FALSE),NOT(ISNUMBER(SEARCH("UNSAFE",$L$52)))),AND(ISNUMBER(SEARCH("chop edge",$E$53)),IFERROR(ABS($AL24-'King Node Model'!$AL$50)&lt;=5,FALSE),NOT(ISNUMBER(SEARCH("UNSAFE",$L$53)))))),OR(AND(IFERROR(INDEX('Level Engine'!$IB$9:$IB$55,MATCH('King Node Model'!$AL$49,'Level Engine'!$AA$9:$AA$55,0)),0)&lt;&gt;1,$AL24=IFERROR(INDEX('Level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Engine'!$AA$9:$AA$55,0)),0)&lt;&gt;1,$AL24=IFERROR(INDEX('Level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edge",$E$45)),IFERROR(ABS($AL24-'King Node Model'!$AL$42)&lt;=5,FALSE),NOT(ISNUMBER(SEARCH("UNSAFE",$L$45)))),AND(ISNUMBER(SEARCH("chop edge",$E$46)),IFERROR(ABS($AL24-'King Node Model'!$AL$43)&lt;=5,FALSE),NOT(ISNUMBER(SEARCH("UNSAFE",$L$46)))),AND(ISNUMBER(SEARCH("chop edge",$E$52)),IFERROR(ABS($AL24-'King Node Model'!$AL$49)&lt;=5,FALSE),NOT(ISNUMBER(SEARCH("UNSAFE",$L$52)))),AND(ISNUMBER(SEARCH("chop edge",$E$53)),IFERROR(ABS($AL24-'King Node Model'!$AL$50)&lt;=5,FALSE),NOT(ISNUMBER(SEARCH("UNSAFE",$L$53)))))),OR(AND(IFERROR(INDEX('Level Engine'!$IB$9:$IB$55,MATCH('King Node Model'!$AL$42,'Level Engine'!$AA$9:$AA$55,0)),0)&lt;&gt;1,$AL24=IFERROR(INDEX('Level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Engine'!$AA$9:$AA$55,0)),0)&lt;&gt;1,$AL24=IFERROR(INDEX('Level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ⒷⓁ"),"")&amp;IF(OR(AND($AL24&gt;='King Node Model'!$AM$17,$AL24&lt;='King Node Model'!$AN$17,$AP$45="RASP"),AND($AL24&gt;='King Node Model'!$AM$18,$AL24&lt;='King Node Model'!$AN$18,$AP$46="RASP"),AND($AL24&gt;='King Node Model'!$AM$19,$AL24&lt;='King Node Model'!$AN$19,$AP$47="RASP"),AND($AL24&gt;='King Node Model'!$AM$20,$AL24&lt;='King Node Model'!$AN$20,$AP$52="RASP"),AND($AL24&gt;='King Node Model'!$AM$21,$AL24&lt;='King Node Model'!$AN$21,$AP$53="RASP"),AND($AL24&gt;='King Node Model'!$AM$22,$AL24&lt;='King Node Model'!$AN$22,$AP$54="RASP")),"","")&amp;IF(IF('Level Engine'!$GJ$4=1,$AL24='Level Engine'!$GJ$3,AND($AL24-$AM$2&gt;-2.5,$AL24-$AM$2&lt;=2.5))," ◄","")&amp;IF(IFERROR(INDEX('Level Engine'!$GV$9:$GV$55,MATCH($AL24,'Level Engine'!$AA$9:$AA$55,0)),0)=1," Ⓥ"&amp;IF(IFERROR(INDEX('Level Engine'!$ET$9:$ET$55,MATCH($AL24,'Level Engine'!$AA$9:$AA$55,0)),0)=1,"+",""),"")&amp;IF(OR(AND($AL24=$AN$38,IFERROR(INDEX('Level Engine'!$AN$9:$AN$55,MATCH($AL24,'Level Engine'!$AA$9:$AA$55,0)),0)&lt;&gt;1),$AL24=$AN$39)," ⊙","")&amp;IF(AND(OR('King Node Model'!$A$8="Neg",N('Level Engine'!$BG$72)=1),ABS(MIN($AM$3:$AM$64))&gt;MAX($AM$3:$AM$64),$AN$2&lt;$AM$2,$AL24&lt;$AM$2,ABS($AL24-$AN$2)&lt;=5,IFERROR(VALUE(MID('King Node Model'!$K$26,FIND(":",'King Node Model'!$K$26)-2,2)),0)&gt;=19,IFERROR(INDEX('Level Engine'!$EJ$9:$EJ$55,MATCH($AL24,'Level Engine'!$AA$9:$AA$55,0)),0)=0,$AN$3&gt;$AM$2)," ⟲rev","")&amp;IF($AL24='King Node Model'!$F$24," ⟂","")&amp;$DJ24&amp;IF(IFERROR(INDEX('Level Engine'!$EN$9:$EN$55,MATCH($AL24,'Level Engine'!$AA$9:$AA$55,0)),0)=1," Ⓟ"&amp;IF(AND(OR('King Node Model'!$A$8="Neg",N('Level Engine'!$BG$72)=1),IFERROR(INDEX('Level Engine'!$AN$9:$AN$55,MATCH($AL24,'Level Engine'!$AA$9:$AA$55,0)),0)&lt;&gt;1)," NO-REV",""),"")&amp;IF(AND(ISNUMBER($AL24),OR(AND(ISNUMBER(SEARCH("chop edge",$E$45)),$AL24='King Node Model'!$AL$42),AND(ISNUMBER(SEARCH("chop edge",$E$46)),$AL24='King Node Model'!$AL$43),AND(ISNUMBER(SEARCH("chop edge",$E$52)),$AL24='King Node Model'!$AL$49),AND(ISNUMBER(SEARCH("chop edge",$E$53)),$AL24='King Node Model'!$AL$50)))," ⒸⒺ","")&amp;IF(AND('Level Engine'!$GJ$4=1,OR($AL24='Level Engine'!$GJ$1,$AL24='Level Engine'!$GJ$2)),"","")&amp;IF(ABS(N(IFERROR(INDEX('Level Engine'!$AE$9:$AE$55,MATCH($AL24,'Level Engine'!$AA$9:$AA$55,0)),0)))&gt;='Level Engine'!$BG$85,IF(N(IFERROR(INDEX('Level Engine'!$AE$9:$AE$55,MATCH($AL24,'Level Engine'!$AA$9:$AA$55,0)),0))&gt;0," Δ+"," Δ−"),"")&amp;IFERROR(IF(AND(ISNUMBER(MATCH($AL24,'Level Engine'!$AA$9:$AA$55,0)),ABS(N(IFERROR(INDEX('Level Engine'!$AE$9:$AE$55,MATCH($AL24,'Level Engine'!$AA$9:$AA$55,0)),0)))&lt;'Level Engine'!$BG$85,ABS(N(IFERROR(INDEX('Level Engine'!$AE$9:$AE$55,MATCH($AL24,'Level Engine'!$AA$9:$AA$55,0)),0)))&lt;=ABS(N(IFERROR(INDEX('Level Engine'!$AE$9:$AE$55,MATCH($AL24+5,'Level Engine'!$AA$9:$AA$55,0)),0))),ABS(N(IFERROR(INDEX('Level Engine'!$AE$9:$AE$55,MATCH($AL24,'Level Engine'!$AA$9:$AA$55,0)),0)))&lt;=ABS(N(IFERROR(INDEX('Level Engine'!$AE$9:$AE$55,MATCH($AL24-5,'Level Engine'!$AA$9:$AA$55,0)),0))),OR(AND(ABS(N(IFERROR(INDEX('Level Engine'!$AE$9:$AE$55,MATCH($AL24+5,'Level Engine'!$AA$9:$AA$55,0)),0)))&gt;='Level Engine'!$BG$85,ABS(N(IFERROR(INDEX('Level Engine'!$AE$9:$AE$55,MATCH($AL24,'Level Engine'!$AA$9:$AA$55,0)),0)))&lt;='Level Engine'!$BG$88*ABS(N(IFERROR(INDEX('Level Engine'!$AE$9:$AE$55,MATCH($AL24+5,'Level Engine'!$AA$9:$AA$55,0)),0)))),AND(ABS(N(IFERROR(INDEX('Level Engine'!$AE$9:$AE$55,MATCH($AL24-5,'Level Engine'!$AA$9:$AA$55,0)),0)))&gt;='Level Engine'!$BG$85,ABS(N(IFERROR(INDEX('Level Engine'!$AE$9:$AE$55,MATCH($AL24,'Level Engine'!$AA$9:$AA$55,0)),0)))&lt;='Level Engine'!$BG$88*ABS(N(IFERROR(INDEX('Level Engine'!$AE$9:$AE$55,MATCH($AL24-5,'Level Engine'!$AA$9:$AA$55,0)),0)))))),IF(AND('King Node Model'!$A$8="Pos",N('Level Engine'!$BG$72)&lt;&gt;1),""," ∅"),""),"")&amp;IF(IFERROR(INDEX('Level Engine'!$JD$9:$JD$55,MATCH($AL24,'Level Engine'!$AA$9:$AA$55,0)),"")="P"," P-OI",IF(IFERROR(INDEX('Level Engine'!$JD$9:$JD$55,MATCH($AL24,'Level Engine'!$AA$9:$AA$55,0)),"")="C"," C-OI",""))</f>
        <v>7780 ║3 ⟂ S↓ r5 P-OI</v>
      </c>
      <c r="C24" s="9" t="str">
        <f t="shared" si="0"/>
        <v/>
      </c>
      <c r="D24" t="str">
        <f>IF(NOT(ISNUMBER($AL24)),"",IF(IFERROR(INDEX('Level Engine'!$FS$9:$FS$55,MATCH($AL24,'Level Engine'!$AA$9:$AA$55,0)),0)=1,"⊙",""))</f>
        <v/>
      </c>
      <c r="E24" s="18" t="s">
        <v>22</v>
      </c>
      <c r="F24" s="19"/>
      <c r="G24" s="19"/>
      <c r="H24" s="19"/>
      <c r="I24" s="19"/>
      <c r="J24" s="19"/>
      <c r="K24" s="19"/>
      <c r="L24" s="19"/>
      <c r="M24" s="19"/>
      <c r="N24" s="34"/>
      <c r="O24" s="21"/>
      <c r="Q24" s="449" t="str">
        <f>"LEVEL  ·  READ"</f>
        <v>LEVEL  ·  READ</v>
      </c>
      <c r="R24" s="450" t="str">
        <f>"CALLS"</f>
        <v>CALLS</v>
      </c>
      <c r="S24" s="450" t="str">
        <f>"PUTS"</f>
        <v>PUTS</v>
      </c>
      <c r="T24" s="450" t="s">
        <v>1602</v>
      </c>
      <c r="U24" s="451" t="s">
        <v>1603</v>
      </c>
      <c r="AL24" s="1">
        <f>'King Node Model'!A50</f>
        <v>7780</v>
      </c>
      <c r="AM24" s="10">
        <f>'King Node Model'!C50</f>
        <v>-2299593</v>
      </c>
      <c r="AN24" s="1">
        <f>'King Node Model'!AL44</f>
        <v>7800</v>
      </c>
      <c r="AO24" s="10">
        <f>'King Node Model'!B50</f>
        <v>4038999</v>
      </c>
      <c r="AQ24">
        <f>'King Node Model'!AM19</f>
        <v>7800</v>
      </c>
      <c r="AR24">
        <f>'King Node Model'!AN19</f>
        <v>7805</v>
      </c>
      <c r="AY24" s="1">
        <f>IF(AND($B$2="Hide unsafe",$BB24=1),0,IF(AND(OR(AND(AND(ISNUMBER($AL24),OR(AND($AL24&gt;=$AQ$22,$AL24&lt;=$AR$22,$AS$22=1),$AL24=$AQ$22,$AL24=$AR$22,$AL24=$AQ$23,$AL24=$AR$23,$AL24=$AQ$24,$AL24=$AR$24),NOT(OR($AL24=$AN$5,$AL24=$AN$6,$AL24=$AN$7,$AL24=$AN$8,$AL24=$AN$10,$AL24=$AN$11))),NOT(OR(AND('King Node Model'!$P$13="Up",OR($AL24=$AQ$22,$AL24=$AQ$23,$AL24=$AQ$24,$AL24='King Node Model'!$AM$20,$AL24='King Node Model'!$AM$21,$AL24='King Node Model'!$AM$22),OR(AND('King Node Model'!$B$23-$AL24&gt;=0,'King Node Model'!$B$23-$AL24&lt;=5),AND('King Node Model'!$C$23-$AL24&gt;=0,'King Node Model'!$C$23-$AL24&lt;=5))),AND('King Node Model'!$P$13="Down",OR($AL24=$AR$22,$AL24=$AR$23,$AL24=$AR$24,$AL24='King Node Model'!$AN$20,$AL24='King Node Model'!$AN$21,$AL24='King Node Model'!$AN$22),OR(AND($AL24-'King Node Model'!$B$23&gt;=0,$AL24-'King Node Model'!$B$23&lt;=5),AND($AL24-'King Node Model'!$C$24&gt;=0,$AL24-'King Node Model'!$C$24&lt;=5)))))),AND(AND(ISNUMBER($AL24),OR(AND($AL24&gt;=$AQ$22,$AL24&lt;=$AR$22,$AS$22=1),$AL24=$AQ$22,$AL24=$AR$22,$AL24=$AQ$23,$AL24=$AR$23,$AL24=$AQ$24,$AL24=$AR$24,$AL24='King Node Model'!$AL$42,$AL24='King Node Model'!$AL$43),OR($AL24=$AN$5,$AL24=$AN$6,$AL24=$AN$7,$AL24=$AN$8,$AL24=$AN$10,$AL24=$AN$11)),NOT(OR(AND('King Node Model'!$P$13="Up",OR($AL24=$AQ$22,$AL24=$AQ$23,$AL24=$AQ$24,$AL24='King Node Model'!$AM$20,$AL24='King Node Model'!$AM$21,$AL24='King Node Model'!$AM$22),OR(AND('King Node Model'!$B$23-$AL24&gt;=0,'King Node Model'!$B$23-$AL24&lt;=5),AND('King Node Model'!$C$23-$AL24&gt;=0,'King Node Model'!$C$23-$AL24&lt;=5))),AND('King Node Model'!$P$13="Down",OR($AL24=$AR$22,$AL24=$AR$23,$AL24=$AR$24,$AL24='King Node Model'!$AN$20,$AL24='King Node Model'!$AN$21,$AL24='King Node Model'!$AN$22),OR(AND($AL24-'King Node Model'!$B$23&gt;=0,$AL24-'King Node Model'!$B$23&lt;=5),AND($AL24-'King Node Model'!$C$24&gt;=0,$AL24-'King Node Model'!$C$24&lt;=5)))))),AND(AND(ISNUMBER($AL24),OR(AND($AL24&gt;='King Node Model'!$AM$20,$AL24&lt;='King Node Model'!$AN$20,$AS$23=1),$AL24='King Node Model'!$AM$20,$AL24='King Node Model'!$AN$20,$AL24='King Node Model'!$AM$21,$AL24='King Node Model'!$AN$21,$AL24='King Node Model'!$AM$22,$AL24='King Node Model'!$AN$22),NOT(OR($AL24=$AN$5,$AL24=$AN$6,$AL24=$AN$7,$AL24=$AN$8,$AL24=$AN$10,$AL24=$AN$11))),NOT(AND(ISNUMBER('King Node Model'!$F$24),$AL24='King Node Model'!$F$24,IFERROR(INDEX('Level Engine'!$JN$9:$JN$55,MATCH($AL24,'Level Engine'!$AA$9:$AA$55,0)),0)&lt;&gt;1))),AND(AND(ISNUMBER($AL24),OR(AND($AL24&gt;='King Node Model'!$AM$20,$AL24&lt;='King Node Model'!$AN$20,$AS$23=1),$AL24='King Node Model'!$AM$20,$AL24='King Node Model'!$AN$20,$AL24='King Node Model'!$AM$21,$AL24='King Node Model'!$AN$21,$AL24='King Node Model'!$AM$22,$AL24='King Node Model'!$AN$22,$AL24='King Node Model'!$AL$49,$AL24='King Node Model'!$AL$50),OR($AL24=$AN$5,$AL24=$AN$6,$AL24=$AN$7,$AL24=$AN$8,$AL24=$AN$10,$AL24=$AN$11)),NOT(OR(AND('King Node Model'!$P$13="Up",OR($AL24=$AQ$22,$AL24=$AQ$23,$AL24=$AQ$24,$AL24='King Node Model'!$AM$20,$AL24='King Node Model'!$AM$21,$AL24='King Node Model'!$AM$22),OR(AND('King Node Model'!$B$23-$AL24&gt;=0,'King Node Model'!$B$23-$AL24&lt;=5),AND('King Node Model'!$C$23-$AL24&gt;=0,'King Node Model'!$C$23-$AL24&lt;=5))),AND('King Node Model'!$P$13="Down",OR($AL24=$AR$22,$AL24=$AR$23,$AL24=$AR$24,$AL24='King Node Model'!$AN$20,$AL24='King Node Model'!$AN$21,$AL24='King Node Model'!$AN$22),OR(AND($AL24-'King Node Model'!$B$23&gt;=0,$AL24-'King Node Model'!$B$23&lt;=5),AND($AL24-'King Node Model'!$C$24&gt;=0,$AL24-'King Node Model'!$C$24&lt;=5))))))),OR(COUNTIF('Level Engine'!$W$9:$W$14,$AL24)&gt;0,COUNTIF('Level Engine'!$W$18:$W$23,$AL24)&gt;0)),1,0))</f>
        <v>0</v>
      </c>
      <c r="AZ24" s="1">
        <f t="shared" si="1"/>
        <v>0</v>
      </c>
      <c r="BB24" s="1">
        <f>IF(OR(AND($AL24='King Node Model'!$AL$42,$AP$45&lt;&gt;"RASP"),AND($AL24='King Node Model'!$AL$43,$AP$46&lt;&gt;"RASP"),AND($AL24='King Node Model'!$AL$49,$AP$52&lt;&gt;"RASP"),AND($AL24='King Node Model'!$AL$50,$AP$53&lt;&gt;"RASP"),AND($AL24='King Node Model'!$AL$44,$AP$47&lt;&gt;"RASP"),AND($AL24='King Node Model'!$AL$51,$AP$54&lt;&gt;"RASP")),0,IF(AND(AND(ISNUMBER($AL24),OR(AND($AL24&gt;=$AQ$22,$AL24&lt;=$AR$22,$AP$45="RASP"),AND($AL24&gt;=$AQ$23,$AL24&lt;=$AR$23,$AP$46="RASP"),AND($AL24&gt;=$AQ$24,$AL24&lt;=$AR$24,$AP$47="RASP"),AND($AL24&gt;='King Node Model'!$AM$20,$AL24&lt;='King Node Model'!$AN$20,$AP$52="RASP",NOT($L$52=$AW$52)),AND($AL24='King Node Model'!$B$23,$AP$52="RASP",$L$52=$AW$52),AND($AL24&gt;='King Node Model'!$AM$21,$AL24&lt;='King Node Model'!$AN$21,$AP$53="RASP",NOT($L$53=$AW$53)),AND($AL24='King Node Model'!$B$23,$AP$53="RASP",$L$53=$AW$53),AND($AL24&gt;='King Node Model'!$AM$22,$AL24&lt;='King Node Model'!$AN$22,$AP$54="RASP"),AND($AL24&gt;=IFERROR(INDEX('Level Engine'!$AT$9:$AT$55,MATCH('King Node Model'!$AL$42,'Level Engine'!$AA$9:$AA$55,0)),""),$AL24&lt;=IFERROR(INDEX('Level Engine'!$AU$9:$AU$55,MATCH('King Node Model'!$AL$42,'Level Engine'!$AA$9:$AA$55,0)),""),$AP$45="RASP"),AND($AL24&gt;=IFERROR(INDEX('Level Engine'!$AT$9:$AT$55,MATCH('King Node Model'!$AL$43,'Level Engine'!$AA$9:$AA$55,0)),""),$AL24&lt;=IFERROR(INDEX('Level Engine'!$AU$9:$AU$55,MATCH('King Node Model'!$AL$43,'Level Engine'!$AA$9:$AA$55,0)),""),$AP$46="RASP"),AND($AL24&gt;=IFERROR(INDEX('Level Engine'!$AT$9:$AT$55,MATCH('King Node Model'!$AL$44,'Level Engine'!$AA$9:$AA$55,0)),""),$AL24&lt;=IFERROR(INDEX('Level Engine'!$AU$9:$AU$55,MATCH('King Node Model'!$AL$44,'Level Engine'!$AA$9:$AA$55,0)),""),$AP$47="RASP"),AND($AL24&gt;=IFERROR(INDEX('Level Engine'!$AT$9:$AT$55,MATCH('King Node Model'!$AL$49,'Level Engine'!$AA$9:$AA$55,0)),""),$AL24&lt;=IFERROR(INDEX('Level Engine'!$AU$9:$AU$55,MATCH('King Node Model'!$AL$49,'Level Engine'!$AA$9:$AA$55,0)),""),$AP$52="RASP",NOT($L$52=$AW$52)),AND($AL24&gt;=IFERROR(INDEX('Level Engine'!$AT$9:$AT$55,MATCH('King Node Model'!$AL$50,'Level Engine'!$AA$9:$AA$55,0)),""),$AL24&lt;=IFERROR(INDEX('Level Engine'!$AU$9:$AU$55,MATCH('King Node Model'!$AL$50,'Level Engine'!$AA$9:$AA$55,0)),""),$AP$53="RASP",NOT($L$53=$AW$53)),AND($AL24&gt;=IFERROR(INDEX('Level Engine'!$AT$9:$AT$55,MATCH('King Node Model'!$AL$51,'Level Engine'!$AA$9:$AA$55,0)),""),$AL24&lt;=IFERROR(INDEX('Level Engine'!$AU$9:$AU$55,MATCH('King Node Model'!$AL$51,'Level Engine'!$AA$9:$AA$55,0)),""),$AP$54="RASP"))),NOT(AND(ISNUMBER('King Node Model'!$F$24),$AL24='King Node Model'!$F$24,IFERROR(INDEX('Level Engine'!$JN$9:$JN$55,MATCH($AL24,'Level Engine'!$AA$9:$AA$55,0)),0)&lt;&gt;1,$AL24&lt;&gt;'King Node Model'!$AL$42,$AL24&lt;&gt;'King Node Model'!$AL$43,$AL24&lt;&gt;'King Node Model'!$AL$44,$AL24&lt;&gt;'King Node Model'!$AL$49,$AL24&lt;&gt;'King Node Model'!$AL$50,$AL24&lt;&gt;'King Node Model'!$AL$51))),1,0))</f>
        <v>1</v>
      </c>
      <c r="BV24">
        <f>IFERROR(INDEX('King Node Model'!$A$29:$A$75,MATCH(MAX('King Node Model'!$C$29:$C$75),'King Node Model'!$C$29:$C$75,0)),"")</f>
        <v>7825</v>
      </c>
      <c r="BW24">
        <f>IFERROR(INDEX('King Node Model'!$A$29:$A$75,MATCH(MIN('King Node Model'!$C$29:$C$75),'King Node Model'!$C$29:$C$75,0)),"")</f>
        <v>7770</v>
      </c>
      <c r="BX24">
        <f>IF(OR(NOT(ISNUMBER($BV24)),NOT(ISNUMBER($BW24))),"",MAX($BV24,$BW24,'King Node Model'!$B$4))</f>
        <v>7825</v>
      </c>
      <c r="BY24">
        <f>IF(OR(NOT(ISNUMBER($BV24)),NOT(ISNUMBER($BW24))),"",MIN($BV24,$BW24,'King Node Model'!$B$4))</f>
        <v>7770</v>
      </c>
      <c r="BZ24">
        <f>IF(ISNUMBER('King Node Model'!$D$26),'King Node Model'!$D$26,'King Node Model'!$B$4)</f>
        <v>7805</v>
      </c>
      <c r="CO24">
        <f>IF(NOT(ISNUMBER($AL24)),"",IF(NOT(ISNUMBER(IFERROR(INDEX('Level Engine'!$FT$9:$FT$55,MATCH($AL24,'Level Engine'!$AA$9:$AA$55,0)),""))),"",IF(IFERROR(INDEX('Level Engine'!$FT$9:$FT$55,MATCH($AL24,'Level Engine'!$AA$9:$AA$55,0)),"")&lt;0,0,2)+IF(ABS(IFERROR(INDEX('Level Engine'!$FT$9:$FT$55,MATCH($AL24,'Level Engine'!$AA$9:$AA$55,0)),""))&gt;='Level Engine'!$FT$2,2,1)))</f>
        <v>1</v>
      </c>
      <c r="DJ24" t="str">
        <f>IF(ISNUMBER($AL24),IF($AL24='Level Engine'!$BG$122," ⫪","")&amp;IF($AL24='Level Engine'!$BG$118," S↑"&amp;IFERROR(INDEX('Level Engine'!$MV$9:$MV$55,MATCH($AL24,'Level Engine'!$AA$9:$AA$55,0)),""),"")&amp;IF($AL24='Level Engine'!$BG$119," S↓"&amp;IFERROR(INDEX('Level Engine'!$MV$9:$MV$55,MATCH($AL24,'Level Engine'!$AA$9:$AA$55,0)),""),"")&amp;IF($AL24='Level Engine'!$BG$120," D↑","")&amp;IF($AL24='Level Engine'!$BG$121," D↓","")&amp;IFERROR(INDEX('Level Engine'!$LG$9:$LG$55,MATCH($AL24,'Level Engine'!$AA$9:$AA$55,0)),"")&amp;IF(IFERROR(INDEX('Level Engine'!$MA$9:$MA$55,MATCH($AL24,'Level Engine'!$AA$9:$AA$55,0)),0)=1," SAND","")&amp;IF(IFERROR(INDEX('Level Engine'!$LM$9:$LM$55,MATCH($AL24,'Level Engine'!$AA$9:$AA$55,0)),0)&gt;0," TP","")&amp;IFERROR(" r"&amp;MATCH($AL24,'Level Engine'!$W$9:$W$14,0),IFERROR(" s"&amp;MATCH($AL24,'Level Engine'!$W$18:$W$23,0),""))&amp;IF($AL24='Level Engine'!$BG$165," ◇","")&amp;IF(N($DZ24)=1,IF($AL24&gt;'Level Engine'!$BG$165," ⚠ DOM↓"," ⚠ DOM↑")&amp;'Level Engine'!$BG$165,""),"")</f>
        <v xml:space="preserve"> S↓ r5</v>
      </c>
      <c r="DK24">
        <f>IF(AND(ISNUMBER($AL24),OR($AL24='King Node Model'!$AL$42,$AL24='King Node Model'!$AL$43,$AL24='King Node Model'!$AL$44)),IFERROR(MATCH($AL24,'Level Engine'!$W$9:$W$14,0),""),"")</f>
        <v>5</v>
      </c>
      <c r="DL24" t="str">
        <f>IF(AND(ISNUMBER($AL24),OR($AL24='King Node Model'!$AL$49,$AL24='King Node Model'!$AL$50,$AL24='King Node Model'!$AL$51)),IFERROR(MATCH($AL24,'Level Engine'!$W$18:$W$23,0),""),"")</f>
        <v/>
      </c>
      <c r="DM24">
        <f>IF(AND(ISNUMBER($AL24),IFERROR(INDEX('Level Engine'!$LC$9:$LC$55,MATCH($AL24,'Level Engine'!$AA$9:$AA$55,0)),0)=1,OR($AL24=$AN$3,IFERROR(INDEX('Level Engine'!$LB$9:$LB$55,MATCH($AL24,'Level Engine'!$AA$9:$AA$55,0)),0)=1)),1,0)</f>
        <v>0</v>
      </c>
      <c r="DZ24">
        <f>IF(ISNUMBER($AL24),IF(IFERROR(INDEX('Level Engine'!$NJ$9:$NJ$55,MATCH($AL24,'Level Engine'!$AA$9:$AA$55,0)),0)=1,1,0),0)</f>
      </c>
    </row>
    <row r="25" spans="1:117" ht="15" customHeight="1" x14ac:dyDescent="0.25">
      <c r="A25" s="7" t="str">
        <f t="shared" si="3"/>
        <v>████████████████████████</v>
      </c>
      <c r="B25" s="8" t="str">
        <f>TEXT(IF(IF('Level Engine'!$GJ$4=1,$AL25='Level Engine'!$GJ$3,AND($AL25-$AM$2&gt;-2.5,$AL25-$AM$2&lt;=2.5)),$AM$2,$AL25),"0")&amp;IF($AL25=$AN$1," ★","")&amp;IF($AL25=$AN$2," ★","")&amp;IF($AL25=$AN$3," ◆","")&amp;IF(AND(ISNUMBER($AN$4),$AL25=$AN$4)," Ⓕ","")&amp;IF(OR(AND(ISNUMBER('Level Engine'!$BG$87),$AL25='Level Engine'!$BG$87),AND(ISNUMBER('Level Engine'!$BG$105),$AL25='Level Engine'!$BG$105))," ζ","")&amp;IF(AND(ISNUMBER($AN$35),$AL25=$AN$35)," ⓏⒼ","")&amp;IF(OR($AL25='Level Engine'!$CP$4,$AL25='Level Engine'!$CP$5,$AL25='Level Engine'!$CP$6,$AL25='Level Engine'!$CP$7)," ☄","")&amp;IF(OR($AL25=$AN$5,$AL25=$AN$8)," ║1","")&amp;IF(OR($AL25=$AN$6,$AL25=$AN$10)," ║2","")&amp;IF(OR($AL25=$AN$7,$AL25=$AN$11)," ║3","")&amp;IF(OR($AL25=$AN$13,$AL25=$AN$16)," ▣1","")&amp;IF(OR($AL25=$AN$14,$AL25=$AN$17)," ▣2","")&amp;IF(OR($AL25=$AN$15,$AL25=$AN$18)," ▣3","")&amp;IF(AND(NOT(OR(AND(ISNUMBER(SEARCH("chop edge",$E$45)),IFERROR(ABS($AL25-'King Node Model'!$AL$42)&lt;=5,FALSE),NOT(ISNUMBER(SEARCH("UNSAFE",$L$45)))),AND(ISNUMBER(SEARCH("chop edge",$E$46)),IFERROR(ABS($AL25-'King Node Model'!$AL$43)&lt;=5,FALSE),NOT(ISNUMBER(SEARCH("UNSAFE",$L$46)))),AND(ISNUMBER(SEARCH("chop edge",$E$52)),IFERROR(ABS($AL25-'King Node Model'!$AL$49)&lt;=5,FALSE),NOT(ISNUMBER(SEARCH("UNSAFE",$L$52)))),AND(ISNUMBER(SEARCH("chop edge",$E$53)),IFERROR(ABS($AL25-'King Node Model'!$AL$50)&lt;=5,FALSE),NOT(ISNUMBER(SEARCH("UNSAFE",$L$53)))))),OR(AND(IFERROR(INDEX('Level Engine'!$IB$9:$IB$55,MATCH('King Node Model'!$AL$49,'Level Engine'!$AA$9:$AA$55,0)),0)&lt;&gt;1,$AL25=IFERROR(INDEX('Level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Engine'!$AA$9:$AA$55,0)),0)&lt;&gt;1,$AL25=IFERROR(INDEX('Level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edge",$E$45)),IFERROR(ABS($AL25-'King Node Model'!$AL$42)&lt;=5,FALSE),NOT(ISNUMBER(SEARCH("UNSAFE",$L$45)))),AND(ISNUMBER(SEARCH("chop edge",$E$46)),IFERROR(ABS($AL25-'King Node Model'!$AL$43)&lt;=5,FALSE),NOT(ISNUMBER(SEARCH("UNSAFE",$L$46)))),AND(ISNUMBER(SEARCH("chop edge",$E$52)),IFERROR(ABS($AL25-'King Node Model'!$AL$49)&lt;=5,FALSE),NOT(ISNUMBER(SEARCH("UNSAFE",$L$52)))),AND(ISNUMBER(SEARCH("chop edge",$E$53)),IFERROR(ABS($AL25-'King Node Model'!$AL$50)&lt;=5,FALSE),NOT(ISNUMBER(SEARCH("UNSAFE",$L$53)))))),OR(AND(IFERROR(INDEX('Level Engine'!$IB$9:$IB$55,MATCH('King Node Model'!$AL$42,'Level Engine'!$AA$9:$AA$55,0)),0)&lt;&gt;1,$AL25=IFERROR(INDEX('Level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Engine'!$AA$9:$AA$55,0)),0)&lt;&gt;1,$AL25=IFERROR(INDEX('Level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ⒷⓁ"),"")&amp;IF(OR(AND($AL25&gt;='King Node Model'!$AM$17,$AL25&lt;='King Node Model'!$AN$17,$AP$45="RASP"),AND($AL25&gt;='King Node Model'!$AM$18,$AL25&lt;='King Node Model'!$AN$18,$AP$46="RASP"),AND($AL25&gt;='King Node Model'!$AM$19,$AL25&lt;='King Node Model'!$AN$19,$AP$47="RASP"),AND($AL25&gt;='King Node Model'!$AM$20,$AL25&lt;='King Node Model'!$AN$20,$AP$52="RASP"),AND($AL25&gt;='King Node Model'!$AM$21,$AL25&lt;='King Node Model'!$AN$21,$AP$53="RASP"),AND($AL25&gt;='King Node Model'!$AM$22,$AL25&lt;='King Node Model'!$AN$22,$AP$54="RASP")),"","")&amp;IF(IF('Level Engine'!$GJ$4=1,$AL25='Level Engine'!$GJ$3,AND($AL25-$AM$2&gt;-2.5,$AL25-$AM$2&lt;=2.5))," ◄","")&amp;IF(IFERROR(INDEX('Level Engine'!$GV$9:$GV$55,MATCH($AL25,'Level Engine'!$AA$9:$AA$55,0)),0)=1," Ⓥ"&amp;IF(IFERROR(INDEX('Level Engine'!$ET$9:$ET$55,MATCH($AL25,'Level Engine'!$AA$9:$AA$55,0)),0)=1,"+",""),"")&amp;IF(OR(AND($AL25=$AN$38,IFERROR(INDEX('Level Engine'!$AN$9:$AN$55,MATCH($AL25,'Level Engine'!$AA$9:$AA$55,0)),0)&lt;&gt;1),$AL25=$AN$39)," ⊙","")&amp;IF(AND(OR('King Node Model'!$A$8="Neg",N('Level Engine'!$BG$72)=1),ABS(MIN($AM$3:$AM$64))&gt;MAX($AM$3:$AM$64),$AN$2&lt;$AM$2,$AL25&lt;$AM$2,ABS($AL25-$AN$2)&lt;=5,IFERROR(VALUE(MID('King Node Model'!$K$26,FIND(":",'King Node Model'!$K$26)-2,2)),0)&gt;=19,IFERROR(INDEX('Level Engine'!$EJ$9:$EJ$55,MATCH($AL25,'Level Engine'!$AA$9:$AA$55,0)),0)=0,$AN$3&gt;$AM$2)," ⟲rev","")&amp;IF($AL25='King Node Model'!$F$24," ⟂","")&amp;$DJ25&amp;IF(IFERROR(INDEX('Level Engine'!$EN$9:$EN$55,MATCH($AL25,'Level Engine'!$AA$9:$AA$55,0)),0)=1," Ⓟ"&amp;IF(AND(OR('King Node Model'!$A$8="Neg",N('Level Engine'!$BG$72)=1),IFERROR(INDEX('Level Engine'!$AN$9:$AN$55,MATCH($AL25,'Level Engine'!$AA$9:$AA$55,0)),0)&lt;&gt;1)," NO-REV",""),"")&amp;IF(AND(ISNUMBER($AL25),OR(AND(ISNUMBER(SEARCH("chop edge",$E$45)),$AL25='King Node Model'!$AL$42),AND(ISNUMBER(SEARCH("chop edge",$E$46)),$AL25='King Node Model'!$AL$43),AND(ISNUMBER(SEARCH("chop edge",$E$52)),$AL25='King Node Model'!$AL$49),AND(ISNUMBER(SEARCH("chop edge",$E$53)),$AL25='King Node Model'!$AL$50)))," ⒸⒺ","")&amp;IF(AND('Level Engine'!$GJ$4=1,OR($AL25='Level Engine'!$GJ$1,$AL25='Level Engine'!$GJ$2)),"","")&amp;IF(ABS(N(IFERROR(INDEX('Level Engine'!$AE$9:$AE$55,MATCH($AL25,'Level Engine'!$AA$9:$AA$55,0)),0)))&gt;='Level Engine'!$BG$85,IF(N(IFERROR(INDEX('Level Engine'!$AE$9:$AE$55,MATCH($AL25,'Level Engine'!$AA$9:$AA$55,0)),0))&gt;0," Δ+"," Δ−"),"")&amp;IFERROR(IF(AND(ISNUMBER(MATCH($AL25,'Level Engine'!$AA$9:$AA$55,0)),ABS(N(IFERROR(INDEX('Level Engine'!$AE$9:$AE$55,MATCH($AL25,'Level Engine'!$AA$9:$AA$55,0)),0)))&lt;'Level Engine'!$BG$85,ABS(N(IFERROR(INDEX('Level Engine'!$AE$9:$AE$55,MATCH($AL25,'Level Engine'!$AA$9:$AA$55,0)),0)))&lt;=ABS(N(IFERROR(INDEX('Level Engine'!$AE$9:$AE$55,MATCH($AL25+5,'Level Engine'!$AA$9:$AA$55,0)),0))),ABS(N(IFERROR(INDEX('Level Engine'!$AE$9:$AE$55,MATCH($AL25,'Level Engine'!$AA$9:$AA$55,0)),0)))&lt;=ABS(N(IFERROR(INDEX('Level Engine'!$AE$9:$AE$55,MATCH($AL25-5,'Level Engine'!$AA$9:$AA$55,0)),0))),OR(AND(ABS(N(IFERROR(INDEX('Level Engine'!$AE$9:$AE$55,MATCH($AL25+5,'Level Engine'!$AA$9:$AA$55,0)),0)))&gt;='Level Engine'!$BG$85,ABS(N(IFERROR(INDEX('Level Engine'!$AE$9:$AE$55,MATCH($AL25,'Level Engine'!$AA$9:$AA$55,0)),0)))&lt;='Level Engine'!$BG$88*ABS(N(IFERROR(INDEX('Level Engine'!$AE$9:$AE$55,MATCH($AL25+5,'Level Engine'!$AA$9:$AA$55,0)),0)))),AND(ABS(N(IFERROR(INDEX('Level Engine'!$AE$9:$AE$55,MATCH($AL25-5,'Level Engine'!$AA$9:$AA$55,0)),0)))&gt;='Level Engine'!$BG$85,ABS(N(IFERROR(INDEX('Level Engine'!$AE$9:$AE$55,MATCH($AL25,'Level Engine'!$AA$9:$AA$55,0)),0)))&lt;='Level Engine'!$BG$88*ABS(N(IFERROR(INDEX('Level Engine'!$AE$9:$AE$55,MATCH($AL25-5,'Level Engine'!$AA$9:$AA$55,0)),0)))))),IF(AND('King Node Model'!$A$8="Pos",N('Level Engine'!$BG$72)&lt;&gt;1),""," ∅"),""),"")&amp;IF(IFERROR(INDEX('Level Engine'!$JD$9:$JD$55,MATCH($AL25,'Level Engine'!$AA$9:$AA$55,0)),"")="P"," P-OI",IF(IFERROR(INDEX('Level Engine'!$JD$9:$JD$55,MATCH($AL25,'Level Engine'!$AA$9:$AA$55,0)),"")="C"," C-OI",""))</f>
        <v>7775 ⓏⒼ ║2 ◄ s1 C-OI</v>
      </c>
      <c r="C25" s="9" t="str">
        <f t="shared" si="0"/>
        <v/>
      </c>
      <c r="D25" t="str">
        <f>IF(NOT(ISNUMBER($AL25)),"",IF(IFERROR(INDEX('Level Engine'!$FS$9:$FS$55,MATCH($AL25,'Level Engine'!$AA$9:$AA$55,0)),0)=1,"⊙",""))</f>
        <v/>
      </c>
      <c r="E25" s="588" t="str">
        <f>"NET GEX   "&amp;TEXT(SUM('King Node Model'!C29:C75),"+#,##0;-#,##0")</f>
        <v>NET GEX   -10,899,872</v>
      </c>
      <c r="F25" s="588"/>
      <c r="G25" s="589" t="str">
        <f>IF(OR('King Node Model'!$AB$15="",NOT(ISNUMBER('King Node Model'!$AB$15))),"… waiting","open+5 value → "&amp;TEXT('King Node Model'!$AB$15,"+#,##0;-#,##0")&amp;" "&amp;IF(SUM('King Node Model'!$C$29:$C$75)-'King Node Model'!$AB$15&gt;=0,"▲","▼"))</f>
        <v>open+5 value → +1,877,844 ▼</v>
      </c>
      <c r="H25" s="589"/>
      <c r="I25" s="589"/>
      <c r="J25" s="589"/>
      <c r="K25" s="589" t="str">
        <f>"GEX vs open+5  "&amp;IF(OR('King Node Model'!$AB$15="",NOT(ISNUMBER('King Node Model'!$AB$15))),"… waiting",IF(SUM('King Node Model'!$C$29:$C$75)-'King Node Model'!$AB$15&gt;=0,"▲ ","▼ ")&amp;TEXT(SUM('King Node Model'!$C$29:$C$75)-'King Node Model'!$AB$15,"+#,##0;-#,##0"))</f>
        <v>GEX vs open+5  ▼ -12,777,716</v>
      </c>
      <c r="L25" s="589"/>
      <c r="M25" s="589"/>
      <c r="N25" s="589"/>
      <c r="O25" s="21"/>
      <c r="Q25" s="452" t="str">
        <f t="shared" ref="Q25:Q31" si="4">IF(NOT(ISNUMBER($BK25)),"","A"&amp;TEXT($CF25,"0")&amp;"  "&amp;TEXT($BK25,"0")&amp;IF($BQ25="", " ", "   ·   "&amp;$BQ25)&amp;IF(OR(NOT(ISNUMBER($BL25)),NOT(ISNUMBER($BM25)),($BL25+$BM25)=0),"","  "&amp;TEXT(MAX($BL25,$BM25)/($BL25+$BM25),"0%"))&amp;IF($BR25="", " ", " "&amp;$BR25))</f>
        <v xml:space="preserve">A1  7825   90% </v>
      </c>
      <c r="R25" s="447" t="str">
        <f t="shared" ref="R25:R40" si="5">IF(NOT(ISNUMBER($BN25)),"",IF($BL25&gt;=10000,TEXT($BL25/1000,"0")&amp;"k",IF($BL25&gt;=1000,TEXT($BL25/1000,"0.0")&amp;"k",TEXT($BL25,"0")))&amp;" "&amp;REPT("▉",ROUND(8*$BL25/($BL25+$BM25),0)))</f>
        <v>4.2k ▉▉▉▉▉▉▉</v>
      </c>
      <c r="S25" s="484" t="str">
        <f t="shared" ref="S25:S40" si="6">IF(NOT(ISNUMBER($BN25)),"",REPT("▉",8-ROUND(8*$BL25/($BL25+$BM25),0))&amp;" "&amp;IF($BM25&gt;=10000,TEXT($BM25/1000,"0")&amp;"k",IF($BM25&gt;=1000,TEXT($BM25/1000,"0.0")&amp;"k",TEXT($BM25,"0"))))</f>
        <v>▉ 483</v>
      </c>
      <c r="T25" s="484" t="str">
        <f t="shared" ref="T25:T31" si="7">IF(NOT(ISNUMBER($BW25)),"","g"&amp;TEXT($BW25,"0"))</f>
        <v>g2</v>
      </c>
      <c r="U25" s="453" t="str">
        <f t="shared" ref="U25:U31" si="8">$BY25</f>
        <v/>
      </c>
      <c r="AL25" s="434">
        <f>'King Node Model'!A51</f>
        <v>7775</v>
      </c>
      <c r="AM25" s="433">
        <f>'King Node Model'!C51</f>
        <v>-49207</v>
      </c>
      <c r="AN25" s="32">
        <f>'King Node Model'!AL49</f>
        <v>7775</v>
      </c>
      <c r="AO25" s="433">
        <f>'King Node Model'!B51</f>
        <v>4056043</v>
      </c>
      <c r="AQ25" s="33">
        <f>'King Node Model'!AM20</f>
        <v>7775</v>
      </c>
      <c r="AR25" s="33">
        <f>'King Node Model'!AN20</f>
        <v>7775</v>
      </c>
      <c r="AY25" s="434">
        <f>IF(AND($B$2="Hide unsafe",$BB25=1),0,IF(AND(OR(AND(AND(ISNUMBER($AL25),OR(AND($AL25&gt;=$AQ$22,$AL25&lt;=$AR$22,$AS$22=1),$AL25=$AQ$22,$AL25=$AR$22,$AL25=$AQ$23,$AL25=$AR$23,$AL25=$AQ$24,$AL25=$AR$24),NOT(OR($AL25=$AN$5,$AL25=$AN$6,$AL25=$AN$7,$AL25=$AN$8,$AL25=$AN$10,$AL25=$AN$11))),NOT(OR(AND('King Node Model'!$P$13="Up",OR($AL25=$AQ$22,$AL25=$AQ$23,$AL25=$AQ$24,$AL25='King Node Model'!$AM$20,$AL25='King Node Model'!$AM$21,$AL25='King Node Model'!$AM$22),OR(AND('King Node Model'!$B$23-$AL25&gt;=0,'King Node Model'!$B$23-$AL25&lt;=5),AND('King Node Model'!$C$23-$AL25&gt;=0,'King Node Model'!$C$23-$AL25&lt;=5))),AND('King Node Model'!$P$13="Down",OR($AL25=$AR$22,$AL25=$AR$23,$AL25=$AR$24,$AL25='King Node Model'!$AN$20,$AL25='King Node Model'!$AN$21,$AL25='King Node Model'!$AN$22),OR(AND($AL25-'King Node Model'!$B$23&gt;=0,$AL25-'King Node Model'!$B$23&lt;=5),AND($AL25-'King Node Model'!$C$24&gt;=0,$AL25-'King Node Model'!$C$24&lt;=5)))))),AND(AND(ISNUMBER($AL25),OR(AND($AL25&gt;=$AQ$22,$AL25&lt;=$AR$22,$AS$22=1),$AL25=$AQ$22,$AL25=$AR$22,$AL25=$AQ$23,$AL25=$AR$23,$AL25=$AQ$24,$AL25=$AR$24,$AL25='King Node Model'!$AL$42,$AL25='King Node Model'!$AL$43),OR($AL25=$AN$5,$AL25=$AN$6,$AL25=$AN$7,$AL25=$AN$8,$AL25=$AN$10,$AL25=$AN$11)),NOT(OR(AND('King Node Model'!$P$13="Up",OR($AL25=$AQ$22,$AL25=$AQ$23,$AL25=$AQ$24,$AL25='King Node Model'!$AM$20,$AL25='King Node Model'!$AM$21,$AL25='King Node Model'!$AM$22),OR(AND('King Node Model'!$B$23-$AL25&gt;=0,'King Node Model'!$B$23-$AL25&lt;=5),AND('King Node Model'!$C$23-$AL25&gt;=0,'King Node Model'!$C$23-$AL25&lt;=5))),AND('King Node Model'!$P$13="Down",OR($AL25=$AR$22,$AL25=$AR$23,$AL25=$AR$24,$AL25='King Node Model'!$AN$20,$AL25='King Node Model'!$AN$21,$AL25='King Node Model'!$AN$22),OR(AND($AL25-'King Node Model'!$B$23&gt;=0,$AL25-'King Node Model'!$B$23&lt;=5),AND($AL25-'King Node Model'!$C$24&gt;=0,$AL25-'King Node Model'!$C$24&lt;=5)))))),AND(AND(ISNUMBER($AL25),OR(AND($AL25&gt;='King Node Model'!$AM$20,$AL25&lt;='King Node Model'!$AN$20,$AS$23=1),$AL25='King Node Model'!$AM$20,$AL25='King Node Model'!$AN$20,$AL25='King Node Model'!$AM$21,$AL25='King Node Model'!$AN$21,$AL25='King Node Model'!$AM$22,$AL25='King Node Model'!$AN$22),NOT(OR($AL25=$AN$5,$AL25=$AN$6,$AL25=$AN$7,$AL25=$AN$8,$AL25=$AN$10,$AL25=$AN$11))),NOT(AND(ISNUMBER('King Node Model'!$F$24),$AL25='King Node Model'!$F$24,IFERROR(INDEX('Level Engine'!$JN$9:$JN$55,MATCH($AL25,'Level Engine'!$AA$9:$AA$55,0)),0)&lt;&gt;1))),AND(AND(ISNUMBER($AL25),OR(AND($AL25&gt;='King Node Model'!$AM$20,$AL25&lt;='King Node Model'!$AN$20,$AS$23=1),$AL25='King Node Model'!$AM$20,$AL25='King Node Model'!$AN$20,$AL25='King Node Model'!$AM$21,$AL25='King Node Model'!$AN$21,$AL25='King Node Model'!$AM$22,$AL25='King Node Model'!$AN$22,$AL25='King Node Model'!$AL$49,$AL25='King Node Model'!$AL$50),OR($AL25=$AN$5,$AL25=$AN$6,$AL25=$AN$7,$AL25=$AN$8,$AL25=$AN$10,$AL25=$AN$11)),NOT(OR(AND('King Node Model'!$P$13="Up",OR($AL25=$AQ$22,$AL25=$AQ$23,$AL25=$AQ$24,$AL25='King Node Model'!$AM$20,$AL25='King Node Model'!$AM$21,$AL25='King Node Model'!$AM$22),OR(AND('King Node Model'!$B$23-$AL25&gt;=0,'King Node Model'!$B$23-$AL25&lt;=5),AND('King Node Model'!$C$23-$AL25&gt;=0,'King Node Model'!$C$23-$AL25&lt;=5))),AND('King Node Model'!$P$13="Down",OR($AL25=$AR$22,$AL25=$AR$23,$AL25=$AR$24,$AL25='King Node Model'!$AN$20,$AL25='King Node Model'!$AN$21,$AL25='King Node Model'!$AN$22),OR(AND($AL25-'King Node Model'!$B$23&gt;=0,$AL25-'King Node Model'!$B$23&lt;=5),AND($AL25-'King Node Model'!$C$24&gt;=0,$AL25-'King Node Model'!$C$24&lt;=5))))))),OR(COUNTIF('Level Engine'!$W$9:$W$14,$AL25)&gt;0,COUNTIF('Level Engine'!$W$18:$W$23,$AL25)&gt;0)),1,0))</f>
        <v>1</v>
      </c>
      <c r="AZ25" s="434">
        <f t="shared" si="1"/>
        <v>0</v>
      </c>
      <c r="BB25" s="1">
        <f>IF(OR(AND($AL25='King Node Model'!$AL$42,$AP$45&lt;&gt;"RASP"),AND($AL25='King Node Model'!$AL$43,$AP$46&lt;&gt;"RASP"),AND($AL25='King Node Model'!$AL$49,$AP$52&lt;&gt;"RASP"),AND($AL25='King Node Model'!$AL$50,$AP$53&lt;&gt;"RASP"),AND($AL25='King Node Model'!$AL$44,$AP$47&lt;&gt;"RASP"),AND($AL25='King Node Model'!$AL$51,$AP$54&lt;&gt;"RASP")),0,IF(AND(AND(ISNUMBER($AL25),OR(AND($AL25&gt;=$AQ$22,$AL25&lt;=$AR$22,$AP$45="RASP"),AND($AL25&gt;=$AQ$23,$AL25&lt;=$AR$23,$AP$46="RASP"),AND($AL25&gt;=$AQ$24,$AL25&lt;=$AR$24,$AP$47="RASP"),AND($AL25&gt;='King Node Model'!$AM$20,$AL25&lt;='King Node Model'!$AN$20,$AP$52="RASP",NOT($L$52=$AW$52)),AND($AL25='King Node Model'!$B$23,$AP$52="RASP",$L$52=$AW$52),AND($AL25&gt;='King Node Model'!$AM$21,$AL25&lt;='King Node Model'!$AN$21,$AP$53="RASP",NOT($L$53=$AW$53)),AND($AL25='King Node Model'!$B$23,$AP$53="RASP",$L$53=$AW$53),AND($AL25&gt;='King Node Model'!$AM$22,$AL25&lt;='King Node Model'!$AN$22,$AP$54="RASP"),AND($AL25&gt;=IFERROR(INDEX('Level Engine'!$AT$9:$AT$55,MATCH('King Node Model'!$AL$42,'Level Engine'!$AA$9:$AA$55,0)),""),$AL25&lt;=IFERROR(INDEX('Level Engine'!$AU$9:$AU$55,MATCH('King Node Model'!$AL$42,'Level Engine'!$AA$9:$AA$55,0)),""),$AP$45="RASP"),AND($AL25&gt;=IFERROR(INDEX('Level Engine'!$AT$9:$AT$55,MATCH('King Node Model'!$AL$43,'Level Engine'!$AA$9:$AA$55,0)),""),$AL25&lt;=IFERROR(INDEX('Level Engine'!$AU$9:$AU$55,MATCH('King Node Model'!$AL$43,'Level Engine'!$AA$9:$AA$55,0)),""),$AP$46="RASP"),AND($AL25&gt;=IFERROR(INDEX('Level Engine'!$AT$9:$AT$55,MATCH('King Node Model'!$AL$44,'Level Engine'!$AA$9:$AA$55,0)),""),$AL25&lt;=IFERROR(INDEX('Level Engine'!$AU$9:$AU$55,MATCH('King Node Model'!$AL$44,'Level Engine'!$AA$9:$AA$55,0)),""),$AP$47="RASP"),AND($AL25&gt;=IFERROR(INDEX('Level Engine'!$AT$9:$AT$55,MATCH('King Node Model'!$AL$49,'Level Engine'!$AA$9:$AA$55,0)),""),$AL25&lt;=IFERROR(INDEX('Level Engine'!$AU$9:$AU$55,MATCH('King Node Model'!$AL$49,'Level Engine'!$AA$9:$AA$55,0)),""),$AP$52="RASP",NOT($L$52=$AW$52)),AND($AL25&gt;=IFERROR(INDEX('Level Engine'!$AT$9:$AT$55,MATCH('King Node Model'!$AL$50,'Level Engine'!$AA$9:$AA$55,0)),""),$AL25&lt;=IFERROR(INDEX('Level Engine'!$AU$9:$AU$55,MATCH('King Node Model'!$AL$50,'Level Engine'!$AA$9:$AA$55,0)),""),$AP$53="RASP",NOT($L$53=$AW$53)),AND($AL25&gt;=IFERROR(INDEX('Level Engine'!$AT$9:$AT$55,MATCH('King Node Model'!$AL$51,'Level Engine'!$AA$9:$AA$55,0)),""),$AL25&lt;=IFERROR(INDEX('Level Engine'!$AU$9:$AU$55,MATCH('King Node Model'!$AL$51,'Level Engine'!$AA$9:$AA$55,0)),""),$AP$54="RASP"))),NOT(AND(ISNUMBER('King Node Model'!$F$24),$AL25='King Node Model'!$F$24,IFERROR(INDEX('Level Engine'!$JN$9:$JN$55,MATCH($AL25,'Level Engine'!$AA$9:$AA$55,0)),0)&lt;&gt;1,$AL25&lt;&gt;'King Node Model'!$AL$42,$AL25&lt;&gt;'King Node Model'!$AL$43,$AL25&lt;&gt;'King Node Model'!$AL$44,$AL25&lt;&gt;'King Node Model'!$AL$49,$AL25&lt;&gt;'King Node Model'!$AL$50,$AL25&lt;&gt;'King Node Model'!$AL$51))),1,0))</f>
        <v>0</v>
      </c>
      <c r="BK25">
        <f>IFERROR(LARGE($CE$25:$CE$31,1),"")</f>
        <v>7825</v>
      </c>
      <c r="BL25">
        <f>IFERROR(INDEX('King Node Model'!$K$29:$K$75,MATCH($BK25,'King Node Model'!$A$29:$A$75,0)),"")</f>
        <v>4158</v>
      </c>
      <c r="BM25">
        <f>IFERROR(INDEX('King Node Model'!$L$29:$L$75,MATCH($BK25,'King Node Model'!$A$29:$A$75,0)),"")</f>
        <v>483</v>
      </c>
      <c r="BN25">
        <f t="shared" ref="BN25:BN40" si="9">IF(AND(ISNUMBER($BL25),ISNUMBER($BM25)),IF(($BL25+$BM25)=0,"",($BM25-$BL25)/($BM25+$BL25)),"")</f>
        <v>-0.79185520361990946</v>
      </c>
      <c r="BO25">
        <f>IFERROR(INDEX('Level Engine'!$AC$9:$AC$55,MATCH($BK25,'Level Engine'!$AA$9:$AA$55,0))/MAX('Level Engine'!$AC$9:$AC$55),"")</f>
        <v>0.15211303388305955</v>
      </c>
      <c r="BP25">
        <f>IF(NOT(ISNUMBER($BK25)),"",IF($BK25&gt;'King Node Model'!$B$4,1,-1))</f>
        <v>1</v>
      </c>
      <c r="BQ25" t="str">
        <f>IF(OR(NOT(ISNUMBER($BN25)),NOT(ISNUMBER($BO25))),"",IF($BO25&lt;0.15,"thin",IF(OR('King Node Model'!$A$8="Neg",N('Level Engine'!$BG$72)=1),"",IF($BP25=1,IF($BN25&lt;=-0.4,"HARD ceil",IF($BN25&lt;=-0.15,"ceil",IF($BN25&lt;0.15,"neutral","soft ceil"))),IF($BN25&gt;=0.4,"FIRM floor",IF($BN25&gt;=0.15,"floor",IF($BN25&gt;-0.15,"neutral","WEAK floor"))))&amp;IF($BO25&lt;0.25," ·marginal",""))))</f>
        <v/>
      </c>
      <c r="BR25" t="str">
        <f>IF(NOT(ISNUMBER($BN25)),"",IF(OR('King Node Model'!$A$8="Neg",N('Level Engine'!$BG$72)=1),"",IF(AND($BP25=1,$BN25&gt;0.15),"⚠",IF(AND($BP25=-1,$BN25&lt;-0.15),"⚠",""))))</f>
        <v/>
      </c>
      <c r="BW25">
        <f t="shared" ref="BW25:BW31" si="10">IF(NOT(ISNUMBER($BO25)),"",COUNTIF($BO$25:$BO$31,"&gt;"&amp;$BO25)+1)</f>
        <v>2</v>
      </c>
      <c r="BX25">
        <f t="shared" ref="BX25:BX31" si="11">IFERROR($CF25,"")</f>
        <v>1</v>
      </c>
      <c r="BY25" t="str">
        <f t="shared" ref="BY25:BY31" si="12">IF(OR(NOT(ISNUMBER($BW25)),NOT(ISNUMBER($BX25))),"",IF($BW25=1,"biggest gamma above",IF(AND($BX25&lt;=3,$BW25-$BX25&gt;=3),"thin for its OI",IF(AND($BW25&lt;=3,$BX25-$BW25&gt;=3),"heavy for its OI",""))))</f>
        <v/>
      </c>
      <c r="CA25">
        <f>IFERROR(SUMPRODUCT(LARGE(('King Node Model'!$A$29:$A$75&gt;$BZ$24)*('King Node Model'!$A$29:$A$75&lt;=$BX$24)*('King Node Model'!$A$29:$A$75&lt;&gt;$BK$34)*(('King Node Model'!$K$29:$K$75+'King Node Model'!$L$29:$L$75)*1000000+'King Node Model'!$A$29:$A$75),1)),0)</f>
        <v>4641007825</v>
      </c>
      <c r="CE25">
        <f>IF(NOT(ISNUMBER($CA25)),"",IF($CA25&lt;=0,"",IFERROR(SUMPRODUCT(MAX((('King Node Model'!$A$29:$A$75&gt;$BZ$24)*('King Node Model'!$A$29:$A$75&lt;=$BX$24)*('King Node Model'!$A$29:$A$75&lt;&gt;$BK$34)*(('King Node Model'!$K$29:$K$75+'King Node Model'!$L$29:$L$75)*1000000+'King Node Model'!$A$29:$A$75)=$CA25)*'King Node Model'!$A$29:$A$75)),"")))</f>
        <v>7825</v>
      </c>
      <c r="CF25">
        <f t="shared" ref="CF25:CF31" si="13">IFERROR(MATCH($BK25,$CE$25:$CE$31,0),"")</f>
        <v>1</v>
      </c>
      <c r="CO25">
        <f>IF(NOT(ISNUMBER($AL25)),"",IF(NOT(ISNUMBER(IFERROR(INDEX('Level Engine'!$FT$9:$FT$55,MATCH($AL25,'Level Engine'!$AA$9:$AA$55,0)),""))),"",IF(IFERROR(INDEX('Level Engine'!$FT$9:$FT$55,MATCH($AL25,'Level Engine'!$AA$9:$AA$55,0)),"")&lt;0,0,2)+IF(ABS(IFERROR(INDEX('Level Engine'!$FT$9:$FT$55,MATCH($AL25,'Level Engine'!$AA$9:$AA$55,0)),""))&gt;='Level Engine'!$FT$2,2,1)))</f>
        <v>1</v>
      </c>
      <c r="DJ25" t="str">
        <f>IF(ISNUMBER($AL25),IF($AL25='Level Engine'!$BG$122," ⫪","")&amp;IF($AL25='Level Engine'!$BG$118," S↑"&amp;IFERROR(INDEX('Level Engine'!$MV$9:$MV$55,MATCH($AL25,'Level Engine'!$AA$9:$AA$55,0)),""),"")&amp;IF($AL25='Level Engine'!$BG$119," S↓"&amp;IFERROR(INDEX('Level Engine'!$MV$9:$MV$55,MATCH($AL25,'Level Engine'!$AA$9:$AA$55,0)),""),"")&amp;IF($AL25='Level Engine'!$BG$120," D↑","")&amp;IF($AL25='Level Engine'!$BG$121," D↓","")&amp;IFERROR(INDEX('Level Engine'!$LG$9:$LG$55,MATCH($AL25,'Level Engine'!$AA$9:$AA$55,0)),"")&amp;IF(IFERROR(INDEX('Level Engine'!$MA$9:$MA$55,MATCH($AL25,'Level Engine'!$AA$9:$AA$55,0)),0)=1," SAND","")&amp;IF(IFERROR(INDEX('Level Engine'!$LM$9:$LM$55,MATCH($AL25,'Level Engine'!$AA$9:$AA$55,0)),0)&gt;0," TP","")&amp;IFERROR(" r"&amp;MATCH($AL25,'Level Engine'!$W$9:$W$14,0),IFERROR(" s"&amp;MATCH($AL25,'Level Engine'!$W$18:$W$23,0),""))&amp;IF($AL25='Level Engine'!$BG$165," ◇","")&amp;IF(N($DZ25)=1,IF($AL25&gt;'Level Engine'!$BG$165," ⚠ DOM↓"," ⚠ DOM↑")&amp;'Level Engine'!$BG$165,""),"")</f>
        <v xml:space="preserve"> s1</v>
      </c>
      <c r="DK25" t="str">
        <f>IF(AND(ISNUMBER($AL25),OR($AL25='King Node Model'!$AL$42,$AL25='King Node Model'!$AL$43,$AL25='King Node Model'!$AL$44)),IFERROR(MATCH($AL25,'Level Engine'!$W$9:$W$14,0),""),"")</f>
        <v/>
      </c>
      <c r="DL25">
        <f>IF(AND(ISNUMBER($AL25),OR($AL25='King Node Model'!$AL$49,$AL25='King Node Model'!$AL$50,$AL25='King Node Model'!$AL$51)),IFERROR(MATCH($AL25,'Level Engine'!$W$18:$W$23,0),""),"")</f>
        <v>1</v>
      </c>
      <c r="DM25">
        <f>IF(AND(ISNUMBER($AL25),IFERROR(INDEX('Level Engine'!$LC$9:$LC$55,MATCH($AL25,'Level Engine'!$AA$9:$AA$55,0)),0)=1,OR($AL25=$AN$3,IFERROR(INDEX('Level Engine'!$LB$9:$LB$55,MATCH($AL25,'Level Engine'!$AA$9:$AA$55,0)),0)=1)),1,0)</f>
        <v>0</v>
      </c>
      <c r="DZ25">
        <f>IF(ISNUMBER($AL25),IF(IFERROR(INDEX('Level Engine'!$NJ$9:$NJ$55,MATCH($AL25,'Level Engine'!$AA$9:$AA$55,0)),0)=1,1,0),0)</f>
      </c>
    </row>
    <row r="26" spans="1:117" ht="41.25" customHeight="1" x14ac:dyDescent="0.25">
      <c r="A26" s="7" t="str">
        <f t="shared" si="3"/>
        <v>██████████████████████████</v>
      </c>
      <c r="B26" s="8" t="str">
        <f>TEXT(IF(IF('Level Engine'!$GJ$4=1,$AL26='Level Engine'!$GJ$3,AND($AL26-$AM$2&gt;-2.5,$AL26-$AM$2&lt;=2.5)),$AM$2,$AL26),"0")&amp;IF($AL26=$AN$1," ★","")&amp;IF($AL26=$AN$2," ★","")&amp;IF($AL26=$AN$3," ◆","")&amp;IF(AND(ISNUMBER($AN$4),$AL26=$AN$4)," Ⓕ","")&amp;IF(OR(AND(ISNUMBER('Level Engine'!$BG$87),$AL26='Level Engine'!$BG$87),AND(ISNUMBER('Level Engine'!$BG$105),$AL26='Level Engine'!$BG$105))," ζ","")&amp;IF(AND(ISNUMBER($AN$35),$AL26=$AN$35)," ⓏⒼ","")&amp;IF(OR($AL26='Level Engine'!$CP$4,$AL26='Level Engine'!$CP$5,$AL26='Level Engine'!$CP$6,$AL26='Level Engine'!$CP$7)," ☄","")&amp;IF(OR($AL26=$AN$5,$AL26=$AN$8)," ║1","")&amp;IF(OR($AL26=$AN$6,$AL26=$AN$10)," ║2","")&amp;IF(OR($AL26=$AN$7,$AL26=$AN$11)," ║3","")&amp;IF(OR($AL26=$AN$13,$AL26=$AN$16)," ▣1","")&amp;IF(OR($AL26=$AN$14,$AL26=$AN$17)," ▣2","")&amp;IF(OR($AL26=$AN$15,$AL26=$AN$18)," ▣3","")&amp;IF(AND(NOT(OR(AND(ISNUMBER(SEARCH("chop edge",$E$45)),IFERROR(ABS($AL26-'King Node Model'!$AL$42)&lt;=5,FALSE),NOT(ISNUMBER(SEARCH("UNSAFE",$L$45)))),AND(ISNUMBER(SEARCH("chop edge",$E$46)),IFERROR(ABS($AL26-'King Node Model'!$AL$43)&lt;=5,FALSE),NOT(ISNUMBER(SEARCH("UNSAFE",$L$46)))),AND(ISNUMBER(SEARCH("chop edge",$E$52)),IFERROR(ABS($AL26-'King Node Model'!$AL$49)&lt;=5,FALSE),NOT(ISNUMBER(SEARCH("UNSAFE",$L$52)))),AND(ISNUMBER(SEARCH("chop edge",$E$53)),IFERROR(ABS($AL26-'King Node Model'!$AL$50)&lt;=5,FALSE),NOT(ISNUMBER(SEARCH("UNSAFE",$L$53)))))),OR(AND(IFERROR(INDEX('Level Engine'!$IB$9:$IB$55,MATCH('King Node Model'!$AL$49,'Level Engine'!$AA$9:$AA$55,0)),0)&lt;&gt;1,$AL26=IFERROR(INDEX('Level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Engine'!$AA$9:$AA$55,0)),0)&lt;&gt;1,$AL26=IFERROR(INDEX('Level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edge",$E$45)),IFERROR(ABS($AL26-'King Node Model'!$AL$42)&lt;=5,FALSE),NOT(ISNUMBER(SEARCH("UNSAFE",$L$45)))),AND(ISNUMBER(SEARCH("chop edge",$E$46)),IFERROR(ABS($AL26-'King Node Model'!$AL$43)&lt;=5,FALSE),NOT(ISNUMBER(SEARCH("UNSAFE",$L$46)))),AND(ISNUMBER(SEARCH("chop edge",$E$52)),IFERROR(ABS($AL26-'King Node Model'!$AL$49)&lt;=5,FALSE),NOT(ISNUMBER(SEARCH("UNSAFE",$L$52)))),AND(ISNUMBER(SEARCH("chop edge",$E$53)),IFERROR(ABS($AL26-'King Node Model'!$AL$50)&lt;=5,FALSE),NOT(ISNUMBER(SEARCH("UNSAFE",$L$53)))))),OR(AND(IFERROR(INDEX('Level Engine'!$IB$9:$IB$55,MATCH('King Node Model'!$AL$42,'Level Engine'!$AA$9:$AA$55,0)),0)&lt;&gt;1,$AL26=IFERROR(INDEX('Level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Engine'!$AA$9:$AA$55,0)),0)&lt;&gt;1,$AL26=IFERROR(INDEX('Level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ⒷⓁ"),"")&amp;IF(OR(AND($AL26&gt;='King Node Model'!$AM$17,$AL26&lt;='King Node Model'!$AN$17,$AP$45="RASP"),AND($AL26&gt;='King Node Model'!$AM$18,$AL26&lt;='King Node Model'!$AN$18,$AP$46="RASP"),AND($AL26&gt;='King Node Model'!$AM$19,$AL26&lt;='King Node Model'!$AN$19,$AP$47="RASP"),AND($AL26&gt;='King Node Model'!$AM$20,$AL26&lt;='King Node Model'!$AN$20,$AP$52="RASP"),AND($AL26&gt;='King Node Model'!$AM$21,$AL26&lt;='King Node Model'!$AN$21,$AP$53="RASP"),AND($AL26&gt;='King Node Model'!$AM$22,$AL26&lt;='King Node Model'!$AN$22,$AP$54="RASP")),"","")&amp;IF(IF('Level Engine'!$GJ$4=1,$AL26='Level Engine'!$GJ$3,AND($AL26-$AM$2&gt;-2.5,$AL26-$AM$2&lt;=2.5))," ◄","")&amp;IF(IFERROR(INDEX('Level Engine'!$GV$9:$GV$55,MATCH($AL26,'Level Engine'!$AA$9:$AA$55,0)),0)=1," Ⓥ"&amp;IF(IFERROR(INDEX('Level Engine'!$ET$9:$ET$55,MATCH($AL26,'Level Engine'!$AA$9:$AA$55,0)),0)=1,"+",""),"")&amp;IF(OR(AND($AL26=$AN$38,IFERROR(INDEX('Level Engine'!$AN$9:$AN$55,MATCH($AL26,'Level Engine'!$AA$9:$AA$55,0)),0)&lt;&gt;1),$AL26=$AN$39)," ⊙","")&amp;IF(AND(OR('King Node Model'!$A$8="Neg",N('Level Engine'!$BG$72)=1),ABS(MIN($AM$3:$AM$64))&gt;MAX($AM$3:$AM$64),$AN$2&lt;$AM$2,$AL26&lt;$AM$2,ABS($AL26-$AN$2)&lt;=5,IFERROR(VALUE(MID('King Node Model'!$K$26,FIND(":",'King Node Model'!$K$26)-2,2)),0)&gt;=19,IFERROR(INDEX('Level Engine'!$EJ$9:$EJ$55,MATCH($AL26,'Level Engine'!$AA$9:$AA$55,0)),0)=0,$AN$3&gt;$AM$2)," ⟲rev","")&amp;IF($AL26='King Node Model'!$F$24," ⟂","")&amp;$DJ26&amp;IF(IFERROR(INDEX('Level Engine'!$EN$9:$EN$55,MATCH($AL26,'Level Engine'!$AA$9:$AA$55,0)),0)=1," Ⓟ"&amp;IF(AND(OR('King Node Model'!$A$8="Neg",N('Level Engine'!$BG$72)=1),IFERROR(INDEX('Level Engine'!$AN$9:$AN$55,MATCH($AL26,'Level Engine'!$AA$9:$AA$55,0)),0)&lt;&gt;1)," NO-REV",""),"")&amp;IF(AND(ISNUMBER($AL26),OR(AND(ISNUMBER(SEARCH("chop edge",$E$45)),$AL26='King Node Model'!$AL$42),AND(ISNUMBER(SEARCH("chop edge",$E$46)),$AL26='King Node Model'!$AL$43),AND(ISNUMBER(SEARCH("chop edge",$E$52)),$AL26='King Node Model'!$AL$49),AND(ISNUMBER(SEARCH("chop edge",$E$53)),$AL26='King Node Model'!$AL$50)))," ⒸⒺ","")&amp;IF(AND('Level Engine'!$GJ$4=1,OR($AL26='Level Engine'!$GJ$1,$AL26='Level Engine'!$GJ$2)),"","")&amp;IF(ABS(N(IFERROR(INDEX('Level Engine'!$AE$9:$AE$55,MATCH($AL26,'Level Engine'!$AA$9:$AA$55,0)),0)))&gt;='Level Engine'!$BG$85,IF(N(IFERROR(INDEX('Level Engine'!$AE$9:$AE$55,MATCH($AL26,'Level Engine'!$AA$9:$AA$55,0)),0))&gt;0," Δ+"," Δ−"),"")&amp;IFERROR(IF(AND(ISNUMBER(MATCH($AL26,'Level Engine'!$AA$9:$AA$55,0)),ABS(N(IFERROR(INDEX('Level Engine'!$AE$9:$AE$55,MATCH($AL26,'Level Engine'!$AA$9:$AA$55,0)),0)))&lt;'Level Engine'!$BG$85,ABS(N(IFERROR(INDEX('Level Engine'!$AE$9:$AE$55,MATCH($AL26,'Level Engine'!$AA$9:$AA$55,0)),0)))&lt;=ABS(N(IFERROR(INDEX('Level Engine'!$AE$9:$AE$55,MATCH($AL26+5,'Level Engine'!$AA$9:$AA$55,0)),0))),ABS(N(IFERROR(INDEX('Level Engine'!$AE$9:$AE$55,MATCH($AL26,'Level Engine'!$AA$9:$AA$55,0)),0)))&lt;=ABS(N(IFERROR(INDEX('Level Engine'!$AE$9:$AE$55,MATCH($AL26-5,'Level Engine'!$AA$9:$AA$55,0)),0))),OR(AND(ABS(N(IFERROR(INDEX('Level Engine'!$AE$9:$AE$55,MATCH($AL26+5,'Level Engine'!$AA$9:$AA$55,0)),0)))&gt;='Level Engine'!$BG$85,ABS(N(IFERROR(INDEX('Level Engine'!$AE$9:$AE$55,MATCH($AL26,'Level Engine'!$AA$9:$AA$55,0)),0)))&lt;='Level Engine'!$BG$88*ABS(N(IFERROR(INDEX('Level Engine'!$AE$9:$AE$55,MATCH($AL26+5,'Level Engine'!$AA$9:$AA$55,0)),0)))),AND(ABS(N(IFERROR(INDEX('Level Engine'!$AE$9:$AE$55,MATCH($AL26-5,'Level Engine'!$AA$9:$AA$55,0)),0)))&gt;='Level Engine'!$BG$85,ABS(N(IFERROR(INDEX('Level Engine'!$AE$9:$AE$55,MATCH($AL26,'Level Engine'!$AA$9:$AA$55,0)),0)))&lt;='Level Engine'!$BG$88*ABS(N(IFERROR(INDEX('Level Engine'!$AE$9:$AE$55,MATCH($AL26-5,'Level Engine'!$AA$9:$AA$55,0)),0)))))),IF(AND('King Node Model'!$A$8="Pos",N('Level Engine'!$BG$72)&lt;&gt;1),""," ∅"),""),"")&amp;IF(IFERROR(INDEX('Level Engine'!$JD$9:$JD$55,MATCH($AL26,'Level Engine'!$AA$9:$AA$55,0)),"")="P"," P-OI",IF(IFERROR(INDEX('Level Engine'!$JD$9:$JD$55,MATCH($AL26,'Level Engine'!$AA$9:$AA$55,0)),"")="C"," C-OI",""))</f>
        <v>7770 ★ ◆ ζ ║1</v>
      </c>
      <c r="C26" s="9" t="str">
        <f t="shared" si="0"/>
        <v/>
      </c>
      <c r="D26" s="33" t="str">
        <f>IF(NOT(ISNUMBER($AL26)),"",IF(IFERROR(INDEX('Level Engine'!$FS$9:$FS$55,MATCH($AL26,'Level Engine'!$AA$9:$AA$55,0)),0)=1,"⊙",""))</f>
        <v/>
      </c>
      <c r="E26" s="590" t="str">
        <f>'King Node Model'!AB12</f>
        <v>GEX SLOPE  ▲ +0.4M/15m  ·  slope flipped POS 0m ago  ·  Net GEX flipped NEG 121m ago  ·  ⚠ vol-bid tension  ·  ATM IV 13.7% ▲ +0.40pp/15m  ·  CUSHION GROWING BUT FEAR RISING — the two disagree, stand down</v>
      </c>
      <c r="F26" s="591"/>
      <c r="G26" s="591"/>
      <c r="H26" s="591"/>
      <c r="I26" s="591"/>
      <c r="J26" s="591"/>
      <c r="K26" s="591"/>
      <c r="L26" s="591"/>
      <c r="M26" s="591"/>
      <c r="N26" s="592"/>
      <c r="O26" s="21"/>
      <c r="Q26" s="452" t="str">
        <f t="shared" si="4"/>
        <v xml:space="preserve">A2  7820   ·   thin  69% </v>
      </c>
      <c r="R26" s="447" t="str">
        <f t="shared" si="5"/>
        <v>1.8k ▉▉▉▉▉▉</v>
      </c>
      <c r="S26" s="484" t="str">
        <f t="shared" si="6"/>
        <v>▉▉ 786</v>
      </c>
      <c r="T26" s="484" t="str">
        <f t="shared" si="7"/>
        <v>g3</v>
      </c>
      <c r="U26" s="453" t="str">
        <f t="shared" si="8"/>
        <v/>
      </c>
      <c r="AL26" s="1">
        <f>'King Node Model'!A52</f>
        <v>7770</v>
      </c>
      <c r="AM26" s="10">
        <f>'King Node Model'!C52</f>
        <v>-3137174</v>
      </c>
      <c r="AN26" s="1">
        <f>'King Node Model'!AL50</f>
        <v>7770</v>
      </c>
      <c r="AO26" s="10">
        <f>'King Node Model'!B52</f>
        <v>4471438</v>
      </c>
      <c r="AQ26">
        <f>'King Node Model'!AM21</f>
        <v>7770</v>
      </c>
      <c r="AR26">
        <f>'King Node Model'!AN21</f>
        <v>7770</v>
      </c>
      <c r="AY26" s="1">
        <f>IF(AND($B$2="Hide unsafe",$BB26=1),0,IF(AND(OR(AND(AND(ISNUMBER($AL26),OR(AND($AL26&gt;=$AQ$22,$AL26&lt;=$AR$22,$AS$22=1),$AL26=$AQ$22,$AL26=$AR$22,$AL26=$AQ$23,$AL26=$AR$23,$AL26=$AQ$24,$AL26=$AR$24),NOT(OR($AL26=$AN$5,$AL26=$AN$6,$AL26=$AN$7,$AL26=$AN$8,$AL26=$AN$10,$AL26=$AN$11))),NOT(OR(AND('King Node Model'!$P$13="Up",OR($AL26=$AQ$22,$AL26=$AQ$23,$AL26=$AQ$24,$AL26='King Node Model'!$AM$20,$AL26='King Node Model'!$AM$21,$AL26='King Node Model'!$AM$22),OR(AND('King Node Model'!$B$23-$AL26&gt;=0,'King Node Model'!$B$23-$AL26&lt;=5),AND('King Node Model'!$C$23-$AL26&gt;=0,'King Node Model'!$C$23-$AL26&lt;=5))),AND('King Node Model'!$P$13="Down",OR($AL26=$AR$22,$AL26=$AR$23,$AL26=$AR$24,$AL26='King Node Model'!$AN$20,$AL26='King Node Model'!$AN$21,$AL26='King Node Model'!$AN$22),OR(AND($AL26-'King Node Model'!$B$23&gt;=0,$AL26-'King Node Model'!$B$23&lt;=5),AND($AL26-'King Node Model'!$C$24&gt;=0,$AL26-'King Node Model'!$C$24&lt;=5)))))),AND(AND(ISNUMBER($AL26),OR(AND($AL26&gt;=$AQ$22,$AL26&lt;=$AR$22,$AS$22=1),$AL26=$AQ$22,$AL26=$AR$22,$AL26=$AQ$23,$AL26=$AR$23,$AL26=$AQ$24,$AL26=$AR$24,$AL26='King Node Model'!$AL$42,$AL26='King Node Model'!$AL$43),OR($AL26=$AN$5,$AL26=$AN$6,$AL26=$AN$7,$AL26=$AN$8,$AL26=$AN$10,$AL26=$AN$11)),NOT(OR(AND('King Node Model'!$P$13="Up",OR($AL26=$AQ$22,$AL26=$AQ$23,$AL26=$AQ$24,$AL26='King Node Model'!$AM$20,$AL26='King Node Model'!$AM$21,$AL26='King Node Model'!$AM$22),OR(AND('King Node Model'!$B$23-$AL26&gt;=0,'King Node Model'!$B$23-$AL26&lt;=5),AND('King Node Model'!$C$23-$AL26&gt;=0,'King Node Model'!$C$23-$AL26&lt;=5))),AND('King Node Model'!$P$13="Down",OR($AL26=$AR$22,$AL26=$AR$23,$AL26=$AR$24,$AL26='King Node Model'!$AN$20,$AL26='King Node Model'!$AN$21,$AL26='King Node Model'!$AN$22),OR(AND($AL26-'King Node Model'!$B$23&gt;=0,$AL26-'King Node Model'!$B$23&lt;=5),AND($AL26-'King Node Model'!$C$24&gt;=0,$AL26-'King Node Model'!$C$24&lt;=5)))))),AND(AND(ISNUMBER($AL26),OR(AND($AL26&gt;='King Node Model'!$AM$20,$AL26&lt;='King Node Model'!$AN$20,$AS$23=1),$AL26='King Node Model'!$AM$20,$AL26='King Node Model'!$AN$20,$AL26='King Node Model'!$AM$21,$AL26='King Node Model'!$AN$21,$AL26='King Node Model'!$AM$22,$AL26='King Node Model'!$AN$22),NOT(OR($AL26=$AN$5,$AL26=$AN$6,$AL26=$AN$7,$AL26=$AN$8,$AL26=$AN$10,$AL26=$AN$11))),NOT(AND(ISNUMBER('King Node Model'!$F$24),$AL26='King Node Model'!$F$24,IFERROR(INDEX('Level Engine'!$JN$9:$JN$55,MATCH($AL26,'Level Engine'!$AA$9:$AA$55,0)),0)&lt;&gt;1))),AND(AND(ISNUMBER($AL26),OR(AND($AL26&gt;='King Node Model'!$AM$20,$AL26&lt;='King Node Model'!$AN$20,$AS$23=1),$AL26='King Node Model'!$AM$20,$AL26='King Node Model'!$AN$20,$AL26='King Node Model'!$AM$21,$AL26='King Node Model'!$AN$21,$AL26='King Node Model'!$AM$22,$AL26='King Node Model'!$AN$22,$AL26='King Node Model'!$AL$49,$AL26='King Node Model'!$AL$50),OR($AL26=$AN$5,$AL26=$AN$6,$AL26=$AN$7,$AL26=$AN$8,$AL26=$AN$10,$AL26=$AN$11)),NOT(OR(AND('King Node Model'!$P$13="Up",OR($AL26=$AQ$22,$AL26=$AQ$23,$AL26=$AQ$24,$AL26='King Node Model'!$AM$20,$AL26='King Node Model'!$AM$21,$AL26='King Node Model'!$AM$22),OR(AND('King Node Model'!$B$23-$AL26&gt;=0,'King Node Model'!$B$23-$AL26&lt;=5),AND('King Node Model'!$C$23-$AL26&gt;=0,'King Node Model'!$C$23-$AL26&lt;=5))),AND('King Node Model'!$P$13="Down",OR($AL26=$AR$22,$AL26=$AR$23,$AL26=$AR$24,$AL26='King Node Model'!$AN$20,$AL26='King Node Model'!$AN$21,$AL26='King Node Model'!$AN$22),OR(AND($AL26-'King Node Model'!$B$23&gt;=0,$AL26-'King Node Model'!$B$23&lt;=5),AND($AL26-'King Node Model'!$C$24&gt;=0,$AL26-'King Node Model'!$C$24&lt;=5))))))),OR(COUNTIF('Level Engine'!$W$9:$W$14,$AL26)&gt;0,COUNTIF('Level Engine'!$W$18:$W$23,$AL26)&gt;0)),1,0))</f>
        <v>0</v>
      </c>
      <c r="AZ26" s="1">
        <f t="shared" si="1"/>
        <v>0</v>
      </c>
      <c r="BB26" s="1">
        <f>IF(OR(AND($AL26='King Node Model'!$AL$42,$AP$45&lt;&gt;"RASP"),AND($AL26='King Node Model'!$AL$43,$AP$46&lt;&gt;"RASP"),AND($AL26='King Node Model'!$AL$49,$AP$52&lt;&gt;"RASP"),AND($AL26='King Node Model'!$AL$50,$AP$53&lt;&gt;"RASP"),AND($AL26='King Node Model'!$AL$44,$AP$47&lt;&gt;"RASP"),AND($AL26='King Node Model'!$AL$51,$AP$54&lt;&gt;"RASP")),0,IF(AND(AND(ISNUMBER($AL26),OR(AND($AL26&gt;=$AQ$22,$AL26&lt;=$AR$22,$AP$45="RASP"),AND($AL26&gt;=$AQ$23,$AL26&lt;=$AR$23,$AP$46="RASP"),AND($AL26&gt;=$AQ$24,$AL26&lt;=$AR$24,$AP$47="RASP"),AND($AL26&gt;='King Node Model'!$AM$20,$AL26&lt;='King Node Model'!$AN$20,$AP$52="RASP",NOT($L$52=$AW$52)),AND($AL26='King Node Model'!$B$23,$AP$52="RASP",$L$52=$AW$52),AND($AL26&gt;='King Node Model'!$AM$21,$AL26&lt;='King Node Model'!$AN$21,$AP$53="RASP",NOT($L$53=$AW$53)),AND($AL26='King Node Model'!$B$23,$AP$53="RASP",$L$53=$AW$53),AND($AL26&gt;='King Node Model'!$AM$22,$AL26&lt;='King Node Model'!$AN$22,$AP$54="RASP"),AND($AL26&gt;=IFERROR(INDEX('Level Engine'!$AT$9:$AT$55,MATCH('King Node Model'!$AL$42,'Level Engine'!$AA$9:$AA$55,0)),""),$AL26&lt;=IFERROR(INDEX('Level Engine'!$AU$9:$AU$55,MATCH('King Node Model'!$AL$42,'Level Engine'!$AA$9:$AA$55,0)),""),$AP$45="RASP"),AND($AL26&gt;=IFERROR(INDEX('Level Engine'!$AT$9:$AT$55,MATCH('King Node Model'!$AL$43,'Level Engine'!$AA$9:$AA$55,0)),""),$AL26&lt;=IFERROR(INDEX('Level Engine'!$AU$9:$AU$55,MATCH('King Node Model'!$AL$43,'Level Engine'!$AA$9:$AA$55,0)),""),$AP$46="RASP"),AND($AL26&gt;=IFERROR(INDEX('Level Engine'!$AT$9:$AT$55,MATCH('King Node Model'!$AL$44,'Level Engine'!$AA$9:$AA$55,0)),""),$AL26&lt;=IFERROR(INDEX('Level Engine'!$AU$9:$AU$55,MATCH('King Node Model'!$AL$44,'Level Engine'!$AA$9:$AA$55,0)),""),$AP$47="RASP"),AND($AL26&gt;=IFERROR(INDEX('Level Engine'!$AT$9:$AT$55,MATCH('King Node Model'!$AL$49,'Level Engine'!$AA$9:$AA$55,0)),""),$AL26&lt;=IFERROR(INDEX('Level Engine'!$AU$9:$AU$55,MATCH('King Node Model'!$AL$49,'Level Engine'!$AA$9:$AA$55,0)),""),$AP$52="RASP",NOT($L$52=$AW$52)),AND($AL26&gt;=IFERROR(INDEX('Level Engine'!$AT$9:$AT$55,MATCH('King Node Model'!$AL$50,'Level Engine'!$AA$9:$AA$55,0)),""),$AL26&lt;=IFERROR(INDEX('Level Engine'!$AU$9:$AU$55,MATCH('King Node Model'!$AL$50,'Level Engine'!$AA$9:$AA$55,0)),""),$AP$53="RASP",NOT($L$53=$AW$53)),AND($AL26&gt;=IFERROR(INDEX('Level Engine'!$AT$9:$AT$55,MATCH('King Node Model'!$AL$51,'Level Engine'!$AA$9:$AA$55,0)),""),$AL26&lt;=IFERROR(INDEX('Level Engine'!$AU$9:$AU$55,MATCH('King Node Model'!$AL$51,'Level Engine'!$AA$9:$AA$55,0)),""),$AP$54="RASP"))),NOT(AND(ISNUMBER('King Node Model'!$F$24),$AL26='King Node Model'!$F$24,IFERROR(INDEX('Level Engine'!$JN$9:$JN$55,MATCH($AL26,'Level Engine'!$AA$9:$AA$55,0)),0)&lt;&gt;1,$AL26&lt;&gt;'King Node Model'!$AL$42,$AL26&lt;&gt;'King Node Model'!$AL$43,$AL26&lt;&gt;'King Node Model'!$AL$44,$AL26&lt;&gt;'King Node Model'!$AL$49,$AL26&lt;&gt;'King Node Model'!$AL$50,$AL26&lt;&gt;'King Node Model'!$AL$51))),1,0))</f>
        <v>0</v>
      </c>
      <c r="BK26">
        <f>IFERROR(LARGE($CE$25:$CE$31,2),"")</f>
        <v>7820</v>
      </c>
      <c r="BL26">
        <f>IFERROR(INDEX('King Node Model'!$K$29:$K$75,MATCH($BK26,'King Node Model'!$A$29:$A$75,0)),"")</f>
        <v>1755</v>
      </c>
      <c r="BM26">
        <f>IFERROR(INDEX('King Node Model'!$L$29:$L$75,MATCH($BK26,'King Node Model'!$A$29:$A$75,0)),"")</f>
        <v>786</v>
      </c>
      <c r="BN26">
        <f t="shared" si="9"/>
        <v>-0.38134592680047225</v>
      </c>
      <c r="BO26">
        <f>IFERROR(INDEX('Level Engine'!$AC$9:$AC$55,MATCH($BK26,'Level Engine'!$AA$9:$AA$55,0))/MAX('Level Engine'!$AC$9:$AC$55),"")</f>
        <v>0.11056085313046944</v>
      </c>
      <c r="BP26">
        <f>IF(NOT(ISNUMBER($BK26)),"",IF($BK26&gt;'King Node Model'!$B$4,1,-1))</f>
        <v>1</v>
      </c>
      <c r="BQ26" t="str">
        <f>IF(OR(NOT(ISNUMBER($BN26)),NOT(ISNUMBER($BO26))),"",IF($BO26&lt;0.15,"thin",IF(OR('King Node Model'!$A$8="Neg",N('Level Engine'!$BG$72)=1),"",IF($BP26=1,IF($BN26&lt;=-0.4,"HARD ceil",IF($BN26&lt;=-0.15,"ceil",IF($BN26&lt;0.15,"neutral","soft ceil"))),IF($BN26&gt;=0.4,"FIRM floor",IF($BN26&gt;=0.15,"floor",IF($BN26&gt;-0.15,"neutral","WEAK floor"))))&amp;IF($BO26&lt;0.25," ·marginal",""))))</f>
        <v>thin</v>
      </c>
      <c r="BR26" t="str">
        <f>IF(NOT(ISNUMBER($BN26)),"",IF(OR('King Node Model'!$A$8="Neg",N('Level Engine'!$BG$72)=1),"",IF(AND($BP26=1,$BN26&gt;0.15),"⚠",IF(AND($BP26=-1,$BN26&lt;-0.15),"⚠",""))))</f>
        <v/>
      </c>
      <c r="BW26">
        <f t="shared" si="10"/>
        <v>3</v>
      </c>
      <c r="BX26">
        <f t="shared" si="11"/>
        <v>2</v>
      </c>
      <c r="BY26" t="str">
        <f t="shared" si="12"/>
        <v/>
      </c>
      <c r="CA26">
        <f>IFERROR(SUMPRODUCT(LARGE(('King Node Model'!$A$29:$A$75&gt;$BZ$24)*('King Node Model'!$A$29:$A$75&lt;=$BX$24)*('King Node Model'!$A$29:$A$75&lt;&gt;$BK$34)*(('King Node Model'!$K$29:$K$75+'King Node Model'!$L$29:$L$75)*1000000+'King Node Model'!$A$29:$A$75),2)),0)</f>
        <v>2541007820</v>
      </c>
      <c r="CE26">
        <f>IF(NOT(ISNUMBER($CA26)),"",IF($CA26&lt;=0,"",IFERROR(SUMPRODUCT(MAX((('King Node Model'!$A$29:$A$75&gt;$BZ$24)*('King Node Model'!$A$29:$A$75&lt;=$BX$24)*('King Node Model'!$A$29:$A$75&lt;&gt;$BK$34)*(('King Node Model'!$K$29:$K$75+'King Node Model'!$L$29:$L$75)*1000000+'King Node Model'!$A$29:$A$75)=$CA26)*'King Node Model'!$A$29:$A$75)),"")))</f>
        <v>7820</v>
      </c>
      <c r="CF26">
        <f t="shared" si="13"/>
        <v>2</v>
      </c>
      <c r="CO26">
        <f>IF(NOT(ISNUMBER($AL26)),"",IF(NOT(ISNUMBER(IFERROR(INDEX('Level Engine'!$FT$9:$FT$55,MATCH($AL26,'Level Engine'!$AA$9:$AA$55,0)),""))),"",IF(IFERROR(INDEX('Level Engine'!$FT$9:$FT$55,MATCH($AL26,'Level Engine'!$AA$9:$AA$55,0)),"")&lt;0,0,2)+IF(ABS(IFERROR(INDEX('Level Engine'!$FT$9:$FT$55,MATCH($AL26,'Level Engine'!$AA$9:$AA$55,0)),""))&gt;='Level Engine'!$FT$2,2,1)))</f>
        <v>2</v>
      </c>
      <c r="DJ26" t="str">
        <f>IF(ISNUMBER($AL26),IF($AL26='Level Engine'!$BG$122," ⫪","")&amp;IF($AL26='Level Engine'!$BG$118," S↑"&amp;IFERROR(INDEX('Level Engine'!$MV$9:$MV$55,MATCH($AL26,'Level Engine'!$AA$9:$AA$55,0)),""),"")&amp;IF($AL26='Level Engine'!$BG$119," S↓"&amp;IFERROR(INDEX('Level Engine'!$MV$9:$MV$55,MATCH($AL26,'Level Engine'!$AA$9:$AA$55,0)),""),"")&amp;IF($AL26='Level Engine'!$BG$120," D↑","")&amp;IF($AL26='Level Engine'!$BG$121," D↓","")&amp;IFERROR(INDEX('Level Engine'!$LG$9:$LG$55,MATCH($AL26,'Level Engine'!$AA$9:$AA$55,0)),"")&amp;IF(IFERROR(INDEX('Level Engine'!$MA$9:$MA$55,MATCH($AL26,'Level Engine'!$AA$9:$AA$55,0)),0)=1," SAND","")&amp;IF(IFERROR(INDEX('Level Engine'!$LM$9:$LM$55,MATCH($AL26,'Level Engine'!$AA$9:$AA$55,0)),0)&gt;0," TP","")&amp;IFERROR(" r"&amp;MATCH($AL26,'Level Engine'!$W$9:$W$14,0),IFERROR(" s"&amp;MATCH($AL26,'Level Engine'!$W$18:$W$23,0),""))&amp;IF($AL26='Level Engine'!$BG$165," ◇","")&amp;IF(N($DZ26)=1,IF($AL26&gt;'Level Engine'!$BG$165," ⚠ DOM↓"," ⚠ DOM↑")&amp;'Level Engine'!$BG$165,""),"")</f>
        <v/>
      </c>
      <c r="DK26" t="str">
        <f>IF(AND(ISNUMBER($AL26),OR($AL26='King Node Model'!$AL$42,$AL26='King Node Model'!$AL$43,$AL26='King Node Model'!$AL$44)),IFERROR(MATCH($AL26,'Level Engine'!$W$9:$W$14,0),""),"")</f>
        <v/>
      </c>
      <c r="DL26" t="str">
        <f>IF(AND(ISNUMBER($AL26),OR($AL26='King Node Model'!$AL$49,$AL26='King Node Model'!$AL$50,$AL26='King Node Model'!$AL$51)),IFERROR(MATCH($AL26,'Level Engine'!$W$18:$W$23,0),""),"")</f>
        <v/>
      </c>
      <c r="DM26">
        <f>IF(AND(ISNUMBER($AL26),IFERROR(INDEX('Level Engine'!$LC$9:$LC$55,MATCH($AL26,'Level Engine'!$AA$9:$AA$55,0)),0)=1,OR($AL26=$AN$3,IFERROR(INDEX('Level Engine'!$LB$9:$LB$55,MATCH($AL26,'Level Engine'!$AA$9:$AA$55,0)),0)=1)),1,0)</f>
        <v>0</v>
      </c>
      <c r="DZ26">
        <f>IF(ISNUMBER($AL26),IF(IFERROR(INDEX('Level Engine'!$NJ$9:$NJ$55,MATCH($AL26,'Level Engine'!$AA$9:$AA$55,0)),0)=1,1,0),0)</f>
      </c>
    </row>
    <row r="27" spans="1:117" s="33" customFormat="1" ht="15" customHeight="1" x14ac:dyDescent="0.25">
      <c r="A27" s="7" t="str">
        <f t="shared" si="3"/>
        <v>███████████</v>
      </c>
      <c r="B27" s="8" t="str">
        <f>TEXT(IF(IF('Level Engine'!$GJ$4=1,$AL27='Level Engine'!$GJ$3,AND($AL27-$AM$2&gt;-2.5,$AL27-$AM$2&lt;=2.5)),$AM$2,$AL27),"0")&amp;IF($AL27=$AN$1," ★","")&amp;IF($AL27=$AN$2," ★","")&amp;IF($AL27=$AN$3," ◆","")&amp;IF(AND(ISNUMBER($AN$4),$AL27=$AN$4)," Ⓕ","")&amp;IF(OR(AND(ISNUMBER('Level Engine'!$BG$87),$AL27='Level Engine'!$BG$87),AND(ISNUMBER('Level Engine'!$BG$105),$AL27='Level Engine'!$BG$105))," ζ","")&amp;IF(AND(ISNUMBER($AN$35),$AL27=$AN$35)," ⓏⒼ","")&amp;IF(OR($AL27='Level Engine'!$CP$4,$AL27='Level Engine'!$CP$5,$AL27='Level Engine'!$CP$6,$AL27='Level Engine'!$CP$7)," ☄","")&amp;IF(OR($AL27=$AN$5,$AL27=$AN$8)," ║1","")&amp;IF(OR($AL27=$AN$6,$AL27=$AN$10)," ║2","")&amp;IF(OR($AL27=$AN$7,$AL27=$AN$11)," ║3","")&amp;IF(OR($AL27=$AN$13,$AL27=$AN$16)," ▣1","")&amp;IF(OR($AL27=$AN$14,$AL27=$AN$17)," ▣2","")&amp;IF(OR($AL27=$AN$15,$AL27=$AN$18)," ▣3","")&amp;IF(AND(NOT(OR(AND(ISNUMBER(SEARCH("chop edge",$E$45)),IFERROR(ABS($AL27-'King Node Model'!$AL$42)&lt;=5,FALSE),NOT(ISNUMBER(SEARCH("UNSAFE",$L$45)))),AND(ISNUMBER(SEARCH("chop edge",$E$46)),IFERROR(ABS($AL27-'King Node Model'!$AL$43)&lt;=5,FALSE),NOT(ISNUMBER(SEARCH("UNSAFE",$L$46)))),AND(ISNUMBER(SEARCH("chop edge",$E$52)),IFERROR(ABS($AL27-'King Node Model'!$AL$49)&lt;=5,FALSE),NOT(ISNUMBER(SEARCH("UNSAFE",$L$52)))),AND(ISNUMBER(SEARCH("chop edge",$E$53)),IFERROR(ABS($AL27-'King Node Model'!$AL$50)&lt;=5,FALSE),NOT(ISNUMBER(SEARCH("UNSAFE",$L$53)))))),OR(AND(IFERROR(INDEX('Level Engine'!$IB$9:$IB$55,MATCH('King Node Model'!$AL$49,'Level Engine'!$AA$9:$AA$55,0)),0)&lt;&gt;1,$AL27=IFERROR(INDEX('Level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Engine'!$AA$9:$AA$55,0)),0)&lt;&gt;1,$AL27=IFERROR(INDEX('Level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edge",$E$45)),IFERROR(ABS($AL27-'King Node Model'!$AL$42)&lt;=5,FALSE),NOT(ISNUMBER(SEARCH("UNSAFE",$L$45)))),AND(ISNUMBER(SEARCH("chop edge",$E$46)),IFERROR(ABS($AL27-'King Node Model'!$AL$43)&lt;=5,FALSE),NOT(ISNUMBER(SEARCH("UNSAFE",$L$46)))),AND(ISNUMBER(SEARCH("chop edge",$E$52)),IFERROR(ABS($AL27-'King Node Model'!$AL$49)&lt;=5,FALSE),NOT(ISNUMBER(SEARCH("UNSAFE",$L$52)))),AND(ISNUMBER(SEARCH("chop edge",$E$53)),IFERROR(ABS($AL27-'King Node Model'!$AL$50)&lt;=5,FALSE),NOT(ISNUMBER(SEARCH("UNSAFE",$L$53)))))),OR(AND(IFERROR(INDEX('Level Engine'!$IB$9:$IB$55,MATCH('King Node Model'!$AL$42,'Level Engine'!$AA$9:$AA$55,0)),0)&lt;&gt;1,$AL27=IFERROR(INDEX('Level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Engine'!$AA$9:$AA$55,0)),0)&lt;&gt;1,$AL27=IFERROR(INDEX('Level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ⒷⓁ"),"")&amp;IF(OR(AND($AL27&gt;='King Node Model'!$AM$17,$AL27&lt;='King Node Model'!$AN$17,$AP$45="RASP"),AND($AL27&gt;='King Node Model'!$AM$18,$AL27&lt;='King Node Model'!$AN$18,$AP$46="RASP"),AND($AL27&gt;='King Node Model'!$AM$19,$AL27&lt;='King Node Model'!$AN$19,$AP$47="RASP"),AND($AL27&gt;='King Node Model'!$AM$20,$AL27&lt;='King Node Model'!$AN$20,$AP$52="RASP"),AND($AL27&gt;='King Node Model'!$AM$21,$AL27&lt;='King Node Model'!$AN$21,$AP$53="RASP"),AND($AL27&gt;='King Node Model'!$AM$22,$AL27&lt;='King Node Model'!$AN$22,$AP$54="RASP")),"","")&amp;IF(IF('Level Engine'!$GJ$4=1,$AL27='Level Engine'!$GJ$3,AND($AL27-$AM$2&gt;-2.5,$AL27-$AM$2&lt;=2.5))," ◄","")&amp;IF(IFERROR(INDEX('Level Engine'!$GV$9:$GV$55,MATCH($AL27,'Level Engine'!$AA$9:$AA$55,0)),0)=1," Ⓥ"&amp;IF(IFERROR(INDEX('Level Engine'!$ET$9:$ET$55,MATCH($AL27,'Level Engine'!$AA$9:$AA$55,0)),0)=1,"+",""),"")&amp;IF(OR(AND($AL27=$AN$38,IFERROR(INDEX('Level Engine'!$AN$9:$AN$55,MATCH($AL27,'Level Engine'!$AA$9:$AA$55,0)),0)&lt;&gt;1),$AL27=$AN$39)," ⊙","")&amp;IF(AND(OR('King Node Model'!$A$8="Neg",N('Level Engine'!$BG$72)=1),ABS(MIN($AM$3:$AM$64))&gt;MAX($AM$3:$AM$64),$AN$2&lt;$AM$2,$AL27&lt;$AM$2,ABS($AL27-$AN$2)&lt;=5,IFERROR(VALUE(MID('King Node Model'!$K$26,FIND(":",'King Node Model'!$K$26)-2,2)),0)&gt;=19,IFERROR(INDEX('Level Engine'!$EJ$9:$EJ$55,MATCH($AL27,'Level Engine'!$AA$9:$AA$55,0)),0)=0,$AN$3&gt;$AM$2)," ⟲rev","")&amp;IF($AL27='King Node Model'!$F$24," ⟂","")&amp;$DJ27&amp;IF(IFERROR(INDEX('Level Engine'!$EN$9:$EN$55,MATCH($AL27,'Level Engine'!$AA$9:$AA$55,0)),0)=1," Ⓟ"&amp;IF(AND(OR('King Node Model'!$A$8="Neg",N('Level Engine'!$BG$72)=1),IFERROR(INDEX('Level Engine'!$AN$9:$AN$55,MATCH($AL27,'Level Engine'!$AA$9:$AA$55,0)),0)&lt;&gt;1)," NO-REV",""),"")&amp;IF(AND(ISNUMBER($AL27),OR(AND(ISNUMBER(SEARCH("chop edge",$E$45)),$AL27='King Node Model'!$AL$42),AND(ISNUMBER(SEARCH("chop edge",$E$46)),$AL27='King Node Model'!$AL$43),AND(ISNUMBER(SEARCH("chop edge",$E$52)),$AL27='King Node Model'!$AL$49),AND(ISNUMBER(SEARCH("chop edge",$E$53)),$AL27='King Node Model'!$AL$50)))," ⒸⒺ","")&amp;IF(AND('Level Engine'!$GJ$4=1,OR($AL27='Level Engine'!$GJ$1,$AL27='Level Engine'!$GJ$2)),"","")&amp;IF(ABS(N(IFERROR(INDEX('Level Engine'!$AE$9:$AE$55,MATCH($AL27,'Level Engine'!$AA$9:$AA$55,0)),0)))&gt;='Level Engine'!$BG$85,IF(N(IFERROR(INDEX('Level Engine'!$AE$9:$AE$55,MATCH($AL27,'Level Engine'!$AA$9:$AA$55,0)),0))&gt;0," Δ+"," Δ−"),"")&amp;IFERROR(IF(AND(ISNUMBER(MATCH($AL27,'Level Engine'!$AA$9:$AA$55,0)),ABS(N(IFERROR(INDEX('Level Engine'!$AE$9:$AE$55,MATCH($AL27,'Level Engine'!$AA$9:$AA$55,0)),0)))&lt;'Level Engine'!$BG$85,ABS(N(IFERROR(INDEX('Level Engine'!$AE$9:$AE$55,MATCH($AL27,'Level Engine'!$AA$9:$AA$55,0)),0)))&lt;=ABS(N(IFERROR(INDEX('Level Engine'!$AE$9:$AE$55,MATCH($AL27+5,'Level Engine'!$AA$9:$AA$55,0)),0))),ABS(N(IFERROR(INDEX('Level Engine'!$AE$9:$AE$55,MATCH($AL27,'Level Engine'!$AA$9:$AA$55,0)),0)))&lt;=ABS(N(IFERROR(INDEX('Level Engine'!$AE$9:$AE$55,MATCH($AL27-5,'Level Engine'!$AA$9:$AA$55,0)),0))),OR(AND(ABS(N(IFERROR(INDEX('Level Engine'!$AE$9:$AE$55,MATCH($AL27+5,'Level Engine'!$AA$9:$AA$55,0)),0)))&gt;='Level Engine'!$BG$85,ABS(N(IFERROR(INDEX('Level Engine'!$AE$9:$AE$55,MATCH($AL27,'Level Engine'!$AA$9:$AA$55,0)),0)))&lt;='Level Engine'!$BG$88*ABS(N(IFERROR(INDEX('Level Engine'!$AE$9:$AE$55,MATCH($AL27+5,'Level Engine'!$AA$9:$AA$55,0)),0)))),AND(ABS(N(IFERROR(INDEX('Level Engine'!$AE$9:$AE$55,MATCH($AL27-5,'Level Engine'!$AA$9:$AA$55,0)),0)))&gt;='Level Engine'!$BG$85,ABS(N(IFERROR(INDEX('Level Engine'!$AE$9:$AE$55,MATCH($AL27,'Level Engine'!$AA$9:$AA$55,0)),0)))&lt;='Level Engine'!$BG$88*ABS(N(IFERROR(INDEX('Level Engine'!$AE$9:$AE$55,MATCH($AL27-5,'Level Engine'!$AA$9:$AA$55,0)),0)))))),IF(AND('King Node Model'!$A$8="Pos",N('Level Engine'!$BG$72)&lt;&gt;1),""," ∅"),""),"")&amp;IF(IFERROR(INDEX('Level Engine'!$JD$9:$JD$55,MATCH($AL27,'Level Engine'!$AA$9:$AA$55,0)),"")="P"," P-OI",IF(IFERROR(INDEX('Level Engine'!$JD$9:$JD$55,MATCH($AL27,'Level Engine'!$AA$9:$AA$55,0)),"")="C"," C-OI",""))</f>
        <v>7765 s2 P-OI</v>
      </c>
      <c r="C27" s="9" t="str">
        <f t="shared" si="0"/>
        <v/>
      </c>
      <c r="D27" t="str">
        <f>IF(NOT(ISNUMBER($AL27)),"",IF(IFERROR(INDEX('Level Engine'!$FS$9:$FS$55,MATCH($AL27,'Level Engine'!$AA$9:$AA$55,0)),0)=1,"⊙",""))</f>
        <v/>
      </c>
      <c r="E27" s="593" t="s">
        <v>2791</v>
      </c>
      <c r="F27" s="593"/>
      <c r="G27" s="593"/>
      <c r="H27" s="593"/>
      <c r="I27" s="593"/>
      <c r="J27" s="593"/>
      <c r="K27" s="593"/>
      <c r="L27" s="593"/>
      <c r="M27" s="593"/>
      <c r="N27" s="593"/>
      <c r="O27" s="432"/>
      <c r="P27" s="471"/>
      <c r="Q27" s="452" t="str">
        <f t="shared" si="4"/>
        <v xml:space="preserve">A4  7815   ·   thin  85% </v>
      </c>
      <c r="R27" s="447" t="str">
        <f t="shared" si="5"/>
        <v>1.2k ▉▉▉▉▉▉▉</v>
      </c>
      <c r="S27" s="484" t="str">
        <f t="shared" si="6"/>
        <v>▉ 210</v>
      </c>
      <c r="T27" s="484" t="str">
        <f t="shared" si="7"/>
        <v>g4</v>
      </c>
      <c r="U27" s="453" t="str">
        <f t="shared" si="8"/>
        <v/>
      </c>
      <c r="V27" s="434"/>
      <c r="AA27" s="434"/>
      <c r="AB27" s="434"/>
      <c r="AC27" s="434"/>
      <c r="AE27" s="434"/>
      <c r="AL27" s="1">
        <f>'King Node Model'!A53</f>
        <v>7765</v>
      </c>
      <c r="AM27" s="10">
        <f>'King Node Model'!C53</f>
        <v>-1477513</v>
      </c>
      <c r="AN27" s="434"/>
      <c r="AO27" s="10">
        <f>'King Node Model'!B53</f>
        <v>1894098</v>
      </c>
      <c r="AP27" s="434"/>
      <c r="AY27" s="1">
        <f>IF(AND($B$2="Hide unsafe",$BB27=1),0,IF(AND(OR(AND(AND(ISNUMBER($AL27),OR(AND($AL27&gt;=$AQ$22,$AL27&lt;=$AR$22,$AS$22=1),$AL27=$AQ$22,$AL27=$AR$22,$AL27=$AQ$23,$AL27=$AR$23,$AL27=$AQ$24,$AL27=$AR$24),NOT(OR($AL27=$AN$5,$AL27=$AN$6,$AL27=$AN$7,$AL27=$AN$8,$AL27=$AN$10,$AL27=$AN$11))),NOT(OR(AND('King Node Model'!$P$13="Up",OR($AL27=$AQ$22,$AL27=$AQ$23,$AL27=$AQ$24,$AL27='King Node Model'!$AM$20,$AL27='King Node Model'!$AM$21,$AL27='King Node Model'!$AM$22),OR(AND('King Node Model'!$B$23-$AL27&gt;=0,'King Node Model'!$B$23-$AL27&lt;=5),AND('King Node Model'!$C$23-$AL27&gt;=0,'King Node Model'!$C$23-$AL27&lt;=5))),AND('King Node Model'!$P$13="Down",OR($AL27=$AR$22,$AL27=$AR$23,$AL27=$AR$24,$AL27='King Node Model'!$AN$20,$AL27='King Node Model'!$AN$21,$AL27='King Node Model'!$AN$22),OR(AND($AL27-'King Node Model'!$B$23&gt;=0,$AL27-'King Node Model'!$B$23&lt;=5),AND($AL27-'King Node Model'!$C$24&gt;=0,$AL27-'King Node Model'!$C$24&lt;=5)))))),AND(AND(ISNUMBER($AL27),OR(AND($AL27&gt;=$AQ$22,$AL27&lt;=$AR$22,$AS$22=1),$AL27=$AQ$22,$AL27=$AR$22,$AL27=$AQ$23,$AL27=$AR$23,$AL27=$AQ$24,$AL27=$AR$24,$AL27='King Node Model'!$AL$42,$AL27='King Node Model'!$AL$43),OR($AL27=$AN$5,$AL27=$AN$6,$AL27=$AN$7,$AL27=$AN$8,$AL27=$AN$10,$AL27=$AN$11)),NOT(OR(AND('King Node Model'!$P$13="Up",OR($AL27=$AQ$22,$AL27=$AQ$23,$AL27=$AQ$24,$AL27='King Node Model'!$AM$20,$AL27='King Node Model'!$AM$21,$AL27='King Node Model'!$AM$22),OR(AND('King Node Model'!$B$23-$AL27&gt;=0,'King Node Model'!$B$23-$AL27&lt;=5),AND('King Node Model'!$C$23-$AL27&gt;=0,'King Node Model'!$C$23-$AL27&lt;=5))),AND('King Node Model'!$P$13="Down",OR($AL27=$AR$22,$AL27=$AR$23,$AL27=$AR$24,$AL27='King Node Model'!$AN$20,$AL27='King Node Model'!$AN$21,$AL27='King Node Model'!$AN$22),OR(AND($AL27-'King Node Model'!$B$23&gt;=0,$AL27-'King Node Model'!$B$23&lt;=5),AND($AL27-'King Node Model'!$C$24&gt;=0,$AL27-'King Node Model'!$C$24&lt;=5)))))),AND(AND(ISNUMBER($AL27),OR(AND($AL27&gt;='King Node Model'!$AM$20,$AL27&lt;='King Node Model'!$AN$20,$AS$23=1),$AL27='King Node Model'!$AM$20,$AL27='King Node Model'!$AN$20,$AL27='King Node Model'!$AM$21,$AL27='King Node Model'!$AN$21,$AL27='King Node Model'!$AM$22,$AL27='King Node Model'!$AN$22),NOT(OR($AL27=$AN$5,$AL27=$AN$6,$AL27=$AN$7,$AL27=$AN$8,$AL27=$AN$10,$AL27=$AN$11))),NOT(AND(ISNUMBER('King Node Model'!$F$24),$AL27='King Node Model'!$F$24,IFERROR(INDEX('Level Engine'!$JN$9:$JN$55,MATCH($AL27,'Level Engine'!$AA$9:$AA$55,0)),0)&lt;&gt;1))),AND(AND(ISNUMBER($AL27),OR(AND($AL27&gt;='King Node Model'!$AM$20,$AL27&lt;='King Node Model'!$AN$20,$AS$23=1),$AL27='King Node Model'!$AM$20,$AL27='King Node Model'!$AN$20,$AL27='King Node Model'!$AM$21,$AL27='King Node Model'!$AN$21,$AL27='King Node Model'!$AM$22,$AL27='King Node Model'!$AN$22,$AL27='King Node Model'!$AL$49,$AL27='King Node Model'!$AL$50),OR($AL27=$AN$5,$AL27=$AN$6,$AL27=$AN$7,$AL27=$AN$8,$AL27=$AN$10,$AL27=$AN$11)),NOT(OR(AND('King Node Model'!$P$13="Up",OR($AL27=$AQ$22,$AL27=$AQ$23,$AL27=$AQ$24,$AL27='King Node Model'!$AM$20,$AL27='King Node Model'!$AM$21,$AL27='King Node Model'!$AM$22),OR(AND('King Node Model'!$B$23-$AL27&gt;=0,'King Node Model'!$B$23-$AL27&lt;=5),AND('King Node Model'!$C$23-$AL27&gt;=0,'King Node Model'!$C$23-$AL27&lt;=5))),AND('King Node Model'!$P$13="Down",OR($AL27=$AR$22,$AL27=$AR$23,$AL27=$AR$24,$AL27='King Node Model'!$AN$20,$AL27='King Node Model'!$AN$21,$AL27='King Node Model'!$AN$22),OR(AND($AL27-'King Node Model'!$B$23&gt;=0,$AL27-'King Node Model'!$B$23&lt;=5),AND($AL27-'King Node Model'!$C$24&gt;=0,$AL27-'King Node Model'!$C$24&lt;=5))))))),OR(COUNTIF('Level Engine'!$W$9:$W$14,$AL27)&gt;0,COUNTIF('Level Engine'!$W$18:$W$23,$AL27)&gt;0)),1,0))</f>
        <v>0</v>
      </c>
      <c r="AZ27" s="1">
        <f t="shared" si="1"/>
        <v>0</v>
      </c>
      <c r="BB27" s="1">
        <f>IF(OR(AND($AL27='King Node Model'!$AL$42,$AP$45&lt;&gt;"RASP"),AND($AL27='King Node Model'!$AL$43,$AP$46&lt;&gt;"RASP"),AND($AL27='King Node Model'!$AL$49,$AP$52&lt;&gt;"RASP"),AND($AL27='King Node Model'!$AL$50,$AP$53&lt;&gt;"RASP"),AND($AL27='King Node Model'!$AL$44,$AP$47&lt;&gt;"RASP"),AND($AL27='King Node Model'!$AL$51,$AP$54&lt;&gt;"RASP")),0,IF(AND(AND(ISNUMBER($AL27),OR(AND($AL27&gt;=$AQ$22,$AL27&lt;=$AR$22,$AP$45="RASP"),AND($AL27&gt;=$AQ$23,$AL27&lt;=$AR$23,$AP$46="RASP"),AND($AL27&gt;=$AQ$24,$AL27&lt;=$AR$24,$AP$47="RASP"),AND($AL27&gt;='King Node Model'!$AM$20,$AL27&lt;='King Node Model'!$AN$20,$AP$52="RASP",NOT($L$52=$AW$52)),AND($AL27='King Node Model'!$B$23,$AP$52="RASP",$L$52=$AW$52),AND($AL27&gt;='King Node Model'!$AM$21,$AL27&lt;='King Node Model'!$AN$21,$AP$53="RASP",NOT($L$53=$AW$53)),AND($AL27='King Node Model'!$B$23,$AP$53="RASP",$L$53=$AW$53),AND($AL27&gt;='King Node Model'!$AM$22,$AL27&lt;='King Node Model'!$AN$22,$AP$54="RASP"),AND($AL27&gt;=IFERROR(INDEX('Level Engine'!$AT$9:$AT$55,MATCH('King Node Model'!$AL$42,'Level Engine'!$AA$9:$AA$55,0)),""),$AL27&lt;=IFERROR(INDEX('Level Engine'!$AU$9:$AU$55,MATCH('King Node Model'!$AL$42,'Level Engine'!$AA$9:$AA$55,0)),""),$AP$45="RASP"),AND($AL27&gt;=IFERROR(INDEX('Level Engine'!$AT$9:$AT$55,MATCH('King Node Model'!$AL$43,'Level Engine'!$AA$9:$AA$55,0)),""),$AL27&lt;=IFERROR(INDEX('Level Engine'!$AU$9:$AU$55,MATCH('King Node Model'!$AL$43,'Level Engine'!$AA$9:$AA$55,0)),""),$AP$46="RASP"),AND($AL27&gt;=IFERROR(INDEX('Level Engine'!$AT$9:$AT$55,MATCH('King Node Model'!$AL$44,'Level Engine'!$AA$9:$AA$55,0)),""),$AL27&lt;=IFERROR(INDEX('Level Engine'!$AU$9:$AU$55,MATCH('King Node Model'!$AL$44,'Level Engine'!$AA$9:$AA$55,0)),""),$AP$47="RASP"),AND($AL27&gt;=IFERROR(INDEX('Level Engine'!$AT$9:$AT$55,MATCH('King Node Model'!$AL$49,'Level Engine'!$AA$9:$AA$55,0)),""),$AL27&lt;=IFERROR(INDEX('Level Engine'!$AU$9:$AU$55,MATCH('King Node Model'!$AL$49,'Level Engine'!$AA$9:$AA$55,0)),""),$AP$52="RASP",NOT($L$52=$AW$52)),AND($AL27&gt;=IFERROR(INDEX('Level Engine'!$AT$9:$AT$55,MATCH('King Node Model'!$AL$50,'Level Engine'!$AA$9:$AA$55,0)),""),$AL27&lt;=IFERROR(INDEX('Level Engine'!$AU$9:$AU$55,MATCH('King Node Model'!$AL$50,'Level Engine'!$AA$9:$AA$55,0)),""),$AP$53="RASP",NOT($L$53=$AW$53)),AND($AL27&gt;=IFERROR(INDEX('Level Engine'!$AT$9:$AT$55,MATCH('King Node Model'!$AL$51,'Level Engine'!$AA$9:$AA$55,0)),""),$AL27&lt;=IFERROR(INDEX('Level Engine'!$AU$9:$AU$55,MATCH('King Node Model'!$AL$51,'Level Engine'!$AA$9:$AA$55,0)),""),$AP$54="RASP"))),NOT(AND(ISNUMBER('King Node Model'!$F$24),$AL27='King Node Model'!$F$24,IFERROR(INDEX('Level Engine'!$JN$9:$JN$55,MATCH($AL27,'Level Engine'!$AA$9:$AA$55,0)),0)&lt;&gt;1,$AL27&lt;&gt;'King Node Model'!$AL$42,$AL27&lt;&gt;'King Node Model'!$AL$43,$AL27&lt;&gt;'King Node Model'!$AL$44,$AL27&lt;&gt;'King Node Model'!$AL$49,$AL27&lt;&gt;'King Node Model'!$AL$50,$AL27&lt;&gt;'King Node Model'!$AL$51))),1,0))</f>
        <v>0</v>
      </c>
      <c r="BK27">
        <f>IFERROR(LARGE($CE$25:$CE$31,3),"")</f>
        <v>7815</v>
      </c>
      <c r="BL27">
        <f>IFERROR(INDEX('King Node Model'!$K$29:$K$75,MATCH($BK27,'King Node Model'!$A$29:$A$75,0)),"")</f>
        <v>1163</v>
      </c>
      <c r="BM27">
        <f>IFERROR(INDEX('King Node Model'!$L$29:$L$75,MATCH($BK27,'King Node Model'!$A$29:$A$75,0)),"")</f>
        <v>210</v>
      </c>
      <c r="BN27">
        <f t="shared" si="9"/>
        <v>-0.69410050983248361</v>
      </c>
      <c r="BO27">
        <f>IFERROR(INDEX('Level Engine'!$AC$9:$AC$55,MATCH($BK27,'Level Engine'!$AA$9:$AA$55,0))/MAX('Level Engine'!$AC$9:$AC$55),"")</f>
        <v>8.0227881947597168E-2</v>
      </c>
      <c r="BP27">
        <f>IF(NOT(ISNUMBER($BK27)),"",IF($BK27&gt;'King Node Model'!$B$4,1,-1))</f>
        <v>1</v>
      </c>
      <c r="BQ27" t="str">
        <f>IF(OR(NOT(ISNUMBER($BN27)),NOT(ISNUMBER($BO27))),"",IF($BO27&lt;0.15,"thin",IF(OR('King Node Model'!$A$8="Neg",N('Level Engine'!$BG$72)=1),"",IF($BP27=1,IF($BN27&lt;=-0.4,"HARD ceil",IF($BN27&lt;=-0.15,"ceil",IF($BN27&lt;0.15,"neutral","soft ceil"))),IF($BN27&gt;=0.4,"FIRM floor",IF($BN27&gt;=0.15,"floor",IF($BN27&gt;-0.15,"neutral","WEAK floor"))))&amp;IF($BO27&lt;0.25," ·marginal",""))))</f>
        <v>thin</v>
      </c>
      <c r="BR27" t="str">
        <f>IF(NOT(ISNUMBER($BN27)),"",IF(OR('King Node Model'!$A$8="Neg",N('Level Engine'!$BG$72)=1),"",IF(AND($BP27=1,$BN27&gt;0.15),"⚠",IF(AND($BP27=-1,$BN27&lt;-0.15),"⚠",""))))</f>
        <v/>
      </c>
      <c r="BW27">
        <f t="shared" si="10"/>
        <v>4</v>
      </c>
      <c r="BX27">
        <f t="shared" si="11"/>
        <v>4</v>
      </c>
      <c r="BY27" t="str">
        <f t="shared" si="12"/>
        <v/>
      </c>
      <c r="CA27">
        <f>IFERROR(SUMPRODUCT(LARGE(('King Node Model'!$A$29:$A$75&gt;$BZ$24)*('King Node Model'!$A$29:$A$75&lt;=$BX$24)*('King Node Model'!$A$29:$A$75&lt;&gt;$BK$34)*(('King Node Model'!$K$29:$K$75+'King Node Model'!$L$29:$L$75)*1000000+'King Node Model'!$A$29:$A$75),3)),0)</f>
        <v>2140007810</v>
      </c>
      <c r="CE27">
        <f>IF(NOT(ISNUMBER($CA27)),"",IF($CA27&lt;=0,"",IFERROR(SUMPRODUCT(MAX((('King Node Model'!$A$29:$A$75&gt;$BZ$24)*('King Node Model'!$A$29:$A$75&lt;=$BX$24)*('King Node Model'!$A$29:$A$75&lt;&gt;$BK$34)*(('King Node Model'!$K$29:$K$75+'King Node Model'!$L$29:$L$75)*1000000+'King Node Model'!$A$29:$A$75)=$CA27)*'King Node Model'!$A$29:$A$75)),"")))</f>
        <v>7810</v>
      </c>
      <c r="CF27">
        <f t="shared" si="13"/>
        <v>4</v>
      </c>
      <c r="CO27">
        <f>IF(NOT(ISNUMBER($AL27)),"",IF(NOT(ISNUMBER(IFERROR(INDEX('Level Engine'!$FT$9:$FT$55,MATCH($AL27,'Level Engine'!$AA$9:$AA$55,0)),""))),"",IF(IFERROR(INDEX('Level Engine'!$FT$9:$FT$55,MATCH($AL27,'Level Engine'!$AA$9:$AA$55,0)),"")&lt;0,0,2)+IF(ABS(IFERROR(INDEX('Level Engine'!$FT$9:$FT$55,MATCH($AL27,'Level Engine'!$AA$9:$AA$55,0)),""))&gt;='Level Engine'!$FT$2,2,1)))</f>
        <v>2</v>
      </c>
      <c r="DJ27" t="str">
        <f>IF(ISNUMBER($AL27),IF($AL27='Level Engine'!$BG$122," ⫪","")&amp;IF($AL27='Level Engine'!$BG$118," S↑"&amp;IFERROR(INDEX('Level Engine'!$MV$9:$MV$55,MATCH($AL27,'Level Engine'!$AA$9:$AA$55,0)),""),"")&amp;IF($AL27='Level Engine'!$BG$119," S↓"&amp;IFERROR(INDEX('Level Engine'!$MV$9:$MV$55,MATCH($AL27,'Level Engine'!$AA$9:$AA$55,0)),""),"")&amp;IF($AL27='Level Engine'!$BG$120," D↑","")&amp;IF($AL27='Level Engine'!$BG$121," D↓","")&amp;IFERROR(INDEX('Level Engine'!$LG$9:$LG$55,MATCH($AL27,'Level Engine'!$AA$9:$AA$55,0)),"")&amp;IF(IFERROR(INDEX('Level Engine'!$MA$9:$MA$55,MATCH($AL27,'Level Engine'!$AA$9:$AA$55,0)),0)=1," SAND","")&amp;IF(IFERROR(INDEX('Level Engine'!$LM$9:$LM$55,MATCH($AL27,'Level Engine'!$AA$9:$AA$55,0)),0)&gt;0," TP","")&amp;IFERROR(" r"&amp;MATCH($AL27,'Level Engine'!$W$9:$W$14,0),IFERROR(" s"&amp;MATCH($AL27,'Level Engine'!$W$18:$W$23,0),""))&amp;IF($AL27='Level Engine'!$BG$165," ◇","")&amp;IF(N($DZ27)=1,IF($AL27&gt;'Level Engine'!$BG$165," ⚠ DOM↓"," ⚠ DOM↑")&amp;'Level Engine'!$BG$165,""),"")</f>
        <v xml:space="preserve"> s2</v>
      </c>
      <c r="DK27" t="str">
        <f>IF(AND(ISNUMBER($AL27),OR($AL27='King Node Model'!$AL$42,$AL27='King Node Model'!$AL$43,$AL27='King Node Model'!$AL$44)),IFERROR(MATCH($AL27,'Level Engine'!$W$9:$W$14,0),""),"")</f>
        <v/>
      </c>
      <c r="DL27" t="str">
        <f>IF(AND(ISNUMBER($AL27),OR($AL27='King Node Model'!$AL$49,$AL27='King Node Model'!$AL$50,$AL27='King Node Model'!$AL$51)),IFERROR(MATCH($AL27,'Level Engine'!$W$18:$W$23,0),""),"")</f>
        <v/>
      </c>
      <c r="DM27">
        <f>IF(AND(ISNUMBER($AL27),IFERROR(INDEX('Level Engine'!$LC$9:$LC$55,MATCH($AL27,'Level Engine'!$AA$9:$AA$55,0)),0)=1,OR($AL27=$AN$3,IFERROR(INDEX('Level Engine'!$LB$9:$LB$55,MATCH($AL27,'Level Engine'!$AA$9:$AA$55,0)),0)=1)),1,0)</f>
        <v>0</v>
      </c>
      <c r="DZ27">
        <f>IF(ISNUMBER($AL27),IF(IFERROR(INDEX('Level Engine'!$NJ$9:$NJ$55,MATCH($AL27,'Level Engine'!$AA$9:$AA$55,0)),0)=1,1,0),0)</f>
      </c>
    </row>
    <row r="28" spans="1:117" s="33" customFormat="1" ht="15" customHeight="1" x14ac:dyDescent="0.25">
      <c r="A28" s="7" t="str">
        <f t="shared" si="3"/>
        <v>████████████</v>
      </c>
      <c r="B28" s="8" t="str">
        <f>TEXT(IF(IF('Level Engine'!$GJ$4=1,$AL28='Level Engine'!$GJ$3,AND($AL28-$AM$2&gt;-2.5,$AL28-$AM$2&lt;=2.5)),$AM$2,$AL28),"0")&amp;IF($AL28=$AN$1," ★","")&amp;IF($AL28=$AN$2," ★","")&amp;IF($AL28=$AN$3," ◆","")&amp;IF(AND(ISNUMBER($AN$4),$AL28=$AN$4)," Ⓕ","")&amp;IF(OR(AND(ISNUMBER('Level Engine'!$BG$87),$AL28='Level Engine'!$BG$87),AND(ISNUMBER('Level Engine'!$BG$105),$AL28='Level Engine'!$BG$105))," ζ","")&amp;IF(AND(ISNUMBER($AN$35),$AL28=$AN$35)," ⓏⒼ","")&amp;IF(OR($AL28='Level Engine'!$CP$4,$AL28='Level Engine'!$CP$5,$AL28='Level Engine'!$CP$6,$AL28='Level Engine'!$CP$7)," ☄","")&amp;IF(OR($AL28=$AN$5,$AL28=$AN$8)," ║1","")&amp;IF(OR($AL28=$AN$6,$AL28=$AN$10)," ║2","")&amp;IF(OR($AL28=$AN$7,$AL28=$AN$11)," ║3","")&amp;IF(OR($AL28=$AN$13,$AL28=$AN$16)," ▣1","")&amp;IF(OR($AL28=$AN$14,$AL28=$AN$17)," ▣2","")&amp;IF(OR($AL28=$AN$15,$AL28=$AN$18)," ▣3","")&amp;IF(AND(NOT(OR(AND(ISNUMBER(SEARCH("chop edge",$E$45)),IFERROR(ABS($AL28-'King Node Model'!$AL$42)&lt;=5,FALSE),NOT(ISNUMBER(SEARCH("UNSAFE",$L$45)))),AND(ISNUMBER(SEARCH("chop edge",$E$46)),IFERROR(ABS($AL28-'King Node Model'!$AL$43)&lt;=5,FALSE),NOT(ISNUMBER(SEARCH("UNSAFE",$L$46)))),AND(ISNUMBER(SEARCH("chop edge",$E$52)),IFERROR(ABS($AL28-'King Node Model'!$AL$49)&lt;=5,FALSE),NOT(ISNUMBER(SEARCH("UNSAFE",$L$52)))),AND(ISNUMBER(SEARCH("chop edge",$E$53)),IFERROR(ABS($AL28-'King Node Model'!$AL$50)&lt;=5,FALSE),NOT(ISNUMBER(SEARCH("UNSAFE",$L$53)))))),OR(AND(IFERROR(INDEX('Level Engine'!$IB$9:$IB$55,MATCH('King Node Model'!$AL$49,'Level Engine'!$AA$9:$AA$55,0)),0)&lt;&gt;1,$AL28=IFERROR(INDEX('Level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Engine'!$AA$9:$AA$55,0)),0)&lt;&gt;1,$AL28=IFERROR(INDEX('Level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edge",$E$45)),IFERROR(ABS($AL28-'King Node Model'!$AL$42)&lt;=5,FALSE),NOT(ISNUMBER(SEARCH("UNSAFE",$L$45)))),AND(ISNUMBER(SEARCH("chop edge",$E$46)),IFERROR(ABS($AL28-'King Node Model'!$AL$43)&lt;=5,FALSE),NOT(ISNUMBER(SEARCH("UNSAFE",$L$46)))),AND(ISNUMBER(SEARCH("chop edge",$E$52)),IFERROR(ABS($AL28-'King Node Model'!$AL$49)&lt;=5,FALSE),NOT(ISNUMBER(SEARCH("UNSAFE",$L$52)))),AND(ISNUMBER(SEARCH("chop edge",$E$53)),IFERROR(ABS($AL28-'King Node Model'!$AL$50)&lt;=5,FALSE),NOT(ISNUMBER(SEARCH("UNSAFE",$L$53)))))),OR(AND(IFERROR(INDEX('Level Engine'!$IB$9:$IB$55,MATCH('King Node Model'!$AL$42,'Level Engine'!$AA$9:$AA$55,0)),0)&lt;&gt;1,$AL28=IFERROR(INDEX('Level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Engine'!$AA$9:$AA$55,0)),0)&lt;&gt;1,$AL28=IFERROR(INDEX('Level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ⒷⓁ"),"")&amp;IF(OR(AND($AL28&gt;='King Node Model'!$AM$17,$AL28&lt;='King Node Model'!$AN$17,$AP$45="RASP"),AND($AL28&gt;='King Node Model'!$AM$18,$AL28&lt;='King Node Model'!$AN$18,$AP$46="RASP"),AND($AL28&gt;='King Node Model'!$AM$19,$AL28&lt;='King Node Model'!$AN$19,$AP$47="RASP"),AND($AL28&gt;='King Node Model'!$AM$20,$AL28&lt;='King Node Model'!$AN$20,$AP$52="RASP"),AND($AL28&gt;='King Node Model'!$AM$21,$AL28&lt;='King Node Model'!$AN$21,$AP$53="RASP"),AND($AL28&gt;='King Node Model'!$AM$22,$AL28&lt;='King Node Model'!$AN$22,$AP$54="RASP")),"","")&amp;IF(IF('Level Engine'!$GJ$4=1,$AL28='Level Engine'!$GJ$3,AND($AL28-$AM$2&gt;-2.5,$AL28-$AM$2&lt;=2.5))," ◄","")&amp;IF(IFERROR(INDEX('Level Engine'!$GV$9:$GV$55,MATCH($AL28,'Level Engine'!$AA$9:$AA$55,0)),0)=1," Ⓥ"&amp;IF(IFERROR(INDEX('Level Engine'!$ET$9:$ET$55,MATCH($AL28,'Level Engine'!$AA$9:$AA$55,0)),0)=1,"+",""),"")&amp;IF(OR(AND($AL28=$AN$38,IFERROR(INDEX('Level Engine'!$AN$9:$AN$55,MATCH($AL28,'Level Engine'!$AA$9:$AA$55,0)),0)&lt;&gt;1),$AL28=$AN$39)," ⊙","")&amp;IF(AND(OR('King Node Model'!$A$8="Neg",N('Level Engine'!$BG$72)=1),ABS(MIN($AM$3:$AM$64))&gt;MAX($AM$3:$AM$64),$AN$2&lt;$AM$2,$AL28&lt;$AM$2,ABS($AL28-$AN$2)&lt;=5,IFERROR(VALUE(MID('King Node Model'!$K$26,FIND(":",'King Node Model'!$K$26)-2,2)),0)&gt;=19,IFERROR(INDEX('Level Engine'!$EJ$9:$EJ$55,MATCH($AL28,'Level Engine'!$AA$9:$AA$55,0)),0)=0,$AN$3&gt;$AM$2)," ⟲rev","")&amp;IF($AL28='King Node Model'!$F$24," ⟂","")&amp;$DJ28&amp;IF(IFERROR(INDEX('Level Engine'!$EN$9:$EN$55,MATCH($AL28,'Level Engine'!$AA$9:$AA$55,0)),0)=1," Ⓟ"&amp;IF(AND(OR('King Node Model'!$A$8="Neg",N('Level Engine'!$BG$72)=1),IFERROR(INDEX('Level Engine'!$AN$9:$AN$55,MATCH($AL28,'Level Engine'!$AA$9:$AA$55,0)),0)&lt;&gt;1)," NO-REV",""),"")&amp;IF(AND(ISNUMBER($AL28),OR(AND(ISNUMBER(SEARCH("chop edge",$E$45)),$AL28='King Node Model'!$AL$42),AND(ISNUMBER(SEARCH("chop edge",$E$46)),$AL28='King Node Model'!$AL$43),AND(ISNUMBER(SEARCH("chop edge",$E$52)),$AL28='King Node Model'!$AL$49),AND(ISNUMBER(SEARCH("chop edge",$E$53)),$AL28='King Node Model'!$AL$50)))," ⒸⒺ","")&amp;IF(AND('Level Engine'!$GJ$4=1,OR($AL28='Level Engine'!$GJ$1,$AL28='Level Engine'!$GJ$2)),"","")&amp;IF(ABS(N(IFERROR(INDEX('Level Engine'!$AE$9:$AE$55,MATCH($AL28,'Level Engine'!$AA$9:$AA$55,0)),0)))&gt;='Level Engine'!$BG$85,IF(N(IFERROR(INDEX('Level Engine'!$AE$9:$AE$55,MATCH($AL28,'Level Engine'!$AA$9:$AA$55,0)),0))&gt;0," Δ+"," Δ−"),"")&amp;IFERROR(IF(AND(ISNUMBER(MATCH($AL28,'Level Engine'!$AA$9:$AA$55,0)),ABS(N(IFERROR(INDEX('Level Engine'!$AE$9:$AE$55,MATCH($AL28,'Level Engine'!$AA$9:$AA$55,0)),0)))&lt;'Level Engine'!$BG$85,ABS(N(IFERROR(INDEX('Level Engine'!$AE$9:$AE$55,MATCH($AL28,'Level Engine'!$AA$9:$AA$55,0)),0)))&lt;=ABS(N(IFERROR(INDEX('Level Engine'!$AE$9:$AE$55,MATCH($AL28+5,'Level Engine'!$AA$9:$AA$55,0)),0))),ABS(N(IFERROR(INDEX('Level Engine'!$AE$9:$AE$55,MATCH($AL28,'Level Engine'!$AA$9:$AA$55,0)),0)))&lt;=ABS(N(IFERROR(INDEX('Level Engine'!$AE$9:$AE$55,MATCH($AL28-5,'Level Engine'!$AA$9:$AA$55,0)),0))),OR(AND(ABS(N(IFERROR(INDEX('Level Engine'!$AE$9:$AE$55,MATCH($AL28+5,'Level Engine'!$AA$9:$AA$55,0)),0)))&gt;='Level Engine'!$BG$85,ABS(N(IFERROR(INDEX('Level Engine'!$AE$9:$AE$55,MATCH($AL28,'Level Engine'!$AA$9:$AA$55,0)),0)))&lt;='Level Engine'!$BG$88*ABS(N(IFERROR(INDEX('Level Engine'!$AE$9:$AE$55,MATCH($AL28+5,'Level Engine'!$AA$9:$AA$55,0)),0)))),AND(ABS(N(IFERROR(INDEX('Level Engine'!$AE$9:$AE$55,MATCH($AL28-5,'Level Engine'!$AA$9:$AA$55,0)),0)))&gt;='Level Engine'!$BG$85,ABS(N(IFERROR(INDEX('Level Engine'!$AE$9:$AE$55,MATCH($AL28,'Level Engine'!$AA$9:$AA$55,0)),0)))&lt;='Level Engine'!$BG$88*ABS(N(IFERROR(INDEX('Level Engine'!$AE$9:$AE$55,MATCH($AL28-5,'Level Engine'!$AA$9:$AA$55,0)),0)))))),IF(AND('King Node Model'!$A$8="Pos",N('Level Engine'!$BG$72)&lt;&gt;1),""," ∅"),""),"")&amp;IF(IFERROR(INDEX('Level Engine'!$JD$9:$JD$55,MATCH($AL28,'Level Engine'!$AA$9:$AA$55,0)),"")="P"," P-OI",IF(IFERROR(INDEX('Level Engine'!$JD$9:$JD$55,MATCH($AL28,'Level Engine'!$AA$9:$AA$55,0)),"")="C"," C-OI",""))</f>
        <v>7760</v>
      </c>
      <c r="C28" s="9" t="str">
        <f t="shared" si="0"/>
        <v/>
      </c>
      <c r="D28" t="str">
        <f>IF(NOT(ISNUMBER($AL28)),"",IF(IFERROR(INDEX('Level Engine'!$FS$9:$FS$55,MATCH($AL28,'Level Engine'!$AA$9:$AA$55,0)),0)=1,"⊙",""))</f>
        <v/>
      </c>
      <c r="E28" s="435" t="s">
        <v>2792</v>
      </c>
      <c r="F28" s="436"/>
      <c r="G28" s="436"/>
      <c r="H28" s="436"/>
      <c r="I28" s="436"/>
      <c r="J28" s="436"/>
      <c r="K28" s="436"/>
      <c r="L28" s="436"/>
      <c r="M28" s="436"/>
      <c r="N28" s="436"/>
      <c r="O28" s="432"/>
      <c r="P28" s="471"/>
      <c r="Q28" s="452" t="str">
        <f t="shared" si="4"/>
        <v xml:space="preserve">A3  7810   73% </v>
      </c>
      <c r="R28" s="447" t="str">
        <f t="shared" si="5"/>
        <v>1.6k ▉▉▉▉▉▉</v>
      </c>
      <c r="S28" s="484" t="str">
        <f t="shared" si="6"/>
        <v>▉▉ 570</v>
      </c>
      <c r="T28" s="484" t="str">
        <f t="shared" si="7"/>
        <v>g1</v>
      </c>
      <c r="U28" s="453" t="str">
        <f t="shared" si="8"/>
        <v>biggest gamma above</v>
      </c>
      <c r="V28" s="434"/>
      <c r="AA28" s="434"/>
      <c r="AB28" s="434"/>
      <c r="AC28" s="434"/>
      <c r="AE28" s="434"/>
      <c r="AL28" s="1">
        <f>'King Node Model'!A54</f>
        <v>7760</v>
      </c>
      <c r="AM28" s="10">
        <f>'King Node Model'!C54</f>
        <v>-1166250</v>
      </c>
      <c r="AN28" s="434"/>
      <c r="AO28" s="10">
        <f>'King Node Model'!B54</f>
        <v>2069312</v>
      </c>
      <c r="AP28" s="434"/>
      <c r="AY28" s="1">
        <f>IF(AND($B$2="Hide unsafe",$BB28=1),0,IF(AND(OR(AND(AND(ISNUMBER($AL28),OR(AND($AL28&gt;=$AQ$22,$AL28&lt;=$AR$22,$AS$22=1),$AL28=$AQ$22,$AL28=$AR$22,$AL28=$AQ$23,$AL28=$AR$23,$AL28=$AQ$24,$AL28=$AR$24),NOT(OR($AL28=$AN$5,$AL28=$AN$6,$AL28=$AN$7,$AL28=$AN$8,$AL28=$AN$10,$AL28=$AN$11))),NOT(OR(AND('King Node Model'!$P$13="Up",OR($AL28=$AQ$22,$AL28=$AQ$23,$AL28=$AQ$24,$AL28='King Node Model'!$AM$20,$AL28='King Node Model'!$AM$21,$AL28='King Node Model'!$AM$22),OR(AND('King Node Model'!$B$23-$AL28&gt;=0,'King Node Model'!$B$23-$AL28&lt;=5),AND('King Node Model'!$C$23-$AL28&gt;=0,'King Node Model'!$C$23-$AL28&lt;=5))),AND('King Node Model'!$P$13="Down",OR($AL28=$AR$22,$AL28=$AR$23,$AL28=$AR$24,$AL28='King Node Model'!$AN$20,$AL28='King Node Model'!$AN$21,$AL28='King Node Model'!$AN$22),OR(AND($AL28-'King Node Model'!$B$23&gt;=0,$AL28-'King Node Model'!$B$23&lt;=5),AND($AL28-'King Node Model'!$C$24&gt;=0,$AL28-'King Node Model'!$C$24&lt;=5)))))),AND(AND(ISNUMBER($AL28),OR(AND($AL28&gt;=$AQ$22,$AL28&lt;=$AR$22,$AS$22=1),$AL28=$AQ$22,$AL28=$AR$22,$AL28=$AQ$23,$AL28=$AR$23,$AL28=$AQ$24,$AL28=$AR$24,$AL28='King Node Model'!$AL$42,$AL28='King Node Model'!$AL$43),OR($AL28=$AN$5,$AL28=$AN$6,$AL28=$AN$7,$AL28=$AN$8,$AL28=$AN$10,$AL28=$AN$11)),NOT(OR(AND('King Node Model'!$P$13="Up",OR($AL28=$AQ$22,$AL28=$AQ$23,$AL28=$AQ$24,$AL28='King Node Model'!$AM$20,$AL28='King Node Model'!$AM$21,$AL28='King Node Model'!$AM$22),OR(AND('King Node Model'!$B$23-$AL28&gt;=0,'King Node Model'!$B$23-$AL28&lt;=5),AND('King Node Model'!$C$23-$AL28&gt;=0,'King Node Model'!$C$23-$AL28&lt;=5))),AND('King Node Model'!$P$13="Down",OR($AL28=$AR$22,$AL28=$AR$23,$AL28=$AR$24,$AL28='King Node Model'!$AN$20,$AL28='King Node Model'!$AN$21,$AL28='King Node Model'!$AN$22),OR(AND($AL28-'King Node Model'!$B$23&gt;=0,$AL28-'King Node Model'!$B$23&lt;=5),AND($AL28-'King Node Model'!$C$24&gt;=0,$AL28-'King Node Model'!$C$24&lt;=5)))))),AND(AND(ISNUMBER($AL28),OR(AND($AL28&gt;='King Node Model'!$AM$20,$AL28&lt;='King Node Model'!$AN$20,$AS$23=1),$AL28='King Node Model'!$AM$20,$AL28='King Node Model'!$AN$20,$AL28='King Node Model'!$AM$21,$AL28='King Node Model'!$AN$21,$AL28='King Node Model'!$AM$22,$AL28='King Node Model'!$AN$22),NOT(OR($AL28=$AN$5,$AL28=$AN$6,$AL28=$AN$7,$AL28=$AN$8,$AL28=$AN$10,$AL28=$AN$11))),NOT(AND(ISNUMBER('King Node Model'!$F$24),$AL28='King Node Model'!$F$24,IFERROR(INDEX('Level Engine'!$JN$9:$JN$55,MATCH($AL28,'Level Engine'!$AA$9:$AA$55,0)),0)&lt;&gt;1))),AND(AND(ISNUMBER($AL28),OR(AND($AL28&gt;='King Node Model'!$AM$20,$AL28&lt;='King Node Model'!$AN$20,$AS$23=1),$AL28='King Node Model'!$AM$20,$AL28='King Node Model'!$AN$20,$AL28='King Node Model'!$AM$21,$AL28='King Node Model'!$AN$21,$AL28='King Node Model'!$AM$22,$AL28='King Node Model'!$AN$22,$AL28='King Node Model'!$AL$49,$AL28='King Node Model'!$AL$50),OR($AL28=$AN$5,$AL28=$AN$6,$AL28=$AN$7,$AL28=$AN$8,$AL28=$AN$10,$AL28=$AN$11)),NOT(OR(AND('King Node Model'!$P$13="Up",OR($AL28=$AQ$22,$AL28=$AQ$23,$AL28=$AQ$24,$AL28='King Node Model'!$AM$20,$AL28='King Node Model'!$AM$21,$AL28='King Node Model'!$AM$22),OR(AND('King Node Model'!$B$23-$AL28&gt;=0,'King Node Model'!$B$23-$AL28&lt;=5),AND('King Node Model'!$C$23-$AL28&gt;=0,'King Node Model'!$C$23-$AL28&lt;=5))),AND('King Node Model'!$P$13="Down",OR($AL28=$AR$22,$AL28=$AR$23,$AL28=$AR$24,$AL28='King Node Model'!$AN$20,$AL28='King Node Model'!$AN$21,$AL28='King Node Model'!$AN$22),OR(AND($AL28-'King Node Model'!$B$23&gt;=0,$AL28-'King Node Model'!$B$23&lt;=5),AND($AL28-'King Node Model'!$C$24&gt;=0,$AL28-'King Node Model'!$C$24&lt;=5))))))),OR(COUNTIF('Level Engine'!$W$9:$W$14,$AL28)&gt;0,COUNTIF('Level Engine'!$W$18:$W$23,$AL28)&gt;0)),1,0))</f>
        <v>0</v>
      </c>
      <c r="AZ28" s="1">
        <f t="shared" si="1"/>
        <v>0</v>
      </c>
      <c r="BB28" s="1">
        <f>IF(OR(AND($AL28='King Node Model'!$AL$42,$AP$45&lt;&gt;"RASP"),AND($AL28='King Node Model'!$AL$43,$AP$46&lt;&gt;"RASP"),AND($AL28='King Node Model'!$AL$49,$AP$52&lt;&gt;"RASP"),AND($AL28='King Node Model'!$AL$50,$AP$53&lt;&gt;"RASP"),AND($AL28='King Node Model'!$AL$44,$AP$47&lt;&gt;"RASP"),AND($AL28='King Node Model'!$AL$51,$AP$54&lt;&gt;"RASP")),0,IF(AND(AND(ISNUMBER($AL28),OR(AND($AL28&gt;=$AQ$22,$AL28&lt;=$AR$22,$AP$45="RASP"),AND($AL28&gt;=$AQ$23,$AL28&lt;=$AR$23,$AP$46="RASP"),AND($AL28&gt;=$AQ$24,$AL28&lt;=$AR$24,$AP$47="RASP"),AND($AL28&gt;='King Node Model'!$AM$20,$AL28&lt;='King Node Model'!$AN$20,$AP$52="RASP",NOT($L$52=$AW$52)),AND($AL28='King Node Model'!$B$23,$AP$52="RASP",$L$52=$AW$52),AND($AL28&gt;='King Node Model'!$AM$21,$AL28&lt;='King Node Model'!$AN$21,$AP$53="RASP",NOT($L$53=$AW$53)),AND($AL28='King Node Model'!$B$23,$AP$53="RASP",$L$53=$AW$53),AND($AL28&gt;='King Node Model'!$AM$22,$AL28&lt;='King Node Model'!$AN$22,$AP$54="RASP"),AND($AL28&gt;=IFERROR(INDEX('Level Engine'!$AT$9:$AT$55,MATCH('King Node Model'!$AL$42,'Level Engine'!$AA$9:$AA$55,0)),""),$AL28&lt;=IFERROR(INDEX('Level Engine'!$AU$9:$AU$55,MATCH('King Node Model'!$AL$42,'Level Engine'!$AA$9:$AA$55,0)),""),$AP$45="RASP"),AND($AL28&gt;=IFERROR(INDEX('Level Engine'!$AT$9:$AT$55,MATCH('King Node Model'!$AL$43,'Level Engine'!$AA$9:$AA$55,0)),""),$AL28&lt;=IFERROR(INDEX('Level Engine'!$AU$9:$AU$55,MATCH('King Node Model'!$AL$43,'Level Engine'!$AA$9:$AA$55,0)),""),$AP$46="RASP"),AND($AL28&gt;=IFERROR(INDEX('Level Engine'!$AT$9:$AT$55,MATCH('King Node Model'!$AL$44,'Level Engine'!$AA$9:$AA$55,0)),""),$AL28&lt;=IFERROR(INDEX('Level Engine'!$AU$9:$AU$55,MATCH('King Node Model'!$AL$44,'Level Engine'!$AA$9:$AA$55,0)),""),$AP$47="RASP"),AND($AL28&gt;=IFERROR(INDEX('Level Engine'!$AT$9:$AT$55,MATCH('King Node Model'!$AL$49,'Level Engine'!$AA$9:$AA$55,0)),""),$AL28&lt;=IFERROR(INDEX('Level Engine'!$AU$9:$AU$55,MATCH('King Node Model'!$AL$49,'Level Engine'!$AA$9:$AA$55,0)),""),$AP$52="RASP",NOT($L$52=$AW$52)),AND($AL28&gt;=IFERROR(INDEX('Level Engine'!$AT$9:$AT$55,MATCH('King Node Model'!$AL$50,'Level Engine'!$AA$9:$AA$55,0)),""),$AL28&lt;=IFERROR(INDEX('Level Engine'!$AU$9:$AU$55,MATCH('King Node Model'!$AL$50,'Level Engine'!$AA$9:$AA$55,0)),""),$AP$53="RASP",NOT($L$53=$AW$53)),AND($AL28&gt;=IFERROR(INDEX('Level Engine'!$AT$9:$AT$55,MATCH('King Node Model'!$AL$51,'Level Engine'!$AA$9:$AA$55,0)),""),$AL28&lt;=IFERROR(INDEX('Level Engine'!$AU$9:$AU$55,MATCH('King Node Model'!$AL$51,'Level Engine'!$AA$9:$AA$55,0)),""),$AP$54="RASP"))),NOT(AND(ISNUMBER('King Node Model'!$F$24),$AL28='King Node Model'!$F$24,IFERROR(INDEX('Level Engine'!$JN$9:$JN$55,MATCH($AL28,'Level Engine'!$AA$9:$AA$55,0)),0)&lt;&gt;1,$AL28&lt;&gt;'King Node Model'!$AL$42,$AL28&lt;&gt;'King Node Model'!$AL$43,$AL28&lt;&gt;'King Node Model'!$AL$44,$AL28&lt;&gt;'King Node Model'!$AL$49,$AL28&lt;&gt;'King Node Model'!$AL$50,$AL28&lt;&gt;'King Node Model'!$AL$51))),1,0))</f>
        <v>0</v>
      </c>
      <c r="BK28">
        <f>IFERROR(LARGE($CE$25:$CE$31,4),"")</f>
        <v>7810</v>
      </c>
      <c r="BL28">
        <f>IFERROR(INDEX('King Node Model'!$K$29:$K$75,MATCH($BK28,'King Node Model'!$A$29:$A$75,0)),"")</f>
        <v>1570</v>
      </c>
      <c r="BM28">
        <f>IFERROR(INDEX('King Node Model'!$L$29:$L$75,MATCH($BK28,'King Node Model'!$A$29:$A$75,0)),"")</f>
        <v>570</v>
      </c>
      <c r="BN28">
        <f t="shared" si="9"/>
        <v>-0.46728971962616822</v>
      </c>
      <c r="BO28">
        <f>IFERROR(INDEX('Level Engine'!$AC$9:$AC$55,MATCH($BK28,'Level Engine'!$AA$9:$AA$55,0))/MAX('Level Engine'!$AC$9:$AC$55),"")</f>
        <v>0.16907580961650368</v>
      </c>
      <c r="BP28">
        <f>IF(NOT(ISNUMBER($BK28)),"",IF($BK28&gt;'King Node Model'!$B$4,1,-1))</f>
        <v>1</v>
      </c>
      <c r="BQ28" t="str">
        <f>IF(OR(NOT(ISNUMBER($BN28)),NOT(ISNUMBER($BO28))),"",IF($BO28&lt;0.15,"thin",IF(OR('King Node Model'!$A$8="Neg",N('Level Engine'!$BG$72)=1),"",IF($BP28=1,IF($BN28&lt;=-0.4,"HARD ceil",IF($BN28&lt;=-0.15,"ceil",IF($BN28&lt;0.15,"neutral","soft ceil"))),IF($BN28&gt;=0.4,"FIRM floor",IF($BN28&gt;=0.15,"floor",IF($BN28&gt;-0.15,"neutral","WEAK floor"))))&amp;IF($BO28&lt;0.25," ·marginal",""))))</f>
        <v/>
      </c>
      <c r="BR28" t="str">
        <f>IF(NOT(ISNUMBER($BN28)),"",IF(OR('King Node Model'!$A$8="Neg",N('Level Engine'!$BG$72)=1),"",IF(AND($BP28=1,$BN28&gt;0.15),"⚠",IF(AND($BP28=-1,$BN28&lt;-0.15),"⚠",""))))</f>
        <v/>
      </c>
      <c r="BW28">
        <f t="shared" si="10"/>
        <v>1</v>
      </c>
      <c r="BX28">
        <f t="shared" si="11"/>
        <v>3</v>
      </c>
      <c r="BY28" t="str">
        <f t="shared" si="12"/>
        <v>biggest gamma above</v>
      </c>
      <c r="CA28">
        <f>IFERROR(SUMPRODUCT(LARGE(('King Node Model'!$A$29:$A$75&gt;$BZ$24)*('King Node Model'!$A$29:$A$75&lt;=$BX$24)*('King Node Model'!$A$29:$A$75&lt;&gt;$BK$34)*(('King Node Model'!$K$29:$K$75+'King Node Model'!$L$29:$L$75)*1000000+'King Node Model'!$A$29:$A$75),4)),0)</f>
        <v>1373007815</v>
      </c>
      <c r="CE28">
        <f>IF(NOT(ISNUMBER($CA28)),"",IF($CA28&lt;=0,"",IFERROR(SUMPRODUCT(MAX((('King Node Model'!$A$29:$A$75&gt;$BZ$24)*('King Node Model'!$A$29:$A$75&lt;=$BX$24)*('King Node Model'!$A$29:$A$75&lt;&gt;$BK$34)*(('King Node Model'!$K$29:$K$75+'King Node Model'!$L$29:$L$75)*1000000+'King Node Model'!$A$29:$A$75)=$CA28)*'King Node Model'!$A$29:$A$75)),"")))</f>
        <v>7815</v>
      </c>
      <c r="CF28">
        <f t="shared" si="13"/>
        <v>3</v>
      </c>
      <c r="CO28">
        <f>IF(NOT(ISNUMBER($AL28)),"",IF(NOT(ISNUMBER(IFERROR(INDEX('Level Engine'!$FT$9:$FT$55,MATCH($AL28,'Level Engine'!$AA$9:$AA$55,0)),""))),"",IF(IFERROR(INDEX('Level Engine'!$FT$9:$FT$55,MATCH($AL28,'Level Engine'!$AA$9:$AA$55,0)),"")&lt;0,0,2)+IF(ABS(IFERROR(INDEX('Level Engine'!$FT$9:$FT$55,MATCH($AL28,'Level Engine'!$AA$9:$AA$55,0)),""))&gt;='Level Engine'!$FT$2,2,1)))</f>
        <v>1</v>
      </c>
      <c r="DJ28" t="str">
        <f>IF(ISNUMBER($AL28),IF($AL28='Level Engine'!$BG$122," ⫪","")&amp;IF($AL28='Level Engine'!$BG$118," S↑"&amp;IFERROR(INDEX('Level Engine'!$MV$9:$MV$55,MATCH($AL28,'Level Engine'!$AA$9:$AA$55,0)),""),"")&amp;IF($AL28='Level Engine'!$BG$119," S↓"&amp;IFERROR(INDEX('Level Engine'!$MV$9:$MV$55,MATCH($AL28,'Level Engine'!$AA$9:$AA$55,0)),""),"")&amp;IF($AL28='Level Engine'!$BG$120," D↑","")&amp;IF($AL28='Level Engine'!$BG$121," D↓","")&amp;IFERROR(INDEX('Level Engine'!$LG$9:$LG$55,MATCH($AL28,'Level Engine'!$AA$9:$AA$55,0)),"")&amp;IF(IFERROR(INDEX('Level Engine'!$MA$9:$MA$55,MATCH($AL28,'Level Engine'!$AA$9:$AA$55,0)),0)=1," SAND","")&amp;IF(IFERROR(INDEX('Level Engine'!$LM$9:$LM$55,MATCH($AL28,'Level Engine'!$AA$9:$AA$55,0)),0)&gt;0," TP","")&amp;IFERROR(" r"&amp;MATCH($AL28,'Level Engine'!$W$9:$W$14,0),IFERROR(" s"&amp;MATCH($AL28,'Level Engine'!$W$18:$W$23,0),""))&amp;IF($AL28='Level Engine'!$BG$165," ◇","")&amp;IF(N($DZ28)=1,IF($AL28&gt;'Level Engine'!$BG$165," ⚠ DOM↓"," ⚠ DOM↑")&amp;'Level Engine'!$BG$165,""),"")</f>
        <v/>
      </c>
      <c r="DK28" t="str">
        <f>IF(AND(ISNUMBER($AL28),OR($AL28='King Node Model'!$AL$42,$AL28='King Node Model'!$AL$43,$AL28='King Node Model'!$AL$44)),IFERROR(MATCH($AL28,'Level Engine'!$W$9:$W$14,0),""),"")</f>
        <v/>
      </c>
      <c r="DL28" t="str">
        <f>IF(AND(ISNUMBER($AL28),OR($AL28='King Node Model'!$AL$49,$AL28='King Node Model'!$AL$50,$AL28='King Node Model'!$AL$51)),IFERROR(MATCH($AL28,'Level Engine'!$W$18:$W$23,0),""),"")</f>
        <v/>
      </c>
      <c r="DM28">
        <f>IF(AND(ISNUMBER($AL28),IFERROR(INDEX('Level Engine'!$LC$9:$LC$55,MATCH($AL28,'Level Engine'!$AA$9:$AA$55,0)),0)=1,OR($AL28=$AN$3,IFERROR(INDEX('Level Engine'!$LB$9:$LB$55,MATCH($AL28,'Level Engine'!$AA$9:$AA$55,0)),0)=1)),1,0)</f>
        <v>0</v>
      </c>
      <c r="DZ28">
        <f>IF(ISNUMBER($AL28),IF(IFERROR(INDEX('Level Engine'!$NJ$9:$NJ$55,MATCH($AL28,'Level Engine'!$AA$9:$AA$55,0)),0)=1,1,0),0)</f>
      </c>
    </row>
    <row r="29" spans="1:117" s="33" customFormat="1" ht="15.75" customHeight="1" x14ac:dyDescent="0.25">
      <c r="A29" s="7" t="str">
        <f t="shared" si="3"/>
        <v>███████</v>
      </c>
      <c r="B29" s="8" t="str">
        <f>TEXT(IF(IF('Level Engine'!$GJ$4=1,$AL29='Level Engine'!$GJ$3,AND($AL29-$AM$2&gt;-2.5,$AL29-$AM$2&lt;=2.5)),$AM$2,$AL29),"0")&amp;IF($AL29=$AN$1," ★","")&amp;IF($AL29=$AN$2," ★","")&amp;IF($AL29=$AN$3," ◆","")&amp;IF(AND(ISNUMBER($AN$4),$AL29=$AN$4)," Ⓕ","")&amp;IF(OR(AND(ISNUMBER('Level Engine'!$BG$87),$AL29='Level Engine'!$BG$87),AND(ISNUMBER('Level Engine'!$BG$105),$AL29='Level Engine'!$BG$105))," ζ","")&amp;IF(AND(ISNUMBER($AN$35),$AL29=$AN$35)," ⓏⒼ","")&amp;IF(OR($AL29='Level Engine'!$CP$4,$AL29='Level Engine'!$CP$5,$AL29='Level Engine'!$CP$6,$AL29='Level Engine'!$CP$7)," ☄","")&amp;IF(OR($AL29=$AN$5,$AL29=$AN$8)," ║1","")&amp;IF(OR($AL29=$AN$6,$AL29=$AN$10)," ║2","")&amp;IF(OR($AL29=$AN$7,$AL29=$AN$11)," ║3","")&amp;IF(OR($AL29=$AN$13,$AL29=$AN$16)," ▣1","")&amp;IF(OR($AL29=$AN$14,$AL29=$AN$17)," ▣2","")&amp;IF(OR($AL29=$AN$15,$AL29=$AN$18)," ▣3","")&amp;IF(AND(NOT(OR(AND(ISNUMBER(SEARCH("chop edge",$E$45)),IFERROR(ABS($AL29-'King Node Model'!$AL$42)&lt;=5,FALSE),NOT(ISNUMBER(SEARCH("UNSAFE",$L$45)))),AND(ISNUMBER(SEARCH("chop edge",$E$46)),IFERROR(ABS($AL29-'King Node Model'!$AL$43)&lt;=5,FALSE),NOT(ISNUMBER(SEARCH("UNSAFE",$L$46)))),AND(ISNUMBER(SEARCH("chop edge",$E$52)),IFERROR(ABS($AL29-'King Node Model'!$AL$49)&lt;=5,FALSE),NOT(ISNUMBER(SEARCH("UNSAFE",$L$52)))),AND(ISNUMBER(SEARCH("chop edge",$E$53)),IFERROR(ABS($AL29-'King Node Model'!$AL$50)&lt;=5,FALSE),NOT(ISNUMBER(SEARCH("UNSAFE",$L$53)))))),OR(AND(IFERROR(INDEX('Level Engine'!$IB$9:$IB$55,MATCH('King Node Model'!$AL$49,'Level Engine'!$AA$9:$AA$55,0)),0)&lt;&gt;1,$AL29=IFERROR(INDEX('Level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Engine'!$AA$9:$AA$55,0)),0)&lt;&gt;1,$AL29=IFERROR(INDEX('Level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edge",$E$45)),IFERROR(ABS($AL29-'King Node Model'!$AL$42)&lt;=5,FALSE),NOT(ISNUMBER(SEARCH("UNSAFE",$L$45)))),AND(ISNUMBER(SEARCH("chop edge",$E$46)),IFERROR(ABS($AL29-'King Node Model'!$AL$43)&lt;=5,FALSE),NOT(ISNUMBER(SEARCH("UNSAFE",$L$46)))),AND(ISNUMBER(SEARCH("chop edge",$E$52)),IFERROR(ABS($AL29-'King Node Model'!$AL$49)&lt;=5,FALSE),NOT(ISNUMBER(SEARCH("UNSAFE",$L$52)))),AND(ISNUMBER(SEARCH("chop edge",$E$53)),IFERROR(ABS($AL29-'King Node Model'!$AL$50)&lt;=5,FALSE),NOT(ISNUMBER(SEARCH("UNSAFE",$L$53)))))),OR(AND(IFERROR(INDEX('Level Engine'!$IB$9:$IB$55,MATCH('King Node Model'!$AL$42,'Level Engine'!$AA$9:$AA$55,0)),0)&lt;&gt;1,$AL29=IFERROR(INDEX('Level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Engine'!$AA$9:$AA$55,0)),0)&lt;&gt;1,$AL29=IFERROR(INDEX('Level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ⒷⓁ"),"")&amp;IF(OR(AND($AL29&gt;='King Node Model'!$AM$17,$AL29&lt;='King Node Model'!$AN$17,$AP$45="RASP"),AND($AL29&gt;='King Node Model'!$AM$18,$AL29&lt;='King Node Model'!$AN$18,$AP$46="RASP"),AND($AL29&gt;='King Node Model'!$AM$19,$AL29&lt;='King Node Model'!$AN$19,$AP$47="RASP"),AND($AL29&gt;='King Node Model'!$AM$20,$AL29&lt;='King Node Model'!$AN$20,$AP$52="RASP"),AND($AL29&gt;='King Node Model'!$AM$21,$AL29&lt;='King Node Model'!$AN$21,$AP$53="RASP"),AND($AL29&gt;='King Node Model'!$AM$22,$AL29&lt;='King Node Model'!$AN$22,$AP$54="RASP")),"","")&amp;IF(IF('Level Engine'!$GJ$4=1,$AL29='Level Engine'!$GJ$3,AND($AL29-$AM$2&gt;-2.5,$AL29-$AM$2&lt;=2.5))," ◄","")&amp;IF(IFERROR(INDEX('Level Engine'!$GV$9:$GV$55,MATCH($AL29,'Level Engine'!$AA$9:$AA$55,0)),0)=1," Ⓥ"&amp;IF(IFERROR(INDEX('Level Engine'!$ET$9:$ET$55,MATCH($AL29,'Level Engine'!$AA$9:$AA$55,0)),0)=1,"+",""),"")&amp;IF(OR(AND($AL29=$AN$38,IFERROR(INDEX('Level Engine'!$AN$9:$AN$55,MATCH($AL29,'Level Engine'!$AA$9:$AA$55,0)),0)&lt;&gt;1),$AL29=$AN$39)," ⊙","")&amp;IF(AND(OR('King Node Model'!$A$8="Neg",N('Level Engine'!$BG$72)=1),ABS(MIN($AM$3:$AM$64))&gt;MAX($AM$3:$AM$64),$AN$2&lt;$AM$2,$AL29&lt;$AM$2,ABS($AL29-$AN$2)&lt;=5,IFERROR(VALUE(MID('King Node Model'!$K$26,FIND(":",'King Node Model'!$K$26)-2,2)),0)&gt;=19,IFERROR(INDEX('Level Engine'!$EJ$9:$EJ$55,MATCH($AL29,'Level Engine'!$AA$9:$AA$55,0)),0)=0,$AN$3&gt;$AM$2)," ⟲rev","")&amp;IF($AL29='King Node Model'!$F$24," ⟂","")&amp;$DJ29&amp;IF(IFERROR(INDEX('Level Engine'!$EN$9:$EN$55,MATCH($AL29,'Level Engine'!$AA$9:$AA$55,0)),0)=1," Ⓟ"&amp;IF(AND(OR('King Node Model'!$A$8="Neg",N('Level Engine'!$BG$72)=1),IFERROR(INDEX('Level Engine'!$AN$9:$AN$55,MATCH($AL29,'Level Engine'!$AA$9:$AA$55,0)),0)&lt;&gt;1)," NO-REV",""),"")&amp;IF(AND(ISNUMBER($AL29),OR(AND(ISNUMBER(SEARCH("chop edge",$E$45)),$AL29='King Node Model'!$AL$42),AND(ISNUMBER(SEARCH("chop edge",$E$46)),$AL29='King Node Model'!$AL$43),AND(ISNUMBER(SEARCH("chop edge",$E$52)),$AL29='King Node Model'!$AL$49),AND(ISNUMBER(SEARCH("chop edge",$E$53)),$AL29='King Node Model'!$AL$50)))," ⒸⒺ","")&amp;IF(AND('Level Engine'!$GJ$4=1,OR($AL29='Level Engine'!$GJ$1,$AL29='Level Engine'!$GJ$2)),"","")&amp;IF(ABS(N(IFERROR(INDEX('Level Engine'!$AE$9:$AE$55,MATCH($AL29,'Level Engine'!$AA$9:$AA$55,0)),0)))&gt;='Level Engine'!$BG$85,IF(N(IFERROR(INDEX('Level Engine'!$AE$9:$AE$55,MATCH($AL29,'Level Engine'!$AA$9:$AA$55,0)),0))&gt;0," Δ+"," Δ−"),"")&amp;IFERROR(IF(AND(ISNUMBER(MATCH($AL29,'Level Engine'!$AA$9:$AA$55,0)),ABS(N(IFERROR(INDEX('Level Engine'!$AE$9:$AE$55,MATCH($AL29,'Level Engine'!$AA$9:$AA$55,0)),0)))&lt;'Level Engine'!$BG$85,ABS(N(IFERROR(INDEX('Level Engine'!$AE$9:$AE$55,MATCH($AL29,'Level Engine'!$AA$9:$AA$55,0)),0)))&lt;=ABS(N(IFERROR(INDEX('Level Engine'!$AE$9:$AE$55,MATCH($AL29+5,'Level Engine'!$AA$9:$AA$55,0)),0))),ABS(N(IFERROR(INDEX('Level Engine'!$AE$9:$AE$55,MATCH($AL29,'Level Engine'!$AA$9:$AA$55,0)),0)))&lt;=ABS(N(IFERROR(INDEX('Level Engine'!$AE$9:$AE$55,MATCH($AL29-5,'Level Engine'!$AA$9:$AA$55,0)),0))),OR(AND(ABS(N(IFERROR(INDEX('Level Engine'!$AE$9:$AE$55,MATCH($AL29+5,'Level Engine'!$AA$9:$AA$55,0)),0)))&gt;='Level Engine'!$BG$85,ABS(N(IFERROR(INDEX('Level Engine'!$AE$9:$AE$55,MATCH($AL29,'Level Engine'!$AA$9:$AA$55,0)),0)))&lt;='Level Engine'!$BG$88*ABS(N(IFERROR(INDEX('Level Engine'!$AE$9:$AE$55,MATCH($AL29+5,'Level Engine'!$AA$9:$AA$55,0)),0)))),AND(ABS(N(IFERROR(INDEX('Level Engine'!$AE$9:$AE$55,MATCH($AL29-5,'Level Engine'!$AA$9:$AA$55,0)),0)))&gt;='Level Engine'!$BG$85,ABS(N(IFERROR(INDEX('Level Engine'!$AE$9:$AE$55,MATCH($AL29,'Level Engine'!$AA$9:$AA$55,0)),0)))&lt;='Level Engine'!$BG$88*ABS(N(IFERROR(INDEX('Level Engine'!$AE$9:$AE$55,MATCH($AL29-5,'Level Engine'!$AA$9:$AA$55,0)),0)))))),IF(AND('King Node Model'!$A$8="Pos",N('Level Engine'!$BG$72)&lt;&gt;1),""," ∅"),""),"")&amp;IF(IFERROR(INDEX('Level Engine'!$JD$9:$JD$55,MATCH($AL29,'Level Engine'!$AA$9:$AA$55,0)),"")="P"," P-OI",IF(IFERROR(INDEX('Level Engine'!$JD$9:$JD$55,MATCH($AL29,'Level Engine'!$AA$9:$AA$55,0)),"")="C"," C-OI",""))</f>
        <v>7755</v>
      </c>
      <c r="C29" s="9" t="str">
        <f t="shared" si="0"/>
        <v/>
      </c>
      <c r="D29" t="str">
        <f>IF(NOT(ISNUMBER($AL29)),"",IF(IFERROR(INDEX('Level Engine'!$FS$9:$FS$55,MATCH($AL29,'Level Engine'!$AA$9:$AA$55,0)),0)=1,"⊙",""))</f>
        <v/>
      </c>
      <c r="E29" s="435"/>
      <c r="F29" s="436"/>
      <c r="G29" s="436"/>
      <c r="H29" s="436"/>
      <c r="I29" s="436"/>
      <c r="J29" s="436"/>
      <c r="K29" s="436"/>
      <c r="L29" s="436"/>
      <c r="M29" s="436"/>
      <c r="N29" s="436"/>
      <c r="O29" s="432"/>
      <c r="P29" s="471"/>
      <c r="Q29" s="452" t="str">
        <f t="shared" si="4"/>
        <v/>
      </c>
      <c r="R29" s="447" t="str">
        <f t="shared" si="5"/>
        <v/>
      </c>
      <c r="S29" s="484" t="str">
        <f t="shared" si="6"/>
        <v/>
      </c>
      <c r="T29" s="484" t="str">
        <f t="shared" si="7"/>
        <v/>
      </c>
      <c r="U29" s="453" t="str">
        <f t="shared" si="8"/>
        <v/>
      </c>
      <c r="V29" s="434"/>
      <c r="AA29" s="434"/>
      <c r="AB29" s="434"/>
      <c r="AC29" s="434"/>
      <c r="AE29" s="434"/>
      <c r="AL29" s="1">
        <f>'King Node Model'!A55</f>
        <v>7755</v>
      </c>
      <c r="AM29" s="10">
        <f>'King Node Model'!C55</f>
        <v>-393911</v>
      </c>
      <c r="AN29" s="434"/>
      <c r="AO29" s="10">
        <f>'King Node Model'!B55</f>
        <v>1134998</v>
      </c>
      <c r="AP29" s="434"/>
      <c r="AY29" s="1">
        <f>IF(AND($B$2="Hide unsafe",$BB29=1),0,IF(AND(OR(AND(AND(ISNUMBER($AL29),OR(AND($AL29&gt;=$AQ$22,$AL29&lt;=$AR$22,$AS$22=1),$AL29=$AQ$22,$AL29=$AR$22,$AL29=$AQ$23,$AL29=$AR$23,$AL29=$AQ$24,$AL29=$AR$24),NOT(OR($AL29=$AN$5,$AL29=$AN$6,$AL29=$AN$7,$AL29=$AN$8,$AL29=$AN$10,$AL29=$AN$11))),NOT(OR(AND('King Node Model'!$P$13="Up",OR($AL29=$AQ$22,$AL29=$AQ$23,$AL29=$AQ$24,$AL29='King Node Model'!$AM$20,$AL29='King Node Model'!$AM$21,$AL29='King Node Model'!$AM$22),OR(AND('King Node Model'!$B$23-$AL29&gt;=0,'King Node Model'!$B$23-$AL29&lt;=5),AND('King Node Model'!$C$23-$AL29&gt;=0,'King Node Model'!$C$23-$AL29&lt;=5))),AND('King Node Model'!$P$13="Down",OR($AL29=$AR$22,$AL29=$AR$23,$AL29=$AR$24,$AL29='King Node Model'!$AN$20,$AL29='King Node Model'!$AN$21,$AL29='King Node Model'!$AN$22),OR(AND($AL29-'King Node Model'!$B$23&gt;=0,$AL29-'King Node Model'!$B$23&lt;=5),AND($AL29-'King Node Model'!$C$24&gt;=0,$AL29-'King Node Model'!$C$24&lt;=5)))))),AND(AND(ISNUMBER($AL29),OR(AND($AL29&gt;=$AQ$22,$AL29&lt;=$AR$22,$AS$22=1),$AL29=$AQ$22,$AL29=$AR$22,$AL29=$AQ$23,$AL29=$AR$23,$AL29=$AQ$24,$AL29=$AR$24,$AL29='King Node Model'!$AL$42,$AL29='King Node Model'!$AL$43),OR($AL29=$AN$5,$AL29=$AN$6,$AL29=$AN$7,$AL29=$AN$8,$AL29=$AN$10,$AL29=$AN$11)),NOT(OR(AND('King Node Model'!$P$13="Up",OR($AL29=$AQ$22,$AL29=$AQ$23,$AL29=$AQ$24,$AL29='King Node Model'!$AM$20,$AL29='King Node Model'!$AM$21,$AL29='King Node Model'!$AM$22),OR(AND('King Node Model'!$B$23-$AL29&gt;=0,'King Node Model'!$B$23-$AL29&lt;=5),AND('King Node Model'!$C$23-$AL29&gt;=0,'King Node Model'!$C$23-$AL29&lt;=5))),AND('King Node Model'!$P$13="Down",OR($AL29=$AR$22,$AL29=$AR$23,$AL29=$AR$24,$AL29='King Node Model'!$AN$20,$AL29='King Node Model'!$AN$21,$AL29='King Node Model'!$AN$22),OR(AND($AL29-'King Node Model'!$B$23&gt;=0,$AL29-'King Node Model'!$B$23&lt;=5),AND($AL29-'King Node Model'!$C$24&gt;=0,$AL29-'King Node Model'!$C$24&lt;=5)))))),AND(AND(ISNUMBER($AL29),OR(AND($AL29&gt;='King Node Model'!$AM$20,$AL29&lt;='King Node Model'!$AN$20,$AS$23=1),$AL29='King Node Model'!$AM$20,$AL29='King Node Model'!$AN$20,$AL29='King Node Model'!$AM$21,$AL29='King Node Model'!$AN$21,$AL29='King Node Model'!$AM$22,$AL29='King Node Model'!$AN$22),NOT(OR($AL29=$AN$5,$AL29=$AN$6,$AL29=$AN$7,$AL29=$AN$8,$AL29=$AN$10,$AL29=$AN$11))),NOT(AND(ISNUMBER('King Node Model'!$F$24),$AL29='King Node Model'!$F$24,IFERROR(INDEX('Level Engine'!$JN$9:$JN$55,MATCH($AL29,'Level Engine'!$AA$9:$AA$55,0)),0)&lt;&gt;1))),AND(AND(ISNUMBER($AL29),OR(AND($AL29&gt;='King Node Model'!$AM$20,$AL29&lt;='King Node Model'!$AN$20,$AS$23=1),$AL29='King Node Model'!$AM$20,$AL29='King Node Model'!$AN$20,$AL29='King Node Model'!$AM$21,$AL29='King Node Model'!$AN$21,$AL29='King Node Model'!$AM$22,$AL29='King Node Model'!$AN$22,$AL29='King Node Model'!$AL$49,$AL29='King Node Model'!$AL$50),OR($AL29=$AN$5,$AL29=$AN$6,$AL29=$AN$7,$AL29=$AN$8,$AL29=$AN$10,$AL29=$AN$11)),NOT(OR(AND('King Node Model'!$P$13="Up",OR($AL29=$AQ$22,$AL29=$AQ$23,$AL29=$AQ$24,$AL29='King Node Model'!$AM$20,$AL29='King Node Model'!$AM$21,$AL29='King Node Model'!$AM$22),OR(AND('King Node Model'!$B$23-$AL29&gt;=0,'King Node Model'!$B$23-$AL29&lt;=5),AND('King Node Model'!$C$23-$AL29&gt;=0,'King Node Model'!$C$23-$AL29&lt;=5))),AND('King Node Model'!$P$13="Down",OR($AL29=$AR$22,$AL29=$AR$23,$AL29=$AR$24,$AL29='King Node Model'!$AN$20,$AL29='King Node Model'!$AN$21,$AL29='King Node Model'!$AN$22),OR(AND($AL29-'King Node Model'!$B$23&gt;=0,$AL29-'King Node Model'!$B$23&lt;=5),AND($AL29-'King Node Model'!$C$24&gt;=0,$AL29-'King Node Model'!$C$24&lt;=5))))))),OR(COUNTIF('Level Engine'!$W$9:$W$14,$AL29)&gt;0,COUNTIF('Level Engine'!$W$18:$W$23,$AL29)&gt;0)),1,0))</f>
        <v>0</v>
      </c>
      <c r="AZ29" s="1">
        <f t="shared" si="1"/>
        <v>0</v>
      </c>
      <c r="BB29" s="1">
        <f>IF(OR(AND($AL29='King Node Model'!$AL$42,$AP$45&lt;&gt;"RASP"),AND($AL29='King Node Model'!$AL$43,$AP$46&lt;&gt;"RASP"),AND($AL29='King Node Model'!$AL$49,$AP$52&lt;&gt;"RASP"),AND($AL29='King Node Model'!$AL$50,$AP$53&lt;&gt;"RASP"),AND($AL29='King Node Model'!$AL$44,$AP$47&lt;&gt;"RASP"),AND($AL29='King Node Model'!$AL$51,$AP$54&lt;&gt;"RASP")),0,IF(AND(AND(ISNUMBER($AL29),OR(AND($AL29&gt;=$AQ$22,$AL29&lt;=$AR$22,$AP$45="RASP"),AND($AL29&gt;=$AQ$23,$AL29&lt;=$AR$23,$AP$46="RASP"),AND($AL29&gt;=$AQ$24,$AL29&lt;=$AR$24,$AP$47="RASP"),AND($AL29&gt;='King Node Model'!$AM$20,$AL29&lt;='King Node Model'!$AN$20,$AP$52="RASP",NOT($L$52=$AW$52)),AND($AL29='King Node Model'!$B$23,$AP$52="RASP",$L$52=$AW$52),AND($AL29&gt;='King Node Model'!$AM$21,$AL29&lt;='King Node Model'!$AN$21,$AP$53="RASP",NOT($L$53=$AW$53)),AND($AL29='King Node Model'!$B$23,$AP$53="RASP",$L$53=$AW$53),AND($AL29&gt;='King Node Model'!$AM$22,$AL29&lt;='King Node Model'!$AN$22,$AP$54="RASP"),AND($AL29&gt;=IFERROR(INDEX('Level Engine'!$AT$9:$AT$55,MATCH('King Node Model'!$AL$42,'Level Engine'!$AA$9:$AA$55,0)),""),$AL29&lt;=IFERROR(INDEX('Level Engine'!$AU$9:$AU$55,MATCH('King Node Model'!$AL$42,'Level Engine'!$AA$9:$AA$55,0)),""),$AP$45="RASP"),AND($AL29&gt;=IFERROR(INDEX('Level Engine'!$AT$9:$AT$55,MATCH('King Node Model'!$AL$43,'Level Engine'!$AA$9:$AA$55,0)),""),$AL29&lt;=IFERROR(INDEX('Level Engine'!$AU$9:$AU$55,MATCH('King Node Model'!$AL$43,'Level Engine'!$AA$9:$AA$55,0)),""),$AP$46="RASP"),AND($AL29&gt;=IFERROR(INDEX('Level Engine'!$AT$9:$AT$55,MATCH('King Node Model'!$AL$44,'Level Engine'!$AA$9:$AA$55,0)),""),$AL29&lt;=IFERROR(INDEX('Level Engine'!$AU$9:$AU$55,MATCH('King Node Model'!$AL$44,'Level Engine'!$AA$9:$AA$55,0)),""),$AP$47="RASP"),AND($AL29&gt;=IFERROR(INDEX('Level Engine'!$AT$9:$AT$55,MATCH('King Node Model'!$AL$49,'Level Engine'!$AA$9:$AA$55,0)),""),$AL29&lt;=IFERROR(INDEX('Level Engine'!$AU$9:$AU$55,MATCH('King Node Model'!$AL$49,'Level Engine'!$AA$9:$AA$55,0)),""),$AP$52="RASP",NOT($L$52=$AW$52)),AND($AL29&gt;=IFERROR(INDEX('Level Engine'!$AT$9:$AT$55,MATCH('King Node Model'!$AL$50,'Level Engine'!$AA$9:$AA$55,0)),""),$AL29&lt;=IFERROR(INDEX('Level Engine'!$AU$9:$AU$55,MATCH('King Node Model'!$AL$50,'Level Engine'!$AA$9:$AA$55,0)),""),$AP$53="RASP",NOT($L$53=$AW$53)),AND($AL29&gt;=IFERROR(INDEX('Level Engine'!$AT$9:$AT$55,MATCH('King Node Model'!$AL$51,'Level Engine'!$AA$9:$AA$55,0)),""),$AL29&lt;=IFERROR(INDEX('Level Engine'!$AU$9:$AU$55,MATCH('King Node Model'!$AL$51,'Level Engine'!$AA$9:$AA$55,0)),""),$AP$54="RASP"))),NOT(AND(ISNUMBER('King Node Model'!$F$24),$AL29='King Node Model'!$F$24,IFERROR(INDEX('Level Engine'!$JN$9:$JN$55,MATCH($AL29,'Level Engine'!$AA$9:$AA$55,0)),0)&lt;&gt;1,$AL29&lt;&gt;'King Node Model'!$AL$42,$AL29&lt;&gt;'King Node Model'!$AL$43,$AL29&lt;&gt;'King Node Model'!$AL$44,$AL29&lt;&gt;'King Node Model'!$AL$49,$AL29&lt;&gt;'King Node Model'!$AL$50,$AL29&lt;&gt;'King Node Model'!$AL$51))),1,0))</f>
        <v>0</v>
      </c>
      <c r="BK29" t="str">
        <f>IFERROR(LARGE($CE$25:$CE$31,5),"")</f>
        <v/>
      </c>
      <c r="BL29" t="str">
        <f>IFERROR(INDEX('King Node Model'!$K$29:$K$75,MATCH($BK29,'King Node Model'!$A$29:$A$75,0)),"")</f>
        <v/>
      </c>
      <c r="BM29" t="str">
        <f>IFERROR(INDEX('King Node Model'!$L$29:$L$75,MATCH($BK29,'King Node Model'!$A$29:$A$75,0)),"")</f>
        <v/>
      </c>
      <c r="BN29" t="str">
        <f t="shared" si="9"/>
        <v/>
      </c>
      <c r="BO29" t="str">
        <f>IFERROR(INDEX('Level Engine'!$AC$9:$AC$55,MATCH($BK29,'Level Engine'!$AA$9:$AA$55,0))/MAX('Level Engine'!$AC$9:$AC$55),"")</f>
        <v/>
      </c>
      <c r="BP29" t="str">
        <f>IF(NOT(ISNUMBER($BK29)),"",IF($BK29&gt;'King Node Model'!$B$4,1,-1))</f>
        <v/>
      </c>
      <c r="BQ29" t="str">
        <f>IF(OR(NOT(ISNUMBER($BN29)),NOT(ISNUMBER($BO29))),"",IF($BO29&lt;0.15,"thin",IF(OR('King Node Model'!$A$8="Neg",N('Level Engine'!$BG$72)=1),"",IF($BP29=1,IF($BN29&lt;=-0.4,"HARD ceil",IF($BN29&lt;=-0.15,"ceil",IF($BN29&lt;0.15,"neutral","soft ceil"))),IF($BN29&gt;=0.4,"FIRM floor",IF($BN29&gt;=0.15,"floor",IF($BN29&gt;-0.15,"neutral","WEAK floor"))))&amp;IF($BO29&lt;0.25," ·marginal",""))))</f>
        <v/>
      </c>
      <c r="BR29" t="str">
        <f>IF(NOT(ISNUMBER($BN29)),"",IF(OR('King Node Model'!$A$8="Neg",N('Level Engine'!$BG$72)=1),"",IF(AND($BP29=1,$BN29&gt;0.15),"⚠",IF(AND($BP29=-1,$BN29&lt;-0.15),"⚠",""))))</f>
        <v/>
      </c>
      <c r="BW29" t="str">
        <f t="shared" si="10"/>
        <v/>
      </c>
      <c r="BX29">
        <f t="shared" si="11"/>
        <v>5</v>
      </c>
      <c r="BY29" t="str">
        <f t="shared" si="12"/>
        <v/>
      </c>
      <c r="CA29">
        <f>IFERROR(SUMPRODUCT(LARGE(('King Node Model'!$A$29:$A$75&gt;$BZ$24)*('King Node Model'!$A$29:$A$75&lt;=$BX$24)*('King Node Model'!$A$29:$A$75&lt;&gt;$BK$34)*(('King Node Model'!$K$29:$K$75+'King Node Model'!$L$29:$L$75)*1000000+'King Node Model'!$A$29:$A$75),5)),0)</f>
        <v>0</v>
      </c>
      <c r="CE29" t="str">
        <f>IF(NOT(ISNUMBER($CA29)),"",IF($CA29&lt;=0,"",IFERROR(SUMPRODUCT(MAX((('King Node Model'!$A$29:$A$75&gt;$BZ$24)*('King Node Model'!$A$29:$A$75&lt;=$BX$24)*('King Node Model'!$A$29:$A$75&lt;&gt;$BK$34)*(('King Node Model'!$K$29:$K$75+'King Node Model'!$L$29:$L$75)*1000000+'King Node Model'!$A$29:$A$75)=$CA29)*'King Node Model'!$A$29:$A$75)),"")))</f>
        <v/>
      </c>
      <c r="CF29">
        <f t="shared" si="13"/>
        <v>5</v>
      </c>
      <c r="CO29">
        <f>IF(NOT(ISNUMBER($AL29)),"",IF(NOT(ISNUMBER(IFERROR(INDEX('Level Engine'!$FT$9:$FT$55,MATCH($AL29,'Level Engine'!$AA$9:$AA$55,0)),""))),"",IF(IFERROR(INDEX('Level Engine'!$FT$9:$FT$55,MATCH($AL29,'Level Engine'!$AA$9:$AA$55,0)),"")&lt;0,0,2)+IF(ABS(IFERROR(INDEX('Level Engine'!$FT$9:$FT$55,MATCH($AL29,'Level Engine'!$AA$9:$AA$55,0)),""))&gt;='Level Engine'!$FT$2,2,1)))</f>
        <v>1</v>
      </c>
      <c r="DJ29" t="str">
        <f>IF(ISNUMBER($AL29),IF($AL29='Level Engine'!$BG$122," ⫪","")&amp;IF($AL29='Level Engine'!$BG$118," S↑"&amp;IFERROR(INDEX('Level Engine'!$MV$9:$MV$55,MATCH($AL29,'Level Engine'!$AA$9:$AA$55,0)),""),"")&amp;IF($AL29='Level Engine'!$BG$119," S↓"&amp;IFERROR(INDEX('Level Engine'!$MV$9:$MV$55,MATCH($AL29,'Level Engine'!$AA$9:$AA$55,0)),""),"")&amp;IF($AL29='Level Engine'!$BG$120," D↑","")&amp;IF($AL29='Level Engine'!$BG$121," D↓","")&amp;IFERROR(INDEX('Level Engine'!$LG$9:$LG$55,MATCH($AL29,'Level Engine'!$AA$9:$AA$55,0)),"")&amp;IF(IFERROR(INDEX('Level Engine'!$MA$9:$MA$55,MATCH($AL29,'Level Engine'!$AA$9:$AA$55,0)),0)=1," SAND","")&amp;IF(IFERROR(INDEX('Level Engine'!$LM$9:$LM$55,MATCH($AL29,'Level Engine'!$AA$9:$AA$55,0)),0)&gt;0," TP","")&amp;IFERROR(" r"&amp;MATCH($AL29,'Level Engine'!$W$9:$W$14,0),IFERROR(" s"&amp;MATCH($AL29,'Level Engine'!$W$18:$W$23,0),""))&amp;IF($AL29='Level Engine'!$BG$165," ◇","")&amp;IF(N($DZ29)=1,IF($AL29&gt;'Level Engine'!$BG$165," ⚠ DOM↓"," ⚠ DOM↑")&amp;'Level Engine'!$BG$165,""),"")</f>
        <v/>
      </c>
      <c r="DK29" t="str">
        <f>IF(AND(ISNUMBER($AL29),OR($AL29='King Node Model'!$AL$42,$AL29='King Node Model'!$AL$43,$AL29='King Node Model'!$AL$44)),IFERROR(MATCH($AL29,'Level Engine'!$W$9:$W$14,0),""),"")</f>
        <v/>
      </c>
      <c r="DL29" t="str">
        <f>IF(AND(ISNUMBER($AL29),OR($AL29='King Node Model'!$AL$49,$AL29='King Node Model'!$AL$50,$AL29='King Node Model'!$AL$51)),IFERROR(MATCH($AL29,'Level Engine'!$W$18:$W$23,0),""),"")</f>
        <v/>
      </c>
      <c r="DM29">
        <f>IF(AND(ISNUMBER($AL29),IFERROR(INDEX('Level Engine'!$LC$9:$LC$55,MATCH($AL29,'Level Engine'!$AA$9:$AA$55,0)),0)=1,OR($AL29=$AN$3,IFERROR(INDEX('Level Engine'!$LB$9:$LB$55,MATCH($AL29,'Level Engine'!$AA$9:$AA$55,0)),0)=1)),1,0)</f>
        <v>0</v>
      </c>
      <c r="DZ29">
        <f>IF(ISNUMBER($AL29),IF(IFERROR(INDEX('Level Engine'!$NJ$9:$NJ$55,MATCH($AL29,'Level Engine'!$AA$9:$AA$55,0)),0)=1,1,0),0)</f>
      </c>
    </row>
    <row r="30" spans="1:117" s="33" customFormat="1" ht="15.75" customHeight="1" x14ac:dyDescent="0.25">
      <c r="A30" s="7" t="str">
        <f t="shared" si="3"/>
        <v>███████████████████</v>
      </c>
      <c r="B30" s="8" t="str">
        <f>TEXT(IF(IF('Level Engine'!$GJ$4=1,$AL30='Level Engine'!$GJ$3,AND($AL30-$AM$2&gt;-2.5,$AL30-$AM$2&lt;=2.5)),$AM$2,$AL30),"0")&amp;IF($AL30=$AN$1," ★","")&amp;IF($AL30=$AN$2," ★","")&amp;IF($AL30=$AN$3," ◆","")&amp;IF(AND(ISNUMBER($AN$4),$AL30=$AN$4)," Ⓕ","")&amp;IF(OR(AND(ISNUMBER('Level Engine'!$BG$87),$AL30='Level Engine'!$BG$87),AND(ISNUMBER('Level Engine'!$BG$105),$AL30='Level Engine'!$BG$105))," ζ","")&amp;IF(AND(ISNUMBER($AN$35),$AL30=$AN$35)," ⓏⒼ","")&amp;IF(OR($AL30='Level Engine'!$CP$4,$AL30='Level Engine'!$CP$5,$AL30='Level Engine'!$CP$6,$AL30='Level Engine'!$CP$7)," ☄","")&amp;IF(OR($AL30=$AN$5,$AL30=$AN$8)," ║1","")&amp;IF(OR($AL30=$AN$6,$AL30=$AN$10)," ║2","")&amp;IF(OR($AL30=$AN$7,$AL30=$AN$11)," ║3","")&amp;IF(OR($AL30=$AN$13,$AL30=$AN$16)," ▣1","")&amp;IF(OR($AL30=$AN$14,$AL30=$AN$17)," ▣2","")&amp;IF(OR($AL30=$AN$15,$AL30=$AN$18)," ▣3","")&amp;IF(AND(NOT(OR(AND(ISNUMBER(SEARCH("chop edge",$E$45)),IFERROR(ABS($AL30-'King Node Model'!$AL$42)&lt;=5,FALSE),NOT(ISNUMBER(SEARCH("UNSAFE",$L$45)))),AND(ISNUMBER(SEARCH("chop edge",$E$46)),IFERROR(ABS($AL30-'King Node Model'!$AL$43)&lt;=5,FALSE),NOT(ISNUMBER(SEARCH("UNSAFE",$L$46)))),AND(ISNUMBER(SEARCH("chop edge",$E$52)),IFERROR(ABS($AL30-'King Node Model'!$AL$49)&lt;=5,FALSE),NOT(ISNUMBER(SEARCH("UNSAFE",$L$52)))),AND(ISNUMBER(SEARCH("chop edge",$E$53)),IFERROR(ABS($AL30-'King Node Model'!$AL$50)&lt;=5,FALSE),NOT(ISNUMBER(SEARCH("UNSAFE",$L$53)))))),OR(AND(IFERROR(INDEX('Level Engine'!$IB$9:$IB$55,MATCH('King Node Model'!$AL$49,'Level Engine'!$AA$9:$AA$55,0)),0)&lt;&gt;1,$AL30=IFERROR(INDEX('Level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Engine'!$AA$9:$AA$55,0)),0)&lt;&gt;1,$AL30=IFERROR(INDEX('Level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edge",$E$45)),IFERROR(ABS($AL30-'King Node Model'!$AL$42)&lt;=5,FALSE),NOT(ISNUMBER(SEARCH("UNSAFE",$L$45)))),AND(ISNUMBER(SEARCH("chop edge",$E$46)),IFERROR(ABS($AL30-'King Node Model'!$AL$43)&lt;=5,FALSE),NOT(ISNUMBER(SEARCH("UNSAFE",$L$46)))),AND(ISNUMBER(SEARCH("chop edge",$E$52)),IFERROR(ABS($AL30-'King Node Model'!$AL$49)&lt;=5,FALSE),NOT(ISNUMBER(SEARCH("UNSAFE",$L$52)))),AND(ISNUMBER(SEARCH("chop edge",$E$53)),IFERROR(ABS($AL30-'King Node Model'!$AL$50)&lt;=5,FALSE),NOT(ISNUMBER(SEARCH("UNSAFE",$L$53)))))),OR(AND(IFERROR(INDEX('Level Engine'!$IB$9:$IB$55,MATCH('King Node Model'!$AL$42,'Level Engine'!$AA$9:$AA$55,0)),0)&lt;&gt;1,$AL30=IFERROR(INDEX('Level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Engine'!$AA$9:$AA$55,0)),0)&lt;&gt;1,$AL30=IFERROR(INDEX('Level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ⒷⓁ"),"")&amp;IF(OR(AND($AL30&gt;='King Node Model'!$AM$17,$AL30&lt;='King Node Model'!$AN$17,$AP$45="RASP"),AND($AL30&gt;='King Node Model'!$AM$18,$AL30&lt;='King Node Model'!$AN$18,$AP$46="RASP"),AND($AL30&gt;='King Node Model'!$AM$19,$AL30&lt;='King Node Model'!$AN$19,$AP$47="RASP"),AND($AL30&gt;='King Node Model'!$AM$20,$AL30&lt;='King Node Model'!$AN$20,$AP$52="RASP"),AND($AL30&gt;='King Node Model'!$AM$21,$AL30&lt;='King Node Model'!$AN$21,$AP$53="RASP"),AND($AL30&gt;='King Node Model'!$AM$22,$AL30&lt;='King Node Model'!$AN$22,$AP$54="RASP")),"","")&amp;IF(IF('Level Engine'!$GJ$4=1,$AL30='Level Engine'!$GJ$3,AND($AL30-$AM$2&gt;-2.5,$AL30-$AM$2&lt;=2.5))," ◄","")&amp;IF(IFERROR(INDEX('Level Engine'!$GV$9:$GV$55,MATCH($AL30,'Level Engine'!$AA$9:$AA$55,0)),0)=1," Ⓥ"&amp;IF(IFERROR(INDEX('Level Engine'!$ET$9:$ET$55,MATCH($AL30,'Level Engine'!$AA$9:$AA$55,0)),0)=1,"+",""),"")&amp;IF(OR(AND($AL30=$AN$38,IFERROR(INDEX('Level Engine'!$AN$9:$AN$55,MATCH($AL30,'Level Engine'!$AA$9:$AA$55,0)),0)&lt;&gt;1),$AL30=$AN$39)," ⊙","")&amp;IF(AND(OR('King Node Model'!$A$8="Neg",N('Level Engine'!$BG$72)=1),ABS(MIN($AM$3:$AM$64))&gt;MAX($AM$3:$AM$64),$AN$2&lt;$AM$2,$AL30&lt;$AM$2,ABS($AL30-$AN$2)&lt;=5,IFERROR(VALUE(MID('King Node Model'!$K$26,FIND(":",'King Node Model'!$K$26)-2,2)),0)&gt;=19,IFERROR(INDEX('Level Engine'!$EJ$9:$EJ$55,MATCH($AL30,'Level Engine'!$AA$9:$AA$55,0)),0)=0,$AN$3&gt;$AM$2)," ⟲rev","")&amp;IF($AL30='King Node Model'!$F$24," ⟂","")&amp;$DJ30&amp;IF(IFERROR(INDEX('Level Engine'!$EN$9:$EN$55,MATCH($AL30,'Level Engine'!$AA$9:$AA$55,0)),0)=1," Ⓟ"&amp;IF(AND(OR('King Node Model'!$A$8="Neg",N('Level Engine'!$BG$72)=1),IFERROR(INDEX('Level Engine'!$AN$9:$AN$55,MATCH($AL30,'Level Engine'!$AA$9:$AA$55,0)),0)&lt;&gt;1)," NO-REV",""),"")&amp;IF(AND(ISNUMBER($AL30),OR(AND(ISNUMBER(SEARCH("chop edge",$E$45)),$AL30='King Node Model'!$AL$42),AND(ISNUMBER(SEARCH("chop edge",$E$46)),$AL30='King Node Model'!$AL$43),AND(ISNUMBER(SEARCH("chop edge",$E$52)),$AL30='King Node Model'!$AL$49),AND(ISNUMBER(SEARCH("chop edge",$E$53)),$AL30='King Node Model'!$AL$50)))," ⒸⒺ","")&amp;IF(AND('Level Engine'!$GJ$4=1,OR($AL30='Level Engine'!$GJ$1,$AL30='Level Engine'!$GJ$2)),"","")&amp;IF(ABS(N(IFERROR(INDEX('Level Engine'!$AE$9:$AE$55,MATCH($AL30,'Level Engine'!$AA$9:$AA$55,0)),0)))&gt;='Level Engine'!$BG$85,IF(N(IFERROR(INDEX('Level Engine'!$AE$9:$AE$55,MATCH($AL30,'Level Engine'!$AA$9:$AA$55,0)),0))&gt;0," Δ+"," Δ−"),"")&amp;IFERROR(IF(AND(ISNUMBER(MATCH($AL30,'Level Engine'!$AA$9:$AA$55,0)),ABS(N(IFERROR(INDEX('Level Engine'!$AE$9:$AE$55,MATCH($AL30,'Level Engine'!$AA$9:$AA$55,0)),0)))&lt;'Level Engine'!$BG$85,ABS(N(IFERROR(INDEX('Level Engine'!$AE$9:$AE$55,MATCH($AL30,'Level Engine'!$AA$9:$AA$55,0)),0)))&lt;=ABS(N(IFERROR(INDEX('Level Engine'!$AE$9:$AE$55,MATCH($AL30+5,'Level Engine'!$AA$9:$AA$55,0)),0))),ABS(N(IFERROR(INDEX('Level Engine'!$AE$9:$AE$55,MATCH($AL30,'Level Engine'!$AA$9:$AA$55,0)),0)))&lt;=ABS(N(IFERROR(INDEX('Level Engine'!$AE$9:$AE$55,MATCH($AL30-5,'Level Engine'!$AA$9:$AA$55,0)),0))),OR(AND(ABS(N(IFERROR(INDEX('Level Engine'!$AE$9:$AE$55,MATCH($AL30+5,'Level Engine'!$AA$9:$AA$55,0)),0)))&gt;='Level Engine'!$BG$85,ABS(N(IFERROR(INDEX('Level Engine'!$AE$9:$AE$55,MATCH($AL30,'Level Engine'!$AA$9:$AA$55,0)),0)))&lt;='Level Engine'!$BG$88*ABS(N(IFERROR(INDEX('Level Engine'!$AE$9:$AE$55,MATCH($AL30+5,'Level Engine'!$AA$9:$AA$55,0)),0)))),AND(ABS(N(IFERROR(INDEX('Level Engine'!$AE$9:$AE$55,MATCH($AL30-5,'Level Engine'!$AA$9:$AA$55,0)),0)))&gt;='Level Engine'!$BG$85,ABS(N(IFERROR(INDEX('Level Engine'!$AE$9:$AE$55,MATCH($AL30,'Level Engine'!$AA$9:$AA$55,0)),0)))&lt;='Level Engine'!$BG$88*ABS(N(IFERROR(INDEX('Level Engine'!$AE$9:$AE$55,MATCH($AL30-5,'Level Engine'!$AA$9:$AA$55,0)),0)))))),IF(AND('King Node Model'!$A$8="Pos",N('Level Engine'!$BG$72)&lt;&gt;1),""," ∅"),""),"")&amp;IF(IFERROR(INDEX('Level Engine'!$JD$9:$JD$55,MATCH($AL30,'Level Engine'!$AA$9:$AA$55,0)),"")="P"," P-OI",IF(IFERROR(INDEX('Level Engine'!$JD$9:$JD$55,MATCH($AL30,'Level Engine'!$AA$9:$AA$55,0)),"")="C"," C-OI",""))</f>
        <v>7750 ▣3 ⫪ S↑ s3</v>
      </c>
      <c r="C30" s="9" t="str">
        <f t="shared" si="0"/>
        <v/>
      </c>
      <c r="D30" t="str">
        <f>IF(NOT(ISNUMBER($AL30)),"",IF(IFERROR(INDEX('Level Engine'!$FS$9:$FS$55,MATCH($AL30,'Level Engine'!$AA$9:$AA$55,0)),0)=1,"⊙",""))</f>
        <v/>
      </c>
      <c r="E30" s="556" t="s">
        <v>2800</v>
      </c>
      <c r="F30" s="518"/>
      <c r="G30" s="518"/>
      <c r="H30" s="518"/>
      <c r="I30" s="518"/>
      <c r="J30" s="518"/>
      <c r="K30" s="518"/>
      <c r="L30" s="518"/>
      <c r="M30" s="518"/>
      <c r="N30" s="518"/>
      <c r="O30" s="432"/>
      <c r="P30" s="471"/>
      <c r="Q30" s="452"/>
      <c r="R30" s="447"/>
      <c r="S30" s="484"/>
      <c r="T30" s="484"/>
      <c r="U30" s="453"/>
      <c r="V30" s="471"/>
      <c r="AA30" s="471"/>
      <c r="AB30" s="471"/>
      <c r="AC30" s="471"/>
      <c r="AE30" s="471"/>
      <c r="AL30" s="1">
        <f>'King Node Model'!A56</f>
        <v>7750</v>
      </c>
      <c r="AM30" s="10">
        <f>'King Node Model'!C56</f>
        <v>-1614015</v>
      </c>
      <c r="AN30" s="471"/>
      <c r="AO30" s="10">
        <f>'King Node Model'!B56</f>
        <v>3240730</v>
      </c>
      <c r="AP30" s="471"/>
      <c r="AY30" s="1">
        <f>IF(AND($B$2="Hide unsafe",$BB30=1),0,IF(AND(OR(AND(AND(ISNUMBER($AL30),OR(AND($AL30&gt;=$AQ$22,$AL30&lt;=$AR$22,$AS$22=1),$AL30=$AQ$22,$AL30=$AR$22,$AL30=$AQ$23,$AL30=$AR$23,$AL30=$AQ$24,$AL30=$AR$24),NOT(OR($AL30=$AN$5,$AL30=$AN$6,$AL30=$AN$7,$AL30=$AN$8,$AL30=$AN$10,$AL30=$AN$11))),NOT(OR(AND('King Node Model'!$P$13="Up",OR($AL30=$AQ$22,$AL30=$AQ$23,$AL30=$AQ$24,$AL30='King Node Model'!$AM$20,$AL30='King Node Model'!$AM$21,$AL30='King Node Model'!$AM$22),OR(AND('King Node Model'!$B$23-$AL30&gt;=0,'King Node Model'!$B$23-$AL30&lt;=5),AND('King Node Model'!$C$23-$AL30&gt;=0,'King Node Model'!$C$23-$AL30&lt;=5))),AND('King Node Model'!$P$13="Down",OR($AL30=$AR$22,$AL30=$AR$23,$AL30=$AR$24,$AL30='King Node Model'!$AN$20,$AL30='King Node Model'!$AN$21,$AL30='King Node Model'!$AN$22),OR(AND($AL30-'King Node Model'!$B$23&gt;=0,$AL30-'King Node Model'!$B$23&lt;=5),AND($AL30-'King Node Model'!$C$24&gt;=0,$AL30-'King Node Model'!$C$24&lt;=5)))))),AND(AND(ISNUMBER($AL30),OR(AND($AL30&gt;=$AQ$22,$AL30&lt;=$AR$22,$AS$22=1),$AL30=$AQ$22,$AL30=$AR$22,$AL30=$AQ$23,$AL30=$AR$23,$AL30=$AQ$24,$AL30=$AR$24,$AL30='King Node Model'!$AL$42,$AL30='King Node Model'!$AL$43),OR($AL30=$AN$5,$AL30=$AN$6,$AL30=$AN$7,$AL30=$AN$8,$AL30=$AN$10,$AL30=$AN$11)),NOT(OR(AND('King Node Model'!$P$13="Up",OR($AL30=$AQ$22,$AL30=$AQ$23,$AL30=$AQ$24,$AL30='King Node Model'!$AM$20,$AL30='King Node Model'!$AM$21,$AL30='King Node Model'!$AM$22),OR(AND('King Node Model'!$B$23-$AL30&gt;=0,'King Node Model'!$B$23-$AL30&lt;=5),AND('King Node Model'!$C$23-$AL30&gt;=0,'King Node Model'!$C$23-$AL30&lt;=5))),AND('King Node Model'!$P$13="Down",OR($AL30=$AR$22,$AL30=$AR$23,$AL30=$AR$24,$AL30='King Node Model'!$AN$20,$AL30='King Node Model'!$AN$21,$AL30='King Node Model'!$AN$22),OR(AND($AL30-'King Node Model'!$B$23&gt;=0,$AL30-'King Node Model'!$B$23&lt;=5),AND($AL30-'King Node Model'!$C$24&gt;=0,$AL30-'King Node Model'!$C$24&lt;=5)))))),AND(AND(ISNUMBER($AL30),OR(AND($AL30&gt;='King Node Model'!$AM$20,$AL30&lt;='King Node Model'!$AN$20,$AS$23=1),$AL30='King Node Model'!$AM$20,$AL30='King Node Model'!$AN$20,$AL30='King Node Model'!$AM$21,$AL30='King Node Model'!$AN$21,$AL30='King Node Model'!$AM$22,$AL30='King Node Model'!$AN$22),NOT(OR($AL30=$AN$5,$AL30=$AN$6,$AL30=$AN$7,$AL30=$AN$8,$AL30=$AN$10,$AL30=$AN$11))),NOT(AND(ISNUMBER('King Node Model'!$F$24),$AL30='King Node Model'!$F$24,IFERROR(INDEX('Level Engine'!$JN$9:$JN$55,MATCH($AL30,'Level Engine'!$AA$9:$AA$55,0)),0)&lt;&gt;1))),AND(AND(ISNUMBER($AL30),OR(AND($AL30&gt;='King Node Model'!$AM$20,$AL30&lt;='King Node Model'!$AN$20,$AS$23=1),$AL30='King Node Model'!$AM$20,$AL30='King Node Model'!$AN$20,$AL30='King Node Model'!$AM$21,$AL30='King Node Model'!$AN$21,$AL30='King Node Model'!$AM$22,$AL30='King Node Model'!$AN$22,$AL30='King Node Model'!$AL$49,$AL30='King Node Model'!$AL$50),OR($AL30=$AN$5,$AL30=$AN$6,$AL30=$AN$7,$AL30=$AN$8,$AL30=$AN$10,$AL30=$AN$11)),NOT(OR(AND('King Node Model'!$P$13="Up",OR($AL30=$AQ$22,$AL30=$AQ$23,$AL30=$AQ$24,$AL30='King Node Model'!$AM$20,$AL30='King Node Model'!$AM$21,$AL30='King Node Model'!$AM$22),OR(AND('King Node Model'!$B$23-$AL30&gt;=0,'King Node Model'!$B$23-$AL30&lt;=5),AND('King Node Model'!$C$23-$AL30&gt;=0,'King Node Model'!$C$23-$AL30&lt;=5))),AND('King Node Model'!$P$13="Down",OR($AL30=$AR$22,$AL30=$AR$23,$AL30=$AR$24,$AL30='King Node Model'!$AN$20,$AL30='King Node Model'!$AN$21,$AL30='King Node Model'!$AN$22),OR(AND($AL30-'King Node Model'!$B$23&gt;=0,$AL30-'King Node Model'!$B$23&lt;=5),AND($AL30-'King Node Model'!$C$24&gt;=0,$AL30-'King Node Model'!$C$24&lt;=5))))))),OR(COUNTIF('Level Engine'!$W$9:$W$14,$AL30)&gt;0,COUNTIF('Level Engine'!$W$18:$W$23,$AL30)&gt;0)),1,0))</f>
        <v>0</v>
      </c>
      <c r="AZ30" s="1">
        <f t="shared" si="1"/>
        <v>0</v>
      </c>
      <c r="BB30" s="1">
        <f>IF(OR(AND($AL30='King Node Model'!$AL$42,$AP$45&lt;&gt;"RASP"),AND($AL30='King Node Model'!$AL$43,$AP$46&lt;&gt;"RASP"),AND($AL30='King Node Model'!$AL$49,$AP$52&lt;&gt;"RASP"),AND($AL30='King Node Model'!$AL$50,$AP$53&lt;&gt;"RASP"),AND($AL30='King Node Model'!$AL$44,$AP$47&lt;&gt;"RASP"),AND($AL30='King Node Model'!$AL$51,$AP$54&lt;&gt;"RASP")),0,IF(AND(AND(ISNUMBER($AL30),OR(AND($AL30&gt;=$AQ$22,$AL30&lt;=$AR$22,$AP$45="RASP"),AND($AL30&gt;=$AQ$23,$AL30&lt;=$AR$23,$AP$46="RASP"),AND($AL30&gt;=$AQ$24,$AL30&lt;=$AR$24,$AP$47="RASP"),AND($AL30&gt;='King Node Model'!$AM$20,$AL30&lt;='King Node Model'!$AN$20,$AP$52="RASP",NOT($L$52=$AW$52)),AND($AL30='King Node Model'!$B$23,$AP$52="RASP",$L$52=$AW$52),AND($AL30&gt;='King Node Model'!$AM$21,$AL30&lt;='King Node Model'!$AN$21,$AP$53="RASP",NOT($L$53=$AW$53)),AND($AL30='King Node Model'!$B$23,$AP$53="RASP",$L$53=$AW$53),AND($AL30&gt;='King Node Model'!$AM$22,$AL30&lt;='King Node Model'!$AN$22,$AP$54="RASP"),AND($AL30&gt;=IFERROR(INDEX('Level Engine'!$AT$9:$AT$55,MATCH('King Node Model'!$AL$42,'Level Engine'!$AA$9:$AA$55,0)),""),$AL30&lt;=IFERROR(INDEX('Level Engine'!$AU$9:$AU$55,MATCH('King Node Model'!$AL$42,'Level Engine'!$AA$9:$AA$55,0)),""),$AP$45="RASP"),AND($AL30&gt;=IFERROR(INDEX('Level Engine'!$AT$9:$AT$55,MATCH('King Node Model'!$AL$43,'Level Engine'!$AA$9:$AA$55,0)),""),$AL30&lt;=IFERROR(INDEX('Level Engine'!$AU$9:$AU$55,MATCH('King Node Model'!$AL$43,'Level Engine'!$AA$9:$AA$55,0)),""),$AP$46="RASP"),AND($AL30&gt;=IFERROR(INDEX('Level Engine'!$AT$9:$AT$55,MATCH('King Node Model'!$AL$44,'Level Engine'!$AA$9:$AA$55,0)),""),$AL30&lt;=IFERROR(INDEX('Level Engine'!$AU$9:$AU$55,MATCH('King Node Model'!$AL$44,'Level Engine'!$AA$9:$AA$55,0)),""),$AP$47="RASP"),AND($AL30&gt;=IFERROR(INDEX('Level Engine'!$AT$9:$AT$55,MATCH('King Node Model'!$AL$49,'Level Engine'!$AA$9:$AA$55,0)),""),$AL30&lt;=IFERROR(INDEX('Level Engine'!$AU$9:$AU$55,MATCH('King Node Model'!$AL$49,'Level Engine'!$AA$9:$AA$55,0)),""),$AP$52="RASP",NOT($L$52=$AW$52)),AND($AL30&gt;=IFERROR(INDEX('Level Engine'!$AT$9:$AT$55,MATCH('King Node Model'!$AL$50,'Level Engine'!$AA$9:$AA$55,0)),""),$AL30&lt;=IFERROR(INDEX('Level Engine'!$AU$9:$AU$55,MATCH('King Node Model'!$AL$50,'Level Engine'!$AA$9:$AA$55,0)),""),$AP$53="RASP",NOT($L$53=$AW$53)),AND($AL30&gt;=IFERROR(INDEX('Level Engine'!$AT$9:$AT$55,MATCH('King Node Model'!$AL$51,'Level Engine'!$AA$9:$AA$55,0)),""),$AL30&lt;=IFERROR(INDEX('Level Engine'!$AU$9:$AU$55,MATCH('King Node Model'!$AL$51,'Level Engine'!$AA$9:$AA$55,0)),""),$AP$54="RASP"))),NOT(AND(ISNUMBER('King Node Model'!$F$24),$AL30='King Node Model'!$F$24,IFERROR(INDEX('Level Engine'!$JN$9:$JN$55,MATCH($AL30,'Level Engine'!$AA$9:$AA$55,0)),0)&lt;&gt;1,$AL30&lt;&gt;'King Node Model'!$AL$42,$AL30&lt;&gt;'King Node Model'!$AL$43,$AL30&lt;&gt;'King Node Model'!$AL$44,$AL30&lt;&gt;'King Node Model'!$AL$49,$AL30&lt;&gt;'King Node Model'!$AL$50,$AL30&lt;&gt;'King Node Model'!$AL$51))),1,0))</f>
        <v>0</v>
      </c>
      <c r="CO30">
        <f>IF(NOT(ISNUMBER($AL30)),"",IF(NOT(ISNUMBER(IFERROR(INDEX('Level Engine'!$FT$9:$FT$55,MATCH($AL30,'Level Engine'!$AA$9:$AA$55,0)),""))),"",IF(IFERROR(INDEX('Level Engine'!$FT$9:$FT$55,MATCH($AL30,'Level Engine'!$AA$9:$AA$55,0)),"")&lt;0,0,2)+IF(ABS(IFERROR(INDEX('Level Engine'!$FT$9:$FT$55,MATCH($AL30,'Level Engine'!$AA$9:$AA$55,0)),""))&gt;='Level Engine'!$FT$2,2,1)))</f>
        <v>1</v>
      </c>
      <c r="DJ30" t="str">
        <f>IF(ISNUMBER($AL30),IF($AL30='Level Engine'!$BG$122," ⫪","")&amp;IF($AL30='Level Engine'!$BG$118," S↑"&amp;IFERROR(INDEX('Level Engine'!$MV$9:$MV$55,MATCH($AL30,'Level Engine'!$AA$9:$AA$55,0)),""),"")&amp;IF($AL30='Level Engine'!$BG$119," S↓"&amp;IFERROR(INDEX('Level Engine'!$MV$9:$MV$55,MATCH($AL30,'Level Engine'!$AA$9:$AA$55,0)),""),"")&amp;IF($AL30='Level Engine'!$BG$120," D↑","")&amp;IF($AL30='Level Engine'!$BG$121," D↓","")&amp;IFERROR(INDEX('Level Engine'!$LG$9:$LG$55,MATCH($AL30,'Level Engine'!$AA$9:$AA$55,0)),"")&amp;IF(IFERROR(INDEX('Level Engine'!$MA$9:$MA$55,MATCH($AL30,'Level Engine'!$AA$9:$AA$55,0)),0)=1," SAND","")&amp;IF(IFERROR(INDEX('Level Engine'!$LM$9:$LM$55,MATCH($AL30,'Level Engine'!$AA$9:$AA$55,0)),0)&gt;0," TP","")&amp;IFERROR(" r"&amp;MATCH($AL30,'Level Engine'!$W$9:$W$14,0),IFERROR(" s"&amp;MATCH($AL30,'Level Engine'!$W$18:$W$23,0),""))&amp;IF($AL30='Level Engine'!$BG$165," ◇","")&amp;IF(N($DZ30)=1,IF($AL30&gt;'Level Engine'!$BG$165," ⚠ DOM↓"," ⚠ DOM↑")&amp;'Level Engine'!$BG$165,""),"")</f>
        <v xml:space="preserve"> ⫪ S↑ s3</v>
      </c>
      <c r="DK30" t="str">
        <f>IF(AND(ISNUMBER($AL30),OR($AL30='King Node Model'!$AL$42,$AL30='King Node Model'!$AL$43,$AL30='King Node Model'!$AL$44)),IFERROR(MATCH($AL30,'Level Engine'!$W$9:$W$14,0),""),"")</f>
        <v/>
      </c>
      <c r="DL30" t="str">
        <f>IF(AND(ISNUMBER($AL30),OR($AL30='King Node Model'!$AL$49,$AL30='King Node Model'!$AL$50,$AL30='King Node Model'!$AL$51)),IFERROR(MATCH($AL30,'Level Engine'!$W$18:$W$23,0),""),"")</f>
        <v/>
      </c>
      <c r="DM30">
        <f>IF(AND(ISNUMBER($AL30),IFERROR(INDEX('Level Engine'!$LC$9:$LC$55,MATCH($AL30,'Level Engine'!$AA$9:$AA$55,0)),0)=1,OR($AL30=$AN$3,IFERROR(INDEX('Level Engine'!$LB$9:$LB$55,MATCH($AL30,'Level Engine'!$AA$9:$AA$55,0)),0)=1)),1,0)</f>
        <v>0</v>
      </c>
      <c r="DZ30">
        <f>IF(ISNUMBER($AL30),IF(IFERROR(INDEX('Level Engine'!$NJ$9:$NJ$55,MATCH($AL30,'Level Engine'!$AA$9:$AA$55,0)),0)=1,1,0),0)</f>
      </c>
    </row>
    <row r="31" spans="1:117" ht="15" customHeight="1" x14ac:dyDescent="0.25">
      <c r="A31" s="7" t="str">
        <f t="shared" si="3"/>
        <v>███████</v>
      </c>
      <c r="B31" s="8" t="str">
        <f>TEXT(IF(IF('Level Engine'!$GJ$4=1,$AL31='Level Engine'!$GJ$3,AND($AL31-$AM$2&gt;-2.5,$AL31-$AM$2&lt;=2.5)),$AM$2,$AL31),"0")&amp;IF($AL31=$AN$1," ★","")&amp;IF($AL31=$AN$2," ★","")&amp;IF($AL31=$AN$3," ◆","")&amp;IF(AND(ISNUMBER($AN$4),$AL31=$AN$4)," Ⓕ","")&amp;IF(OR(AND(ISNUMBER('Level Engine'!$BG$87),$AL31='Level Engine'!$BG$87),AND(ISNUMBER('Level Engine'!$BG$105),$AL31='Level Engine'!$BG$105))," ζ","")&amp;IF(AND(ISNUMBER($AN$35),$AL31=$AN$35)," ⓏⒼ","")&amp;IF(OR($AL31='Level Engine'!$CP$4,$AL31='Level Engine'!$CP$5,$AL31='Level Engine'!$CP$6,$AL31='Level Engine'!$CP$7)," ☄","")&amp;IF(OR($AL31=$AN$5,$AL31=$AN$8)," ║1","")&amp;IF(OR($AL31=$AN$6,$AL31=$AN$10)," ║2","")&amp;IF(OR($AL31=$AN$7,$AL31=$AN$11)," ║3","")&amp;IF(OR($AL31=$AN$13,$AL31=$AN$16)," ▣1","")&amp;IF(OR($AL31=$AN$14,$AL31=$AN$17)," ▣2","")&amp;IF(OR($AL31=$AN$15,$AL31=$AN$18)," ▣3","")&amp;IF(AND(NOT(OR(AND(ISNUMBER(SEARCH("chop edge",$E$45)),IFERROR(ABS($AL31-'King Node Model'!$AL$42)&lt;=5,FALSE),NOT(ISNUMBER(SEARCH("UNSAFE",$L$45)))),AND(ISNUMBER(SEARCH("chop edge",$E$46)),IFERROR(ABS($AL31-'King Node Model'!$AL$43)&lt;=5,FALSE),NOT(ISNUMBER(SEARCH("UNSAFE",$L$46)))),AND(ISNUMBER(SEARCH("chop edge",$E$52)),IFERROR(ABS($AL31-'King Node Model'!$AL$49)&lt;=5,FALSE),NOT(ISNUMBER(SEARCH("UNSAFE",$L$52)))),AND(ISNUMBER(SEARCH("chop edge",$E$53)),IFERROR(ABS($AL31-'King Node Model'!$AL$50)&lt;=5,FALSE),NOT(ISNUMBER(SEARCH("UNSAFE",$L$53)))))),OR(AND(IFERROR(INDEX('Level Engine'!$IB$9:$IB$55,MATCH('King Node Model'!$AL$49,'Level Engine'!$AA$9:$AA$55,0)),0)&lt;&gt;1,$AL31=IFERROR(INDEX('Level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Engine'!$AA$9:$AA$55,0)),0)&lt;&gt;1,$AL31=IFERROR(INDEX('Level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edge",$E$45)),IFERROR(ABS($AL31-'King Node Model'!$AL$42)&lt;=5,FALSE),NOT(ISNUMBER(SEARCH("UNSAFE",$L$45)))),AND(ISNUMBER(SEARCH("chop edge",$E$46)),IFERROR(ABS($AL31-'King Node Model'!$AL$43)&lt;=5,FALSE),NOT(ISNUMBER(SEARCH("UNSAFE",$L$46)))),AND(ISNUMBER(SEARCH("chop edge",$E$52)),IFERROR(ABS($AL31-'King Node Model'!$AL$49)&lt;=5,FALSE),NOT(ISNUMBER(SEARCH("UNSAFE",$L$52)))),AND(ISNUMBER(SEARCH("chop edge",$E$53)),IFERROR(ABS($AL31-'King Node Model'!$AL$50)&lt;=5,FALSE),NOT(ISNUMBER(SEARCH("UNSAFE",$L$53)))))),OR(AND(IFERROR(INDEX('Level Engine'!$IB$9:$IB$55,MATCH('King Node Model'!$AL$42,'Level Engine'!$AA$9:$AA$55,0)),0)&lt;&gt;1,$AL31=IFERROR(INDEX('Level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Engine'!$AA$9:$AA$55,0)),0)&lt;&gt;1,$AL31=IFERROR(INDEX('Level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ⒷⓁ"),"")&amp;IF(OR(AND($AL31&gt;='King Node Model'!$AM$17,$AL31&lt;='King Node Model'!$AN$17,$AP$45="RASP"),AND($AL31&gt;='King Node Model'!$AM$18,$AL31&lt;='King Node Model'!$AN$18,$AP$46="RASP"),AND($AL31&gt;='King Node Model'!$AM$19,$AL31&lt;='King Node Model'!$AN$19,$AP$47="RASP"),AND($AL31&gt;='King Node Model'!$AM$20,$AL31&lt;='King Node Model'!$AN$20,$AP$52="RASP"),AND($AL31&gt;='King Node Model'!$AM$21,$AL31&lt;='King Node Model'!$AN$21,$AP$53="RASP"),AND($AL31&gt;='King Node Model'!$AM$22,$AL31&lt;='King Node Model'!$AN$22,$AP$54="RASP")),"","")&amp;IF(IF('Level Engine'!$GJ$4=1,$AL31='Level Engine'!$GJ$3,AND($AL31-$AM$2&gt;-2.5,$AL31-$AM$2&lt;=2.5))," ◄","")&amp;IF(IFERROR(INDEX('Level Engine'!$GV$9:$GV$55,MATCH($AL31,'Level Engine'!$AA$9:$AA$55,0)),0)=1," Ⓥ"&amp;IF(IFERROR(INDEX('Level Engine'!$ET$9:$ET$55,MATCH($AL31,'Level Engine'!$AA$9:$AA$55,0)),0)=1,"+",""),"")&amp;IF(OR(AND($AL31=$AN$38,IFERROR(INDEX('Level Engine'!$AN$9:$AN$55,MATCH($AL31,'Level Engine'!$AA$9:$AA$55,0)),0)&lt;&gt;1),$AL31=$AN$39)," ⊙","")&amp;IF(AND(OR('King Node Model'!$A$8="Neg",N('Level Engine'!$BG$72)=1),ABS(MIN($AM$3:$AM$64))&gt;MAX($AM$3:$AM$64),$AN$2&lt;$AM$2,$AL31&lt;$AM$2,ABS($AL31-$AN$2)&lt;=5,IFERROR(VALUE(MID('King Node Model'!$K$26,FIND(":",'King Node Model'!$K$26)-2,2)),0)&gt;=19,IFERROR(INDEX('Level Engine'!$EJ$9:$EJ$55,MATCH($AL31,'Level Engine'!$AA$9:$AA$55,0)),0)=0,$AN$3&gt;$AM$2)," ⟲rev","")&amp;IF($AL31='King Node Model'!$F$24," ⟂","")&amp;$DJ31&amp;IF(IFERROR(INDEX('Level Engine'!$EN$9:$EN$55,MATCH($AL31,'Level Engine'!$AA$9:$AA$55,0)),0)=1," Ⓟ"&amp;IF(AND(OR('King Node Model'!$A$8="Neg",N('Level Engine'!$BG$72)=1),IFERROR(INDEX('Level Engine'!$AN$9:$AN$55,MATCH($AL31,'Level Engine'!$AA$9:$AA$55,0)),0)&lt;&gt;1)," NO-REV",""),"")&amp;IF(AND(ISNUMBER($AL31),OR(AND(ISNUMBER(SEARCH("chop edge",$E$45)),$AL31='King Node Model'!$AL$42),AND(ISNUMBER(SEARCH("chop edge",$E$46)),$AL31='King Node Model'!$AL$43),AND(ISNUMBER(SEARCH("chop edge",$E$52)),$AL31='King Node Model'!$AL$49),AND(ISNUMBER(SEARCH("chop edge",$E$53)),$AL31='King Node Model'!$AL$50)))," ⒸⒺ","")&amp;IF(AND('Level Engine'!$GJ$4=1,OR($AL31='Level Engine'!$GJ$1,$AL31='Level Engine'!$GJ$2)),"","")&amp;IF(ABS(N(IFERROR(INDEX('Level Engine'!$AE$9:$AE$55,MATCH($AL31,'Level Engine'!$AA$9:$AA$55,0)),0)))&gt;='Level Engine'!$BG$85,IF(N(IFERROR(INDEX('Level Engine'!$AE$9:$AE$55,MATCH($AL31,'Level Engine'!$AA$9:$AA$55,0)),0))&gt;0," Δ+"," Δ−"),"")&amp;IFERROR(IF(AND(ISNUMBER(MATCH($AL31,'Level Engine'!$AA$9:$AA$55,0)),ABS(N(IFERROR(INDEX('Level Engine'!$AE$9:$AE$55,MATCH($AL31,'Level Engine'!$AA$9:$AA$55,0)),0)))&lt;'Level Engine'!$BG$85,ABS(N(IFERROR(INDEX('Level Engine'!$AE$9:$AE$55,MATCH($AL31,'Level Engine'!$AA$9:$AA$55,0)),0)))&lt;=ABS(N(IFERROR(INDEX('Level Engine'!$AE$9:$AE$55,MATCH($AL31+5,'Level Engine'!$AA$9:$AA$55,0)),0))),ABS(N(IFERROR(INDEX('Level Engine'!$AE$9:$AE$55,MATCH($AL31,'Level Engine'!$AA$9:$AA$55,0)),0)))&lt;=ABS(N(IFERROR(INDEX('Level Engine'!$AE$9:$AE$55,MATCH($AL31-5,'Level Engine'!$AA$9:$AA$55,0)),0))),OR(AND(ABS(N(IFERROR(INDEX('Level Engine'!$AE$9:$AE$55,MATCH($AL31+5,'Level Engine'!$AA$9:$AA$55,0)),0)))&gt;='Level Engine'!$BG$85,ABS(N(IFERROR(INDEX('Level Engine'!$AE$9:$AE$55,MATCH($AL31,'Level Engine'!$AA$9:$AA$55,0)),0)))&lt;='Level Engine'!$BG$88*ABS(N(IFERROR(INDEX('Level Engine'!$AE$9:$AE$55,MATCH($AL31+5,'Level Engine'!$AA$9:$AA$55,0)),0)))),AND(ABS(N(IFERROR(INDEX('Level Engine'!$AE$9:$AE$55,MATCH($AL31-5,'Level Engine'!$AA$9:$AA$55,0)),0)))&gt;='Level Engine'!$BG$85,ABS(N(IFERROR(INDEX('Level Engine'!$AE$9:$AE$55,MATCH($AL31,'Level Engine'!$AA$9:$AA$55,0)),0)))&lt;='Level Engine'!$BG$88*ABS(N(IFERROR(INDEX('Level Engine'!$AE$9:$AE$55,MATCH($AL31-5,'Level Engine'!$AA$9:$AA$55,0)),0)))))),IF(AND('King Node Model'!$A$8="Pos",N('Level Engine'!$BG$72)&lt;&gt;1),""," ∅"),""),"")&amp;IF(IFERROR(INDEX('Level Engine'!$JD$9:$JD$55,MATCH($AL31,'Level Engine'!$AA$9:$AA$55,0)),"")="P"," P-OI",IF(IFERROR(INDEX('Level Engine'!$JD$9:$JD$55,MATCH($AL31,'Level Engine'!$AA$9:$AA$55,0)),"")="C"," C-OI",""))</f>
        <v>7745 P-OI</v>
      </c>
      <c r="C31" s="9" t="str">
        <f t="shared" si="0"/>
        <v/>
      </c>
      <c r="D31" t="str">
        <f>IF(NOT(ISNUMBER($AL31)),"",IF(IFERROR(INDEX('Level Engine'!$FS$9:$FS$55,MATCH($AL31,'Level Engine'!$AA$9:$AA$55,0)),0)=1,"⊙",""))</f>
        <v/>
      </c>
      <c r="E31" s="556" t="s">
        <v>2801</v>
      </c>
      <c r="N31" s="12"/>
      <c r="O31" s="21"/>
      <c r="Q31" s="452" t="str">
        <f t="shared" si="4"/>
        <v/>
      </c>
      <c r="R31" s="447" t="str">
        <f t="shared" si="5"/>
        <v/>
      </c>
      <c r="S31" s="484" t="str">
        <f t="shared" si="6"/>
        <v/>
      </c>
      <c r="T31" s="484" t="str">
        <f t="shared" si="7"/>
        <v/>
      </c>
      <c r="U31" s="453" t="str">
        <f t="shared" si="8"/>
        <v/>
      </c>
      <c r="AL31" s="1">
        <f>'King Node Model'!A57</f>
        <v>7745</v>
      </c>
      <c r="AM31" s="10">
        <f>'King Node Model'!C57</f>
        <v>-1009366</v>
      </c>
      <c r="AN31" s="1" t="str">
        <f>'King Node Model'!AL51</f>
        <v/>
      </c>
      <c r="AO31" s="10">
        <f>'King Node Model'!B57</f>
        <v>1233853</v>
      </c>
      <c r="AQ31" t="str">
        <f>'King Node Model'!AM22</f>
        <v/>
      </c>
      <c r="AR31" t="str">
        <f>'King Node Model'!AN22</f>
        <v/>
      </c>
      <c r="AY31" s="1">
        <f>IF(AND($B$2="Hide unsafe",$BB31=1),0,IF(AND(OR(AND(AND(ISNUMBER($AL31),OR(AND($AL31&gt;=$AQ$22,$AL31&lt;=$AR$22,$AS$22=1),$AL31=$AQ$22,$AL31=$AR$22,$AL31=$AQ$23,$AL31=$AR$23,$AL31=$AQ$24,$AL31=$AR$24),NOT(OR($AL31=$AN$5,$AL31=$AN$6,$AL31=$AN$7,$AL31=$AN$8,$AL31=$AN$10,$AL31=$AN$11))),NOT(OR(AND('King Node Model'!$P$13="Up",OR($AL31=$AQ$22,$AL31=$AQ$23,$AL31=$AQ$24,$AL31='King Node Model'!$AM$20,$AL31='King Node Model'!$AM$21,$AL31='King Node Model'!$AM$22),OR(AND('King Node Model'!$B$23-$AL31&gt;=0,'King Node Model'!$B$23-$AL31&lt;=5),AND('King Node Model'!$C$23-$AL31&gt;=0,'King Node Model'!$C$23-$AL31&lt;=5))),AND('King Node Model'!$P$13="Down",OR($AL31=$AR$22,$AL31=$AR$23,$AL31=$AR$24,$AL31='King Node Model'!$AN$20,$AL31='King Node Model'!$AN$21,$AL31='King Node Model'!$AN$22),OR(AND($AL31-'King Node Model'!$B$23&gt;=0,$AL31-'King Node Model'!$B$23&lt;=5),AND($AL31-'King Node Model'!$C$24&gt;=0,$AL31-'King Node Model'!$C$24&lt;=5)))))),AND(AND(ISNUMBER($AL31),OR(AND($AL31&gt;=$AQ$22,$AL31&lt;=$AR$22,$AS$22=1),$AL31=$AQ$22,$AL31=$AR$22,$AL31=$AQ$23,$AL31=$AR$23,$AL31=$AQ$24,$AL31=$AR$24,$AL31='King Node Model'!$AL$42,$AL31='King Node Model'!$AL$43),OR($AL31=$AN$5,$AL31=$AN$6,$AL31=$AN$7,$AL31=$AN$8,$AL31=$AN$10,$AL31=$AN$11)),NOT(OR(AND('King Node Model'!$P$13="Up",OR($AL31=$AQ$22,$AL31=$AQ$23,$AL31=$AQ$24,$AL31='King Node Model'!$AM$20,$AL31='King Node Model'!$AM$21,$AL31='King Node Model'!$AM$22),OR(AND('King Node Model'!$B$23-$AL31&gt;=0,'King Node Model'!$B$23-$AL31&lt;=5),AND('King Node Model'!$C$23-$AL31&gt;=0,'King Node Model'!$C$23-$AL31&lt;=5))),AND('King Node Model'!$P$13="Down",OR($AL31=$AR$22,$AL31=$AR$23,$AL31=$AR$24,$AL31='King Node Model'!$AN$20,$AL31='King Node Model'!$AN$21,$AL31='King Node Model'!$AN$22),OR(AND($AL31-'King Node Model'!$B$23&gt;=0,$AL31-'King Node Model'!$B$23&lt;=5),AND($AL31-'King Node Model'!$C$24&gt;=0,$AL31-'King Node Model'!$C$24&lt;=5)))))),AND(AND(ISNUMBER($AL31),OR(AND($AL31&gt;='King Node Model'!$AM$20,$AL31&lt;='King Node Model'!$AN$20,$AS$23=1),$AL31='King Node Model'!$AM$20,$AL31='King Node Model'!$AN$20,$AL31='King Node Model'!$AM$21,$AL31='King Node Model'!$AN$21,$AL31='King Node Model'!$AM$22,$AL31='King Node Model'!$AN$22),NOT(OR($AL31=$AN$5,$AL31=$AN$6,$AL31=$AN$7,$AL31=$AN$8,$AL31=$AN$10,$AL31=$AN$11))),NOT(AND(ISNUMBER('King Node Model'!$F$24),$AL31='King Node Model'!$F$24,IFERROR(INDEX('Level Engine'!$JN$9:$JN$55,MATCH($AL31,'Level Engine'!$AA$9:$AA$55,0)),0)&lt;&gt;1))),AND(AND(ISNUMBER($AL31),OR(AND($AL31&gt;='King Node Model'!$AM$20,$AL31&lt;='King Node Model'!$AN$20,$AS$23=1),$AL31='King Node Model'!$AM$20,$AL31='King Node Model'!$AN$20,$AL31='King Node Model'!$AM$21,$AL31='King Node Model'!$AN$21,$AL31='King Node Model'!$AM$22,$AL31='King Node Model'!$AN$22,$AL31='King Node Model'!$AL$49,$AL31='King Node Model'!$AL$50),OR($AL31=$AN$5,$AL31=$AN$6,$AL31=$AN$7,$AL31=$AN$8,$AL31=$AN$10,$AL31=$AN$11)),NOT(OR(AND('King Node Model'!$P$13="Up",OR($AL31=$AQ$22,$AL31=$AQ$23,$AL31=$AQ$24,$AL31='King Node Model'!$AM$20,$AL31='King Node Model'!$AM$21,$AL31='King Node Model'!$AM$22),OR(AND('King Node Model'!$B$23-$AL31&gt;=0,'King Node Model'!$B$23-$AL31&lt;=5),AND('King Node Model'!$C$23-$AL31&gt;=0,'King Node Model'!$C$23-$AL31&lt;=5))),AND('King Node Model'!$P$13="Down",OR($AL31=$AR$22,$AL31=$AR$23,$AL31=$AR$24,$AL31='King Node Model'!$AN$20,$AL31='King Node Model'!$AN$21,$AL31='King Node Model'!$AN$22),OR(AND($AL31-'King Node Model'!$B$23&gt;=0,$AL31-'King Node Model'!$B$23&lt;=5),AND($AL31-'King Node Model'!$C$24&gt;=0,$AL31-'King Node Model'!$C$24&lt;=5))))))),OR(COUNTIF('Level Engine'!$W$9:$W$14,$AL31)&gt;0,COUNTIF('Level Engine'!$W$18:$W$23,$AL31)&gt;0)),1,0))</f>
        <v>0</v>
      </c>
      <c r="AZ31" s="1">
        <f t="shared" si="1"/>
        <v>0</v>
      </c>
      <c r="BB31" s="1">
        <f>IF(OR(AND($AL31='King Node Model'!$AL$42,$AP$45&lt;&gt;"RASP"),AND($AL31='King Node Model'!$AL$43,$AP$46&lt;&gt;"RASP"),AND($AL31='King Node Model'!$AL$49,$AP$52&lt;&gt;"RASP"),AND($AL31='King Node Model'!$AL$50,$AP$53&lt;&gt;"RASP"),AND($AL31='King Node Model'!$AL$44,$AP$47&lt;&gt;"RASP"),AND($AL31='King Node Model'!$AL$51,$AP$54&lt;&gt;"RASP")),0,IF(AND(AND(ISNUMBER($AL31),OR(AND($AL31&gt;=$AQ$22,$AL31&lt;=$AR$22,$AP$45="RASP"),AND($AL31&gt;=$AQ$23,$AL31&lt;=$AR$23,$AP$46="RASP"),AND($AL31&gt;=$AQ$24,$AL31&lt;=$AR$24,$AP$47="RASP"),AND($AL31&gt;='King Node Model'!$AM$20,$AL31&lt;='King Node Model'!$AN$20,$AP$52="RASP",NOT($L$52=$AW$52)),AND($AL31='King Node Model'!$B$23,$AP$52="RASP",$L$52=$AW$52),AND($AL31&gt;='King Node Model'!$AM$21,$AL31&lt;='King Node Model'!$AN$21,$AP$53="RASP",NOT($L$53=$AW$53)),AND($AL31='King Node Model'!$B$23,$AP$53="RASP",$L$53=$AW$53),AND($AL31&gt;='King Node Model'!$AM$22,$AL31&lt;='King Node Model'!$AN$22,$AP$54="RASP"),AND($AL31&gt;=IFERROR(INDEX('Level Engine'!$AT$9:$AT$55,MATCH('King Node Model'!$AL$42,'Level Engine'!$AA$9:$AA$55,0)),""),$AL31&lt;=IFERROR(INDEX('Level Engine'!$AU$9:$AU$55,MATCH('King Node Model'!$AL$42,'Level Engine'!$AA$9:$AA$55,0)),""),$AP$45="RASP"),AND($AL31&gt;=IFERROR(INDEX('Level Engine'!$AT$9:$AT$55,MATCH('King Node Model'!$AL$43,'Level Engine'!$AA$9:$AA$55,0)),""),$AL31&lt;=IFERROR(INDEX('Level Engine'!$AU$9:$AU$55,MATCH('King Node Model'!$AL$43,'Level Engine'!$AA$9:$AA$55,0)),""),$AP$46="RASP"),AND($AL31&gt;=IFERROR(INDEX('Level Engine'!$AT$9:$AT$55,MATCH('King Node Model'!$AL$44,'Level Engine'!$AA$9:$AA$55,0)),""),$AL31&lt;=IFERROR(INDEX('Level Engine'!$AU$9:$AU$55,MATCH('King Node Model'!$AL$44,'Level Engine'!$AA$9:$AA$55,0)),""),$AP$47="RASP"),AND($AL31&gt;=IFERROR(INDEX('Level Engine'!$AT$9:$AT$55,MATCH('King Node Model'!$AL$49,'Level Engine'!$AA$9:$AA$55,0)),""),$AL31&lt;=IFERROR(INDEX('Level Engine'!$AU$9:$AU$55,MATCH('King Node Model'!$AL$49,'Level Engine'!$AA$9:$AA$55,0)),""),$AP$52="RASP",NOT($L$52=$AW$52)),AND($AL31&gt;=IFERROR(INDEX('Level Engine'!$AT$9:$AT$55,MATCH('King Node Model'!$AL$50,'Level Engine'!$AA$9:$AA$55,0)),""),$AL31&lt;=IFERROR(INDEX('Level Engine'!$AU$9:$AU$55,MATCH('King Node Model'!$AL$50,'Level Engine'!$AA$9:$AA$55,0)),""),$AP$53="RASP",NOT($L$53=$AW$53)),AND($AL31&gt;=IFERROR(INDEX('Level Engine'!$AT$9:$AT$55,MATCH('King Node Model'!$AL$51,'Level Engine'!$AA$9:$AA$55,0)),""),$AL31&lt;=IFERROR(INDEX('Level Engine'!$AU$9:$AU$55,MATCH('King Node Model'!$AL$51,'Level Engine'!$AA$9:$AA$55,0)),""),$AP$54="RASP"))),NOT(AND(ISNUMBER('King Node Model'!$F$24),$AL31='King Node Model'!$F$24,IFERROR(INDEX('Level Engine'!$JN$9:$JN$55,MATCH($AL31,'Level Engine'!$AA$9:$AA$55,0)),0)&lt;&gt;1,$AL31&lt;&gt;'King Node Model'!$AL$42,$AL31&lt;&gt;'King Node Model'!$AL$43,$AL31&lt;&gt;'King Node Model'!$AL$44,$AL31&lt;&gt;'King Node Model'!$AL$49,$AL31&lt;&gt;'King Node Model'!$AL$50,$AL31&lt;&gt;'King Node Model'!$AL$51))),1,0))</f>
        <v>0</v>
      </c>
      <c r="BK31" t="str">
        <f>IFERROR(LARGE($CE$25:$CE$31,6),"")</f>
        <v/>
      </c>
      <c r="BL31" t="str">
        <f>IFERROR(INDEX('King Node Model'!$K$29:$K$75,MATCH($BK31,'King Node Model'!$A$29:$A$75,0)),"")</f>
        <v/>
      </c>
      <c r="BM31" t="str">
        <f>IFERROR(INDEX('King Node Model'!$L$29:$L$75,MATCH($BK31,'King Node Model'!$A$29:$A$75,0)),"")</f>
        <v/>
      </c>
      <c r="BN31" t="str">
        <f t="shared" si="9"/>
        <v/>
      </c>
      <c r="BO31" t="str">
        <f>IFERROR(INDEX('Level Engine'!$AC$9:$AC$55,MATCH($BK31,'Level Engine'!$AA$9:$AA$55,0))/MAX('Level Engine'!$AC$9:$AC$55),"")</f>
        <v/>
      </c>
      <c r="BP31" t="str">
        <f>IF(NOT(ISNUMBER($BK31)),"",IF($BK31&gt;'King Node Model'!$B$4,1,-1))</f>
        <v/>
      </c>
      <c r="BQ31" t="str">
        <f>IF(OR(NOT(ISNUMBER($BN31)),NOT(ISNUMBER($BO31))),"",IF($BO31&lt;0.15,"thin",IF(OR('King Node Model'!$A$8="Neg",N('Level Engine'!$BG$72)=1),"",IF($BP31=1,IF($BN31&lt;=-0.4,"HARD ceil",IF($BN31&lt;=-0.15,"ceil",IF($BN31&lt;0.15,"neutral","soft ceil"))),IF($BN31&gt;=0.4,"FIRM floor",IF($BN31&gt;=0.15,"floor",IF($BN31&gt;-0.15,"neutral","WEAK floor"))))&amp;IF($BO31&lt;0.25," ·marginal",""))))</f>
        <v/>
      </c>
      <c r="BR31" t="str">
        <f>IF(NOT(ISNUMBER($BN31)),"",IF(OR('King Node Model'!$A$8="Neg",N('Level Engine'!$BG$72)=1),"",IF(AND($BP31=1,$BN31&gt;0.15),"⚠",IF(AND($BP31=-1,$BN31&lt;-0.15),"⚠",""))))</f>
        <v/>
      </c>
      <c r="BW31" t="str">
        <f t="shared" si="10"/>
        <v/>
      </c>
      <c r="BX31">
        <f t="shared" si="11"/>
        <v>5</v>
      </c>
      <c r="BY31" t="str">
        <f t="shared" si="12"/>
        <v/>
      </c>
      <c r="CA31">
        <f>IFERROR(SUMPRODUCT(LARGE(('King Node Model'!$A$29:$A$75&gt;$BZ$24)*('King Node Model'!$A$29:$A$75&lt;=$BX$24)*('King Node Model'!$A$29:$A$75&lt;&gt;$BK$34)*(('King Node Model'!$K$29:$K$75+'King Node Model'!$L$29:$L$75)*1000000+'King Node Model'!$A$29:$A$75),6)),0)</f>
        <v>0</v>
      </c>
      <c r="CE31" t="str">
        <f>IF(NOT(ISNUMBER($CA31)),"",IF($CA31&lt;=0,"",IFERROR(SUMPRODUCT(MAX((('King Node Model'!$A$29:$A$75&gt;$BZ$24)*('King Node Model'!$A$29:$A$75&lt;=$BX$24)*('King Node Model'!$A$29:$A$75&lt;&gt;$BK$34)*(('King Node Model'!$K$29:$K$75+'King Node Model'!$L$29:$L$75)*1000000+'King Node Model'!$A$29:$A$75)=$CA31)*'King Node Model'!$A$29:$A$75)),"")))</f>
        <v/>
      </c>
      <c r="CF31">
        <f t="shared" si="13"/>
        <v>5</v>
      </c>
      <c r="CO31">
        <f>IF(NOT(ISNUMBER($AL31)),"",IF(NOT(ISNUMBER(IFERROR(INDEX('Level Engine'!$FT$9:$FT$55,MATCH($AL31,'Level Engine'!$AA$9:$AA$55,0)),""))),"",IF(IFERROR(INDEX('Level Engine'!$FT$9:$FT$55,MATCH($AL31,'Level Engine'!$AA$9:$AA$55,0)),"")&lt;0,0,2)+IF(ABS(IFERROR(INDEX('Level Engine'!$FT$9:$FT$55,MATCH($AL31,'Level Engine'!$AA$9:$AA$55,0)),""))&gt;='Level Engine'!$FT$2,2,1)))</f>
        <v>2</v>
      </c>
      <c r="DJ31" t="str">
        <f>IF(ISNUMBER($AL31),IF($AL31='Level Engine'!$BG$122," ⫪","")&amp;IF($AL31='Level Engine'!$BG$118," S↑"&amp;IFERROR(INDEX('Level Engine'!$MV$9:$MV$55,MATCH($AL31,'Level Engine'!$AA$9:$AA$55,0)),""),"")&amp;IF($AL31='Level Engine'!$BG$119," S↓"&amp;IFERROR(INDEX('Level Engine'!$MV$9:$MV$55,MATCH($AL31,'Level Engine'!$AA$9:$AA$55,0)),""),"")&amp;IF($AL31='Level Engine'!$BG$120," D↑","")&amp;IF($AL31='Level Engine'!$BG$121," D↓","")&amp;IFERROR(INDEX('Level Engine'!$LG$9:$LG$55,MATCH($AL31,'Level Engine'!$AA$9:$AA$55,0)),"")&amp;IF(IFERROR(INDEX('Level Engine'!$MA$9:$MA$55,MATCH($AL31,'Level Engine'!$AA$9:$AA$55,0)),0)=1," SAND","")&amp;IF(IFERROR(INDEX('Level Engine'!$LM$9:$LM$55,MATCH($AL31,'Level Engine'!$AA$9:$AA$55,0)),0)&gt;0," TP","")&amp;IFERROR(" r"&amp;MATCH($AL31,'Level Engine'!$W$9:$W$14,0),IFERROR(" s"&amp;MATCH($AL31,'Level Engine'!$W$18:$W$23,0),""))&amp;IF($AL31='Level Engine'!$BG$165," ◇","")&amp;IF(N($DZ31)=1,IF($AL31&gt;'Level Engine'!$BG$165," ⚠ DOM↓"," ⚠ DOM↑")&amp;'Level Engine'!$BG$165,""),"")</f>
        <v/>
      </c>
      <c r="DK31" t="str">
        <f>IF(AND(ISNUMBER($AL31),OR($AL31='King Node Model'!$AL$42,$AL31='King Node Model'!$AL$43,$AL31='King Node Model'!$AL$44)),IFERROR(MATCH($AL31,'Level Engine'!$W$9:$W$14,0),""),"")</f>
        <v/>
      </c>
      <c r="DL31" t="str">
        <f>IF(AND(ISNUMBER($AL31),OR($AL31='King Node Model'!$AL$49,$AL31='King Node Model'!$AL$50,$AL31='King Node Model'!$AL$51)),IFERROR(MATCH($AL31,'Level Engine'!$W$18:$W$23,0),""),"")</f>
        <v/>
      </c>
      <c r="DM31">
        <f>IF(AND(ISNUMBER($AL31),IFERROR(INDEX('Level Engine'!$LC$9:$LC$55,MATCH($AL31,'Level Engine'!$AA$9:$AA$55,0)),0)=1,OR($AL31=$AN$3,IFERROR(INDEX('Level Engine'!$LB$9:$LB$55,MATCH($AL31,'Level Engine'!$AA$9:$AA$55,0)),0)=1)),1,0)</f>
        <v>0</v>
      </c>
      <c r="DZ31">
        <f>IF(ISNUMBER($AL31),IF(IFERROR(INDEX('Level Engine'!$NJ$9:$NJ$55,MATCH($AL31,'Level Engine'!$AA$9:$AA$55,0)),0)=1,1,0),0)</f>
      </c>
    </row>
    <row r="32" spans="1:117" s="33" customFormat="1" ht="15" customHeight="1" x14ac:dyDescent="0.25">
      <c r="A32" s="7" t="str">
        <f t="shared" si="3"/>
        <v>████</v>
      </c>
      <c r="B32" s="8" t="str">
        <f>TEXT(IF(IF('Level Engine'!$GJ$4=1,$AL32='Level Engine'!$GJ$3,AND($AL32-$AM$2&gt;-2.5,$AL32-$AM$2&lt;=2.5)),$AM$2,$AL32),"0")&amp;IF($AL32=$AN$1," ★","")&amp;IF($AL32=$AN$2," ★","")&amp;IF($AL32=$AN$3," ◆","")&amp;IF(AND(ISNUMBER($AN$4),$AL32=$AN$4)," Ⓕ","")&amp;IF(OR(AND(ISNUMBER('Level Engine'!$BG$87),$AL32='Level Engine'!$BG$87),AND(ISNUMBER('Level Engine'!$BG$105),$AL32='Level Engine'!$BG$105))," ζ","")&amp;IF(AND(ISNUMBER($AN$35),$AL32=$AN$35)," ⓏⒼ","")&amp;IF(OR($AL32='Level Engine'!$CP$4,$AL32='Level Engine'!$CP$5,$AL32='Level Engine'!$CP$6,$AL32='Level Engine'!$CP$7)," ☄","")&amp;IF(OR($AL32=$AN$5,$AL32=$AN$8)," ║1","")&amp;IF(OR($AL32=$AN$6,$AL32=$AN$10)," ║2","")&amp;IF(OR($AL32=$AN$7,$AL32=$AN$11)," ║3","")&amp;IF(OR($AL32=$AN$13,$AL32=$AN$16)," ▣1","")&amp;IF(OR($AL32=$AN$14,$AL32=$AN$17)," ▣2","")&amp;IF(OR($AL32=$AN$15,$AL32=$AN$18)," ▣3","")&amp;IF(AND(NOT(OR(AND(ISNUMBER(SEARCH("chop edge",$E$45)),IFERROR(ABS($AL32-'King Node Model'!$AL$42)&lt;=5,FALSE),NOT(ISNUMBER(SEARCH("UNSAFE",$L$45)))),AND(ISNUMBER(SEARCH("chop edge",$E$46)),IFERROR(ABS($AL32-'King Node Model'!$AL$43)&lt;=5,FALSE),NOT(ISNUMBER(SEARCH("UNSAFE",$L$46)))),AND(ISNUMBER(SEARCH("chop edge",$E$52)),IFERROR(ABS($AL32-'King Node Model'!$AL$49)&lt;=5,FALSE),NOT(ISNUMBER(SEARCH("UNSAFE",$L$52)))),AND(ISNUMBER(SEARCH("chop edge",$E$53)),IFERROR(ABS($AL32-'King Node Model'!$AL$50)&lt;=5,FALSE),NOT(ISNUMBER(SEARCH("UNSAFE",$L$53)))))),OR(AND(IFERROR(INDEX('Level Engine'!$IB$9:$IB$55,MATCH('King Node Model'!$AL$49,'Level Engine'!$AA$9:$AA$55,0)),0)&lt;&gt;1,$AL32=IFERROR(INDEX('Level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Engine'!$AA$9:$AA$55,0)),0)&lt;&gt;1,$AL32=IFERROR(INDEX('Level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edge",$E$45)),IFERROR(ABS($AL32-'King Node Model'!$AL$42)&lt;=5,FALSE),NOT(ISNUMBER(SEARCH("UNSAFE",$L$45)))),AND(ISNUMBER(SEARCH("chop edge",$E$46)),IFERROR(ABS($AL32-'King Node Model'!$AL$43)&lt;=5,FALSE),NOT(ISNUMBER(SEARCH("UNSAFE",$L$46)))),AND(ISNUMBER(SEARCH("chop edge",$E$52)),IFERROR(ABS($AL32-'King Node Model'!$AL$49)&lt;=5,FALSE),NOT(ISNUMBER(SEARCH("UNSAFE",$L$52)))),AND(ISNUMBER(SEARCH("chop edge",$E$53)),IFERROR(ABS($AL32-'King Node Model'!$AL$50)&lt;=5,FALSE),NOT(ISNUMBER(SEARCH("UNSAFE",$L$53)))))),OR(AND(IFERROR(INDEX('Level Engine'!$IB$9:$IB$55,MATCH('King Node Model'!$AL$42,'Level Engine'!$AA$9:$AA$55,0)),0)&lt;&gt;1,$AL32=IFERROR(INDEX('Level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Engine'!$AA$9:$AA$55,0)),0)&lt;&gt;1,$AL32=IFERROR(INDEX('Level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ⒷⓁ"),"")&amp;IF(OR(AND($AL32&gt;='King Node Model'!$AM$17,$AL32&lt;='King Node Model'!$AN$17,$AP$45="RASP"),AND($AL32&gt;='King Node Model'!$AM$18,$AL32&lt;='King Node Model'!$AN$18,$AP$46="RASP"),AND($AL32&gt;='King Node Model'!$AM$19,$AL32&lt;='King Node Model'!$AN$19,$AP$47="RASP"),AND($AL32&gt;='King Node Model'!$AM$20,$AL32&lt;='King Node Model'!$AN$20,$AP$52="RASP"),AND($AL32&gt;='King Node Model'!$AM$21,$AL32&lt;='King Node Model'!$AN$21,$AP$53="RASP"),AND($AL32&gt;='King Node Model'!$AM$22,$AL32&lt;='King Node Model'!$AN$22,$AP$54="RASP")),"","")&amp;IF(IF('Level Engine'!$GJ$4=1,$AL32='Level Engine'!$GJ$3,AND($AL32-$AM$2&gt;-2.5,$AL32-$AM$2&lt;=2.5))," ◄","")&amp;IF(IFERROR(INDEX('Level Engine'!$GV$9:$GV$55,MATCH($AL32,'Level Engine'!$AA$9:$AA$55,0)),0)=1," Ⓥ"&amp;IF(IFERROR(INDEX('Level Engine'!$ET$9:$ET$55,MATCH($AL32,'Level Engine'!$AA$9:$AA$55,0)),0)=1,"+",""),"")&amp;IF(OR(AND($AL32=$AN$38,IFERROR(INDEX('Level Engine'!$AN$9:$AN$55,MATCH($AL32,'Level Engine'!$AA$9:$AA$55,0)),0)&lt;&gt;1),$AL32=$AN$39)," ⊙","")&amp;IF(AND(OR('King Node Model'!$A$8="Neg",N('Level Engine'!$BG$72)=1),ABS(MIN($AM$3:$AM$64))&gt;MAX($AM$3:$AM$64),$AN$2&lt;$AM$2,$AL32&lt;$AM$2,ABS($AL32-$AN$2)&lt;=5,IFERROR(VALUE(MID('King Node Model'!$K$26,FIND(":",'King Node Model'!$K$26)-2,2)),0)&gt;=19,IFERROR(INDEX('Level Engine'!$EJ$9:$EJ$55,MATCH($AL32,'Level Engine'!$AA$9:$AA$55,0)),0)=0,$AN$3&gt;$AM$2)," ⟲rev","")&amp;IF($AL32='King Node Model'!$F$24," ⟂","")&amp;$DJ32&amp;IF(IFERROR(INDEX('Level Engine'!$EN$9:$EN$55,MATCH($AL32,'Level Engine'!$AA$9:$AA$55,0)),0)=1," Ⓟ"&amp;IF(AND(OR('King Node Model'!$A$8="Neg",N('Level Engine'!$BG$72)=1),IFERROR(INDEX('Level Engine'!$AN$9:$AN$55,MATCH($AL32,'Level Engine'!$AA$9:$AA$55,0)),0)&lt;&gt;1)," NO-REV",""),"")&amp;IF(AND(ISNUMBER($AL32),OR(AND(ISNUMBER(SEARCH("chop edge",$E$45)),$AL32='King Node Model'!$AL$42),AND(ISNUMBER(SEARCH("chop edge",$E$46)),$AL32='King Node Model'!$AL$43),AND(ISNUMBER(SEARCH("chop edge",$E$52)),$AL32='King Node Model'!$AL$49),AND(ISNUMBER(SEARCH("chop edge",$E$53)),$AL32='King Node Model'!$AL$50)))," ⒸⒺ","")&amp;IF(AND('Level Engine'!$GJ$4=1,OR($AL32='Level Engine'!$GJ$1,$AL32='Level Engine'!$GJ$2)),"","")&amp;IF(ABS(N(IFERROR(INDEX('Level Engine'!$AE$9:$AE$55,MATCH($AL32,'Level Engine'!$AA$9:$AA$55,0)),0)))&gt;='Level Engine'!$BG$85,IF(N(IFERROR(INDEX('Level Engine'!$AE$9:$AE$55,MATCH($AL32,'Level Engine'!$AA$9:$AA$55,0)),0))&gt;0," Δ+"," Δ−"),"")&amp;IFERROR(IF(AND(ISNUMBER(MATCH($AL32,'Level Engine'!$AA$9:$AA$55,0)),ABS(N(IFERROR(INDEX('Level Engine'!$AE$9:$AE$55,MATCH($AL32,'Level Engine'!$AA$9:$AA$55,0)),0)))&lt;'Level Engine'!$BG$85,ABS(N(IFERROR(INDEX('Level Engine'!$AE$9:$AE$55,MATCH($AL32,'Level Engine'!$AA$9:$AA$55,0)),0)))&lt;=ABS(N(IFERROR(INDEX('Level Engine'!$AE$9:$AE$55,MATCH($AL32+5,'Level Engine'!$AA$9:$AA$55,0)),0))),ABS(N(IFERROR(INDEX('Level Engine'!$AE$9:$AE$55,MATCH($AL32,'Level Engine'!$AA$9:$AA$55,0)),0)))&lt;=ABS(N(IFERROR(INDEX('Level Engine'!$AE$9:$AE$55,MATCH($AL32-5,'Level Engine'!$AA$9:$AA$55,0)),0))),OR(AND(ABS(N(IFERROR(INDEX('Level Engine'!$AE$9:$AE$55,MATCH($AL32+5,'Level Engine'!$AA$9:$AA$55,0)),0)))&gt;='Level Engine'!$BG$85,ABS(N(IFERROR(INDEX('Level Engine'!$AE$9:$AE$55,MATCH($AL32,'Level Engine'!$AA$9:$AA$55,0)),0)))&lt;='Level Engine'!$BG$88*ABS(N(IFERROR(INDEX('Level Engine'!$AE$9:$AE$55,MATCH($AL32+5,'Level Engine'!$AA$9:$AA$55,0)),0)))),AND(ABS(N(IFERROR(INDEX('Level Engine'!$AE$9:$AE$55,MATCH($AL32-5,'Level Engine'!$AA$9:$AA$55,0)),0)))&gt;='Level Engine'!$BG$85,ABS(N(IFERROR(INDEX('Level Engine'!$AE$9:$AE$55,MATCH($AL32,'Level Engine'!$AA$9:$AA$55,0)),0)))&lt;='Level Engine'!$BG$88*ABS(N(IFERROR(INDEX('Level Engine'!$AE$9:$AE$55,MATCH($AL32-5,'Level Engine'!$AA$9:$AA$55,0)),0)))))),IF(AND('King Node Model'!$A$8="Pos",N('Level Engine'!$BG$72)&lt;&gt;1),""," ∅"),""),"")&amp;IF(IFERROR(INDEX('Level Engine'!$JD$9:$JD$55,MATCH($AL32,'Level Engine'!$AA$9:$AA$55,0)),"")="P"," P-OI",IF(IFERROR(INDEX('Level Engine'!$JD$9:$JD$55,MATCH($AL32,'Level Engine'!$AA$9:$AA$55,0)),"")="C"," C-OI",""))</f>
        <v>7740 s4</v>
      </c>
      <c r="C32" s="9" t="str">
        <f t="shared" si="0"/>
        <v/>
      </c>
      <c r="D32" t="str">
        <f>IF(NOT(ISNUMBER($AL32)),"",IF(IFERROR(INDEX('Level Engine'!$FS$9:$FS$55,MATCH($AL32,'Level Engine'!$AA$9:$AA$55,0)),0)=1,"⊙",""))</f>
        <v/>
      </c>
      <c r="E32" s="556" t="s">
        <v>2802</v>
      </c>
      <c r="F32" s="471"/>
      <c r="G32" s="471"/>
      <c r="H32" s="471"/>
      <c r="I32" s="471"/>
      <c r="J32" s="471"/>
      <c r="K32" s="471"/>
      <c r="L32" s="471"/>
      <c r="M32" s="471"/>
      <c r="N32" s="520"/>
      <c r="O32" s="432"/>
      <c r="P32" s="471"/>
      <c r="Q32" s="452"/>
      <c r="R32" s="447"/>
      <c r="S32" s="484"/>
      <c r="T32" s="484"/>
      <c r="U32" s="453"/>
      <c r="V32" s="471"/>
      <c r="AA32" s="471"/>
      <c r="AB32" s="471"/>
      <c r="AC32" s="471"/>
      <c r="AE32" s="471"/>
      <c r="AL32" s="1">
        <f>'King Node Model'!A58</f>
        <v>7740</v>
      </c>
      <c r="AM32" s="10">
        <f>'King Node Model'!C58</f>
        <v>-252679</v>
      </c>
      <c r="AN32" s="471"/>
      <c r="AO32" s="10">
        <f>'King Node Model'!B58</f>
        <v>619804</v>
      </c>
      <c r="AP32" s="471"/>
      <c r="AY32" s="1">
        <f>IF(AND($B$2="Hide unsafe",$BB32=1),0,IF(AND(OR(AND(AND(ISNUMBER($AL32),OR(AND($AL32&gt;=$AQ$22,$AL32&lt;=$AR$22,$AS$22=1),$AL32=$AQ$22,$AL32=$AR$22,$AL32=$AQ$23,$AL32=$AR$23,$AL32=$AQ$24,$AL32=$AR$24),NOT(OR($AL32=$AN$5,$AL32=$AN$6,$AL32=$AN$7,$AL32=$AN$8,$AL32=$AN$10,$AL32=$AN$11))),NOT(OR(AND('King Node Model'!$P$13="Up",OR($AL32=$AQ$22,$AL32=$AQ$23,$AL32=$AQ$24,$AL32='King Node Model'!$AM$20,$AL32='King Node Model'!$AM$21,$AL32='King Node Model'!$AM$22),OR(AND('King Node Model'!$B$23-$AL32&gt;=0,'King Node Model'!$B$23-$AL32&lt;=5),AND('King Node Model'!$C$23-$AL32&gt;=0,'King Node Model'!$C$23-$AL32&lt;=5))),AND('King Node Model'!$P$13="Down",OR($AL32=$AR$22,$AL32=$AR$23,$AL32=$AR$24,$AL32='King Node Model'!$AN$20,$AL32='King Node Model'!$AN$21,$AL32='King Node Model'!$AN$22),OR(AND($AL32-'King Node Model'!$B$23&gt;=0,$AL32-'King Node Model'!$B$23&lt;=5),AND($AL32-'King Node Model'!$C$24&gt;=0,$AL32-'King Node Model'!$C$24&lt;=5)))))),AND(AND(ISNUMBER($AL32),OR(AND($AL32&gt;=$AQ$22,$AL32&lt;=$AR$22,$AS$22=1),$AL32=$AQ$22,$AL32=$AR$22,$AL32=$AQ$23,$AL32=$AR$23,$AL32=$AQ$24,$AL32=$AR$24,$AL32='King Node Model'!$AL$42,$AL32='King Node Model'!$AL$43),OR($AL32=$AN$5,$AL32=$AN$6,$AL32=$AN$7,$AL32=$AN$8,$AL32=$AN$10,$AL32=$AN$11)),NOT(OR(AND('King Node Model'!$P$13="Up",OR($AL32=$AQ$22,$AL32=$AQ$23,$AL32=$AQ$24,$AL32='King Node Model'!$AM$20,$AL32='King Node Model'!$AM$21,$AL32='King Node Model'!$AM$22),OR(AND('King Node Model'!$B$23-$AL32&gt;=0,'King Node Model'!$B$23-$AL32&lt;=5),AND('King Node Model'!$C$23-$AL32&gt;=0,'King Node Model'!$C$23-$AL32&lt;=5))),AND('King Node Model'!$P$13="Down",OR($AL32=$AR$22,$AL32=$AR$23,$AL32=$AR$24,$AL32='King Node Model'!$AN$20,$AL32='King Node Model'!$AN$21,$AL32='King Node Model'!$AN$22),OR(AND($AL32-'King Node Model'!$B$23&gt;=0,$AL32-'King Node Model'!$B$23&lt;=5),AND($AL32-'King Node Model'!$C$24&gt;=0,$AL32-'King Node Model'!$C$24&lt;=5)))))),AND(AND(ISNUMBER($AL32),OR(AND($AL32&gt;='King Node Model'!$AM$20,$AL32&lt;='King Node Model'!$AN$20,$AS$23=1),$AL32='King Node Model'!$AM$20,$AL32='King Node Model'!$AN$20,$AL32='King Node Model'!$AM$21,$AL32='King Node Model'!$AN$21,$AL32='King Node Model'!$AM$22,$AL32='King Node Model'!$AN$22),NOT(OR($AL32=$AN$5,$AL32=$AN$6,$AL32=$AN$7,$AL32=$AN$8,$AL32=$AN$10,$AL32=$AN$11))),NOT(AND(ISNUMBER('King Node Model'!$F$24),$AL32='King Node Model'!$F$24,IFERROR(INDEX('Level Engine'!$JN$9:$JN$55,MATCH($AL32,'Level Engine'!$AA$9:$AA$55,0)),0)&lt;&gt;1))),AND(AND(ISNUMBER($AL32),OR(AND($AL32&gt;='King Node Model'!$AM$20,$AL32&lt;='King Node Model'!$AN$20,$AS$23=1),$AL32='King Node Model'!$AM$20,$AL32='King Node Model'!$AN$20,$AL32='King Node Model'!$AM$21,$AL32='King Node Model'!$AN$21,$AL32='King Node Model'!$AM$22,$AL32='King Node Model'!$AN$22,$AL32='King Node Model'!$AL$49,$AL32='King Node Model'!$AL$50),OR($AL32=$AN$5,$AL32=$AN$6,$AL32=$AN$7,$AL32=$AN$8,$AL32=$AN$10,$AL32=$AN$11)),NOT(OR(AND('King Node Model'!$P$13="Up",OR($AL32=$AQ$22,$AL32=$AQ$23,$AL32=$AQ$24,$AL32='King Node Model'!$AM$20,$AL32='King Node Model'!$AM$21,$AL32='King Node Model'!$AM$22),OR(AND('King Node Model'!$B$23-$AL32&gt;=0,'King Node Model'!$B$23-$AL32&lt;=5),AND('King Node Model'!$C$23-$AL32&gt;=0,'King Node Model'!$C$23-$AL32&lt;=5))),AND('King Node Model'!$P$13="Down",OR($AL32=$AR$22,$AL32=$AR$23,$AL32=$AR$24,$AL32='King Node Model'!$AN$20,$AL32='King Node Model'!$AN$21,$AL32='King Node Model'!$AN$22),OR(AND($AL32-'King Node Model'!$B$23&gt;=0,$AL32-'King Node Model'!$B$23&lt;=5),AND($AL32-'King Node Model'!$C$24&gt;=0,$AL32-'King Node Model'!$C$24&lt;=5))))))),OR(COUNTIF('Level Engine'!$W$9:$W$14,$AL32)&gt;0,COUNTIF('Level Engine'!$W$18:$W$23,$AL32)&gt;0)),1,0))</f>
        <v>0</v>
      </c>
      <c r="AZ32" s="1">
        <f t="shared" si="1"/>
        <v>0</v>
      </c>
      <c r="BB32" s="1">
        <f>IF(OR(AND($AL32='King Node Model'!$AL$42,$AP$45&lt;&gt;"RASP"),AND($AL32='King Node Model'!$AL$43,$AP$46&lt;&gt;"RASP"),AND($AL32='King Node Model'!$AL$49,$AP$52&lt;&gt;"RASP"),AND($AL32='King Node Model'!$AL$50,$AP$53&lt;&gt;"RASP"),AND($AL32='King Node Model'!$AL$44,$AP$47&lt;&gt;"RASP"),AND($AL32='King Node Model'!$AL$51,$AP$54&lt;&gt;"RASP")),0,IF(AND(AND(ISNUMBER($AL32),OR(AND($AL32&gt;=$AQ$22,$AL32&lt;=$AR$22,$AP$45="RASP"),AND($AL32&gt;=$AQ$23,$AL32&lt;=$AR$23,$AP$46="RASP"),AND($AL32&gt;=$AQ$24,$AL32&lt;=$AR$24,$AP$47="RASP"),AND($AL32&gt;='King Node Model'!$AM$20,$AL32&lt;='King Node Model'!$AN$20,$AP$52="RASP",NOT($L$52=$AW$52)),AND($AL32='King Node Model'!$B$23,$AP$52="RASP",$L$52=$AW$52),AND($AL32&gt;='King Node Model'!$AM$21,$AL32&lt;='King Node Model'!$AN$21,$AP$53="RASP",NOT($L$53=$AW$53)),AND($AL32='King Node Model'!$B$23,$AP$53="RASP",$L$53=$AW$53),AND($AL32&gt;='King Node Model'!$AM$22,$AL32&lt;='King Node Model'!$AN$22,$AP$54="RASP"),AND($AL32&gt;=IFERROR(INDEX('Level Engine'!$AT$9:$AT$55,MATCH('King Node Model'!$AL$42,'Level Engine'!$AA$9:$AA$55,0)),""),$AL32&lt;=IFERROR(INDEX('Level Engine'!$AU$9:$AU$55,MATCH('King Node Model'!$AL$42,'Level Engine'!$AA$9:$AA$55,0)),""),$AP$45="RASP"),AND($AL32&gt;=IFERROR(INDEX('Level Engine'!$AT$9:$AT$55,MATCH('King Node Model'!$AL$43,'Level Engine'!$AA$9:$AA$55,0)),""),$AL32&lt;=IFERROR(INDEX('Level Engine'!$AU$9:$AU$55,MATCH('King Node Model'!$AL$43,'Level Engine'!$AA$9:$AA$55,0)),""),$AP$46="RASP"),AND($AL32&gt;=IFERROR(INDEX('Level Engine'!$AT$9:$AT$55,MATCH('King Node Model'!$AL$44,'Level Engine'!$AA$9:$AA$55,0)),""),$AL32&lt;=IFERROR(INDEX('Level Engine'!$AU$9:$AU$55,MATCH('King Node Model'!$AL$44,'Level Engine'!$AA$9:$AA$55,0)),""),$AP$47="RASP"),AND($AL32&gt;=IFERROR(INDEX('Level Engine'!$AT$9:$AT$55,MATCH('King Node Model'!$AL$49,'Level Engine'!$AA$9:$AA$55,0)),""),$AL32&lt;=IFERROR(INDEX('Level Engine'!$AU$9:$AU$55,MATCH('King Node Model'!$AL$49,'Level Engine'!$AA$9:$AA$55,0)),""),$AP$52="RASP",NOT($L$52=$AW$52)),AND($AL32&gt;=IFERROR(INDEX('Level Engine'!$AT$9:$AT$55,MATCH('King Node Model'!$AL$50,'Level Engine'!$AA$9:$AA$55,0)),""),$AL32&lt;=IFERROR(INDEX('Level Engine'!$AU$9:$AU$55,MATCH('King Node Model'!$AL$50,'Level Engine'!$AA$9:$AA$55,0)),""),$AP$53="RASP",NOT($L$53=$AW$53)),AND($AL32&gt;=IFERROR(INDEX('Level Engine'!$AT$9:$AT$55,MATCH('King Node Model'!$AL$51,'Level Engine'!$AA$9:$AA$55,0)),""),$AL32&lt;=IFERROR(INDEX('Level Engine'!$AU$9:$AU$55,MATCH('King Node Model'!$AL$51,'Level Engine'!$AA$9:$AA$55,0)),""),$AP$54="RASP"))),NOT(AND(ISNUMBER('King Node Model'!$F$24),$AL32='King Node Model'!$F$24,IFERROR(INDEX('Level Engine'!$JN$9:$JN$55,MATCH($AL32,'Level Engine'!$AA$9:$AA$55,0)),0)&lt;&gt;1,$AL32&lt;&gt;'King Node Model'!$AL$42,$AL32&lt;&gt;'King Node Model'!$AL$43,$AL32&lt;&gt;'King Node Model'!$AL$44,$AL32&lt;&gt;'King Node Model'!$AL$49,$AL32&lt;&gt;'King Node Model'!$AL$50,$AL32&lt;&gt;'King Node Model'!$AL$51))),1,0))</f>
        <v>0</v>
      </c>
      <c r="CO32">
        <f>IF(NOT(ISNUMBER($AL32)),"",IF(NOT(ISNUMBER(IFERROR(INDEX('Level Engine'!$FT$9:$FT$55,MATCH($AL32,'Level Engine'!$AA$9:$AA$55,0)),""))),"",IF(IFERROR(INDEX('Level Engine'!$FT$9:$FT$55,MATCH($AL32,'Level Engine'!$AA$9:$AA$55,0)),"")&lt;0,0,2)+IF(ABS(IFERROR(INDEX('Level Engine'!$FT$9:$FT$55,MATCH($AL32,'Level Engine'!$AA$9:$AA$55,0)),""))&gt;='Level Engine'!$FT$2,2,1)))</f>
        <v>1</v>
      </c>
      <c r="DJ32" t="str">
        <f>IF(ISNUMBER($AL32),IF($AL32='Level Engine'!$BG$122," ⫪","")&amp;IF($AL32='Level Engine'!$BG$118," S↑"&amp;IFERROR(INDEX('Level Engine'!$MV$9:$MV$55,MATCH($AL32,'Level Engine'!$AA$9:$AA$55,0)),""),"")&amp;IF($AL32='Level Engine'!$BG$119," S↓"&amp;IFERROR(INDEX('Level Engine'!$MV$9:$MV$55,MATCH($AL32,'Level Engine'!$AA$9:$AA$55,0)),""),"")&amp;IF($AL32='Level Engine'!$BG$120," D↑","")&amp;IF($AL32='Level Engine'!$BG$121," D↓","")&amp;IFERROR(INDEX('Level Engine'!$LG$9:$LG$55,MATCH($AL32,'Level Engine'!$AA$9:$AA$55,0)),"")&amp;IF(IFERROR(INDEX('Level Engine'!$MA$9:$MA$55,MATCH($AL32,'Level Engine'!$AA$9:$AA$55,0)),0)=1," SAND","")&amp;IF(IFERROR(INDEX('Level Engine'!$LM$9:$LM$55,MATCH($AL32,'Level Engine'!$AA$9:$AA$55,0)),0)&gt;0," TP","")&amp;IFERROR(" r"&amp;MATCH($AL32,'Level Engine'!$W$9:$W$14,0),IFERROR(" s"&amp;MATCH($AL32,'Level Engine'!$W$18:$W$23,0),""))&amp;IF($AL32='Level Engine'!$BG$165," ◇","")&amp;IF(N($DZ32)=1,IF($AL32&gt;'Level Engine'!$BG$165," ⚠ DOM↓"," ⚠ DOM↑")&amp;'Level Engine'!$BG$165,""),"")</f>
        <v xml:space="preserve"> s4</v>
      </c>
      <c r="DK32" t="str">
        <f>IF(AND(ISNUMBER($AL32),OR($AL32='King Node Model'!$AL$42,$AL32='King Node Model'!$AL$43,$AL32='King Node Model'!$AL$44)),IFERROR(MATCH($AL32,'Level Engine'!$W$9:$W$14,0),""),"")</f>
        <v/>
      </c>
      <c r="DL32" t="str">
        <f>IF(AND(ISNUMBER($AL32),OR($AL32='King Node Model'!$AL$49,$AL32='King Node Model'!$AL$50,$AL32='King Node Model'!$AL$51)),IFERROR(MATCH($AL32,'Level Engine'!$W$18:$W$23,0),""),"")</f>
        <v/>
      </c>
      <c r="DM32">
        <f>IF(AND(ISNUMBER($AL32),IFERROR(INDEX('Level Engine'!$LC$9:$LC$55,MATCH($AL32,'Level Engine'!$AA$9:$AA$55,0)),0)=1,OR($AL32=$AN$3,IFERROR(INDEX('Level Engine'!$LB$9:$LB$55,MATCH($AL32,'Level Engine'!$AA$9:$AA$55,0)),0)=1)),1,0)</f>
        <v>0</v>
      </c>
      <c r="DZ32">
        <f>IF(ISNUMBER($AL32),IF(IFERROR(INDEX('Level Engine'!$NJ$9:$NJ$55,MATCH($AL32,'Level Engine'!$AA$9:$AA$55,0)),0)=1,1,0),0)</f>
      </c>
    </row>
    <row r="33" spans="1:123" s="33" customFormat="1" ht="15" customHeight="1" x14ac:dyDescent="0.25">
      <c r="A33" s="7" t="str">
        <f t="shared" si="3"/>
        <v>██</v>
      </c>
      <c r="B33" s="8" t="str">
        <f>TEXT(IF(IF('Level Engine'!$GJ$4=1,$AL33='Level Engine'!$GJ$3,AND($AL33-$AM$2&gt;-2.5,$AL33-$AM$2&lt;=2.5)),$AM$2,$AL33),"0")&amp;IF($AL33=$AN$1," ★","")&amp;IF($AL33=$AN$2," ★","")&amp;IF($AL33=$AN$3," ◆","")&amp;IF(AND(ISNUMBER($AN$4),$AL33=$AN$4)," Ⓕ","")&amp;IF(OR(AND(ISNUMBER('Level Engine'!$BG$87),$AL33='Level Engine'!$BG$87),AND(ISNUMBER('Level Engine'!$BG$105),$AL33='Level Engine'!$BG$105))," ζ","")&amp;IF(AND(ISNUMBER($AN$35),$AL33=$AN$35)," ⓏⒼ","")&amp;IF(OR($AL33='Level Engine'!$CP$4,$AL33='Level Engine'!$CP$5,$AL33='Level Engine'!$CP$6,$AL33='Level Engine'!$CP$7)," ☄","")&amp;IF(OR($AL33=$AN$5,$AL33=$AN$8)," ║1","")&amp;IF(OR($AL33=$AN$6,$AL33=$AN$10)," ║2","")&amp;IF(OR($AL33=$AN$7,$AL33=$AN$11)," ║3","")&amp;IF(OR($AL33=$AN$13,$AL33=$AN$16)," ▣1","")&amp;IF(OR($AL33=$AN$14,$AL33=$AN$17)," ▣2","")&amp;IF(OR($AL33=$AN$15,$AL33=$AN$18)," ▣3","")&amp;IF(AND(NOT(OR(AND(ISNUMBER(SEARCH("chop edge",$E$45)),IFERROR(ABS($AL33-'King Node Model'!$AL$42)&lt;=5,FALSE),NOT(ISNUMBER(SEARCH("UNSAFE",$L$45)))),AND(ISNUMBER(SEARCH("chop edge",$E$46)),IFERROR(ABS($AL33-'King Node Model'!$AL$43)&lt;=5,FALSE),NOT(ISNUMBER(SEARCH("UNSAFE",$L$46)))),AND(ISNUMBER(SEARCH("chop edge",$E$52)),IFERROR(ABS($AL33-'King Node Model'!$AL$49)&lt;=5,FALSE),NOT(ISNUMBER(SEARCH("UNSAFE",$L$52)))),AND(ISNUMBER(SEARCH("chop edge",$E$53)),IFERROR(ABS($AL33-'King Node Model'!$AL$50)&lt;=5,FALSE),NOT(ISNUMBER(SEARCH("UNSAFE",$L$53)))))),OR(AND(IFERROR(INDEX('Level Engine'!$IB$9:$IB$55,MATCH('King Node Model'!$AL$49,'Level Engine'!$AA$9:$AA$55,0)),0)&lt;&gt;1,$AL33=IFERROR(INDEX('Level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Engine'!$AA$9:$AA$55,0)),0)&lt;&gt;1,$AL33=IFERROR(INDEX('Level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edge",$E$45)),IFERROR(ABS($AL33-'King Node Model'!$AL$42)&lt;=5,FALSE),NOT(ISNUMBER(SEARCH("UNSAFE",$L$45)))),AND(ISNUMBER(SEARCH("chop edge",$E$46)),IFERROR(ABS($AL33-'King Node Model'!$AL$43)&lt;=5,FALSE),NOT(ISNUMBER(SEARCH("UNSAFE",$L$46)))),AND(ISNUMBER(SEARCH("chop edge",$E$52)),IFERROR(ABS($AL33-'King Node Model'!$AL$49)&lt;=5,FALSE),NOT(ISNUMBER(SEARCH("UNSAFE",$L$52)))),AND(ISNUMBER(SEARCH("chop edge",$E$53)),IFERROR(ABS($AL33-'King Node Model'!$AL$50)&lt;=5,FALSE),NOT(ISNUMBER(SEARCH("UNSAFE",$L$53)))))),OR(AND(IFERROR(INDEX('Level Engine'!$IB$9:$IB$55,MATCH('King Node Model'!$AL$42,'Level Engine'!$AA$9:$AA$55,0)),0)&lt;&gt;1,$AL33=IFERROR(INDEX('Level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Engine'!$AA$9:$AA$55,0)),0)&lt;&gt;1,$AL33=IFERROR(INDEX('Level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ⒷⓁ"),"")&amp;IF(OR(AND($AL33&gt;='King Node Model'!$AM$17,$AL33&lt;='King Node Model'!$AN$17,$AP$45="RASP"),AND($AL33&gt;='King Node Model'!$AM$18,$AL33&lt;='King Node Model'!$AN$18,$AP$46="RASP"),AND($AL33&gt;='King Node Model'!$AM$19,$AL33&lt;='King Node Model'!$AN$19,$AP$47="RASP"),AND($AL33&gt;='King Node Model'!$AM$20,$AL33&lt;='King Node Model'!$AN$20,$AP$52="RASP"),AND($AL33&gt;='King Node Model'!$AM$21,$AL33&lt;='King Node Model'!$AN$21,$AP$53="RASP"),AND($AL33&gt;='King Node Model'!$AM$22,$AL33&lt;='King Node Model'!$AN$22,$AP$54="RASP")),"","")&amp;IF(IF('Level Engine'!$GJ$4=1,$AL33='Level Engine'!$GJ$3,AND($AL33-$AM$2&gt;-2.5,$AL33-$AM$2&lt;=2.5))," ◄","")&amp;IF(IFERROR(INDEX('Level Engine'!$GV$9:$GV$55,MATCH($AL33,'Level Engine'!$AA$9:$AA$55,0)),0)=1," Ⓥ"&amp;IF(IFERROR(INDEX('Level Engine'!$ET$9:$ET$55,MATCH($AL33,'Level Engine'!$AA$9:$AA$55,0)),0)=1,"+",""),"")&amp;IF(OR(AND($AL33=$AN$38,IFERROR(INDEX('Level Engine'!$AN$9:$AN$55,MATCH($AL33,'Level Engine'!$AA$9:$AA$55,0)),0)&lt;&gt;1),$AL33=$AN$39)," ⊙","")&amp;IF(AND(OR('King Node Model'!$A$8="Neg",N('Level Engine'!$BG$72)=1),ABS(MIN($AM$3:$AM$64))&gt;MAX($AM$3:$AM$64),$AN$2&lt;$AM$2,$AL33&lt;$AM$2,ABS($AL33-$AN$2)&lt;=5,IFERROR(VALUE(MID('King Node Model'!$K$26,FIND(":",'King Node Model'!$K$26)-2,2)),0)&gt;=19,IFERROR(INDEX('Level Engine'!$EJ$9:$EJ$55,MATCH($AL33,'Level Engine'!$AA$9:$AA$55,0)),0)=0,$AN$3&gt;$AM$2)," ⟲rev","")&amp;IF($AL33='King Node Model'!$F$24," ⟂","")&amp;$DJ33&amp;IF(IFERROR(INDEX('Level Engine'!$EN$9:$EN$55,MATCH($AL33,'Level Engine'!$AA$9:$AA$55,0)),0)=1," Ⓟ"&amp;IF(AND(OR('King Node Model'!$A$8="Neg",N('Level Engine'!$BG$72)=1),IFERROR(INDEX('Level Engine'!$AN$9:$AN$55,MATCH($AL33,'Level Engine'!$AA$9:$AA$55,0)),0)&lt;&gt;1)," NO-REV",""),"")&amp;IF(AND(ISNUMBER($AL33),OR(AND(ISNUMBER(SEARCH("chop edge",$E$45)),$AL33='King Node Model'!$AL$42),AND(ISNUMBER(SEARCH("chop edge",$E$46)),$AL33='King Node Model'!$AL$43),AND(ISNUMBER(SEARCH("chop edge",$E$52)),$AL33='King Node Model'!$AL$49),AND(ISNUMBER(SEARCH("chop edge",$E$53)),$AL33='King Node Model'!$AL$50)))," ⒸⒺ","")&amp;IF(AND('Level Engine'!$GJ$4=1,OR($AL33='Level Engine'!$GJ$1,$AL33='Level Engine'!$GJ$2)),"","")&amp;IF(ABS(N(IFERROR(INDEX('Level Engine'!$AE$9:$AE$55,MATCH($AL33,'Level Engine'!$AA$9:$AA$55,0)),0)))&gt;='Level Engine'!$BG$85,IF(N(IFERROR(INDEX('Level Engine'!$AE$9:$AE$55,MATCH($AL33,'Level Engine'!$AA$9:$AA$55,0)),0))&gt;0," Δ+"," Δ−"),"")&amp;IFERROR(IF(AND(ISNUMBER(MATCH($AL33,'Level Engine'!$AA$9:$AA$55,0)),ABS(N(IFERROR(INDEX('Level Engine'!$AE$9:$AE$55,MATCH($AL33,'Level Engine'!$AA$9:$AA$55,0)),0)))&lt;'Level Engine'!$BG$85,ABS(N(IFERROR(INDEX('Level Engine'!$AE$9:$AE$55,MATCH($AL33,'Level Engine'!$AA$9:$AA$55,0)),0)))&lt;=ABS(N(IFERROR(INDEX('Level Engine'!$AE$9:$AE$55,MATCH($AL33+5,'Level Engine'!$AA$9:$AA$55,0)),0))),ABS(N(IFERROR(INDEX('Level Engine'!$AE$9:$AE$55,MATCH($AL33,'Level Engine'!$AA$9:$AA$55,0)),0)))&lt;=ABS(N(IFERROR(INDEX('Level Engine'!$AE$9:$AE$55,MATCH($AL33-5,'Level Engine'!$AA$9:$AA$55,0)),0))),OR(AND(ABS(N(IFERROR(INDEX('Level Engine'!$AE$9:$AE$55,MATCH($AL33+5,'Level Engine'!$AA$9:$AA$55,0)),0)))&gt;='Level Engine'!$BG$85,ABS(N(IFERROR(INDEX('Level Engine'!$AE$9:$AE$55,MATCH($AL33,'Level Engine'!$AA$9:$AA$55,0)),0)))&lt;='Level Engine'!$BG$88*ABS(N(IFERROR(INDEX('Level Engine'!$AE$9:$AE$55,MATCH($AL33+5,'Level Engine'!$AA$9:$AA$55,0)),0)))),AND(ABS(N(IFERROR(INDEX('Level Engine'!$AE$9:$AE$55,MATCH($AL33-5,'Level Engine'!$AA$9:$AA$55,0)),0)))&gt;='Level Engine'!$BG$85,ABS(N(IFERROR(INDEX('Level Engine'!$AE$9:$AE$55,MATCH($AL33,'Level Engine'!$AA$9:$AA$55,0)),0)))&lt;='Level Engine'!$BG$88*ABS(N(IFERROR(INDEX('Level Engine'!$AE$9:$AE$55,MATCH($AL33-5,'Level Engine'!$AA$9:$AA$55,0)),0)))))),IF(AND('King Node Model'!$A$8="Pos",N('Level Engine'!$BG$72)&lt;&gt;1),""," ∅"),""),"")&amp;IF(IFERROR(INDEX('Level Engine'!$JD$9:$JD$55,MATCH($AL33,'Level Engine'!$AA$9:$AA$55,0)),"")="P"," P-OI",IF(IFERROR(INDEX('Level Engine'!$JD$9:$JD$55,MATCH($AL33,'Level Engine'!$AA$9:$AA$55,0)),"")="C"," C-OI",""))</f>
        <v>7735 ∅ P-OI</v>
      </c>
      <c r="C33" s="9" t="str">
        <f t="shared" si="0"/>
        <v/>
      </c>
      <c r="D33" t="str">
        <f>IF(NOT(ISNUMBER($AL33)),"",IF(IFERROR(INDEX('Level Engine'!$FS$9:$FS$55,MATCH($AL33,'Level Engine'!$AA$9:$AA$55,0)),0)=1,"⊙",""))</f>
        <v/>
      </c>
      <c r="E33" s="519"/>
      <c r="F33" s="471"/>
      <c r="G33" s="471"/>
      <c r="H33" s="471"/>
      <c r="I33" s="471"/>
      <c r="J33" s="471"/>
      <c r="K33" s="471"/>
      <c r="L33" s="471"/>
      <c r="M33" s="471"/>
      <c r="N33" s="520"/>
      <c r="O33" s="432"/>
      <c r="P33" s="471"/>
      <c r="Q33" s="452"/>
      <c r="R33" s="447"/>
      <c r="S33" s="484"/>
      <c r="T33" s="484"/>
      <c r="U33" s="453"/>
      <c r="V33" s="471"/>
      <c r="AA33" s="471"/>
      <c r="AB33" s="471"/>
      <c r="AC33" s="471"/>
      <c r="AE33" s="471"/>
      <c r="AL33" s="1">
        <f>'King Node Model'!A59</f>
        <v>7735</v>
      </c>
      <c r="AM33" s="10">
        <f>'King Node Model'!C59</f>
        <v>-277071</v>
      </c>
      <c r="AN33" s="471"/>
      <c r="AO33" s="10">
        <f>'King Node Model'!B59</f>
        <v>379726</v>
      </c>
      <c r="AP33" s="471"/>
      <c r="AY33" s="1">
        <f>IF(AND($B$2="Hide unsafe",$BB33=1),0,IF(AND(OR(AND(AND(ISNUMBER($AL33),OR(AND($AL33&gt;=$AQ$22,$AL33&lt;=$AR$22,$AS$22=1),$AL33=$AQ$22,$AL33=$AR$22,$AL33=$AQ$23,$AL33=$AR$23,$AL33=$AQ$24,$AL33=$AR$24),NOT(OR($AL33=$AN$5,$AL33=$AN$6,$AL33=$AN$7,$AL33=$AN$8,$AL33=$AN$10,$AL33=$AN$11))),NOT(OR(AND('King Node Model'!$P$13="Up",OR($AL33=$AQ$22,$AL33=$AQ$23,$AL33=$AQ$24,$AL33='King Node Model'!$AM$20,$AL33='King Node Model'!$AM$21,$AL33='King Node Model'!$AM$22),OR(AND('King Node Model'!$B$23-$AL33&gt;=0,'King Node Model'!$B$23-$AL33&lt;=5),AND('King Node Model'!$C$23-$AL33&gt;=0,'King Node Model'!$C$23-$AL33&lt;=5))),AND('King Node Model'!$P$13="Down",OR($AL33=$AR$22,$AL33=$AR$23,$AL33=$AR$24,$AL33='King Node Model'!$AN$20,$AL33='King Node Model'!$AN$21,$AL33='King Node Model'!$AN$22),OR(AND($AL33-'King Node Model'!$B$23&gt;=0,$AL33-'King Node Model'!$B$23&lt;=5),AND($AL33-'King Node Model'!$C$24&gt;=0,$AL33-'King Node Model'!$C$24&lt;=5)))))),AND(AND(ISNUMBER($AL33),OR(AND($AL33&gt;=$AQ$22,$AL33&lt;=$AR$22,$AS$22=1),$AL33=$AQ$22,$AL33=$AR$22,$AL33=$AQ$23,$AL33=$AR$23,$AL33=$AQ$24,$AL33=$AR$24,$AL33='King Node Model'!$AL$42,$AL33='King Node Model'!$AL$43),OR($AL33=$AN$5,$AL33=$AN$6,$AL33=$AN$7,$AL33=$AN$8,$AL33=$AN$10,$AL33=$AN$11)),NOT(OR(AND('King Node Model'!$P$13="Up",OR($AL33=$AQ$22,$AL33=$AQ$23,$AL33=$AQ$24,$AL33='King Node Model'!$AM$20,$AL33='King Node Model'!$AM$21,$AL33='King Node Model'!$AM$22),OR(AND('King Node Model'!$B$23-$AL33&gt;=0,'King Node Model'!$B$23-$AL33&lt;=5),AND('King Node Model'!$C$23-$AL33&gt;=0,'King Node Model'!$C$23-$AL33&lt;=5))),AND('King Node Model'!$P$13="Down",OR($AL33=$AR$22,$AL33=$AR$23,$AL33=$AR$24,$AL33='King Node Model'!$AN$20,$AL33='King Node Model'!$AN$21,$AL33='King Node Model'!$AN$22),OR(AND($AL33-'King Node Model'!$B$23&gt;=0,$AL33-'King Node Model'!$B$23&lt;=5),AND($AL33-'King Node Model'!$C$24&gt;=0,$AL33-'King Node Model'!$C$24&lt;=5)))))),AND(AND(ISNUMBER($AL33),OR(AND($AL33&gt;='King Node Model'!$AM$20,$AL33&lt;='King Node Model'!$AN$20,$AS$23=1),$AL33='King Node Model'!$AM$20,$AL33='King Node Model'!$AN$20,$AL33='King Node Model'!$AM$21,$AL33='King Node Model'!$AN$21,$AL33='King Node Model'!$AM$22,$AL33='King Node Model'!$AN$22),NOT(OR($AL33=$AN$5,$AL33=$AN$6,$AL33=$AN$7,$AL33=$AN$8,$AL33=$AN$10,$AL33=$AN$11))),NOT(AND(ISNUMBER('King Node Model'!$F$24),$AL33='King Node Model'!$F$24,IFERROR(INDEX('Level Engine'!$JN$9:$JN$55,MATCH($AL33,'Level Engine'!$AA$9:$AA$55,0)),0)&lt;&gt;1))),AND(AND(ISNUMBER($AL33),OR(AND($AL33&gt;='King Node Model'!$AM$20,$AL33&lt;='King Node Model'!$AN$20,$AS$23=1),$AL33='King Node Model'!$AM$20,$AL33='King Node Model'!$AN$20,$AL33='King Node Model'!$AM$21,$AL33='King Node Model'!$AN$21,$AL33='King Node Model'!$AM$22,$AL33='King Node Model'!$AN$22,$AL33='King Node Model'!$AL$49,$AL33='King Node Model'!$AL$50),OR($AL33=$AN$5,$AL33=$AN$6,$AL33=$AN$7,$AL33=$AN$8,$AL33=$AN$10,$AL33=$AN$11)),NOT(OR(AND('King Node Model'!$P$13="Up",OR($AL33=$AQ$22,$AL33=$AQ$23,$AL33=$AQ$24,$AL33='King Node Model'!$AM$20,$AL33='King Node Model'!$AM$21,$AL33='King Node Model'!$AM$22),OR(AND('King Node Model'!$B$23-$AL33&gt;=0,'King Node Model'!$B$23-$AL33&lt;=5),AND('King Node Model'!$C$23-$AL33&gt;=0,'King Node Model'!$C$23-$AL33&lt;=5))),AND('King Node Model'!$P$13="Down",OR($AL33=$AR$22,$AL33=$AR$23,$AL33=$AR$24,$AL33='King Node Model'!$AN$20,$AL33='King Node Model'!$AN$21,$AL33='King Node Model'!$AN$22),OR(AND($AL33-'King Node Model'!$B$23&gt;=0,$AL33-'King Node Model'!$B$23&lt;=5),AND($AL33-'King Node Model'!$C$24&gt;=0,$AL33-'King Node Model'!$C$24&lt;=5))))))),OR(COUNTIF('Level Engine'!$W$9:$W$14,$AL33)&gt;0,COUNTIF('Level Engine'!$W$18:$W$23,$AL33)&gt;0)),1,0))</f>
        <v>0</v>
      </c>
      <c r="AZ33" s="1">
        <f t="shared" si="1"/>
        <v>0</v>
      </c>
      <c r="BB33" s="1">
        <f>IF(OR(AND($AL33='King Node Model'!$AL$42,$AP$45&lt;&gt;"RASP"),AND($AL33='King Node Model'!$AL$43,$AP$46&lt;&gt;"RASP"),AND($AL33='King Node Model'!$AL$49,$AP$52&lt;&gt;"RASP"),AND($AL33='King Node Model'!$AL$50,$AP$53&lt;&gt;"RASP"),AND($AL33='King Node Model'!$AL$44,$AP$47&lt;&gt;"RASP"),AND($AL33='King Node Model'!$AL$51,$AP$54&lt;&gt;"RASP")),0,IF(AND(AND(ISNUMBER($AL33),OR(AND($AL33&gt;=$AQ$22,$AL33&lt;=$AR$22,$AP$45="RASP"),AND($AL33&gt;=$AQ$23,$AL33&lt;=$AR$23,$AP$46="RASP"),AND($AL33&gt;=$AQ$24,$AL33&lt;=$AR$24,$AP$47="RASP"),AND($AL33&gt;='King Node Model'!$AM$20,$AL33&lt;='King Node Model'!$AN$20,$AP$52="RASP",NOT($L$52=$AW$52)),AND($AL33='King Node Model'!$B$23,$AP$52="RASP",$L$52=$AW$52),AND($AL33&gt;='King Node Model'!$AM$21,$AL33&lt;='King Node Model'!$AN$21,$AP$53="RASP",NOT($L$53=$AW$53)),AND($AL33='King Node Model'!$B$23,$AP$53="RASP",$L$53=$AW$53),AND($AL33&gt;='King Node Model'!$AM$22,$AL33&lt;='King Node Model'!$AN$22,$AP$54="RASP"),AND($AL33&gt;=IFERROR(INDEX('Level Engine'!$AT$9:$AT$55,MATCH('King Node Model'!$AL$42,'Level Engine'!$AA$9:$AA$55,0)),""),$AL33&lt;=IFERROR(INDEX('Level Engine'!$AU$9:$AU$55,MATCH('King Node Model'!$AL$42,'Level Engine'!$AA$9:$AA$55,0)),""),$AP$45="RASP"),AND($AL33&gt;=IFERROR(INDEX('Level Engine'!$AT$9:$AT$55,MATCH('King Node Model'!$AL$43,'Level Engine'!$AA$9:$AA$55,0)),""),$AL33&lt;=IFERROR(INDEX('Level Engine'!$AU$9:$AU$55,MATCH('King Node Model'!$AL$43,'Level Engine'!$AA$9:$AA$55,0)),""),$AP$46="RASP"),AND($AL33&gt;=IFERROR(INDEX('Level Engine'!$AT$9:$AT$55,MATCH('King Node Model'!$AL$44,'Level Engine'!$AA$9:$AA$55,0)),""),$AL33&lt;=IFERROR(INDEX('Level Engine'!$AU$9:$AU$55,MATCH('King Node Model'!$AL$44,'Level Engine'!$AA$9:$AA$55,0)),""),$AP$47="RASP"),AND($AL33&gt;=IFERROR(INDEX('Level Engine'!$AT$9:$AT$55,MATCH('King Node Model'!$AL$49,'Level Engine'!$AA$9:$AA$55,0)),""),$AL33&lt;=IFERROR(INDEX('Level Engine'!$AU$9:$AU$55,MATCH('King Node Model'!$AL$49,'Level Engine'!$AA$9:$AA$55,0)),""),$AP$52="RASP",NOT($L$52=$AW$52)),AND($AL33&gt;=IFERROR(INDEX('Level Engine'!$AT$9:$AT$55,MATCH('King Node Model'!$AL$50,'Level Engine'!$AA$9:$AA$55,0)),""),$AL33&lt;=IFERROR(INDEX('Level Engine'!$AU$9:$AU$55,MATCH('King Node Model'!$AL$50,'Level Engine'!$AA$9:$AA$55,0)),""),$AP$53="RASP",NOT($L$53=$AW$53)),AND($AL33&gt;=IFERROR(INDEX('Level Engine'!$AT$9:$AT$55,MATCH('King Node Model'!$AL$51,'Level Engine'!$AA$9:$AA$55,0)),""),$AL33&lt;=IFERROR(INDEX('Level Engine'!$AU$9:$AU$55,MATCH('King Node Model'!$AL$51,'Level Engine'!$AA$9:$AA$55,0)),""),$AP$54="RASP"))),NOT(AND(ISNUMBER('King Node Model'!$F$24),$AL33='King Node Model'!$F$24,IFERROR(INDEX('Level Engine'!$JN$9:$JN$55,MATCH($AL33,'Level Engine'!$AA$9:$AA$55,0)),0)&lt;&gt;1,$AL33&lt;&gt;'King Node Model'!$AL$42,$AL33&lt;&gt;'King Node Model'!$AL$43,$AL33&lt;&gt;'King Node Model'!$AL$44,$AL33&lt;&gt;'King Node Model'!$AL$49,$AL33&lt;&gt;'King Node Model'!$AL$50,$AL33&lt;&gt;'King Node Model'!$AL$51))),1,0))</f>
        <v>0</v>
      </c>
      <c r="CO33">
        <f>IF(NOT(ISNUMBER($AL33)),"",IF(NOT(ISNUMBER(IFERROR(INDEX('Level Engine'!$FT$9:$FT$55,MATCH($AL33,'Level Engine'!$AA$9:$AA$55,0)),""))),"",IF(IFERROR(INDEX('Level Engine'!$FT$9:$FT$55,MATCH($AL33,'Level Engine'!$AA$9:$AA$55,0)),"")&lt;0,0,2)+IF(ABS(IFERROR(INDEX('Level Engine'!$FT$9:$FT$55,MATCH($AL33,'Level Engine'!$AA$9:$AA$55,0)),""))&gt;='Level Engine'!$FT$2,2,1)))</f>
        <v>2</v>
      </c>
      <c r="DJ33" t="str">
        <f>IF(ISNUMBER($AL33),IF($AL33='Level Engine'!$BG$122," ⫪","")&amp;IF($AL33='Level Engine'!$BG$118," S↑"&amp;IFERROR(INDEX('Level Engine'!$MV$9:$MV$55,MATCH($AL33,'Level Engine'!$AA$9:$AA$55,0)),""),"")&amp;IF($AL33='Level Engine'!$BG$119," S↓"&amp;IFERROR(INDEX('Level Engine'!$MV$9:$MV$55,MATCH($AL33,'Level Engine'!$AA$9:$AA$55,0)),""),"")&amp;IF($AL33='Level Engine'!$BG$120," D↑","")&amp;IF($AL33='Level Engine'!$BG$121," D↓","")&amp;IFERROR(INDEX('Level Engine'!$LG$9:$LG$55,MATCH($AL33,'Level Engine'!$AA$9:$AA$55,0)),"")&amp;IF(IFERROR(INDEX('Level Engine'!$MA$9:$MA$55,MATCH($AL33,'Level Engine'!$AA$9:$AA$55,0)),0)=1," SAND","")&amp;IF(IFERROR(INDEX('Level Engine'!$LM$9:$LM$55,MATCH($AL33,'Level Engine'!$AA$9:$AA$55,0)),0)&gt;0," TP","")&amp;IFERROR(" r"&amp;MATCH($AL33,'Level Engine'!$W$9:$W$14,0),IFERROR(" s"&amp;MATCH($AL33,'Level Engine'!$W$18:$W$23,0),""))&amp;IF($AL33='Level Engine'!$BG$165," ◇","")&amp;IF(N($DZ33)=1,IF($AL33&gt;'Level Engine'!$BG$165," ⚠ DOM↓"," ⚠ DOM↑")&amp;'Level Engine'!$BG$165,""),"")</f>
        <v/>
      </c>
      <c r="DK33" t="str">
        <f>IF(AND(ISNUMBER($AL33),OR($AL33='King Node Model'!$AL$42,$AL33='King Node Model'!$AL$43,$AL33='King Node Model'!$AL$44)),IFERROR(MATCH($AL33,'Level Engine'!$W$9:$W$14,0),""),"")</f>
        <v/>
      </c>
      <c r="DL33" t="str">
        <f>IF(AND(ISNUMBER($AL33),OR($AL33='King Node Model'!$AL$49,$AL33='King Node Model'!$AL$50,$AL33='King Node Model'!$AL$51)),IFERROR(MATCH($AL33,'Level Engine'!$W$18:$W$23,0),""),"")</f>
        <v/>
      </c>
      <c r="DM33">
        <f>IF(AND(ISNUMBER($AL33),IFERROR(INDEX('Level Engine'!$LC$9:$LC$55,MATCH($AL33,'Level Engine'!$AA$9:$AA$55,0)),0)=1,OR($AL33=$AN$3,IFERROR(INDEX('Level Engine'!$LB$9:$LB$55,MATCH($AL33,'Level Engine'!$AA$9:$AA$55,0)),0)=1)),1,0)</f>
        <v>0</v>
      </c>
      <c r="DZ33">
        <f>IF(ISNUMBER($AL33),IF(IFERROR(INDEX('Level Engine'!$NJ$9:$NJ$55,MATCH($AL33,'Level Engine'!$AA$9:$AA$55,0)),0)=1,1,0),0)</f>
      </c>
    </row>
    <row r="34" spans="1:123" ht="48" customHeight="1" thickBot="1" x14ac:dyDescent="0.3">
      <c r="A34" s="7" t="str">
        <f t="shared" si="3"/>
        <v>█████</v>
      </c>
      <c r="B34" s="8" t="str">
        <f>TEXT(IF(IF('Level Engine'!$GJ$4=1,$AL34='Level Engine'!$GJ$3,AND($AL34-$AM$2&gt;-2.5,$AL34-$AM$2&lt;=2.5)),$AM$2,$AL34),"0")&amp;IF($AL34=$AN$1," ★","")&amp;IF($AL34=$AN$2," ★","")&amp;IF($AL34=$AN$3," ◆","")&amp;IF(AND(ISNUMBER($AN$4),$AL34=$AN$4)," Ⓕ","")&amp;IF(OR(AND(ISNUMBER('Level Engine'!$BG$87),$AL34='Level Engine'!$BG$87),AND(ISNUMBER('Level Engine'!$BG$105),$AL34='Level Engine'!$BG$105))," ζ","")&amp;IF(AND(ISNUMBER($AN$35),$AL34=$AN$35)," ⓏⒼ","")&amp;IF(OR($AL34='Level Engine'!$CP$4,$AL34='Level Engine'!$CP$5,$AL34='Level Engine'!$CP$6,$AL34='Level Engine'!$CP$7)," ☄","")&amp;IF(OR($AL34=$AN$5,$AL34=$AN$8)," ║1","")&amp;IF(OR($AL34=$AN$6,$AL34=$AN$10)," ║2","")&amp;IF(OR($AL34=$AN$7,$AL34=$AN$11)," ║3","")&amp;IF(OR($AL34=$AN$13,$AL34=$AN$16)," ▣1","")&amp;IF(OR($AL34=$AN$14,$AL34=$AN$17)," ▣2","")&amp;IF(OR($AL34=$AN$15,$AL34=$AN$18)," ▣3","")&amp;IF(AND(NOT(OR(AND(ISNUMBER(SEARCH("chop edge",$E$45)),IFERROR(ABS($AL34-'King Node Model'!$AL$42)&lt;=5,FALSE),NOT(ISNUMBER(SEARCH("UNSAFE",$L$45)))),AND(ISNUMBER(SEARCH("chop edge",$E$46)),IFERROR(ABS($AL34-'King Node Model'!$AL$43)&lt;=5,FALSE),NOT(ISNUMBER(SEARCH("UNSAFE",$L$46)))),AND(ISNUMBER(SEARCH("chop edge",$E$52)),IFERROR(ABS($AL34-'King Node Model'!$AL$49)&lt;=5,FALSE),NOT(ISNUMBER(SEARCH("UNSAFE",$L$52)))),AND(ISNUMBER(SEARCH("chop edge",$E$53)),IFERROR(ABS($AL34-'King Node Model'!$AL$50)&lt;=5,FALSE),NOT(ISNUMBER(SEARCH("UNSAFE",$L$53)))))),OR(AND(IFERROR(INDEX('Level Engine'!$IB$9:$IB$55,MATCH('King Node Model'!$AL$49,'Level Engine'!$AA$9:$AA$55,0)),0)&lt;&gt;1,$AL34=IFERROR(INDEX('Level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Engine'!$AA$9:$AA$55,0)),0)&lt;&gt;1,$AL34=IFERROR(INDEX('Level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edge",$E$45)),IFERROR(ABS($AL34-'King Node Model'!$AL$42)&lt;=5,FALSE),NOT(ISNUMBER(SEARCH("UNSAFE",$L$45)))),AND(ISNUMBER(SEARCH("chop edge",$E$46)),IFERROR(ABS($AL34-'King Node Model'!$AL$43)&lt;=5,FALSE),NOT(ISNUMBER(SEARCH("UNSAFE",$L$46)))),AND(ISNUMBER(SEARCH("chop edge",$E$52)),IFERROR(ABS($AL34-'King Node Model'!$AL$49)&lt;=5,FALSE),NOT(ISNUMBER(SEARCH("UNSAFE",$L$52)))),AND(ISNUMBER(SEARCH("chop edge",$E$53)),IFERROR(ABS($AL34-'King Node Model'!$AL$50)&lt;=5,FALSE),NOT(ISNUMBER(SEARCH("UNSAFE",$L$53)))))),OR(AND(IFERROR(INDEX('Level Engine'!$IB$9:$IB$55,MATCH('King Node Model'!$AL$42,'Level Engine'!$AA$9:$AA$55,0)),0)&lt;&gt;1,$AL34=IFERROR(INDEX('Level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Engine'!$AA$9:$AA$55,0)),0)&lt;&gt;1,$AL34=IFERROR(INDEX('Level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ⒷⓁ"),"")&amp;IF(OR(AND($AL34&gt;='King Node Model'!$AM$17,$AL34&lt;='King Node Model'!$AN$17,$AP$45="RASP"),AND($AL34&gt;='King Node Model'!$AM$18,$AL34&lt;='King Node Model'!$AN$18,$AP$46="RASP"),AND($AL34&gt;='King Node Model'!$AM$19,$AL34&lt;='King Node Model'!$AN$19,$AP$47="RASP"),AND($AL34&gt;='King Node Model'!$AM$20,$AL34&lt;='King Node Model'!$AN$20,$AP$52="RASP"),AND($AL34&gt;='King Node Model'!$AM$21,$AL34&lt;='King Node Model'!$AN$21,$AP$53="RASP"),AND($AL34&gt;='King Node Model'!$AM$22,$AL34&lt;='King Node Model'!$AN$22,$AP$54="RASP")),"","")&amp;IF(IF('Level Engine'!$GJ$4=1,$AL34='Level Engine'!$GJ$3,AND($AL34-$AM$2&gt;-2.5,$AL34-$AM$2&lt;=2.5))," ◄","")&amp;IF(IFERROR(INDEX('Level Engine'!$GV$9:$GV$55,MATCH($AL34,'Level Engine'!$AA$9:$AA$55,0)),0)=1," Ⓥ"&amp;IF(IFERROR(INDEX('Level Engine'!$ET$9:$ET$55,MATCH($AL34,'Level Engine'!$AA$9:$AA$55,0)),0)=1,"+",""),"")&amp;IF(OR(AND($AL34=$AN$38,IFERROR(INDEX('Level Engine'!$AN$9:$AN$55,MATCH($AL34,'Level Engine'!$AA$9:$AA$55,0)),0)&lt;&gt;1),$AL34=$AN$39)," ⊙","")&amp;IF(AND(OR('King Node Model'!$A$8="Neg",N('Level Engine'!$BG$72)=1),ABS(MIN($AM$3:$AM$64))&gt;MAX($AM$3:$AM$64),$AN$2&lt;$AM$2,$AL34&lt;$AM$2,ABS($AL34-$AN$2)&lt;=5,IFERROR(VALUE(MID('King Node Model'!$K$26,FIND(":",'King Node Model'!$K$26)-2,2)),0)&gt;=19,IFERROR(INDEX('Level Engine'!$EJ$9:$EJ$55,MATCH($AL34,'Level Engine'!$AA$9:$AA$55,0)),0)=0,$AN$3&gt;$AM$2)," ⟲rev","")&amp;IF($AL34='King Node Model'!$F$24," ⟂","")&amp;$DJ34&amp;IF(IFERROR(INDEX('Level Engine'!$EN$9:$EN$55,MATCH($AL34,'Level Engine'!$AA$9:$AA$55,0)),0)=1," Ⓟ"&amp;IF(AND(OR('King Node Model'!$A$8="Neg",N('Level Engine'!$BG$72)=1),IFERROR(INDEX('Level Engine'!$AN$9:$AN$55,MATCH($AL34,'Level Engine'!$AA$9:$AA$55,0)),0)&lt;&gt;1)," NO-REV",""),"")&amp;IF(AND(ISNUMBER($AL34),OR(AND(ISNUMBER(SEARCH("chop edge",$E$45)),$AL34='King Node Model'!$AL$42),AND(ISNUMBER(SEARCH("chop edge",$E$46)),$AL34='King Node Model'!$AL$43),AND(ISNUMBER(SEARCH("chop edge",$E$52)),$AL34='King Node Model'!$AL$49),AND(ISNUMBER(SEARCH("chop edge",$E$53)),$AL34='King Node Model'!$AL$50)))," ⒸⒺ","")&amp;IF(AND('Level Engine'!$GJ$4=1,OR($AL34='Level Engine'!$GJ$1,$AL34='Level Engine'!$GJ$2)),"","")&amp;IF(ABS(N(IFERROR(INDEX('Level Engine'!$AE$9:$AE$55,MATCH($AL34,'Level Engine'!$AA$9:$AA$55,0)),0)))&gt;='Level Engine'!$BG$85,IF(N(IFERROR(INDEX('Level Engine'!$AE$9:$AE$55,MATCH($AL34,'Level Engine'!$AA$9:$AA$55,0)),0))&gt;0," Δ+"," Δ−"),"")&amp;IFERROR(IF(AND(ISNUMBER(MATCH($AL34,'Level Engine'!$AA$9:$AA$55,0)),ABS(N(IFERROR(INDEX('Level Engine'!$AE$9:$AE$55,MATCH($AL34,'Level Engine'!$AA$9:$AA$55,0)),0)))&lt;'Level Engine'!$BG$85,ABS(N(IFERROR(INDEX('Level Engine'!$AE$9:$AE$55,MATCH($AL34,'Level Engine'!$AA$9:$AA$55,0)),0)))&lt;=ABS(N(IFERROR(INDEX('Level Engine'!$AE$9:$AE$55,MATCH($AL34+5,'Level Engine'!$AA$9:$AA$55,0)),0))),ABS(N(IFERROR(INDEX('Level Engine'!$AE$9:$AE$55,MATCH($AL34,'Level Engine'!$AA$9:$AA$55,0)),0)))&lt;=ABS(N(IFERROR(INDEX('Level Engine'!$AE$9:$AE$55,MATCH($AL34-5,'Level Engine'!$AA$9:$AA$55,0)),0))),OR(AND(ABS(N(IFERROR(INDEX('Level Engine'!$AE$9:$AE$55,MATCH($AL34+5,'Level Engine'!$AA$9:$AA$55,0)),0)))&gt;='Level Engine'!$BG$85,ABS(N(IFERROR(INDEX('Level Engine'!$AE$9:$AE$55,MATCH($AL34,'Level Engine'!$AA$9:$AA$55,0)),0)))&lt;='Level Engine'!$BG$88*ABS(N(IFERROR(INDEX('Level Engine'!$AE$9:$AE$55,MATCH($AL34+5,'Level Engine'!$AA$9:$AA$55,0)),0)))),AND(ABS(N(IFERROR(INDEX('Level Engine'!$AE$9:$AE$55,MATCH($AL34-5,'Level Engine'!$AA$9:$AA$55,0)),0)))&gt;='Level Engine'!$BG$85,ABS(N(IFERROR(INDEX('Level Engine'!$AE$9:$AE$55,MATCH($AL34,'Level Engine'!$AA$9:$AA$55,0)),0)))&lt;='Level Engine'!$BG$88*ABS(N(IFERROR(INDEX('Level Engine'!$AE$9:$AE$55,MATCH($AL34-5,'Level Engine'!$AA$9:$AA$55,0)),0)))))),IF(AND('King Node Model'!$A$8="Pos",N('Level Engine'!$BG$72)&lt;&gt;1),""," ∅"),""),"")&amp;IF(IFERROR(INDEX('Level Engine'!$JD$9:$JD$55,MATCH($AL34,'Level Engine'!$AA$9:$AA$55,0)),"")="P"," P-OI",IF(IFERROR(INDEX('Level Engine'!$JD$9:$JD$55,MATCH($AL34,'Level Engine'!$AA$9:$AA$55,0)),"")="C"," C-OI",""))</f>
        <v>7730 s5 Δ+ C-OI</v>
      </c>
      <c r="C34" s="9" t="str">
        <f t="shared" si="0"/>
        <v/>
      </c>
      <c r="D34" t="str">
        <f>IF(NOT(ISNUMBER($AL34)),"",IF(IFERROR(INDEX('Level Engine'!$FS$9:$FS$55,MATCH($AL34,'Level Engine'!$AA$9:$AA$55,0)),0)=1,"⊙",""))</f>
        <v/>
      </c>
      <c r="E34" s="603" t="str">
        <f>IF(AND(ISNUMBER('King Node Model'!$T$22),ISNUMBER('King Node Model'!$B$4)),"★ MAX GEX   "&amp;TEXT('King Node Model'!$T$22,"0")&amp;CHAR(10)&amp;TEXT(MAX('King Node Model'!C29:C75),"+#,##0")&amp;" · "&amp;TEXT('King Node Model'!$T$22-'King Node Model'!$B$4,"+0;-0")&amp;" pts","★ MAX GEX   —"&amp;CHAR(10)&amp;"no data")</f>
        <v>★ MAX GEX   7825
+538,591 · +50 pts</v>
      </c>
      <c r="F34" s="603"/>
      <c r="G34" s="616" t="str">
        <f>IF(AND(ISNUMBER('King Node Model'!$T$23),ISNUMBER('King Node Model'!$B$4)),"★ MIN GEX   "&amp;TEXT('King Node Model'!$T$23,"0")&amp;CHAR(10)&amp;TEXT(MIN('King Node Model'!C29:C75),"+#,##0;-#,##0")&amp;" · "&amp;TEXT('King Node Model'!$T$23-'King Node Model'!$B$4,"+0;-0")&amp;" pts","★ MIN GEX   —"&amp;CHAR(10)&amp;"no data")</f>
        <v>★ MIN GEX   7770
-3,137,174 · -5 pts</v>
      </c>
      <c r="H34" s="616"/>
      <c r="I34" s="600" t="str">
        <f>IFERROR(IF(ISNUMBER('Level Engine'!$BG$118),"S↑ MAX SPEED  "&amp;TEXT('Level Engine'!$BG$118,"0")&amp;"  "&amp;TEXT(MAX('Level Engine'!$AZ$9:$AZ$55),"+#,##0;-#,##0")&amp;" · "&amp;TEXT(ROUND('Level Engine'!$BG$118-'King Node Model'!$B$4,0),"+0;-0;0")&amp;" pts","")&amp;CHAR(10)&amp;IF(ISNUMBER('Level Engine'!$BG$119),"S↓ MIN SPEED  "&amp;TEXT('Level Engine'!$BG$119,"0")&amp;"  "&amp;TEXT(MIN('Level Engine'!$AZ$9:$AZ$55),"+#,##0;-#,##0")&amp;" · "&amp;TEXT(ROUND('Level Engine'!$BG$119-'King Node Model'!$B$4,0),"+0;-0;0")&amp;" pts",""),"")</f>
        <v>S↑ MAX SPEED  7750  +20,533 · -25 pts
S↓ MIN SPEED  7780  -4,227 · +5 pts</v>
      </c>
      <c r="J34" s="600"/>
      <c r="K34" s="549" t="str">
        <f>IF(AND(ISNUMBER('King Node Model'!$F$24),ISNUMBER('King Node Model'!$B$4)),"MIN VEX   "&amp;TEXT('King Node Model'!$F$24,"0")&amp;CHAR(10)&amp;TEXT(MIN('King Node Model'!F29:F75),"+#,##0;-#,##0")&amp;" · "&amp;TEXT('King Node Model'!$F$24-'King Node Model'!$B$4,"+0;-0")&amp;" pts","MIN VEX   —"&amp;CHAR(10)&amp;"no data")</f>
        <v>MIN VEX   7780
-699,070 · +5 pts</v>
      </c>
      <c r="L34" s="550" t="str">
        <f>IFERROR("ζ MIN ZOMMA  "&amp;IF(ISNUMBER('Level Engine'!$BG$87),TEXT('Level Engine'!$BG$87,"0")&amp;"  "&amp;TEXT(MIN('Level Engine'!$AF$9:$AF$55)/1000000,"+0.0;-0.0")&amp;"M · "&amp;TEXT('Level Engine'!$BG$87-'King Node Model'!$B$4,"+0;-0")&amp;" pts","—")&amp;CHAR(10)&amp;"ζ MAX ZOMMA  "&amp;IF(ISNUMBER('Level Engine'!$BG$105),TEXT('Level Engine'!$BG$105,"0")&amp;"  "&amp;TEXT(MAX('Level Engine'!$AF$9:$AF$55)/1000000,"+0.0;-0.0")&amp;"M · "&amp;TEXT('Level Engine'!$BG$105-'King Node Model'!$B$4,"+0;-0")&amp;" pts","—"),"ζ MIN / MAX ZOMMA   —"&amp;CHAR(10)&amp;"no data")</f>
        <v>ζ MIN ZOMMA  7720  -13.0M · -55 pts
ζ MAX ZOMMA  7770  +20.4M · -5 pts</v>
      </c>
      <c r="M34" s="617" t="str">
        <f>IF(AND(ISNUMBER('King Node Model'!$B$23),ISNUMBER('King Node Model'!$B$4)),"◆ MAX GAMMA   "&amp;TEXT('King Node Model'!$B$23,"0")&amp;CHAR(10)&amp;TEXT(MAX('King Node Model'!B29:B75),"#,##0")&amp;" · "&amp;TEXT('King Node Model'!$B$23-'King Node Model'!$B$4,"+0;-0")&amp;" pts","◆ MAX GAMMA   —"&amp;CHAR(10)&amp;"no data")</f>
        <v>◆ MAX GAMMA   7770
4,471,438 · -5 pts</v>
      </c>
      <c r="N34" s="617"/>
      <c r="O34" s="21"/>
      <c r="Q34" s="454" t="str">
        <f>IF(NOT(ISNUMBER($BK34)),"","FLIP  "&amp;TEXT($BK34,"0")&amp;IF($CB34&gt;2.5," (flip '"&amp;TEXT($BZ$24,"0")&amp;"')","")&amp;IF($BQ34="", " ", "   ·   "&amp;$BQ34)&amp;IF(OR(NOT(ISNUMBER($BL34)),NOT(ISNUMBER($BM34)),($BL34+$BM34)=0),"","  "&amp;TEXT(MAX($BL34,$BM34)/($BL34+$BM34),"0%"))&amp;IF($BR34="", " ", " "&amp;$BR34))</f>
        <v xml:space="preserve">FLIP  7805   68% </v>
      </c>
      <c r="R34" s="455" t="str">
        <f t="shared" si="5"/>
        <v>1.2k ▉▉▉▉▉</v>
      </c>
      <c r="S34" s="486" t="str">
        <f t="shared" si="6"/>
        <v>▉▉▉ 595</v>
      </c>
      <c r="T34" s="486"/>
      <c r="U34" s="456"/>
      <c r="AL34" s="1">
        <f>'King Node Model'!A60</f>
        <v>7730</v>
      </c>
      <c r="AM34" s="10">
        <f>'King Node Model'!C60</f>
        <v>-9171</v>
      </c>
      <c r="AN34" s="3">
        <f>'King Node Model'!F24</f>
        <v>7780</v>
      </c>
      <c r="AO34" s="10">
        <f>'King Node Model'!B60</f>
        <v>900491</v>
      </c>
      <c r="AY34" s="1">
        <f>IF(AND($B$2="Hide unsafe",$BB34=1),0,IF(AND(OR(AND(AND(ISNUMBER($AL34),OR(AND($AL34&gt;=$AQ$22,$AL34&lt;=$AR$22,$AS$22=1),$AL34=$AQ$22,$AL34=$AR$22,$AL34=$AQ$23,$AL34=$AR$23,$AL34=$AQ$24,$AL34=$AR$24),NOT(OR($AL34=$AN$5,$AL34=$AN$6,$AL34=$AN$7,$AL34=$AN$8,$AL34=$AN$10,$AL34=$AN$11))),NOT(OR(AND('King Node Model'!$P$13="Up",OR($AL34=$AQ$22,$AL34=$AQ$23,$AL34=$AQ$24,$AL34='King Node Model'!$AM$20,$AL34='King Node Model'!$AM$21,$AL34='King Node Model'!$AM$22),OR(AND('King Node Model'!$B$23-$AL34&gt;=0,'King Node Model'!$B$23-$AL34&lt;=5),AND('King Node Model'!$C$23-$AL34&gt;=0,'King Node Model'!$C$23-$AL34&lt;=5))),AND('King Node Model'!$P$13="Down",OR($AL34=$AR$22,$AL34=$AR$23,$AL34=$AR$24,$AL34='King Node Model'!$AN$20,$AL34='King Node Model'!$AN$21,$AL34='King Node Model'!$AN$22),OR(AND($AL34-'King Node Model'!$B$23&gt;=0,$AL34-'King Node Model'!$B$23&lt;=5),AND($AL34-'King Node Model'!$C$24&gt;=0,$AL34-'King Node Model'!$C$24&lt;=5)))))),AND(AND(ISNUMBER($AL34),OR(AND($AL34&gt;=$AQ$22,$AL34&lt;=$AR$22,$AS$22=1),$AL34=$AQ$22,$AL34=$AR$22,$AL34=$AQ$23,$AL34=$AR$23,$AL34=$AQ$24,$AL34=$AR$24,$AL34='King Node Model'!$AL$42,$AL34='King Node Model'!$AL$43),OR($AL34=$AN$5,$AL34=$AN$6,$AL34=$AN$7,$AL34=$AN$8,$AL34=$AN$10,$AL34=$AN$11)),NOT(OR(AND('King Node Model'!$P$13="Up",OR($AL34=$AQ$22,$AL34=$AQ$23,$AL34=$AQ$24,$AL34='King Node Model'!$AM$20,$AL34='King Node Model'!$AM$21,$AL34='King Node Model'!$AM$22),OR(AND('King Node Model'!$B$23-$AL34&gt;=0,'King Node Model'!$B$23-$AL34&lt;=5),AND('King Node Model'!$C$23-$AL34&gt;=0,'King Node Model'!$C$23-$AL34&lt;=5))),AND('King Node Model'!$P$13="Down",OR($AL34=$AR$22,$AL34=$AR$23,$AL34=$AR$24,$AL34='King Node Model'!$AN$20,$AL34='King Node Model'!$AN$21,$AL34='King Node Model'!$AN$22),OR(AND($AL34-'King Node Model'!$B$23&gt;=0,$AL34-'King Node Model'!$B$23&lt;=5),AND($AL34-'King Node Model'!$C$24&gt;=0,$AL34-'King Node Model'!$C$24&lt;=5)))))),AND(AND(ISNUMBER($AL34),OR(AND($AL34&gt;='King Node Model'!$AM$20,$AL34&lt;='King Node Model'!$AN$20,$AS$23=1),$AL34='King Node Model'!$AM$20,$AL34='King Node Model'!$AN$20,$AL34='King Node Model'!$AM$21,$AL34='King Node Model'!$AN$21,$AL34='King Node Model'!$AM$22,$AL34='King Node Model'!$AN$22),NOT(OR($AL34=$AN$5,$AL34=$AN$6,$AL34=$AN$7,$AL34=$AN$8,$AL34=$AN$10,$AL34=$AN$11))),NOT(AND(ISNUMBER('King Node Model'!$F$24),$AL34='King Node Model'!$F$24,IFERROR(INDEX('Level Engine'!$JN$9:$JN$55,MATCH($AL34,'Level Engine'!$AA$9:$AA$55,0)),0)&lt;&gt;1))),AND(AND(ISNUMBER($AL34),OR(AND($AL34&gt;='King Node Model'!$AM$20,$AL34&lt;='King Node Model'!$AN$20,$AS$23=1),$AL34='King Node Model'!$AM$20,$AL34='King Node Model'!$AN$20,$AL34='King Node Model'!$AM$21,$AL34='King Node Model'!$AN$21,$AL34='King Node Model'!$AM$22,$AL34='King Node Model'!$AN$22,$AL34='King Node Model'!$AL$49,$AL34='King Node Model'!$AL$50),OR($AL34=$AN$5,$AL34=$AN$6,$AL34=$AN$7,$AL34=$AN$8,$AL34=$AN$10,$AL34=$AN$11)),NOT(OR(AND('King Node Model'!$P$13="Up",OR($AL34=$AQ$22,$AL34=$AQ$23,$AL34=$AQ$24,$AL34='King Node Model'!$AM$20,$AL34='King Node Model'!$AM$21,$AL34='King Node Model'!$AM$22),OR(AND('King Node Model'!$B$23-$AL34&gt;=0,'King Node Model'!$B$23-$AL34&lt;=5),AND('King Node Model'!$C$23-$AL34&gt;=0,'King Node Model'!$C$23-$AL34&lt;=5))),AND('King Node Model'!$P$13="Down",OR($AL34=$AR$22,$AL34=$AR$23,$AL34=$AR$24,$AL34='King Node Model'!$AN$20,$AL34='King Node Model'!$AN$21,$AL34='King Node Model'!$AN$22),OR(AND($AL34-'King Node Model'!$B$23&gt;=0,$AL34-'King Node Model'!$B$23&lt;=5),AND($AL34-'King Node Model'!$C$24&gt;=0,$AL34-'King Node Model'!$C$24&lt;=5))))))),OR(COUNTIF('Level Engine'!$W$9:$W$14,$AL34)&gt;0,COUNTIF('Level Engine'!$W$18:$W$23,$AL34)&gt;0)),1,0))</f>
        <v>0</v>
      </c>
      <c r="AZ34" s="1">
        <f t="shared" si="1"/>
        <v>0</v>
      </c>
      <c r="BB34" s="1">
        <f>IF(OR(AND($AL34='King Node Model'!$AL$42,$AP$45&lt;&gt;"RASP"),AND($AL34='King Node Model'!$AL$43,$AP$46&lt;&gt;"RASP"),AND($AL34='King Node Model'!$AL$49,$AP$52&lt;&gt;"RASP"),AND($AL34='King Node Model'!$AL$50,$AP$53&lt;&gt;"RASP"),AND($AL34='King Node Model'!$AL$44,$AP$47&lt;&gt;"RASP"),AND($AL34='King Node Model'!$AL$51,$AP$54&lt;&gt;"RASP")),0,IF(AND(AND(ISNUMBER($AL34),OR(AND($AL34&gt;=$AQ$22,$AL34&lt;=$AR$22,$AP$45="RASP"),AND($AL34&gt;=$AQ$23,$AL34&lt;=$AR$23,$AP$46="RASP"),AND($AL34&gt;=$AQ$24,$AL34&lt;=$AR$24,$AP$47="RASP"),AND($AL34&gt;='King Node Model'!$AM$20,$AL34&lt;='King Node Model'!$AN$20,$AP$52="RASP",NOT($L$52=$AW$52)),AND($AL34='King Node Model'!$B$23,$AP$52="RASP",$L$52=$AW$52),AND($AL34&gt;='King Node Model'!$AM$21,$AL34&lt;='King Node Model'!$AN$21,$AP$53="RASP",NOT($L$53=$AW$53)),AND($AL34='King Node Model'!$B$23,$AP$53="RASP",$L$53=$AW$53),AND($AL34&gt;='King Node Model'!$AM$22,$AL34&lt;='King Node Model'!$AN$22,$AP$54="RASP"),AND($AL34&gt;=IFERROR(INDEX('Level Engine'!$AT$9:$AT$55,MATCH('King Node Model'!$AL$42,'Level Engine'!$AA$9:$AA$55,0)),""),$AL34&lt;=IFERROR(INDEX('Level Engine'!$AU$9:$AU$55,MATCH('King Node Model'!$AL$42,'Level Engine'!$AA$9:$AA$55,0)),""),$AP$45="RASP"),AND($AL34&gt;=IFERROR(INDEX('Level Engine'!$AT$9:$AT$55,MATCH('King Node Model'!$AL$43,'Level Engine'!$AA$9:$AA$55,0)),""),$AL34&lt;=IFERROR(INDEX('Level Engine'!$AU$9:$AU$55,MATCH('King Node Model'!$AL$43,'Level Engine'!$AA$9:$AA$55,0)),""),$AP$46="RASP"),AND($AL34&gt;=IFERROR(INDEX('Level Engine'!$AT$9:$AT$55,MATCH('King Node Model'!$AL$44,'Level Engine'!$AA$9:$AA$55,0)),""),$AL34&lt;=IFERROR(INDEX('Level Engine'!$AU$9:$AU$55,MATCH('King Node Model'!$AL$44,'Level Engine'!$AA$9:$AA$55,0)),""),$AP$47="RASP"),AND($AL34&gt;=IFERROR(INDEX('Level Engine'!$AT$9:$AT$55,MATCH('King Node Model'!$AL$49,'Level Engine'!$AA$9:$AA$55,0)),""),$AL34&lt;=IFERROR(INDEX('Level Engine'!$AU$9:$AU$55,MATCH('King Node Model'!$AL$49,'Level Engine'!$AA$9:$AA$55,0)),""),$AP$52="RASP",NOT($L$52=$AW$52)),AND($AL34&gt;=IFERROR(INDEX('Level Engine'!$AT$9:$AT$55,MATCH('King Node Model'!$AL$50,'Level Engine'!$AA$9:$AA$55,0)),""),$AL34&lt;=IFERROR(INDEX('Level Engine'!$AU$9:$AU$55,MATCH('King Node Model'!$AL$50,'Level Engine'!$AA$9:$AA$55,0)),""),$AP$53="RASP",NOT($L$53=$AW$53)),AND($AL34&gt;=IFERROR(INDEX('Level Engine'!$AT$9:$AT$55,MATCH('King Node Model'!$AL$51,'Level Engine'!$AA$9:$AA$55,0)),""),$AL34&lt;=IFERROR(INDEX('Level Engine'!$AU$9:$AU$55,MATCH('King Node Model'!$AL$51,'Level Engine'!$AA$9:$AA$55,0)),""),$AP$54="RASP"))),NOT(AND(ISNUMBER('King Node Model'!$F$24),$AL34='King Node Model'!$F$24,IFERROR(INDEX('Level Engine'!$JN$9:$JN$55,MATCH($AL34,'Level Engine'!$AA$9:$AA$55,0)),0)&lt;&gt;1,$AL34&lt;&gt;'King Node Model'!$AL$42,$AL34&lt;&gt;'King Node Model'!$AL$43,$AL34&lt;&gt;'King Node Model'!$AL$44,$AL34&lt;&gt;'King Node Model'!$AL$49,$AL34&lt;&gt;'King Node Model'!$AL$50,$AL34&lt;&gt;'King Node Model'!$AL$51))),1,0))</f>
        <v>0</v>
      </c>
      <c r="BK34">
        <f>IF(NOT(ISNUMBER($BZ$24)),"",IF(AND($CC34&lt;=0,$CD34&lt;=0),"",IF($CC34&lt;=0,$CD34,IF($CD34&lt;=0,$CC34,IF(($BZ$24-$CC34)&lt;=($CD34-$BZ$24),$CC34,$CD34)))))</f>
        <v>7805</v>
      </c>
      <c r="BL34">
        <f>IFERROR(INDEX('King Node Model'!$K$29:$K$75,MATCH($BK34,'King Node Model'!$A$29:$A$75,0)),"")</f>
        <v>1244</v>
      </c>
      <c r="BM34">
        <f>IFERROR(INDEX('King Node Model'!$L$29:$L$75,MATCH($BK34,'King Node Model'!$A$29:$A$75,0)),"")</f>
        <v>595</v>
      </c>
      <c r="BN34">
        <f t="shared" si="9"/>
        <v>-0.35290918977705277</v>
      </c>
      <c r="BO34">
        <f>IFERROR(INDEX('Level Engine'!$AC$9:$AC$55,MATCH($BK34,'Level Engine'!$AA$9:$AA$55,0))/MAX('Level Engine'!$AC$9:$AC$55),"")</f>
        <v>0.19551517878588498</v>
      </c>
      <c r="BP34">
        <f>IF(NOT(ISNUMBER($BK34)),"",IF($BK34&gt;'King Node Model'!$B$4,1,-1))</f>
        <v>1</v>
      </c>
      <c r="BQ34" t="str">
        <f>IF(OR(NOT(ISNUMBER($BN34)),NOT(ISNUMBER($BO34))),"",IF($BO34&lt;0.15,"thin",IF(ABS($BN34)&lt;0.15,IF($BO34&gt;=0.25,"STALL zone","balanced"),IF(OR('King Node Model'!$A$8="Neg",N('Level Engine'!$BG$72)=1),"",IF($BP34=1,IF($BN34&lt;=-0.4,"HARD ceil",IF($BN34&lt;=-0.15,"ceil","soft ceil")),IF($BN34&gt;=0.4,"FIRM floor",IF($BN34&gt;=0.15,"floor","WEAK floor")))&amp;IF($BO34&lt;0.25," ·marginal","")))))</f>
        <v/>
      </c>
      <c r="BR34" t="str">
        <f>IF(NOT(ISNUMBER($BN34)),"",IF(OR('King Node Model'!$A$8="Neg",N('Level Engine'!$BG$72)=1),"",IF(AND($BP34=1,$BN34&gt;0.15),"⚠",IF(AND($BP34=-1,$BN34&lt;-0.15),"⚠",""))))</f>
        <v/>
      </c>
      <c r="CB34">
        <f>IF(OR(NOT(ISNUMBER($BK34)),NOT(ISNUMBER($BZ$24))),"",ABS($BK34-$BZ$24))</f>
        <v>0</v>
      </c>
      <c r="CC34">
        <f>IFERROR(SUMPRODUCT(MAX(('King Node Model'!$A$29:$A$75&lt;=$BZ$24)*('King Node Model'!$A$29:$A$75&gt;0)*'King Node Model'!$A$29:$A$75)),0)</f>
        <v>7805</v>
      </c>
      <c r="CD34">
        <f>IFERROR(-SUMPRODUCT(MAX(('King Node Model'!$A$29:$A$75&gt;=$BZ$24)*('King Node Model'!$A$29:$A$75&gt;0)*-'King Node Model'!$A$29:$A$75)),0)</f>
        <v>0</v>
      </c>
      <c r="CO34">
        <f>IF(NOT(ISNUMBER($AL34)),"",IF(NOT(ISNUMBER(IFERROR(INDEX('Level Engine'!$FT$9:$FT$55,MATCH($AL34,'Level Engine'!$AA$9:$AA$55,0)),""))),"",IF(IFERROR(INDEX('Level Engine'!$FT$9:$FT$55,MATCH($AL34,'Level Engine'!$AA$9:$AA$55,0)),"")&lt;0,0,2)+IF(ABS(IFERROR(INDEX('Level Engine'!$FT$9:$FT$55,MATCH($AL34,'Level Engine'!$AA$9:$AA$55,0)),""))&gt;='Level Engine'!$FT$2,2,1)))</f>
        <v>1</v>
      </c>
      <c r="DJ34" t="str">
        <f>IF(ISNUMBER($AL34),IF($AL34='Level Engine'!$BG$122," ⫪","")&amp;IF($AL34='Level Engine'!$BG$118," S↑"&amp;IFERROR(INDEX('Level Engine'!$MV$9:$MV$55,MATCH($AL34,'Level Engine'!$AA$9:$AA$55,0)),""),"")&amp;IF($AL34='Level Engine'!$BG$119," S↓"&amp;IFERROR(INDEX('Level Engine'!$MV$9:$MV$55,MATCH($AL34,'Level Engine'!$AA$9:$AA$55,0)),""),"")&amp;IF($AL34='Level Engine'!$BG$120," D↑","")&amp;IF($AL34='Level Engine'!$BG$121," D↓","")&amp;IFERROR(INDEX('Level Engine'!$LG$9:$LG$55,MATCH($AL34,'Level Engine'!$AA$9:$AA$55,0)),"")&amp;IF(IFERROR(INDEX('Level Engine'!$MA$9:$MA$55,MATCH($AL34,'Level Engine'!$AA$9:$AA$55,0)),0)=1," SAND","")&amp;IF(IFERROR(INDEX('Level Engine'!$LM$9:$LM$55,MATCH($AL34,'Level Engine'!$AA$9:$AA$55,0)),0)&gt;0," TP","")&amp;IFERROR(" r"&amp;MATCH($AL34,'Level Engine'!$W$9:$W$14,0),IFERROR(" s"&amp;MATCH($AL34,'Level Engine'!$W$18:$W$23,0),""))&amp;IF($AL34='Level Engine'!$BG$165," ◇","")&amp;IF(N($DZ34)=1,IF($AL34&gt;'Level Engine'!$BG$165," ⚠ DOM↓"," ⚠ DOM↑")&amp;'Level Engine'!$BG$165,""),"")</f>
        <v xml:space="preserve"> s5</v>
      </c>
      <c r="DK34" t="str">
        <f>IF(AND(ISNUMBER($AL34),OR($AL34='King Node Model'!$AL$42,$AL34='King Node Model'!$AL$43,$AL34='King Node Model'!$AL$44)),IFERROR(MATCH($AL34,'Level Engine'!$W$9:$W$14,0),""),"")</f>
        <v/>
      </c>
      <c r="DL34" t="str">
        <f>IF(AND(ISNUMBER($AL34),OR($AL34='King Node Model'!$AL$49,$AL34='King Node Model'!$AL$50,$AL34='King Node Model'!$AL$51)),IFERROR(MATCH($AL34,'Level Engine'!$W$18:$W$23,0),""),"")</f>
        <v/>
      </c>
      <c r="DM34">
        <f>IF(AND(ISNUMBER($AL34),IFERROR(INDEX('Level Engine'!$LC$9:$LC$55,MATCH($AL34,'Level Engine'!$AA$9:$AA$55,0)),0)=1,OR($AL34=$AN$3,IFERROR(INDEX('Level Engine'!$LB$9:$LB$55,MATCH($AL34,'Level Engine'!$AA$9:$AA$55,0)),0)=1)),1,0)</f>
        <v>0</v>
      </c>
      <c r="DZ34">
        <f>IF(ISNUMBER($AL34),IF(IFERROR(INDEX('Level Engine'!$NJ$9:$NJ$55,MATCH($AL34,'Level Engine'!$AA$9:$AA$55,0)),0)=1,1,0),0)</f>
      </c>
    </row>
    <row r="35" spans="1:123" ht="15" customHeight="1" x14ac:dyDescent="0.25">
      <c r="A35" s="7" t="str">
        <f t="shared" si="3"/>
        <v>███</v>
      </c>
      <c r="B35" s="8" t="str">
        <f>TEXT(IF(IF('Level Engine'!$GJ$4=1,$AL35='Level Engine'!$GJ$3,AND($AL35-$AM$2&gt;-2.5,$AL35-$AM$2&lt;=2.5)),$AM$2,$AL35),"0")&amp;IF($AL35=$AN$1," ★","")&amp;IF($AL35=$AN$2," ★","")&amp;IF($AL35=$AN$3," ◆","")&amp;IF(AND(ISNUMBER($AN$4),$AL35=$AN$4)," Ⓕ","")&amp;IF(OR(AND(ISNUMBER('Level Engine'!$BG$87),$AL35='Level Engine'!$BG$87),AND(ISNUMBER('Level Engine'!$BG$105),$AL35='Level Engine'!$BG$105))," ζ","")&amp;IF(AND(ISNUMBER($AN$35),$AL35=$AN$35)," ⓏⒼ","")&amp;IF(OR($AL35='Level Engine'!$CP$4,$AL35='Level Engine'!$CP$5,$AL35='Level Engine'!$CP$6,$AL35='Level Engine'!$CP$7)," ☄","")&amp;IF(OR($AL35=$AN$5,$AL35=$AN$8)," ║1","")&amp;IF(OR($AL35=$AN$6,$AL35=$AN$10)," ║2","")&amp;IF(OR($AL35=$AN$7,$AL35=$AN$11)," ║3","")&amp;IF(OR($AL35=$AN$13,$AL35=$AN$16)," ▣1","")&amp;IF(OR($AL35=$AN$14,$AL35=$AN$17)," ▣2","")&amp;IF(OR($AL35=$AN$15,$AL35=$AN$18)," ▣3","")&amp;IF(AND(NOT(OR(AND(ISNUMBER(SEARCH("chop edge",$E$45)),IFERROR(ABS($AL35-'King Node Model'!$AL$42)&lt;=5,FALSE),NOT(ISNUMBER(SEARCH("UNSAFE",$L$45)))),AND(ISNUMBER(SEARCH("chop edge",$E$46)),IFERROR(ABS($AL35-'King Node Model'!$AL$43)&lt;=5,FALSE),NOT(ISNUMBER(SEARCH("UNSAFE",$L$46)))),AND(ISNUMBER(SEARCH("chop edge",$E$52)),IFERROR(ABS($AL35-'King Node Model'!$AL$49)&lt;=5,FALSE),NOT(ISNUMBER(SEARCH("UNSAFE",$L$52)))),AND(ISNUMBER(SEARCH("chop edge",$E$53)),IFERROR(ABS($AL35-'King Node Model'!$AL$50)&lt;=5,FALSE),NOT(ISNUMBER(SEARCH("UNSAFE",$L$53)))))),OR(AND(IFERROR(INDEX('Level Engine'!$IB$9:$IB$55,MATCH('King Node Model'!$AL$49,'Level Engine'!$AA$9:$AA$55,0)),0)&lt;&gt;1,$AL35=IFERROR(INDEX('Level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Engine'!$AA$9:$AA$55,0)),0)&lt;&gt;1,$AL35=IFERROR(INDEX('Level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edge",$E$45)),IFERROR(ABS($AL35-'King Node Model'!$AL$42)&lt;=5,FALSE),NOT(ISNUMBER(SEARCH("UNSAFE",$L$45)))),AND(ISNUMBER(SEARCH("chop edge",$E$46)),IFERROR(ABS($AL35-'King Node Model'!$AL$43)&lt;=5,FALSE),NOT(ISNUMBER(SEARCH("UNSAFE",$L$46)))),AND(ISNUMBER(SEARCH("chop edge",$E$52)),IFERROR(ABS($AL35-'King Node Model'!$AL$49)&lt;=5,FALSE),NOT(ISNUMBER(SEARCH("UNSAFE",$L$52)))),AND(ISNUMBER(SEARCH("chop edge",$E$53)),IFERROR(ABS($AL35-'King Node Model'!$AL$50)&lt;=5,FALSE),NOT(ISNUMBER(SEARCH("UNSAFE",$L$53)))))),OR(AND(IFERROR(INDEX('Level Engine'!$IB$9:$IB$55,MATCH('King Node Model'!$AL$42,'Level Engine'!$AA$9:$AA$55,0)),0)&lt;&gt;1,$AL35=IFERROR(INDEX('Level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Engine'!$AA$9:$AA$55,0)),0)&lt;&gt;1,$AL35=IFERROR(INDEX('Level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ⒷⓁ"),"")&amp;IF(OR(AND($AL35&gt;='King Node Model'!$AM$17,$AL35&lt;='King Node Model'!$AN$17,$AP$45="RASP"),AND($AL35&gt;='King Node Model'!$AM$18,$AL35&lt;='King Node Model'!$AN$18,$AP$46="RASP"),AND($AL35&gt;='King Node Model'!$AM$19,$AL35&lt;='King Node Model'!$AN$19,$AP$47="RASP"),AND($AL35&gt;='King Node Model'!$AM$20,$AL35&lt;='King Node Model'!$AN$20,$AP$52="RASP"),AND($AL35&gt;='King Node Model'!$AM$21,$AL35&lt;='King Node Model'!$AN$21,$AP$53="RASP"),AND($AL35&gt;='King Node Model'!$AM$22,$AL35&lt;='King Node Model'!$AN$22,$AP$54="RASP")),"","")&amp;IF(IF('Level Engine'!$GJ$4=1,$AL35='Level Engine'!$GJ$3,AND($AL35-$AM$2&gt;-2.5,$AL35-$AM$2&lt;=2.5))," ◄","")&amp;IF(IFERROR(INDEX('Level Engine'!$GV$9:$GV$55,MATCH($AL35,'Level Engine'!$AA$9:$AA$55,0)),0)=1," Ⓥ"&amp;IF(IFERROR(INDEX('Level Engine'!$ET$9:$ET$55,MATCH($AL35,'Level Engine'!$AA$9:$AA$55,0)),0)=1,"+",""),"")&amp;IF(OR(AND($AL35=$AN$38,IFERROR(INDEX('Level Engine'!$AN$9:$AN$55,MATCH($AL35,'Level Engine'!$AA$9:$AA$55,0)),0)&lt;&gt;1),$AL35=$AN$39)," ⊙","")&amp;IF(AND(OR('King Node Model'!$A$8="Neg",N('Level Engine'!$BG$72)=1),ABS(MIN($AM$3:$AM$64))&gt;MAX($AM$3:$AM$64),$AN$2&lt;$AM$2,$AL35&lt;$AM$2,ABS($AL35-$AN$2)&lt;=5,IFERROR(VALUE(MID('King Node Model'!$K$26,FIND(":",'King Node Model'!$K$26)-2,2)),0)&gt;=19,IFERROR(INDEX('Level Engine'!$EJ$9:$EJ$55,MATCH($AL35,'Level Engine'!$AA$9:$AA$55,0)),0)=0,$AN$3&gt;$AM$2)," ⟲rev","")&amp;IF($AL35='King Node Model'!$F$24," ⟂","")&amp;$DJ35&amp;IF(IFERROR(INDEX('Level Engine'!$EN$9:$EN$55,MATCH($AL35,'Level Engine'!$AA$9:$AA$55,0)),0)=1," Ⓟ"&amp;IF(AND(OR('King Node Model'!$A$8="Neg",N('Level Engine'!$BG$72)=1),IFERROR(INDEX('Level Engine'!$AN$9:$AN$55,MATCH($AL35,'Level Engine'!$AA$9:$AA$55,0)),0)&lt;&gt;1)," NO-REV",""),"")&amp;IF(AND(ISNUMBER($AL35),OR(AND(ISNUMBER(SEARCH("chop edge",$E$45)),$AL35='King Node Model'!$AL$42),AND(ISNUMBER(SEARCH("chop edge",$E$46)),$AL35='King Node Model'!$AL$43),AND(ISNUMBER(SEARCH("chop edge",$E$52)),$AL35='King Node Model'!$AL$49),AND(ISNUMBER(SEARCH("chop edge",$E$53)),$AL35='King Node Model'!$AL$50)))," ⒸⒺ","")&amp;IF(AND('Level Engine'!$GJ$4=1,OR($AL35='Level Engine'!$GJ$1,$AL35='Level Engine'!$GJ$2)),"","")&amp;IF(ABS(N(IFERROR(INDEX('Level Engine'!$AE$9:$AE$55,MATCH($AL35,'Level Engine'!$AA$9:$AA$55,0)),0)))&gt;='Level Engine'!$BG$85,IF(N(IFERROR(INDEX('Level Engine'!$AE$9:$AE$55,MATCH($AL35,'Level Engine'!$AA$9:$AA$55,0)),0))&gt;0," Δ+"," Δ−"),"")&amp;IFERROR(IF(AND(ISNUMBER(MATCH($AL35,'Level Engine'!$AA$9:$AA$55,0)),ABS(N(IFERROR(INDEX('Level Engine'!$AE$9:$AE$55,MATCH($AL35,'Level Engine'!$AA$9:$AA$55,0)),0)))&lt;'Level Engine'!$BG$85,ABS(N(IFERROR(INDEX('Level Engine'!$AE$9:$AE$55,MATCH($AL35,'Level Engine'!$AA$9:$AA$55,0)),0)))&lt;=ABS(N(IFERROR(INDEX('Level Engine'!$AE$9:$AE$55,MATCH($AL35+5,'Level Engine'!$AA$9:$AA$55,0)),0))),ABS(N(IFERROR(INDEX('Level Engine'!$AE$9:$AE$55,MATCH($AL35,'Level Engine'!$AA$9:$AA$55,0)),0)))&lt;=ABS(N(IFERROR(INDEX('Level Engine'!$AE$9:$AE$55,MATCH($AL35-5,'Level Engine'!$AA$9:$AA$55,0)),0))),OR(AND(ABS(N(IFERROR(INDEX('Level Engine'!$AE$9:$AE$55,MATCH($AL35+5,'Level Engine'!$AA$9:$AA$55,0)),0)))&gt;='Level Engine'!$BG$85,ABS(N(IFERROR(INDEX('Level Engine'!$AE$9:$AE$55,MATCH($AL35,'Level Engine'!$AA$9:$AA$55,0)),0)))&lt;='Level Engine'!$BG$88*ABS(N(IFERROR(INDEX('Level Engine'!$AE$9:$AE$55,MATCH($AL35+5,'Level Engine'!$AA$9:$AA$55,0)),0)))),AND(ABS(N(IFERROR(INDEX('Level Engine'!$AE$9:$AE$55,MATCH($AL35-5,'Level Engine'!$AA$9:$AA$55,0)),0)))&gt;='Level Engine'!$BG$85,ABS(N(IFERROR(INDEX('Level Engine'!$AE$9:$AE$55,MATCH($AL35,'Level Engine'!$AA$9:$AA$55,0)),0)))&lt;='Level Engine'!$BG$88*ABS(N(IFERROR(INDEX('Level Engine'!$AE$9:$AE$55,MATCH($AL35-5,'Level Engine'!$AA$9:$AA$55,0)),0)))))),IF(AND('King Node Model'!$A$8="Pos",N('Level Engine'!$BG$72)&lt;&gt;1),""," ∅"),""),"")&amp;IF(IFERROR(INDEX('Level Engine'!$JD$9:$JD$55,MATCH($AL35,'Level Engine'!$AA$9:$AA$55,0)),"")="P"," P-OI",IF(IFERROR(INDEX('Level Engine'!$JD$9:$JD$55,MATCH($AL35,'Level Engine'!$AA$9:$AA$55,0)),"")="C"," C-OI",""))</f>
        <v>7725</v>
      </c>
      <c r="C35" s="9" t="str">
        <f t="shared" si="0"/>
        <v/>
      </c>
      <c r="D35" t="str">
        <f>IF(NOT(ISNUMBER($AL35)),"",IF(IFERROR(INDEX('Level Engine'!$FS$9:$FS$55,MATCH($AL35,'Level Engine'!$AA$9:$AA$55,0)),0)=1,"⊙",""))</f>
        <v/>
      </c>
      <c r="E35" s="18"/>
      <c r="F35" s="19"/>
      <c r="G35" s="19"/>
      <c r="H35" s="19"/>
      <c r="I35" s="19"/>
      <c r="J35" s="19"/>
      <c r="K35" s="19"/>
      <c r="L35" s="19"/>
      <c r="M35" s="19"/>
      <c r="N35" s="34"/>
      <c r="O35" s="21"/>
      <c r="Q35" s="452" t="str">
        <f t="shared" ref="Q35:Q40" si="14">IF(NOT(ISNUMBER($BK35)),"","B"&amp;TEXT($CF35,"0")&amp;"  "&amp;TEXT($BK35,"0")&amp;IF($BQ35="", " ", "   ·   "&amp;$BQ35)&amp;IF(OR(NOT(ISNUMBER($BL35)),NOT(ISNUMBER($BM35)),($BL35+$BM35)=0),"","  "&amp;TEXT(MAX($BL35,$BM35)/($BL35+$BM35),"0%"))&amp;IF($BR35="", " ", " "&amp;$BR35))</f>
        <v xml:space="preserve">B1  7800   51% </v>
      </c>
      <c r="R35" s="447" t="str">
        <f t="shared" si="5"/>
        <v>2.9k ▉▉▉▉</v>
      </c>
      <c r="S35" s="484" t="str">
        <f t="shared" si="6"/>
        <v>▉▉▉▉ 3.1k</v>
      </c>
      <c r="T35" s="484" t="str">
        <f t="shared" ref="T35:T40" si="15">IF(NOT(ISNUMBER($BW35)),"","g"&amp;TEXT($BW35,"0"))</f>
        <v>g4</v>
      </c>
      <c r="U35" s="453" t="str">
        <f t="shared" ref="U35:U40" si="16">$BY35</f>
        <v>thin for its OI</v>
      </c>
      <c r="AL35" s="1">
        <f>'King Node Model'!A61</f>
        <v>7725</v>
      </c>
      <c r="AM35" s="10">
        <f>'King Node Model'!C61</f>
        <v>-134113</v>
      </c>
      <c r="AN35" s="1">
        <f>'King Node Model'!D27</f>
        <v>7775</v>
      </c>
      <c r="AO35" s="10">
        <f>'King Node Model'!B61</f>
        <v>516893</v>
      </c>
      <c r="AY35" s="1">
        <f>IF(AND($B$2="Hide unsafe",$BB35=1),0,IF(AND(OR(AND(AND(ISNUMBER($AL35),OR(AND($AL35&gt;=$AQ$22,$AL35&lt;=$AR$22,$AS$22=1),$AL35=$AQ$22,$AL35=$AR$22,$AL35=$AQ$23,$AL35=$AR$23,$AL35=$AQ$24,$AL35=$AR$24),NOT(OR($AL35=$AN$5,$AL35=$AN$6,$AL35=$AN$7,$AL35=$AN$8,$AL35=$AN$10,$AL35=$AN$11))),NOT(OR(AND('King Node Model'!$P$13="Up",OR($AL35=$AQ$22,$AL35=$AQ$23,$AL35=$AQ$24,$AL35='King Node Model'!$AM$20,$AL35='King Node Model'!$AM$21,$AL35='King Node Model'!$AM$22),OR(AND('King Node Model'!$B$23-$AL35&gt;=0,'King Node Model'!$B$23-$AL35&lt;=5),AND('King Node Model'!$C$23-$AL35&gt;=0,'King Node Model'!$C$23-$AL35&lt;=5))),AND('King Node Model'!$P$13="Down",OR($AL35=$AR$22,$AL35=$AR$23,$AL35=$AR$24,$AL35='King Node Model'!$AN$20,$AL35='King Node Model'!$AN$21,$AL35='King Node Model'!$AN$22),OR(AND($AL35-'King Node Model'!$B$23&gt;=0,$AL35-'King Node Model'!$B$23&lt;=5),AND($AL35-'King Node Model'!$C$24&gt;=0,$AL35-'King Node Model'!$C$24&lt;=5)))))),AND(AND(ISNUMBER($AL35),OR(AND($AL35&gt;=$AQ$22,$AL35&lt;=$AR$22,$AS$22=1),$AL35=$AQ$22,$AL35=$AR$22,$AL35=$AQ$23,$AL35=$AR$23,$AL35=$AQ$24,$AL35=$AR$24,$AL35='King Node Model'!$AL$42,$AL35='King Node Model'!$AL$43),OR($AL35=$AN$5,$AL35=$AN$6,$AL35=$AN$7,$AL35=$AN$8,$AL35=$AN$10,$AL35=$AN$11)),NOT(OR(AND('King Node Model'!$P$13="Up",OR($AL35=$AQ$22,$AL35=$AQ$23,$AL35=$AQ$24,$AL35='King Node Model'!$AM$20,$AL35='King Node Model'!$AM$21,$AL35='King Node Model'!$AM$22),OR(AND('King Node Model'!$B$23-$AL35&gt;=0,'King Node Model'!$B$23-$AL35&lt;=5),AND('King Node Model'!$C$23-$AL35&gt;=0,'King Node Model'!$C$23-$AL35&lt;=5))),AND('King Node Model'!$P$13="Down",OR($AL35=$AR$22,$AL35=$AR$23,$AL35=$AR$24,$AL35='King Node Model'!$AN$20,$AL35='King Node Model'!$AN$21,$AL35='King Node Model'!$AN$22),OR(AND($AL35-'King Node Model'!$B$23&gt;=0,$AL35-'King Node Model'!$B$23&lt;=5),AND($AL35-'King Node Model'!$C$24&gt;=0,$AL35-'King Node Model'!$C$24&lt;=5)))))),AND(AND(ISNUMBER($AL35),OR(AND($AL35&gt;='King Node Model'!$AM$20,$AL35&lt;='King Node Model'!$AN$20,$AS$23=1),$AL35='King Node Model'!$AM$20,$AL35='King Node Model'!$AN$20,$AL35='King Node Model'!$AM$21,$AL35='King Node Model'!$AN$21,$AL35='King Node Model'!$AM$22,$AL35='King Node Model'!$AN$22),NOT(OR($AL35=$AN$5,$AL35=$AN$6,$AL35=$AN$7,$AL35=$AN$8,$AL35=$AN$10,$AL35=$AN$11))),NOT(AND(ISNUMBER('King Node Model'!$F$24),$AL35='King Node Model'!$F$24,IFERROR(INDEX('Level Engine'!$JN$9:$JN$55,MATCH($AL35,'Level Engine'!$AA$9:$AA$55,0)),0)&lt;&gt;1))),AND(AND(ISNUMBER($AL35),OR(AND($AL35&gt;='King Node Model'!$AM$20,$AL35&lt;='King Node Model'!$AN$20,$AS$23=1),$AL35='King Node Model'!$AM$20,$AL35='King Node Model'!$AN$20,$AL35='King Node Model'!$AM$21,$AL35='King Node Model'!$AN$21,$AL35='King Node Model'!$AM$22,$AL35='King Node Model'!$AN$22,$AL35='King Node Model'!$AL$49,$AL35='King Node Model'!$AL$50),OR($AL35=$AN$5,$AL35=$AN$6,$AL35=$AN$7,$AL35=$AN$8,$AL35=$AN$10,$AL35=$AN$11)),NOT(OR(AND('King Node Model'!$P$13="Up",OR($AL35=$AQ$22,$AL35=$AQ$23,$AL35=$AQ$24,$AL35='King Node Model'!$AM$20,$AL35='King Node Model'!$AM$21,$AL35='King Node Model'!$AM$22),OR(AND('King Node Model'!$B$23-$AL35&gt;=0,'King Node Model'!$B$23-$AL35&lt;=5),AND('King Node Model'!$C$23-$AL35&gt;=0,'King Node Model'!$C$23-$AL35&lt;=5))),AND('King Node Model'!$P$13="Down",OR($AL35=$AR$22,$AL35=$AR$23,$AL35=$AR$24,$AL35='King Node Model'!$AN$20,$AL35='King Node Model'!$AN$21,$AL35='King Node Model'!$AN$22),OR(AND($AL35-'King Node Model'!$B$23&gt;=0,$AL35-'King Node Model'!$B$23&lt;=5),AND($AL35-'King Node Model'!$C$24&gt;=0,$AL35-'King Node Model'!$C$24&lt;=5))))))),OR(COUNTIF('Level Engine'!$W$9:$W$14,$AL35)&gt;0,COUNTIF('Level Engine'!$W$18:$W$23,$AL35)&gt;0)),1,0))</f>
        <v>0</v>
      </c>
      <c r="AZ35" s="1">
        <f t="shared" si="1"/>
        <v>0</v>
      </c>
      <c r="BB35" s="1">
        <f>IF(OR(AND($AL35='King Node Model'!$AL$42,$AP$45&lt;&gt;"RASP"),AND($AL35='King Node Model'!$AL$43,$AP$46&lt;&gt;"RASP"),AND($AL35='King Node Model'!$AL$49,$AP$52&lt;&gt;"RASP"),AND($AL35='King Node Model'!$AL$50,$AP$53&lt;&gt;"RASP"),AND($AL35='King Node Model'!$AL$44,$AP$47&lt;&gt;"RASP"),AND($AL35='King Node Model'!$AL$51,$AP$54&lt;&gt;"RASP")),0,IF(AND(AND(ISNUMBER($AL35),OR(AND($AL35&gt;=$AQ$22,$AL35&lt;=$AR$22,$AP$45="RASP"),AND($AL35&gt;=$AQ$23,$AL35&lt;=$AR$23,$AP$46="RASP"),AND($AL35&gt;=$AQ$24,$AL35&lt;=$AR$24,$AP$47="RASP"),AND($AL35&gt;='King Node Model'!$AM$20,$AL35&lt;='King Node Model'!$AN$20,$AP$52="RASP",NOT($L$52=$AW$52)),AND($AL35='King Node Model'!$B$23,$AP$52="RASP",$L$52=$AW$52),AND($AL35&gt;='King Node Model'!$AM$21,$AL35&lt;='King Node Model'!$AN$21,$AP$53="RASP",NOT($L$53=$AW$53)),AND($AL35='King Node Model'!$B$23,$AP$53="RASP",$L$53=$AW$53),AND($AL35&gt;='King Node Model'!$AM$22,$AL35&lt;='King Node Model'!$AN$22,$AP$54="RASP"),AND($AL35&gt;=IFERROR(INDEX('Level Engine'!$AT$9:$AT$55,MATCH('King Node Model'!$AL$42,'Level Engine'!$AA$9:$AA$55,0)),""),$AL35&lt;=IFERROR(INDEX('Level Engine'!$AU$9:$AU$55,MATCH('King Node Model'!$AL$42,'Level Engine'!$AA$9:$AA$55,0)),""),$AP$45="RASP"),AND($AL35&gt;=IFERROR(INDEX('Level Engine'!$AT$9:$AT$55,MATCH('King Node Model'!$AL$43,'Level Engine'!$AA$9:$AA$55,0)),""),$AL35&lt;=IFERROR(INDEX('Level Engine'!$AU$9:$AU$55,MATCH('King Node Model'!$AL$43,'Level Engine'!$AA$9:$AA$55,0)),""),$AP$46="RASP"),AND($AL35&gt;=IFERROR(INDEX('Level Engine'!$AT$9:$AT$55,MATCH('King Node Model'!$AL$44,'Level Engine'!$AA$9:$AA$55,0)),""),$AL35&lt;=IFERROR(INDEX('Level Engine'!$AU$9:$AU$55,MATCH('King Node Model'!$AL$44,'Level Engine'!$AA$9:$AA$55,0)),""),$AP$47="RASP"),AND($AL35&gt;=IFERROR(INDEX('Level Engine'!$AT$9:$AT$55,MATCH('King Node Model'!$AL$49,'Level Engine'!$AA$9:$AA$55,0)),""),$AL35&lt;=IFERROR(INDEX('Level Engine'!$AU$9:$AU$55,MATCH('King Node Model'!$AL$49,'Level Engine'!$AA$9:$AA$55,0)),""),$AP$52="RASP",NOT($L$52=$AW$52)),AND($AL35&gt;=IFERROR(INDEX('Level Engine'!$AT$9:$AT$55,MATCH('King Node Model'!$AL$50,'Level Engine'!$AA$9:$AA$55,0)),""),$AL35&lt;=IFERROR(INDEX('Level Engine'!$AU$9:$AU$55,MATCH('King Node Model'!$AL$50,'Level Engine'!$AA$9:$AA$55,0)),""),$AP$53="RASP",NOT($L$53=$AW$53)),AND($AL35&gt;=IFERROR(INDEX('Level Engine'!$AT$9:$AT$55,MATCH('King Node Model'!$AL$51,'Level Engine'!$AA$9:$AA$55,0)),""),$AL35&lt;=IFERROR(INDEX('Level Engine'!$AU$9:$AU$55,MATCH('King Node Model'!$AL$51,'Level Engine'!$AA$9:$AA$55,0)),""),$AP$54="RASP"))),NOT(AND(ISNUMBER('King Node Model'!$F$24),$AL35='King Node Model'!$F$24,IFERROR(INDEX('Level Engine'!$JN$9:$JN$55,MATCH($AL35,'Level Engine'!$AA$9:$AA$55,0)),0)&lt;&gt;1,$AL35&lt;&gt;'King Node Model'!$AL$42,$AL35&lt;&gt;'King Node Model'!$AL$43,$AL35&lt;&gt;'King Node Model'!$AL$44,$AL35&lt;&gt;'King Node Model'!$AL$49,$AL35&lt;&gt;'King Node Model'!$AL$50,$AL35&lt;&gt;'King Node Model'!$AL$51))),1,0))</f>
        <v>0</v>
      </c>
      <c r="BK35">
        <f>IFERROR(LARGE($CE$35:$CE$40,1),"")</f>
        <v>7800</v>
      </c>
      <c r="BL35">
        <f>IFERROR(INDEX('King Node Model'!$K$29:$K$75,MATCH($BK35,'King Node Model'!$A$29:$A$75,0)),"")</f>
        <v>2931</v>
      </c>
      <c r="BM35">
        <f>IFERROR(INDEX('King Node Model'!$L$29:$L$75,MATCH($BK35,'King Node Model'!$A$29:$A$75,0)),"")</f>
        <v>3059</v>
      </c>
      <c r="BN35">
        <f t="shared" si="9"/>
        <v>2.1368948247078464E-2</v>
      </c>
      <c r="BO35">
        <f>IFERROR(INDEX('Level Engine'!$AC$9:$AC$55,MATCH($BK35,'Level Engine'!$AA$9:$AA$55,0))/MAX('Level Engine'!$AC$9:$AC$55),"")</f>
        <v>0.83916113787108304</v>
      </c>
      <c r="BP35">
        <f>IF(NOT(ISNUMBER($BK35)),"",IF($BK35&gt;'King Node Model'!$B$4,1,-1))</f>
        <v>1</v>
      </c>
      <c r="BQ35" t="str">
        <f>IF(OR(NOT(ISNUMBER($BN35)),NOT(ISNUMBER($BO35))),"",IF($BO35&lt;0.15,"thin",IF(OR('King Node Model'!$A$8="Neg",N('Level Engine'!$BG$72)=1),"",IF($BP35=1,IF($BN35&lt;=-0.4,"HARD ceil",IF($BN35&lt;=-0.15,"ceil",IF($BN35&lt;0.15,"neutral","soft ceil"))),IF($BN35&gt;=0.4,"FIRM floor",IF($BN35&gt;=0.15,"floor",IF($BN35&gt;-0.15,"neutral","WEAK floor"))))&amp;IF($BO35&lt;0.25," ·marginal",""))))</f>
        <v/>
      </c>
      <c r="BR35" t="str">
        <f>IF(NOT(ISNUMBER($BN35)),"",IF(OR('King Node Model'!$A$8="Neg",N('Level Engine'!$BG$72)=1),"",IF(AND($BP35=1,$BN35&gt;0.15),"⚠",IF(AND($BP35=-1,$BN35&lt;-0.15),"⚠",""))))</f>
        <v/>
      </c>
      <c r="BW35">
        <f t="shared" ref="BW35:BW40" si="17">IF(NOT(ISNUMBER($BO35)),"",COUNTIF($BO$35:$BO$40,"&gt;"&amp;$BO35)+1)</f>
        <v>4</v>
      </c>
      <c r="BX35">
        <f t="shared" ref="BX35:BX40" si="18">IFERROR($CF35,"")</f>
        <v>1</v>
      </c>
      <c r="BY35" t="str">
        <f t="shared" ref="BY35:BY40" si="19">IF(OR(NOT(ISNUMBER($BW35)),NOT(ISNUMBER($BX35))),"",IF($BW35=1,"biggest gamma below",IF(AND($BX35&lt;=3,$BW35-$BX35&gt;=3),"thin for its OI",IF(AND($BW35&lt;=3,$BX35-$BW35&gt;=3),"heavy for its OI",""))))</f>
        <v>thin for its OI</v>
      </c>
      <c r="CA35">
        <f>IFERROR(SUMPRODUCT(LARGE(('King Node Model'!$A$29:$A$75&lt;$BZ$24)*('King Node Model'!$A$29:$A$75&gt;=$BY$24)*('King Node Model'!$A$29:$A$75&lt;&gt;$BK$34)*(('King Node Model'!$K$29:$K$75+'King Node Model'!$L$29:$L$75)*1000000+'King Node Model'!$A$29:$A$75),1)),0)</f>
        <v>5990007800</v>
      </c>
      <c r="CE35">
        <f>IF(NOT(ISNUMBER($CA35)),"",IF($CA35&lt;=0,"",IFERROR(SUMPRODUCT(MAX((('King Node Model'!$A$29:$A$75&lt;$BZ$24)*('King Node Model'!$A$29:$A$75&gt;=$BY$24)*('King Node Model'!$A$29:$A$75&lt;&gt;$BK$34)*(('King Node Model'!$K$29:$K$75+'King Node Model'!$L$29:$L$75)*1000000+'King Node Model'!$A$29:$A$75)=$CA35)*'King Node Model'!$A$29:$A$75)),"")))</f>
        <v>7800</v>
      </c>
      <c r="CF35">
        <f t="shared" ref="CF35:CF40" si="20">IFERROR(MATCH($BK35,$CE$35:$CE$40,0),"")</f>
        <v>1</v>
      </c>
      <c r="CO35">
        <f>IF(NOT(ISNUMBER($AL35)),"",IF(NOT(ISNUMBER(IFERROR(INDEX('Level Engine'!$FT$9:$FT$55,MATCH($AL35,'Level Engine'!$AA$9:$AA$55,0)),""))),"",IF(IFERROR(INDEX('Level Engine'!$FT$9:$FT$55,MATCH($AL35,'Level Engine'!$AA$9:$AA$55,0)),"")&lt;0,0,2)+IF(ABS(IFERROR(INDEX('Level Engine'!$FT$9:$FT$55,MATCH($AL35,'Level Engine'!$AA$9:$AA$55,0)),""))&gt;='Level Engine'!$FT$2,2,1)))</f>
        <v>1</v>
      </c>
      <c r="DJ35" t="str">
        <f>IF(ISNUMBER($AL35),IF($AL35='Level Engine'!$BG$122," ⫪","")&amp;IF($AL35='Level Engine'!$BG$118," S↑"&amp;IFERROR(INDEX('Level Engine'!$MV$9:$MV$55,MATCH($AL35,'Level Engine'!$AA$9:$AA$55,0)),""),"")&amp;IF($AL35='Level Engine'!$BG$119," S↓"&amp;IFERROR(INDEX('Level Engine'!$MV$9:$MV$55,MATCH($AL35,'Level Engine'!$AA$9:$AA$55,0)),""),"")&amp;IF($AL35='Level Engine'!$BG$120," D↑","")&amp;IF($AL35='Level Engine'!$BG$121," D↓","")&amp;IFERROR(INDEX('Level Engine'!$LG$9:$LG$55,MATCH($AL35,'Level Engine'!$AA$9:$AA$55,0)),"")&amp;IF(IFERROR(INDEX('Level Engine'!$MA$9:$MA$55,MATCH($AL35,'Level Engine'!$AA$9:$AA$55,0)),0)=1," SAND","")&amp;IF(IFERROR(INDEX('Level Engine'!$LM$9:$LM$55,MATCH($AL35,'Level Engine'!$AA$9:$AA$55,0)),0)&gt;0," TP","")&amp;IFERROR(" r"&amp;MATCH($AL35,'Level Engine'!$W$9:$W$14,0),IFERROR(" s"&amp;MATCH($AL35,'Level Engine'!$W$18:$W$23,0),""))&amp;IF($AL35='Level Engine'!$BG$165," ◇","")&amp;IF(N($DZ35)=1,IF($AL35&gt;'Level Engine'!$BG$165," ⚠ DOM↓"," ⚠ DOM↑")&amp;'Level Engine'!$BG$165,""),"")</f>
        <v/>
      </c>
      <c r="DK35" t="str">
        <f>IF(AND(ISNUMBER($AL35),OR($AL35='King Node Model'!$AL$42,$AL35='King Node Model'!$AL$43,$AL35='King Node Model'!$AL$44)),IFERROR(MATCH($AL35,'Level Engine'!$W$9:$W$14,0),""),"")</f>
        <v/>
      </c>
      <c r="DL35" t="str">
        <f>IF(AND(ISNUMBER($AL35),OR($AL35='King Node Model'!$AL$49,$AL35='King Node Model'!$AL$50,$AL35='King Node Model'!$AL$51)),IFERROR(MATCH($AL35,'Level Engine'!$W$18:$W$23,0),""),"")</f>
        <v/>
      </c>
      <c r="DM35">
        <f>IF(AND(ISNUMBER($AL35),IFERROR(INDEX('Level Engine'!$LC$9:$LC$55,MATCH($AL35,'Level Engine'!$AA$9:$AA$55,0)),0)=1,OR($AL35=$AN$3,IFERROR(INDEX('Level Engine'!$LB$9:$LB$55,MATCH($AL35,'Level Engine'!$AA$9:$AA$55,0)),0)=1)),1,0)</f>
        <v>0</v>
      </c>
      <c r="DZ35">
        <f>IF(ISNUMBER($AL35),IF(IFERROR(INDEX('Level Engine'!$NJ$9:$NJ$55,MATCH($AL35,'Level Engine'!$AA$9:$AA$55,0)),0)=1,1,0),0)</f>
      </c>
    </row>
    <row r="36" spans="1:123" ht="66.75" customHeight="1" x14ac:dyDescent="0.25">
      <c r="A36" s="7" t="str">
        <f t="shared" si="3"/>
        <v>███████</v>
      </c>
      <c r="B36" s="8" t="str">
        <f>TEXT(IF(IF('Level Engine'!$GJ$4=1,$AL36='Level Engine'!$GJ$3,AND($AL36-$AM$2&gt;-2.5,$AL36-$AM$2&lt;=2.5)),$AM$2,$AL36),"0")&amp;IF($AL36=$AN$1," ★","")&amp;IF($AL36=$AN$2," ★","")&amp;IF($AL36=$AN$3," ◆","")&amp;IF(AND(ISNUMBER($AN$4),$AL36=$AN$4)," Ⓕ","")&amp;IF(OR(AND(ISNUMBER('Level Engine'!$BG$87),$AL36='Level Engine'!$BG$87),AND(ISNUMBER('Level Engine'!$BG$105),$AL36='Level Engine'!$BG$105))," ζ","")&amp;IF(AND(ISNUMBER($AN$35),$AL36=$AN$35)," ⓏⒼ","")&amp;IF(OR($AL36='Level Engine'!$CP$4,$AL36='Level Engine'!$CP$5,$AL36='Level Engine'!$CP$6,$AL36='Level Engine'!$CP$7)," ☄","")&amp;IF(OR($AL36=$AN$5,$AL36=$AN$8)," ║1","")&amp;IF(OR($AL36=$AN$6,$AL36=$AN$10)," ║2","")&amp;IF(OR($AL36=$AN$7,$AL36=$AN$11)," ║3","")&amp;IF(OR($AL36=$AN$13,$AL36=$AN$16)," ▣1","")&amp;IF(OR($AL36=$AN$14,$AL36=$AN$17)," ▣2","")&amp;IF(OR($AL36=$AN$15,$AL36=$AN$18)," ▣3","")&amp;IF(AND(NOT(OR(AND(ISNUMBER(SEARCH("chop edge",$E$45)),IFERROR(ABS($AL36-'King Node Model'!$AL$42)&lt;=5,FALSE),NOT(ISNUMBER(SEARCH("UNSAFE",$L$45)))),AND(ISNUMBER(SEARCH("chop edge",$E$46)),IFERROR(ABS($AL36-'King Node Model'!$AL$43)&lt;=5,FALSE),NOT(ISNUMBER(SEARCH("UNSAFE",$L$46)))),AND(ISNUMBER(SEARCH("chop edge",$E$52)),IFERROR(ABS($AL36-'King Node Model'!$AL$49)&lt;=5,FALSE),NOT(ISNUMBER(SEARCH("UNSAFE",$L$52)))),AND(ISNUMBER(SEARCH("chop edge",$E$53)),IFERROR(ABS($AL36-'King Node Model'!$AL$50)&lt;=5,FALSE),NOT(ISNUMBER(SEARCH("UNSAFE",$L$53)))))),OR(AND(IFERROR(INDEX('Level Engine'!$IB$9:$IB$55,MATCH('King Node Model'!$AL$49,'Level Engine'!$AA$9:$AA$55,0)),0)&lt;&gt;1,$AL36=IFERROR(INDEX('Level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Engine'!$AA$9:$AA$55,0)),0)&lt;&gt;1,$AL36=IFERROR(INDEX('Level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edge",$E$45)),IFERROR(ABS($AL36-'King Node Model'!$AL$42)&lt;=5,FALSE),NOT(ISNUMBER(SEARCH("UNSAFE",$L$45)))),AND(ISNUMBER(SEARCH("chop edge",$E$46)),IFERROR(ABS($AL36-'King Node Model'!$AL$43)&lt;=5,FALSE),NOT(ISNUMBER(SEARCH("UNSAFE",$L$46)))),AND(ISNUMBER(SEARCH("chop edge",$E$52)),IFERROR(ABS($AL36-'King Node Model'!$AL$49)&lt;=5,FALSE),NOT(ISNUMBER(SEARCH("UNSAFE",$L$52)))),AND(ISNUMBER(SEARCH("chop edge",$E$53)),IFERROR(ABS($AL36-'King Node Model'!$AL$50)&lt;=5,FALSE),NOT(ISNUMBER(SEARCH("UNSAFE",$L$53)))))),OR(AND(IFERROR(INDEX('Level Engine'!$IB$9:$IB$55,MATCH('King Node Model'!$AL$42,'Level Engine'!$AA$9:$AA$55,0)),0)&lt;&gt;1,$AL36=IFERROR(INDEX('Level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Engine'!$AA$9:$AA$55,0)),0)&lt;&gt;1,$AL36=IFERROR(INDEX('Level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ⒷⓁ"),"")&amp;IF(OR(AND($AL36&gt;='King Node Model'!$AM$17,$AL36&lt;='King Node Model'!$AN$17,$AP$45="RASP"),AND($AL36&gt;='King Node Model'!$AM$18,$AL36&lt;='King Node Model'!$AN$18,$AP$46="RASP"),AND($AL36&gt;='King Node Model'!$AM$19,$AL36&lt;='King Node Model'!$AN$19,$AP$47="RASP"),AND($AL36&gt;='King Node Model'!$AM$20,$AL36&lt;='King Node Model'!$AN$20,$AP$52="RASP"),AND($AL36&gt;='King Node Model'!$AM$21,$AL36&lt;='King Node Model'!$AN$21,$AP$53="RASP"),AND($AL36&gt;='King Node Model'!$AM$22,$AL36&lt;='King Node Model'!$AN$22,$AP$54="RASP")),"","")&amp;IF(IF('Level Engine'!$GJ$4=1,$AL36='Level Engine'!$GJ$3,AND($AL36-$AM$2&gt;-2.5,$AL36-$AM$2&lt;=2.5))," ◄","")&amp;IF(IFERROR(INDEX('Level Engine'!$GV$9:$GV$55,MATCH($AL36,'Level Engine'!$AA$9:$AA$55,0)),0)=1," Ⓥ"&amp;IF(IFERROR(INDEX('Level Engine'!$ET$9:$ET$55,MATCH($AL36,'Level Engine'!$AA$9:$AA$55,0)),0)=1,"+",""),"")&amp;IF(OR(AND($AL36=$AN$38,IFERROR(INDEX('Level Engine'!$AN$9:$AN$55,MATCH($AL36,'Level Engine'!$AA$9:$AA$55,0)),0)&lt;&gt;1),$AL36=$AN$39)," ⊙","")&amp;IF(AND(OR('King Node Model'!$A$8="Neg",N('Level Engine'!$BG$72)=1),ABS(MIN($AM$3:$AM$64))&gt;MAX($AM$3:$AM$64),$AN$2&lt;$AM$2,$AL36&lt;$AM$2,ABS($AL36-$AN$2)&lt;=5,IFERROR(VALUE(MID('King Node Model'!$K$26,FIND(":",'King Node Model'!$K$26)-2,2)),0)&gt;=19,IFERROR(INDEX('Level Engine'!$EJ$9:$EJ$55,MATCH($AL36,'Level Engine'!$AA$9:$AA$55,0)),0)=0,$AN$3&gt;$AM$2)," ⟲rev","")&amp;IF($AL36='King Node Model'!$F$24," ⟂","")&amp;$DJ36&amp;IF(IFERROR(INDEX('Level Engine'!$EN$9:$EN$55,MATCH($AL36,'Level Engine'!$AA$9:$AA$55,0)),0)=1," Ⓟ"&amp;IF(AND(OR('King Node Model'!$A$8="Neg",N('Level Engine'!$BG$72)=1),IFERROR(INDEX('Level Engine'!$AN$9:$AN$55,MATCH($AL36,'Level Engine'!$AA$9:$AA$55,0)),0)&lt;&gt;1)," NO-REV",""),"")&amp;IF(AND(ISNUMBER($AL36),OR(AND(ISNUMBER(SEARCH("chop edge",$E$45)),$AL36='King Node Model'!$AL$42),AND(ISNUMBER(SEARCH("chop edge",$E$46)),$AL36='King Node Model'!$AL$43),AND(ISNUMBER(SEARCH("chop edge",$E$52)),$AL36='King Node Model'!$AL$49),AND(ISNUMBER(SEARCH("chop edge",$E$53)),$AL36='King Node Model'!$AL$50)))," ⒸⒺ","")&amp;IF(AND('Level Engine'!$GJ$4=1,OR($AL36='Level Engine'!$GJ$1,$AL36='Level Engine'!$GJ$2)),"","")&amp;IF(ABS(N(IFERROR(INDEX('Level Engine'!$AE$9:$AE$55,MATCH($AL36,'Level Engine'!$AA$9:$AA$55,0)),0)))&gt;='Level Engine'!$BG$85,IF(N(IFERROR(INDEX('Level Engine'!$AE$9:$AE$55,MATCH($AL36,'Level Engine'!$AA$9:$AA$55,0)),0))&gt;0," Δ+"," Δ−"),"")&amp;IFERROR(IF(AND(ISNUMBER(MATCH($AL36,'Level Engine'!$AA$9:$AA$55,0)),ABS(N(IFERROR(INDEX('Level Engine'!$AE$9:$AE$55,MATCH($AL36,'Level Engine'!$AA$9:$AA$55,0)),0)))&lt;'Level Engine'!$BG$85,ABS(N(IFERROR(INDEX('Level Engine'!$AE$9:$AE$55,MATCH($AL36,'Level Engine'!$AA$9:$AA$55,0)),0)))&lt;=ABS(N(IFERROR(INDEX('Level Engine'!$AE$9:$AE$55,MATCH($AL36+5,'Level Engine'!$AA$9:$AA$55,0)),0))),ABS(N(IFERROR(INDEX('Level Engine'!$AE$9:$AE$55,MATCH($AL36,'Level Engine'!$AA$9:$AA$55,0)),0)))&lt;=ABS(N(IFERROR(INDEX('Level Engine'!$AE$9:$AE$55,MATCH($AL36-5,'Level Engine'!$AA$9:$AA$55,0)),0))),OR(AND(ABS(N(IFERROR(INDEX('Level Engine'!$AE$9:$AE$55,MATCH($AL36+5,'Level Engine'!$AA$9:$AA$55,0)),0)))&gt;='Level Engine'!$BG$85,ABS(N(IFERROR(INDEX('Level Engine'!$AE$9:$AE$55,MATCH($AL36,'Level Engine'!$AA$9:$AA$55,0)),0)))&lt;='Level Engine'!$BG$88*ABS(N(IFERROR(INDEX('Level Engine'!$AE$9:$AE$55,MATCH($AL36+5,'Level Engine'!$AA$9:$AA$55,0)),0)))),AND(ABS(N(IFERROR(INDEX('Level Engine'!$AE$9:$AE$55,MATCH($AL36-5,'Level Engine'!$AA$9:$AA$55,0)),0)))&gt;='Level Engine'!$BG$85,ABS(N(IFERROR(INDEX('Level Engine'!$AE$9:$AE$55,MATCH($AL36,'Level Engine'!$AA$9:$AA$55,0)),0)))&lt;='Level Engine'!$BG$88*ABS(N(IFERROR(INDEX('Level Engine'!$AE$9:$AE$55,MATCH($AL36-5,'Level Engine'!$AA$9:$AA$55,0)),0)))))),IF(AND('King Node Model'!$A$8="Pos",N('Level Engine'!$BG$72)&lt;&gt;1),""," ∅"),""),"")&amp;IF(IFERROR(INDEX('Level Engine'!$JD$9:$JD$55,MATCH($AL36,'Level Engine'!$AA$9:$AA$55,0)),"")="P"," P-OI",IF(IFERROR(INDEX('Level Engine'!$JD$9:$JD$55,MATCH($AL36,'Level Engine'!$AA$9:$AA$55,0)),"")="C"," C-OI",""))</f>
        <v>7720 ζ ▣1 P-OI</v>
      </c>
      <c r="C36" s="9" t="str">
        <f t="shared" si="0"/>
        <v/>
      </c>
      <c r="D36" t="str">
        <f>IF(NOT(ISNUMBER($AL36)),"",IF(IFERROR(INDEX('Level Engine'!$FS$9:$FS$55,MATCH($AL36,'Level Engine'!$AA$9:$AA$55,0)),0)=1,"⊙",""))</f>
        <v/>
      </c>
      <c r="E36" s="519"/>
      <c r="F36" s="471"/>
      <c r="G36" s="599" t="str">
        <f>IF(AND(ISNUMBER('King Node Model'!$D$26),ISNUMBER('King Node Model'!$B$4)),"FLIP   "&amp;TEXT('King Node Model'!$D$26,"0")&amp;CHAR(10)&amp;TEXT('King Node Model'!$D$26-'King Node Model'!$B$4,"+0;-0")&amp;" pts","FLIP   —"&amp;CHAR(10)&amp;"no flip in range")</f>
        <v>FLIP   7805
+30 pts</v>
      </c>
      <c r="H36" s="599"/>
      <c r="I36" s="601" t="str">
        <f>IFERROR(IF(ISNUMBER('Level Engine'!$BG$120),"D↑ MAX DEX  "&amp;TEXT('Level Engine'!$BG$120,"0")&amp;"  "&amp;TEXT(MAX('Level Engine'!$AE$9:$AE$55),"+#,##0;-#,##0")&amp;" · "&amp;TEXT(ROUND('Level Engine'!$BG$120-'King Node Model'!$B$4,0),"+0;-0;0")&amp;" pts","")&amp;CHAR(10)&amp;IF(ISNUMBER('Level Engine'!$BG$121),"D↓ MIN DEX  "&amp;TEXT('Level Engine'!$BG$121,"0")&amp;"  "&amp;TEXT(MIN('Level Engine'!$AE$9:$AE$55),"+#,##0;-#,##0")&amp;" · "&amp;TEXT(ROUND('Level Engine'!$BG$121-'King Node Model'!$B$4,0),"+0;-0;0")&amp;" pts",""),"")</f>
        <v>D↑ MAX DEX  7705  +1,719,742 · -70 pts
D↓ MIN DEX  7800  -1,757,071 · +25 pts</v>
      </c>
      <c r="J36" s="601"/>
      <c r="K36" s="555" t="str">
        <f>IF(AND(ISNUMBER('Level Engine'!$BG$122),ISNUMBER('King Node Model'!$B$4)),"⫪ MAX VEX   "&amp;TEXT('Level Engine'!$BG$122,"0")&amp;CHAR(10)&amp;TEXT(MAX('King Node Model'!F29:F75),"+#,##0;-#,##0")&amp;" · "&amp;TEXT(ROUND('Level Engine'!$BG$122-'King Node Model'!$B$4,0),"+0;-0;0")&amp;" pts","⫪ MAX VEX   —"&amp;CHAR(10)&amp;"no data")</f>
        <v>⫪ MAX VEX   7750
+3,673,666 · -25 pts</v>
      </c>
      <c r="L36" s="552"/>
      <c r="M36" s="553"/>
      <c r="N36" s="554"/>
      <c r="O36" s="21"/>
      <c r="Q36" s="452" t="str">
        <f t="shared" si="14"/>
        <v xml:space="preserve">B6  7795   52% </v>
      </c>
      <c r="R36" s="447" t="str">
        <f t="shared" si="5"/>
        <v>944 ▉▉▉▉</v>
      </c>
      <c r="S36" s="484" t="str">
        <f t="shared" si="6"/>
        <v>▉▉▉▉ 886</v>
      </c>
      <c r="T36" s="484" t="str">
        <f t="shared" si="15"/>
        <v>g6</v>
      </c>
      <c r="U36" s="453" t="str">
        <f t="shared" si="16"/>
        <v/>
      </c>
      <c r="AL36" s="1">
        <f>'King Node Model'!A62</f>
        <v>7720</v>
      </c>
      <c r="AM36" s="10">
        <f>'King Node Model'!C62</f>
        <v>-913709</v>
      </c>
      <c r="AN36" s="3">
        <f>IF(AND(IF(ISNUMBER($AN$22),ABS($AN$22-$AM$2),9^9)&lt;=IF(ISNUMBER($AN$23),ABS($AN$23-$AM$2),9^9),IF(ISNUMBER($AN$22),ABS($AN$22-$AM$2),9^9)&lt;=IF(ISNUMBER($AN$24),ABS($AN$24-$AM$2),9^9),ISNUMBER($AN$22)),$AN$22,IF(AND(IF(ISNUMBER($AN$23),ABS($AN$23-$AM$2),9^9)&lt;=IF(ISNUMBER($AN$24),ABS($AN$24-$AM$2),9^9),ISNUMBER($AN$23)),$AN$23,IF(ISNUMBER($AN$24),$AN$24,IF(ISNUMBER($AN$23),$AN$23,IF(ISNUMBER($AN$22),$AN$22,"")))))</f>
        <v>7780</v>
      </c>
      <c r="AO36" s="10">
        <f>'King Node Model'!B62</f>
        <v>1152307</v>
      </c>
      <c r="AY36" s="1">
        <f>IF(AND($B$2="Hide unsafe",$BB36=1),0,IF(AND(OR(AND(AND(ISNUMBER($AL36),OR(AND($AL36&gt;=$AQ$22,$AL36&lt;=$AR$22,$AS$22=1),$AL36=$AQ$22,$AL36=$AR$22,$AL36=$AQ$23,$AL36=$AR$23,$AL36=$AQ$24,$AL36=$AR$24),NOT(OR($AL36=$AN$5,$AL36=$AN$6,$AL36=$AN$7,$AL36=$AN$8,$AL36=$AN$10,$AL36=$AN$11))),NOT(OR(AND('King Node Model'!$P$13="Up",OR($AL36=$AQ$22,$AL36=$AQ$23,$AL36=$AQ$24,$AL36='King Node Model'!$AM$20,$AL36='King Node Model'!$AM$21,$AL36='King Node Model'!$AM$22),OR(AND('King Node Model'!$B$23-$AL36&gt;=0,'King Node Model'!$B$23-$AL36&lt;=5),AND('King Node Model'!$C$23-$AL36&gt;=0,'King Node Model'!$C$23-$AL36&lt;=5))),AND('King Node Model'!$P$13="Down",OR($AL36=$AR$22,$AL36=$AR$23,$AL36=$AR$24,$AL36='King Node Model'!$AN$20,$AL36='King Node Model'!$AN$21,$AL36='King Node Model'!$AN$22),OR(AND($AL36-'King Node Model'!$B$23&gt;=0,$AL36-'King Node Model'!$B$23&lt;=5),AND($AL36-'King Node Model'!$C$24&gt;=0,$AL36-'King Node Model'!$C$24&lt;=5)))))),AND(AND(ISNUMBER($AL36),OR(AND($AL36&gt;=$AQ$22,$AL36&lt;=$AR$22,$AS$22=1),$AL36=$AQ$22,$AL36=$AR$22,$AL36=$AQ$23,$AL36=$AR$23,$AL36=$AQ$24,$AL36=$AR$24,$AL36='King Node Model'!$AL$42,$AL36='King Node Model'!$AL$43),OR($AL36=$AN$5,$AL36=$AN$6,$AL36=$AN$7,$AL36=$AN$8,$AL36=$AN$10,$AL36=$AN$11)),NOT(OR(AND('King Node Model'!$P$13="Up",OR($AL36=$AQ$22,$AL36=$AQ$23,$AL36=$AQ$24,$AL36='King Node Model'!$AM$20,$AL36='King Node Model'!$AM$21,$AL36='King Node Model'!$AM$22),OR(AND('King Node Model'!$B$23-$AL36&gt;=0,'King Node Model'!$B$23-$AL36&lt;=5),AND('King Node Model'!$C$23-$AL36&gt;=0,'King Node Model'!$C$23-$AL36&lt;=5))),AND('King Node Model'!$P$13="Down",OR($AL36=$AR$22,$AL36=$AR$23,$AL36=$AR$24,$AL36='King Node Model'!$AN$20,$AL36='King Node Model'!$AN$21,$AL36='King Node Model'!$AN$22),OR(AND($AL36-'King Node Model'!$B$23&gt;=0,$AL36-'King Node Model'!$B$23&lt;=5),AND($AL36-'King Node Model'!$C$24&gt;=0,$AL36-'King Node Model'!$C$24&lt;=5)))))),AND(AND(ISNUMBER($AL36),OR(AND($AL36&gt;='King Node Model'!$AM$20,$AL36&lt;='King Node Model'!$AN$20,$AS$23=1),$AL36='King Node Model'!$AM$20,$AL36='King Node Model'!$AN$20,$AL36='King Node Model'!$AM$21,$AL36='King Node Model'!$AN$21,$AL36='King Node Model'!$AM$22,$AL36='King Node Model'!$AN$22),NOT(OR($AL36=$AN$5,$AL36=$AN$6,$AL36=$AN$7,$AL36=$AN$8,$AL36=$AN$10,$AL36=$AN$11))),NOT(AND(ISNUMBER('King Node Model'!$F$24),$AL36='King Node Model'!$F$24,IFERROR(INDEX('Level Engine'!$JN$9:$JN$55,MATCH($AL36,'Level Engine'!$AA$9:$AA$55,0)),0)&lt;&gt;1))),AND(AND(ISNUMBER($AL36),OR(AND($AL36&gt;='King Node Model'!$AM$20,$AL36&lt;='King Node Model'!$AN$20,$AS$23=1),$AL36='King Node Model'!$AM$20,$AL36='King Node Model'!$AN$20,$AL36='King Node Model'!$AM$21,$AL36='King Node Model'!$AN$21,$AL36='King Node Model'!$AM$22,$AL36='King Node Model'!$AN$22,$AL36='King Node Model'!$AL$49,$AL36='King Node Model'!$AL$50),OR($AL36=$AN$5,$AL36=$AN$6,$AL36=$AN$7,$AL36=$AN$8,$AL36=$AN$10,$AL36=$AN$11)),NOT(OR(AND('King Node Model'!$P$13="Up",OR($AL36=$AQ$22,$AL36=$AQ$23,$AL36=$AQ$24,$AL36='King Node Model'!$AM$20,$AL36='King Node Model'!$AM$21,$AL36='King Node Model'!$AM$22),OR(AND('King Node Model'!$B$23-$AL36&gt;=0,'King Node Model'!$B$23-$AL36&lt;=5),AND('King Node Model'!$C$23-$AL36&gt;=0,'King Node Model'!$C$23-$AL36&lt;=5))),AND('King Node Model'!$P$13="Down",OR($AL36=$AR$22,$AL36=$AR$23,$AL36=$AR$24,$AL36='King Node Model'!$AN$20,$AL36='King Node Model'!$AN$21,$AL36='King Node Model'!$AN$22),OR(AND($AL36-'King Node Model'!$B$23&gt;=0,$AL36-'King Node Model'!$B$23&lt;=5),AND($AL36-'King Node Model'!$C$24&gt;=0,$AL36-'King Node Model'!$C$24&lt;=5))))))),OR(COUNTIF('Level Engine'!$W$9:$W$14,$AL36)&gt;0,COUNTIF('Level Engine'!$W$18:$W$23,$AL36)&gt;0)),1,0))</f>
        <v>0</v>
      </c>
      <c r="AZ36" s="1">
        <f t="shared" si="1"/>
        <v>0</v>
      </c>
      <c r="BB36" s="1">
        <f>IF(OR(AND($AL36='King Node Model'!$AL$42,$AP$45&lt;&gt;"RASP"),AND($AL36='King Node Model'!$AL$43,$AP$46&lt;&gt;"RASP"),AND($AL36='King Node Model'!$AL$49,$AP$52&lt;&gt;"RASP"),AND($AL36='King Node Model'!$AL$50,$AP$53&lt;&gt;"RASP"),AND($AL36='King Node Model'!$AL$44,$AP$47&lt;&gt;"RASP"),AND($AL36='King Node Model'!$AL$51,$AP$54&lt;&gt;"RASP")),0,IF(AND(AND(ISNUMBER($AL36),OR(AND($AL36&gt;=$AQ$22,$AL36&lt;=$AR$22,$AP$45="RASP"),AND($AL36&gt;=$AQ$23,$AL36&lt;=$AR$23,$AP$46="RASP"),AND($AL36&gt;=$AQ$24,$AL36&lt;=$AR$24,$AP$47="RASP"),AND($AL36&gt;='King Node Model'!$AM$20,$AL36&lt;='King Node Model'!$AN$20,$AP$52="RASP",NOT($L$52=$AW$52)),AND($AL36='King Node Model'!$B$23,$AP$52="RASP",$L$52=$AW$52),AND($AL36&gt;='King Node Model'!$AM$21,$AL36&lt;='King Node Model'!$AN$21,$AP$53="RASP",NOT($L$53=$AW$53)),AND($AL36='King Node Model'!$B$23,$AP$53="RASP",$L$53=$AW$53),AND($AL36&gt;='King Node Model'!$AM$22,$AL36&lt;='King Node Model'!$AN$22,$AP$54="RASP"),AND($AL36&gt;=IFERROR(INDEX('Level Engine'!$AT$9:$AT$55,MATCH('King Node Model'!$AL$42,'Level Engine'!$AA$9:$AA$55,0)),""),$AL36&lt;=IFERROR(INDEX('Level Engine'!$AU$9:$AU$55,MATCH('King Node Model'!$AL$42,'Level Engine'!$AA$9:$AA$55,0)),""),$AP$45="RASP"),AND($AL36&gt;=IFERROR(INDEX('Level Engine'!$AT$9:$AT$55,MATCH('King Node Model'!$AL$43,'Level Engine'!$AA$9:$AA$55,0)),""),$AL36&lt;=IFERROR(INDEX('Level Engine'!$AU$9:$AU$55,MATCH('King Node Model'!$AL$43,'Level Engine'!$AA$9:$AA$55,0)),""),$AP$46="RASP"),AND($AL36&gt;=IFERROR(INDEX('Level Engine'!$AT$9:$AT$55,MATCH('King Node Model'!$AL$44,'Level Engine'!$AA$9:$AA$55,0)),""),$AL36&lt;=IFERROR(INDEX('Level Engine'!$AU$9:$AU$55,MATCH('King Node Model'!$AL$44,'Level Engine'!$AA$9:$AA$55,0)),""),$AP$47="RASP"),AND($AL36&gt;=IFERROR(INDEX('Level Engine'!$AT$9:$AT$55,MATCH('King Node Model'!$AL$49,'Level Engine'!$AA$9:$AA$55,0)),""),$AL36&lt;=IFERROR(INDEX('Level Engine'!$AU$9:$AU$55,MATCH('King Node Model'!$AL$49,'Level Engine'!$AA$9:$AA$55,0)),""),$AP$52="RASP",NOT($L$52=$AW$52)),AND($AL36&gt;=IFERROR(INDEX('Level Engine'!$AT$9:$AT$55,MATCH('King Node Model'!$AL$50,'Level Engine'!$AA$9:$AA$55,0)),""),$AL36&lt;=IFERROR(INDEX('Level Engine'!$AU$9:$AU$55,MATCH('King Node Model'!$AL$50,'Level Engine'!$AA$9:$AA$55,0)),""),$AP$53="RASP",NOT($L$53=$AW$53)),AND($AL36&gt;=IFERROR(INDEX('Level Engine'!$AT$9:$AT$55,MATCH('King Node Model'!$AL$51,'Level Engine'!$AA$9:$AA$55,0)),""),$AL36&lt;=IFERROR(INDEX('Level Engine'!$AU$9:$AU$55,MATCH('King Node Model'!$AL$51,'Level Engine'!$AA$9:$AA$55,0)),""),$AP$54="RASP"))),NOT(AND(ISNUMBER('King Node Model'!$F$24),$AL36='King Node Model'!$F$24,IFERROR(INDEX('Level Engine'!$JN$9:$JN$55,MATCH($AL36,'Level Engine'!$AA$9:$AA$55,0)),0)&lt;&gt;1,$AL36&lt;&gt;'King Node Model'!$AL$42,$AL36&lt;&gt;'King Node Model'!$AL$43,$AL36&lt;&gt;'King Node Model'!$AL$44,$AL36&lt;&gt;'King Node Model'!$AL$49,$AL36&lt;&gt;'King Node Model'!$AL$50,$AL36&lt;&gt;'King Node Model'!$AL$51))),1,0))</f>
        <v>0</v>
      </c>
      <c r="BK36">
        <f>IFERROR(LARGE($CE$35:$CE$40,2),"")</f>
        <v>7795</v>
      </c>
      <c r="BL36">
        <f>IFERROR(INDEX('King Node Model'!$K$29:$K$75,MATCH($BK36,'King Node Model'!$A$29:$A$75,0)),"")</f>
        <v>944</v>
      </c>
      <c r="BM36">
        <f>IFERROR(INDEX('King Node Model'!$L$29:$L$75,MATCH($BK36,'King Node Model'!$A$29:$A$75,0)),"")</f>
        <v>886</v>
      </c>
      <c r="BN36">
        <f t="shared" si="9"/>
        <v>-3.169398907103825E-2</v>
      </c>
      <c r="BO36">
        <f>IFERROR(INDEX('Level Engine'!$AC$9:$AC$55,MATCH($BK36,'Level Engine'!$AA$9:$AA$55,0))/MAX('Level Engine'!$AC$9:$AC$55),"")</f>
        <v>0.32636257060927604</v>
      </c>
      <c r="BP36">
        <f>IF(NOT(ISNUMBER($BK36)),"",IF($BK36&gt;'King Node Model'!$B$4,1,-1))</f>
        <v>1</v>
      </c>
      <c r="BQ36" t="str">
        <f>IF(OR(NOT(ISNUMBER($BN36)),NOT(ISNUMBER($BO36))),"",IF($BO36&lt;0.15,"thin",IF(OR('King Node Model'!$A$8="Neg",N('Level Engine'!$BG$72)=1),"",IF($BP36=1,IF($BN36&lt;=-0.4,"HARD ceil",IF($BN36&lt;=-0.15,"ceil",IF($BN36&lt;0.15,"neutral","soft ceil"))),IF($BN36&gt;=0.4,"FIRM floor",IF($BN36&gt;=0.15,"floor",IF($BN36&gt;-0.15,"neutral","WEAK floor"))))&amp;IF($BO36&lt;0.25," ·marginal",""))))</f>
        <v/>
      </c>
      <c r="BR36" t="str">
        <f>IF(NOT(ISNUMBER($BN36)),"",IF(OR('King Node Model'!$A$8="Neg",N('Level Engine'!$BG$72)=1),"",IF(AND($BP36=1,$BN36&gt;0.15),"⚠",IF(AND($BP36=-1,$BN36&lt;-0.15),"⚠",""))))</f>
        <v/>
      </c>
      <c r="BW36">
        <f t="shared" si="17"/>
        <v>6</v>
      </c>
      <c r="BX36">
        <f t="shared" si="18"/>
        <v>6</v>
      </c>
      <c r="BY36" t="str">
        <f t="shared" si="19"/>
        <v/>
      </c>
      <c r="CA36">
        <f>IFERROR(SUMPRODUCT(LARGE(('King Node Model'!$A$29:$A$75&lt;$BZ$24)*('King Node Model'!$A$29:$A$75&gt;=$BY$24)*('King Node Model'!$A$29:$A$75&lt;&gt;$BK$34)*(('King Node Model'!$K$29:$K$75+'King Node Model'!$L$29:$L$75)*1000000+'King Node Model'!$A$29:$A$75),2)),0)</f>
        <v>4055007770</v>
      </c>
      <c r="CE36">
        <f>IF(NOT(ISNUMBER($CA36)),"",IF($CA36&lt;=0,"",IFERROR(SUMPRODUCT(MAX((('King Node Model'!$A$29:$A$75&lt;$BZ$24)*('King Node Model'!$A$29:$A$75&gt;=$BY$24)*('King Node Model'!$A$29:$A$75&lt;&gt;$BK$34)*(('King Node Model'!$K$29:$K$75+'King Node Model'!$L$29:$L$75)*1000000+'King Node Model'!$A$29:$A$75)=$CA36)*'King Node Model'!$A$29:$A$75)),"")))</f>
        <v>7770</v>
      </c>
      <c r="CF36">
        <f t="shared" si="20"/>
        <v>6</v>
      </c>
      <c r="CO36">
        <f>IF(NOT(ISNUMBER($AL36)),"",IF(NOT(ISNUMBER(IFERROR(INDEX('Level Engine'!$FT$9:$FT$55,MATCH($AL36,'Level Engine'!$AA$9:$AA$55,0)),""))),"",IF(IFERROR(INDEX('Level Engine'!$FT$9:$FT$55,MATCH($AL36,'Level Engine'!$AA$9:$AA$55,0)),"")&lt;0,0,2)+IF(ABS(IFERROR(INDEX('Level Engine'!$FT$9:$FT$55,MATCH($AL36,'Level Engine'!$AA$9:$AA$55,0)),""))&gt;='Level Engine'!$FT$2,2,1)))</f>
        <v>2</v>
      </c>
      <c r="DJ36" t="str">
        <f>IF(ISNUMBER($AL36),IF($AL36='Level Engine'!$BG$122," ⫪","")&amp;IF($AL36='Level Engine'!$BG$118," S↑"&amp;IFERROR(INDEX('Level Engine'!$MV$9:$MV$55,MATCH($AL36,'Level Engine'!$AA$9:$AA$55,0)),""),"")&amp;IF($AL36='Level Engine'!$BG$119," S↓"&amp;IFERROR(INDEX('Level Engine'!$MV$9:$MV$55,MATCH($AL36,'Level Engine'!$AA$9:$AA$55,0)),""),"")&amp;IF($AL36='Level Engine'!$BG$120," D↑","")&amp;IF($AL36='Level Engine'!$BG$121," D↓","")&amp;IFERROR(INDEX('Level Engine'!$LG$9:$LG$55,MATCH($AL36,'Level Engine'!$AA$9:$AA$55,0)),"")&amp;IF(IFERROR(INDEX('Level Engine'!$MA$9:$MA$55,MATCH($AL36,'Level Engine'!$AA$9:$AA$55,0)),0)=1," SAND","")&amp;IF(IFERROR(INDEX('Level Engine'!$LM$9:$LM$55,MATCH($AL36,'Level Engine'!$AA$9:$AA$55,0)),0)&gt;0," TP","")&amp;IFERROR(" r"&amp;MATCH($AL36,'Level Engine'!$W$9:$W$14,0),IFERROR(" s"&amp;MATCH($AL36,'Level Engine'!$W$18:$W$23,0),""))&amp;IF($AL36='Level Engine'!$BG$165," ◇","")&amp;IF(N($DZ36)=1,IF($AL36&gt;'Level Engine'!$BG$165," ⚠ DOM↓"," ⚠ DOM↑")&amp;'Level Engine'!$BG$165,""),"")</f>
        <v/>
      </c>
      <c r="DK36" t="str">
        <f>IF(AND(ISNUMBER($AL36),OR($AL36='King Node Model'!$AL$42,$AL36='King Node Model'!$AL$43,$AL36='King Node Model'!$AL$44)),IFERROR(MATCH($AL36,'Level Engine'!$W$9:$W$14,0),""),"")</f>
        <v/>
      </c>
      <c r="DL36" t="str">
        <f>IF(AND(ISNUMBER($AL36),OR($AL36='King Node Model'!$AL$49,$AL36='King Node Model'!$AL$50,$AL36='King Node Model'!$AL$51)),IFERROR(MATCH($AL36,'Level Engine'!$W$18:$W$23,0),""),"")</f>
        <v/>
      </c>
      <c r="DM36">
        <f>IF(AND(ISNUMBER($AL36),IFERROR(INDEX('Level Engine'!$LC$9:$LC$55,MATCH($AL36,'Level Engine'!$AA$9:$AA$55,0)),0)=1,OR($AL36=$AN$3,IFERROR(INDEX('Level Engine'!$LB$9:$LB$55,MATCH($AL36,'Level Engine'!$AA$9:$AA$55,0)),0)=1)),1,0)</f>
        <v>0</v>
      </c>
      <c r="DZ36">
        <f>IF(ISNUMBER($AL36),IF(IFERROR(INDEX('Level Engine'!$NJ$9:$NJ$55,MATCH($AL36,'Level Engine'!$AA$9:$AA$55,0)),0)=1,1,0),0)</f>
      </c>
    </row>
    <row r="37" spans="1:123" ht="15" customHeight="1" x14ac:dyDescent="0.25">
      <c r="A37" s="7" t="str">
        <f t="shared" si="3"/>
        <v>█</v>
      </c>
      <c r="B37" s="8" t="str">
        <f>TEXT(IF(IF('Level Engine'!$GJ$4=1,$AL37='Level Engine'!$GJ$3,AND($AL37-$AM$2&gt;-2.5,$AL37-$AM$2&lt;=2.5)),$AM$2,$AL37),"0")&amp;IF($AL37=$AN$1," ★","")&amp;IF($AL37=$AN$2," ★","")&amp;IF($AL37=$AN$3," ◆","")&amp;IF(AND(ISNUMBER($AN$4),$AL37=$AN$4)," Ⓕ","")&amp;IF(OR(AND(ISNUMBER('Level Engine'!$BG$87),$AL37='Level Engine'!$BG$87),AND(ISNUMBER('Level Engine'!$BG$105),$AL37='Level Engine'!$BG$105))," ζ","")&amp;IF(AND(ISNUMBER($AN$35),$AL37=$AN$35)," ⓏⒼ","")&amp;IF(OR($AL37='Level Engine'!$CP$4,$AL37='Level Engine'!$CP$5,$AL37='Level Engine'!$CP$6,$AL37='Level Engine'!$CP$7)," ☄","")&amp;IF(OR($AL37=$AN$5,$AL37=$AN$8)," ║1","")&amp;IF(OR($AL37=$AN$6,$AL37=$AN$10)," ║2","")&amp;IF(OR($AL37=$AN$7,$AL37=$AN$11)," ║3","")&amp;IF(OR($AL37=$AN$13,$AL37=$AN$16)," ▣1","")&amp;IF(OR($AL37=$AN$14,$AL37=$AN$17)," ▣2","")&amp;IF(OR($AL37=$AN$15,$AL37=$AN$18)," ▣3","")&amp;IF(AND(NOT(OR(AND(ISNUMBER(SEARCH("chop edge",$E$45)),IFERROR(ABS($AL37-'King Node Model'!$AL$42)&lt;=5,FALSE),NOT(ISNUMBER(SEARCH("UNSAFE",$L$45)))),AND(ISNUMBER(SEARCH("chop edge",$E$46)),IFERROR(ABS($AL37-'King Node Model'!$AL$43)&lt;=5,FALSE),NOT(ISNUMBER(SEARCH("UNSAFE",$L$46)))),AND(ISNUMBER(SEARCH("chop edge",$E$52)),IFERROR(ABS($AL37-'King Node Model'!$AL$49)&lt;=5,FALSE),NOT(ISNUMBER(SEARCH("UNSAFE",$L$52)))),AND(ISNUMBER(SEARCH("chop edge",$E$53)),IFERROR(ABS($AL37-'King Node Model'!$AL$50)&lt;=5,FALSE),NOT(ISNUMBER(SEARCH("UNSAFE",$L$53)))))),OR(AND(IFERROR(INDEX('Level Engine'!$IB$9:$IB$55,MATCH('King Node Model'!$AL$49,'Level Engine'!$AA$9:$AA$55,0)),0)&lt;&gt;1,$AL37=IFERROR(INDEX('Level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Engine'!$AA$9:$AA$55,0)),0)&lt;&gt;1,$AL37=IFERROR(INDEX('Level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edge",$E$45)),IFERROR(ABS($AL37-'King Node Model'!$AL$42)&lt;=5,FALSE),NOT(ISNUMBER(SEARCH("UNSAFE",$L$45)))),AND(ISNUMBER(SEARCH("chop edge",$E$46)),IFERROR(ABS($AL37-'King Node Model'!$AL$43)&lt;=5,FALSE),NOT(ISNUMBER(SEARCH("UNSAFE",$L$46)))),AND(ISNUMBER(SEARCH("chop edge",$E$52)),IFERROR(ABS($AL37-'King Node Model'!$AL$49)&lt;=5,FALSE),NOT(ISNUMBER(SEARCH("UNSAFE",$L$52)))),AND(ISNUMBER(SEARCH("chop edge",$E$53)),IFERROR(ABS($AL37-'King Node Model'!$AL$50)&lt;=5,FALSE),NOT(ISNUMBER(SEARCH("UNSAFE",$L$53)))))),OR(AND(IFERROR(INDEX('Level Engine'!$IB$9:$IB$55,MATCH('King Node Model'!$AL$42,'Level Engine'!$AA$9:$AA$55,0)),0)&lt;&gt;1,$AL37=IFERROR(INDEX('Level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Engine'!$AA$9:$AA$55,0)),0)&lt;&gt;1,$AL37=IFERROR(INDEX('Level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ⒷⓁ"),"")&amp;IF(OR(AND($AL37&gt;='King Node Model'!$AM$17,$AL37&lt;='King Node Model'!$AN$17,$AP$45="RASP"),AND($AL37&gt;='King Node Model'!$AM$18,$AL37&lt;='King Node Model'!$AN$18,$AP$46="RASP"),AND($AL37&gt;='King Node Model'!$AM$19,$AL37&lt;='King Node Model'!$AN$19,$AP$47="RASP"),AND($AL37&gt;='King Node Model'!$AM$20,$AL37&lt;='King Node Model'!$AN$20,$AP$52="RASP"),AND($AL37&gt;='King Node Model'!$AM$21,$AL37&lt;='King Node Model'!$AN$21,$AP$53="RASP"),AND($AL37&gt;='King Node Model'!$AM$22,$AL37&lt;='King Node Model'!$AN$22,$AP$54="RASP")),"","")&amp;IF(IF('Level Engine'!$GJ$4=1,$AL37='Level Engine'!$GJ$3,AND($AL37-$AM$2&gt;-2.5,$AL37-$AM$2&lt;=2.5))," ◄","")&amp;IF(IFERROR(INDEX('Level Engine'!$GV$9:$GV$55,MATCH($AL37,'Level Engine'!$AA$9:$AA$55,0)),0)=1," Ⓥ"&amp;IF(IFERROR(INDEX('Level Engine'!$ET$9:$ET$55,MATCH($AL37,'Level Engine'!$AA$9:$AA$55,0)),0)=1,"+",""),"")&amp;IF(OR(AND($AL37=$AN$38,IFERROR(INDEX('Level Engine'!$AN$9:$AN$55,MATCH($AL37,'Level Engine'!$AA$9:$AA$55,0)),0)&lt;&gt;1),$AL37=$AN$39)," ⊙","")&amp;IF(AND(OR('King Node Model'!$A$8="Neg",N('Level Engine'!$BG$72)=1),ABS(MIN($AM$3:$AM$64))&gt;MAX($AM$3:$AM$64),$AN$2&lt;$AM$2,$AL37&lt;$AM$2,ABS($AL37-$AN$2)&lt;=5,IFERROR(VALUE(MID('King Node Model'!$K$26,FIND(":",'King Node Model'!$K$26)-2,2)),0)&gt;=19,IFERROR(INDEX('Level Engine'!$EJ$9:$EJ$55,MATCH($AL37,'Level Engine'!$AA$9:$AA$55,0)),0)=0,$AN$3&gt;$AM$2)," ⟲rev","")&amp;IF($AL37='King Node Model'!$F$24," ⟂","")&amp;$DJ37&amp;IF(IFERROR(INDEX('Level Engine'!$EN$9:$EN$55,MATCH($AL37,'Level Engine'!$AA$9:$AA$55,0)),0)=1," Ⓟ"&amp;IF(AND(OR('King Node Model'!$A$8="Neg",N('Level Engine'!$BG$72)=1),IFERROR(INDEX('Level Engine'!$AN$9:$AN$55,MATCH($AL37,'Level Engine'!$AA$9:$AA$55,0)),0)&lt;&gt;1)," NO-REV",""),"")&amp;IF(AND(ISNUMBER($AL37),OR(AND(ISNUMBER(SEARCH("chop edge",$E$45)),$AL37='King Node Model'!$AL$42),AND(ISNUMBER(SEARCH("chop edge",$E$46)),$AL37='King Node Model'!$AL$43),AND(ISNUMBER(SEARCH("chop edge",$E$52)),$AL37='King Node Model'!$AL$49),AND(ISNUMBER(SEARCH("chop edge",$E$53)),$AL37='King Node Model'!$AL$50)))," ⒸⒺ","")&amp;IF(AND('Level Engine'!$GJ$4=1,OR($AL37='Level Engine'!$GJ$1,$AL37='Level Engine'!$GJ$2)),"","")&amp;IF(ABS(N(IFERROR(INDEX('Level Engine'!$AE$9:$AE$55,MATCH($AL37,'Level Engine'!$AA$9:$AA$55,0)),0)))&gt;='Level Engine'!$BG$85,IF(N(IFERROR(INDEX('Level Engine'!$AE$9:$AE$55,MATCH($AL37,'Level Engine'!$AA$9:$AA$55,0)),0))&gt;0," Δ+"," Δ−"),"")&amp;IFERROR(IF(AND(ISNUMBER(MATCH($AL37,'Level Engine'!$AA$9:$AA$55,0)),ABS(N(IFERROR(INDEX('Level Engine'!$AE$9:$AE$55,MATCH($AL37,'Level Engine'!$AA$9:$AA$55,0)),0)))&lt;'Level Engine'!$BG$85,ABS(N(IFERROR(INDEX('Level Engine'!$AE$9:$AE$55,MATCH($AL37,'Level Engine'!$AA$9:$AA$55,0)),0)))&lt;=ABS(N(IFERROR(INDEX('Level Engine'!$AE$9:$AE$55,MATCH($AL37+5,'Level Engine'!$AA$9:$AA$55,0)),0))),ABS(N(IFERROR(INDEX('Level Engine'!$AE$9:$AE$55,MATCH($AL37,'Level Engine'!$AA$9:$AA$55,0)),0)))&lt;=ABS(N(IFERROR(INDEX('Level Engine'!$AE$9:$AE$55,MATCH($AL37-5,'Level Engine'!$AA$9:$AA$55,0)),0))),OR(AND(ABS(N(IFERROR(INDEX('Level Engine'!$AE$9:$AE$55,MATCH($AL37+5,'Level Engine'!$AA$9:$AA$55,0)),0)))&gt;='Level Engine'!$BG$85,ABS(N(IFERROR(INDEX('Level Engine'!$AE$9:$AE$55,MATCH($AL37,'Level Engine'!$AA$9:$AA$55,0)),0)))&lt;='Level Engine'!$BG$88*ABS(N(IFERROR(INDEX('Level Engine'!$AE$9:$AE$55,MATCH($AL37+5,'Level Engine'!$AA$9:$AA$55,0)),0)))),AND(ABS(N(IFERROR(INDEX('Level Engine'!$AE$9:$AE$55,MATCH($AL37-5,'Level Engine'!$AA$9:$AA$55,0)),0)))&gt;='Level Engine'!$BG$85,ABS(N(IFERROR(INDEX('Level Engine'!$AE$9:$AE$55,MATCH($AL37,'Level Engine'!$AA$9:$AA$55,0)),0)))&lt;='Level Engine'!$BG$88*ABS(N(IFERROR(INDEX('Level Engine'!$AE$9:$AE$55,MATCH($AL37-5,'Level Engine'!$AA$9:$AA$55,0)),0)))))),IF(AND('King Node Model'!$A$8="Pos",N('Level Engine'!$BG$72)&lt;&gt;1),""," ∅"),""),"")&amp;IF(IFERROR(INDEX('Level Engine'!$JD$9:$JD$55,MATCH($AL37,'Level Engine'!$AA$9:$AA$55,0)),"")="P"," P-OI",IF(IFERROR(INDEX('Level Engine'!$JD$9:$JD$55,MATCH($AL37,'Level Engine'!$AA$9:$AA$55,0)),"")="C"," C-OI",""))</f>
        <v>7715</v>
      </c>
      <c r="C37" s="9" t="str">
        <f t="shared" si="0"/>
        <v/>
      </c>
      <c r="D37" t="str">
        <f>IF(NOT(ISNUMBER($AL37)),"",IF(IFERROR(INDEX('Level Engine'!$FS$9:$FS$55,MATCH($AL37,'Level Engine'!$AA$9:$AA$55,0)),0)=1,"⊙",""))</f>
        <v/>
      </c>
      <c r="E37" s="18" t="s">
        <v>4</v>
      </c>
      <c r="F37" s="18"/>
      <c r="G37" s="566" t="str">
        <f>'King Node Model'!A20</f>
        <v/>
      </c>
      <c r="H37" s="566"/>
      <c r="I37" s="566"/>
      <c r="J37" s="566"/>
      <c r="K37" s="566"/>
      <c r="L37" s="566"/>
      <c r="M37" s="566"/>
      <c r="N37" s="566"/>
      <c r="O37" s="21"/>
      <c r="Q37" s="452" t="str">
        <f t="shared" si="14"/>
        <v xml:space="preserve">B5  7790   58% </v>
      </c>
      <c r="R37" s="447" t="str">
        <f t="shared" si="5"/>
        <v>871 ▉▉▉</v>
      </c>
      <c r="S37" s="484" t="str">
        <f t="shared" si="6"/>
        <v>▉▉▉▉▉ 1.2k</v>
      </c>
      <c r="T37" s="484" t="str">
        <f t="shared" si="15"/>
        <v>g5</v>
      </c>
      <c r="U37" s="453" t="str">
        <f t="shared" si="16"/>
        <v/>
      </c>
      <c r="AL37" s="1">
        <f>'King Node Model'!A63</f>
        <v>7715</v>
      </c>
      <c r="AM37" s="10">
        <f>'King Node Model'!C63</f>
        <v>-76852</v>
      </c>
      <c r="AN37" s="32">
        <f>IF(AND(IF(ISNUMBER($AN$25),ABS($AN$25-$AM$2),9^9)&lt;=IF(ISNUMBER($AN$26),ABS($AN$26-$AM$2),9^9),IF(ISNUMBER($AN$25),ABS($AN$25-$AM$2),9^9)&lt;=IF(ISNUMBER($AN$31),ABS($AN$31-$AM$2),9^9),ISNUMBER($AN$25)),$AN$25,IF(AND(IF(ISNUMBER($AN$26),ABS($AN$26-$AM$2),9^9)&lt;=IF(ISNUMBER($AN$31),ABS($AN$31-$AM$2),9^9),ISNUMBER($AN$26)),$AN$26,IF(ISNUMBER($AN$31),$AN$31,IF(ISNUMBER($AN$26),$AN$26,IF(ISNUMBER($AN$25),$AN$25,"")))))</f>
        <v>7775</v>
      </c>
      <c r="AO37" s="10">
        <f>'King Node Model'!B63</f>
        <v>246293</v>
      </c>
      <c r="AY37" s="1">
        <f>IF(AND($B$2="Hide unsafe",$BB37=1),0,IF(AND(OR(AND(AND(ISNUMBER($AL37),OR(AND($AL37&gt;=$AQ$22,$AL37&lt;=$AR$22,$AS$22=1),$AL37=$AQ$22,$AL37=$AR$22,$AL37=$AQ$23,$AL37=$AR$23,$AL37=$AQ$24,$AL37=$AR$24),NOT(OR($AL37=$AN$5,$AL37=$AN$6,$AL37=$AN$7,$AL37=$AN$8,$AL37=$AN$10,$AL37=$AN$11))),NOT(OR(AND('King Node Model'!$P$13="Up",OR($AL37=$AQ$22,$AL37=$AQ$23,$AL37=$AQ$24,$AL37='King Node Model'!$AM$20,$AL37='King Node Model'!$AM$21,$AL37='King Node Model'!$AM$22),OR(AND('King Node Model'!$B$23-$AL37&gt;=0,'King Node Model'!$B$23-$AL37&lt;=5),AND('King Node Model'!$C$23-$AL37&gt;=0,'King Node Model'!$C$23-$AL37&lt;=5))),AND('King Node Model'!$P$13="Down",OR($AL37=$AR$22,$AL37=$AR$23,$AL37=$AR$24,$AL37='King Node Model'!$AN$20,$AL37='King Node Model'!$AN$21,$AL37='King Node Model'!$AN$22),OR(AND($AL37-'King Node Model'!$B$23&gt;=0,$AL37-'King Node Model'!$B$23&lt;=5),AND($AL37-'King Node Model'!$C$24&gt;=0,$AL37-'King Node Model'!$C$24&lt;=5)))))),AND(AND(ISNUMBER($AL37),OR(AND($AL37&gt;=$AQ$22,$AL37&lt;=$AR$22,$AS$22=1),$AL37=$AQ$22,$AL37=$AR$22,$AL37=$AQ$23,$AL37=$AR$23,$AL37=$AQ$24,$AL37=$AR$24,$AL37='King Node Model'!$AL$42,$AL37='King Node Model'!$AL$43),OR($AL37=$AN$5,$AL37=$AN$6,$AL37=$AN$7,$AL37=$AN$8,$AL37=$AN$10,$AL37=$AN$11)),NOT(OR(AND('King Node Model'!$P$13="Up",OR($AL37=$AQ$22,$AL37=$AQ$23,$AL37=$AQ$24,$AL37='King Node Model'!$AM$20,$AL37='King Node Model'!$AM$21,$AL37='King Node Model'!$AM$22),OR(AND('King Node Model'!$B$23-$AL37&gt;=0,'King Node Model'!$B$23-$AL37&lt;=5),AND('King Node Model'!$C$23-$AL37&gt;=0,'King Node Model'!$C$23-$AL37&lt;=5))),AND('King Node Model'!$P$13="Down",OR($AL37=$AR$22,$AL37=$AR$23,$AL37=$AR$24,$AL37='King Node Model'!$AN$20,$AL37='King Node Model'!$AN$21,$AL37='King Node Model'!$AN$22),OR(AND($AL37-'King Node Model'!$B$23&gt;=0,$AL37-'King Node Model'!$B$23&lt;=5),AND($AL37-'King Node Model'!$C$24&gt;=0,$AL37-'King Node Model'!$C$24&lt;=5)))))),AND(AND(ISNUMBER($AL37),OR(AND($AL37&gt;='King Node Model'!$AM$20,$AL37&lt;='King Node Model'!$AN$20,$AS$23=1),$AL37='King Node Model'!$AM$20,$AL37='King Node Model'!$AN$20,$AL37='King Node Model'!$AM$21,$AL37='King Node Model'!$AN$21,$AL37='King Node Model'!$AM$22,$AL37='King Node Model'!$AN$22),NOT(OR($AL37=$AN$5,$AL37=$AN$6,$AL37=$AN$7,$AL37=$AN$8,$AL37=$AN$10,$AL37=$AN$11))),NOT(AND(ISNUMBER('King Node Model'!$F$24),$AL37='King Node Model'!$F$24,IFERROR(INDEX('Level Engine'!$JN$9:$JN$55,MATCH($AL37,'Level Engine'!$AA$9:$AA$55,0)),0)&lt;&gt;1))),AND(AND(ISNUMBER($AL37),OR(AND($AL37&gt;='King Node Model'!$AM$20,$AL37&lt;='King Node Model'!$AN$20,$AS$23=1),$AL37='King Node Model'!$AM$20,$AL37='King Node Model'!$AN$20,$AL37='King Node Model'!$AM$21,$AL37='King Node Model'!$AN$21,$AL37='King Node Model'!$AM$22,$AL37='King Node Model'!$AN$22,$AL37='King Node Model'!$AL$49,$AL37='King Node Model'!$AL$50),OR($AL37=$AN$5,$AL37=$AN$6,$AL37=$AN$7,$AL37=$AN$8,$AL37=$AN$10,$AL37=$AN$11)),NOT(OR(AND('King Node Model'!$P$13="Up",OR($AL37=$AQ$22,$AL37=$AQ$23,$AL37=$AQ$24,$AL37='King Node Model'!$AM$20,$AL37='King Node Model'!$AM$21,$AL37='King Node Model'!$AM$22),OR(AND('King Node Model'!$B$23-$AL37&gt;=0,'King Node Model'!$B$23-$AL37&lt;=5),AND('King Node Model'!$C$23-$AL37&gt;=0,'King Node Model'!$C$23-$AL37&lt;=5))),AND('King Node Model'!$P$13="Down",OR($AL37=$AR$22,$AL37=$AR$23,$AL37=$AR$24,$AL37='King Node Model'!$AN$20,$AL37='King Node Model'!$AN$21,$AL37='King Node Model'!$AN$22),OR(AND($AL37-'King Node Model'!$B$23&gt;=0,$AL37-'King Node Model'!$B$23&lt;=5),AND($AL37-'King Node Model'!$C$24&gt;=0,$AL37-'King Node Model'!$C$24&lt;=5))))))),OR(COUNTIF('Level Engine'!$W$9:$W$14,$AL37)&gt;0,COUNTIF('Level Engine'!$W$18:$W$23,$AL37)&gt;0)),1,0))</f>
        <v>0</v>
      </c>
      <c r="AZ37" s="1">
        <f t="shared" si="1"/>
        <v>0</v>
      </c>
      <c r="BB37" s="1">
        <f>IF(OR(AND($AL37='King Node Model'!$AL$42,$AP$45&lt;&gt;"RASP"),AND($AL37='King Node Model'!$AL$43,$AP$46&lt;&gt;"RASP"),AND($AL37='King Node Model'!$AL$49,$AP$52&lt;&gt;"RASP"),AND($AL37='King Node Model'!$AL$50,$AP$53&lt;&gt;"RASP"),AND($AL37='King Node Model'!$AL$44,$AP$47&lt;&gt;"RASP"),AND($AL37='King Node Model'!$AL$51,$AP$54&lt;&gt;"RASP")),0,IF(AND(AND(ISNUMBER($AL37),OR(AND($AL37&gt;=$AQ$22,$AL37&lt;=$AR$22,$AP$45="RASP"),AND($AL37&gt;=$AQ$23,$AL37&lt;=$AR$23,$AP$46="RASP"),AND($AL37&gt;=$AQ$24,$AL37&lt;=$AR$24,$AP$47="RASP"),AND($AL37&gt;='King Node Model'!$AM$20,$AL37&lt;='King Node Model'!$AN$20,$AP$52="RASP",NOT($L$52=$AW$52)),AND($AL37='King Node Model'!$B$23,$AP$52="RASP",$L$52=$AW$52),AND($AL37&gt;='King Node Model'!$AM$21,$AL37&lt;='King Node Model'!$AN$21,$AP$53="RASP",NOT($L$53=$AW$53)),AND($AL37='King Node Model'!$B$23,$AP$53="RASP",$L$53=$AW$53),AND($AL37&gt;='King Node Model'!$AM$22,$AL37&lt;='King Node Model'!$AN$22,$AP$54="RASP"),AND($AL37&gt;=IFERROR(INDEX('Level Engine'!$AT$9:$AT$55,MATCH('King Node Model'!$AL$42,'Level Engine'!$AA$9:$AA$55,0)),""),$AL37&lt;=IFERROR(INDEX('Level Engine'!$AU$9:$AU$55,MATCH('King Node Model'!$AL$42,'Level Engine'!$AA$9:$AA$55,0)),""),$AP$45="RASP"),AND($AL37&gt;=IFERROR(INDEX('Level Engine'!$AT$9:$AT$55,MATCH('King Node Model'!$AL$43,'Level Engine'!$AA$9:$AA$55,0)),""),$AL37&lt;=IFERROR(INDEX('Level Engine'!$AU$9:$AU$55,MATCH('King Node Model'!$AL$43,'Level Engine'!$AA$9:$AA$55,0)),""),$AP$46="RASP"),AND($AL37&gt;=IFERROR(INDEX('Level Engine'!$AT$9:$AT$55,MATCH('King Node Model'!$AL$44,'Level Engine'!$AA$9:$AA$55,0)),""),$AL37&lt;=IFERROR(INDEX('Level Engine'!$AU$9:$AU$55,MATCH('King Node Model'!$AL$44,'Level Engine'!$AA$9:$AA$55,0)),""),$AP$47="RASP"),AND($AL37&gt;=IFERROR(INDEX('Level Engine'!$AT$9:$AT$55,MATCH('King Node Model'!$AL$49,'Level Engine'!$AA$9:$AA$55,0)),""),$AL37&lt;=IFERROR(INDEX('Level Engine'!$AU$9:$AU$55,MATCH('King Node Model'!$AL$49,'Level Engine'!$AA$9:$AA$55,0)),""),$AP$52="RASP",NOT($L$52=$AW$52)),AND($AL37&gt;=IFERROR(INDEX('Level Engine'!$AT$9:$AT$55,MATCH('King Node Model'!$AL$50,'Level Engine'!$AA$9:$AA$55,0)),""),$AL37&lt;=IFERROR(INDEX('Level Engine'!$AU$9:$AU$55,MATCH('King Node Model'!$AL$50,'Level Engine'!$AA$9:$AA$55,0)),""),$AP$53="RASP",NOT($L$53=$AW$53)),AND($AL37&gt;=IFERROR(INDEX('Level Engine'!$AT$9:$AT$55,MATCH('King Node Model'!$AL$51,'Level Engine'!$AA$9:$AA$55,0)),""),$AL37&lt;=IFERROR(INDEX('Level Engine'!$AU$9:$AU$55,MATCH('King Node Model'!$AL$51,'Level Engine'!$AA$9:$AA$55,0)),""),$AP$54="RASP"))),NOT(AND(ISNUMBER('King Node Model'!$F$24),$AL37='King Node Model'!$F$24,IFERROR(INDEX('Level Engine'!$JN$9:$JN$55,MATCH($AL37,'Level Engine'!$AA$9:$AA$55,0)),0)&lt;&gt;1,$AL37&lt;&gt;'King Node Model'!$AL$42,$AL37&lt;&gt;'King Node Model'!$AL$43,$AL37&lt;&gt;'King Node Model'!$AL$44,$AL37&lt;&gt;'King Node Model'!$AL$49,$AL37&lt;&gt;'King Node Model'!$AL$50,$AL37&lt;&gt;'King Node Model'!$AL$51))),1,0))</f>
        <v>0</v>
      </c>
      <c r="BK37">
        <f>IFERROR(LARGE($CE$35:$CE$40,3),"")</f>
        <v>7790</v>
      </c>
      <c r="BL37">
        <f>IFERROR(INDEX('King Node Model'!$K$29:$K$75,MATCH($BK37,'King Node Model'!$A$29:$A$75,0)),"")</f>
        <v>871</v>
      </c>
      <c r="BM37">
        <f>IFERROR(INDEX('King Node Model'!$L$29:$L$75,MATCH($BK37,'King Node Model'!$A$29:$A$75,0)),"")</f>
        <v>1184</v>
      </c>
      <c r="BN37">
        <f t="shared" si="9"/>
        <v>0.15231143552311435</v>
      </c>
      <c r="BO37">
        <f>IFERROR(INDEX('Level Engine'!$AC$9:$AC$55,MATCH($BK37,'Level Engine'!$AA$9:$AA$55,0))/MAX('Level Engine'!$AC$9:$AC$55),"")</f>
        <v>0.44454468562462457</v>
      </c>
      <c r="BP37">
        <f>IF(NOT(ISNUMBER($BK37)),"",IF($BK37&gt;'King Node Model'!$B$4,1,-1))</f>
        <v>1</v>
      </c>
      <c r="BQ37" t="str">
        <f>IF(OR(NOT(ISNUMBER($BN37)),NOT(ISNUMBER($BO37))),"",IF($BO37&lt;0.15,"thin",IF(OR('King Node Model'!$A$8="Neg",N('Level Engine'!$BG$72)=1),"",IF($BP37=1,IF($BN37&lt;=-0.4,"HARD ceil",IF($BN37&lt;=-0.15,"ceil",IF($BN37&lt;0.15,"neutral","soft ceil"))),IF($BN37&gt;=0.4,"FIRM floor",IF($BN37&gt;=0.15,"floor",IF($BN37&gt;-0.15,"neutral","WEAK floor"))))&amp;IF($BO37&lt;0.25," ·marginal",""))))</f>
        <v/>
      </c>
      <c r="BR37" t="str">
        <f>IF(NOT(ISNUMBER($BN37)),"",IF(OR('King Node Model'!$A$8="Neg",N('Level Engine'!$BG$72)=1),"",IF(AND($BP37=1,$BN37&gt;0.15),"⚠",IF(AND($BP37=-1,$BN37&lt;-0.15),"⚠",""))))</f>
        <v/>
      </c>
      <c r="BW37">
        <f t="shared" si="17"/>
        <v>5</v>
      </c>
      <c r="BX37">
        <f t="shared" si="18"/>
        <v>5</v>
      </c>
      <c r="BY37" t="str">
        <f t="shared" si="19"/>
        <v/>
      </c>
      <c r="CA37">
        <f>IFERROR(SUMPRODUCT(LARGE(('King Node Model'!$A$29:$A$75&lt;$BZ$24)*('King Node Model'!$A$29:$A$75&gt;=$BY$24)*('King Node Model'!$A$29:$A$75&lt;&gt;$BK$34)*(('King Node Model'!$K$29:$K$75+'King Node Model'!$L$29:$L$75)*1000000+'King Node Model'!$A$29:$A$75),3)),0)</f>
        <v>3462007775</v>
      </c>
      <c r="CE37">
        <f>IF(NOT(ISNUMBER($CA37)),"",IF($CA37&lt;=0,"",IFERROR(SUMPRODUCT(MAX((('King Node Model'!$A$29:$A$75&lt;$BZ$24)*('King Node Model'!$A$29:$A$75&gt;=$BY$24)*('King Node Model'!$A$29:$A$75&lt;&gt;$BK$34)*(('King Node Model'!$K$29:$K$75+'King Node Model'!$L$29:$L$75)*1000000+'King Node Model'!$A$29:$A$75)=$CA37)*'King Node Model'!$A$29:$A$75)),"")))</f>
        <v>7775</v>
      </c>
      <c r="CF37">
        <f t="shared" si="20"/>
        <v>5</v>
      </c>
      <c r="CO37">
        <f>IF(NOT(ISNUMBER($AL37)),"",IF(NOT(ISNUMBER(IFERROR(INDEX('Level Engine'!$FT$9:$FT$55,MATCH($AL37,'Level Engine'!$AA$9:$AA$55,0)),""))),"",IF(IFERROR(INDEX('Level Engine'!$FT$9:$FT$55,MATCH($AL37,'Level Engine'!$AA$9:$AA$55,0)),"")&lt;0,0,2)+IF(ABS(IFERROR(INDEX('Level Engine'!$FT$9:$FT$55,MATCH($AL37,'Level Engine'!$AA$9:$AA$55,0)),""))&gt;='Level Engine'!$FT$2,2,1)))</f>
        <v>1</v>
      </c>
      <c r="DJ37" t="str">
        <f>IF(ISNUMBER($AL37),IF($AL37='Level Engine'!$BG$122," ⫪","")&amp;IF($AL37='Level Engine'!$BG$118," S↑"&amp;IFERROR(INDEX('Level Engine'!$MV$9:$MV$55,MATCH($AL37,'Level Engine'!$AA$9:$AA$55,0)),""),"")&amp;IF($AL37='Level Engine'!$BG$119," S↓"&amp;IFERROR(INDEX('Level Engine'!$MV$9:$MV$55,MATCH($AL37,'Level Engine'!$AA$9:$AA$55,0)),""),"")&amp;IF($AL37='Level Engine'!$BG$120," D↑","")&amp;IF($AL37='Level Engine'!$BG$121," D↓","")&amp;IFERROR(INDEX('Level Engine'!$LG$9:$LG$55,MATCH($AL37,'Level Engine'!$AA$9:$AA$55,0)),"")&amp;IF(IFERROR(INDEX('Level Engine'!$MA$9:$MA$55,MATCH($AL37,'Level Engine'!$AA$9:$AA$55,0)),0)=1," SAND","")&amp;IF(IFERROR(INDEX('Level Engine'!$LM$9:$LM$55,MATCH($AL37,'Level Engine'!$AA$9:$AA$55,0)),0)&gt;0," TP","")&amp;IFERROR(" r"&amp;MATCH($AL37,'Level Engine'!$W$9:$W$14,0),IFERROR(" s"&amp;MATCH($AL37,'Level Engine'!$W$18:$W$23,0),""))&amp;IF($AL37='Level Engine'!$BG$165," ◇","")&amp;IF(N($DZ37)=1,IF($AL37&gt;'Level Engine'!$BG$165," ⚠ DOM↓"," ⚠ DOM↑")&amp;'Level Engine'!$BG$165,""),"")</f>
        <v/>
      </c>
      <c r="DK37" t="str">
        <f>IF(AND(ISNUMBER($AL37),OR($AL37='King Node Model'!$AL$42,$AL37='King Node Model'!$AL$43,$AL37='King Node Model'!$AL$44)),IFERROR(MATCH($AL37,'Level Engine'!$W$9:$W$14,0),""),"")</f>
        <v/>
      </c>
      <c r="DL37" t="str">
        <f>IF(AND(ISNUMBER($AL37),OR($AL37='King Node Model'!$AL$49,$AL37='King Node Model'!$AL$50,$AL37='King Node Model'!$AL$51)),IFERROR(MATCH($AL37,'Level Engine'!$W$18:$W$23,0),""),"")</f>
        <v/>
      </c>
      <c r="DM37">
        <f>IF(AND(ISNUMBER($AL37),IFERROR(INDEX('Level Engine'!$LC$9:$LC$55,MATCH($AL37,'Level Engine'!$AA$9:$AA$55,0)),0)=1,OR($AL37=$AN$3,IFERROR(INDEX('Level Engine'!$LB$9:$LB$55,MATCH($AL37,'Level Engine'!$AA$9:$AA$55,0)),0)=1)),1,0)</f>
        <v>0</v>
      </c>
      <c r="DZ37">
        <f>IF(ISNUMBER($AL37),IF(IFERROR(INDEX('Level Engine'!$NJ$9:$NJ$55,MATCH($AL37,'Level Engine'!$AA$9:$AA$55,0)),0)=1,1,0),0)</f>
      </c>
    </row>
    <row r="38" spans="1:123" ht="15" customHeight="1" x14ac:dyDescent="0.25">
      <c r="A38" s="7" t="str">
        <f t="shared" si="3"/>
        <v>█</v>
      </c>
      <c r="B38" s="8" t="str">
        <f>TEXT(IF(IF('Level Engine'!$GJ$4=1,$AL38='Level Engine'!$GJ$3,AND($AL38-$AM$2&gt;-2.5,$AL38-$AM$2&lt;=2.5)),$AM$2,$AL38),"0")&amp;IF($AL38=$AN$1," ★","")&amp;IF($AL38=$AN$2," ★","")&amp;IF($AL38=$AN$3," ◆","")&amp;IF(AND(ISNUMBER($AN$4),$AL38=$AN$4)," Ⓕ","")&amp;IF(OR(AND(ISNUMBER('Level Engine'!$BG$87),$AL38='Level Engine'!$BG$87),AND(ISNUMBER('Level Engine'!$BG$105),$AL38='Level Engine'!$BG$105))," ζ","")&amp;IF(AND(ISNUMBER($AN$35),$AL38=$AN$35)," ⓏⒼ","")&amp;IF(OR($AL38='Level Engine'!$CP$4,$AL38='Level Engine'!$CP$5,$AL38='Level Engine'!$CP$6,$AL38='Level Engine'!$CP$7)," ☄","")&amp;IF(OR($AL38=$AN$5,$AL38=$AN$8)," ║1","")&amp;IF(OR($AL38=$AN$6,$AL38=$AN$10)," ║2","")&amp;IF(OR($AL38=$AN$7,$AL38=$AN$11)," ║3","")&amp;IF(OR($AL38=$AN$13,$AL38=$AN$16)," ▣1","")&amp;IF(OR($AL38=$AN$14,$AL38=$AN$17)," ▣2","")&amp;IF(OR($AL38=$AN$15,$AL38=$AN$18)," ▣3","")&amp;IF(AND(NOT(OR(AND(ISNUMBER(SEARCH("chop edge",$E$45)),IFERROR(ABS($AL38-'King Node Model'!$AL$42)&lt;=5,FALSE),NOT(ISNUMBER(SEARCH("UNSAFE",$L$45)))),AND(ISNUMBER(SEARCH("chop edge",$E$46)),IFERROR(ABS($AL38-'King Node Model'!$AL$43)&lt;=5,FALSE),NOT(ISNUMBER(SEARCH("UNSAFE",$L$46)))),AND(ISNUMBER(SEARCH("chop edge",$E$52)),IFERROR(ABS($AL38-'King Node Model'!$AL$49)&lt;=5,FALSE),NOT(ISNUMBER(SEARCH("UNSAFE",$L$52)))),AND(ISNUMBER(SEARCH("chop edge",$E$53)),IFERROR(ABS($AL38-'King Node Model'!$AL$50)&lt;=5,FALSE),NOT(ISNUMBER(SEARCH("UNSAFE",$L$53)))))),OR(AND(IFERROR(INDEX('Level Engine'!$IB$9:$IB$55,MATCH('King Node Model'!$AL$49,'Level Engine'!$AA$9:$AA$55,0)),0)&lt;&gt;1,$AL38=IFERROR(INDEX('Level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Engine'!$AA$9:$AA$55,0)),0)&lt;&gt;1,$AL38=IFERROR(INDEX('Level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edge",$E$45)),IFERROR(ABS($AL38-'King Node Model'!$AL$42)&lt;=5,FALSE),NOT(ISNUMBER(SEARCH("UNSAFE",$L$45)))),AND(ISNUMBER(SEARCH("chop edge",$E$46)),IFERROR(ABS($AL38-'King Node Model'!$AL$43)&lt;=5,FALSE),NOT(ISNUMBER(SEARCH("UNSAFE",$L$46)))),AND(ISNUMBER(SEARCH("chop edge",$E$52)),IFERROR(ABS($AL38-'King Node Model'!$AL$49)&lt;=5,FALSE),NOT(ISNUMBER(SEARCH("UNSAFE",$L$52)))),AND(ISNUMBER(SEARCH("chop edge",$E$53)),IFERROR(ABS($AL38-'King Node Model'!$AL$50)&lt;=5,FALSE),NOT(ISNUMBER(SEARCH("UNSAFE",$L$53)))))),OR(AND(IFERROR(INDEX('Level Engine'!$IB$9:$IB$55,MATCH('King Node Model'!$AL$42,'Level Engine'!$AA$9:$AA$55,0)),0)&lt;&gt;1,$AL38=IFERROR(INDEX('Level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Engine'!$AA$9:$AA$55,0)),0)&lt;&gt;1,$AL38=IFERROR(INDEX('Level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ⒷⓁ"),"")&amp;IF(OR(AND($AL38&gt;='King Node Model'!$AM$17,$AL38&lt;='King Node Model'!$AN$17,$AP$45="RASP"),AND($AL38&gt;='King Node Model'!$AM$18,$AL38&lt;='King Node Model'!$AN$18,$AP$46="RASP"),AND($AL38&gt;='King Node Model'!$AM$19,$AL38&lt;='King Node Model'!$AN$19,$AP$47="RASP"),AND($AL38&gt;='King Node Model'!$AM$20,$AL38&lt;='King Node Model'!$AN$20,$AP$52="RASP"),AND($AL38&gt;='King Node Model'!$AM$21,$AL38&lt;='King Node Model'!$AN$21,$AP$53="RASP"),AND($AL38&gt;='King Node Model'!$AM$22,$AL38&lt;='King Node Model'!$AN$22,$AP$54="RASP")),"","")&amp;IF(IF('Level Engine'!$GJ$4=1,$AL38='Level Engine'!$GJ$3,AND($AL38-$AM$2&gt;-2.5,$AL38-$AM$2&lt;=2.5))," ◄","")&amp;IF(IFERROR(INDEX('Level Engine'!$GV$9:$GV$55,MATCH($AL38,'Level Engine'!$AA$9:$AA$55,0)),0)=1," Ⓥ"&amp;IF(IFERROR(INDEX('Level Engine'!$ET$9:$ET$55,MATCH($AL38,'Level Engine'!$AA$9:$AA$55,0)),0)=1,"+",""),"")&amp;IF(OR(AND($AL38=$AN$38,IFERROR(INDEX('Level Engine'!$AN$9:$AN$55,MATCH($AL38,'Level Engine'!$AA$9:$AA$55,0)),0)&lt;&gt;1),$AL38=$AN$39)," ⊙","")&amp;IF(AND(OR('King Node Model'!$A$8="Neg",N('Level Engine'!$BG$72)=1),ABS(MIN($AM$3:$AM$64))&gt;MAX($AM$3:$AM$64),$AN$2&lt;$AM$2,$AL38&lt;$AM$2,ABS($AL38-$AN$2)&lt;=5,IFERROR(VALUE(MID('King Node Model'!$K$26,FIND(":",'King Node Model'!$K$26)-2,2)),0)&gt;=19,IFERROR(INDEX('Level Engine'!$EJ$9:$EJ$55,MATCH($AL38,'Level Engine'!$AA$9:$AA$55,0)),0)=0,$AN$3&gt;$AM$2)," ⟲rev","")&amp;IF($AL38='King Node Model'!$F$24," ⟂","")&amp;$DJ38&amp;IF(IFERROR(INDEX('Level Engine'!$EN$9:$EN$55,MATCH($AL38,'Level Engine'!$AA$9:$AA$55,0)),0)=1," Ⓟ"&amp;IF(AND(OR('King Node Model'!$A$8="Neg",N('Level Engine'!$BG$72)=1),IFERROR(INDEX('Level Engine'!$AN$9:$AN$55,MATCH($AL38,'Level Engine'!$AA$9:$AA$55,0)),0)&lt;&gt;1)," NO-REV",""),"")&amp;IF(AND(ISNUMBER($AL38),OR(AND(ISNUMBER(SEARCH("chop edge",$E$45)),$AL38='King Node Model'!$AL$42),AND(ISNUMBER(SEARCH("chop edge",$E$46)),$AL38='King Node Model'!$AL$43),AND(ISNUMBER(SEARCH("chop edge",$E$52)),$AL38='King Node Model'!$AL$49),AND(ISNUMBER(SEARCH("chop edge",$E$53)),$AL38='King Node Model'!$AL$50)))," ⒸⒺ","")&amp;IF(AND('Level Engine'!$GJ$4=1,OR($AL38='Level Engine'!$GJ$1,$AL38='Level Engine'!$GJ$2)),"","")&amp;IF(ABS(N(IFERROR(INDEX('Level Engine'!$AE$9:$AE$55,MATCH($AL38,'Level Engine'!$AA$9:$AA$55,0)),0)))&gt;='Level Engine'!$BG$85,IF(N(IFERROR(INDEX('Level Engine'!$AE$9:$AE$55,MATCH($AL38,'Level Engine'!$AA$9:$AA$55,0)),0))&gt;0," Δ+"," Δ−"),"")&amp;IFERROR(IF(AND(ISNUMBER(MATCH($AL38,'Level Engine'!$AA$9:$AA$55,0)),ABS(N(IFERROR(INDEX('Level Engine'!$AE$9:$AE$55,MATCH($AL38,'Level Engine'!$AA$9:$AA$55,0)),0)))&lt;'Level Engine'!$BG$85,ABS(N(IFERROR(INDEX('Level Engine'!$AE$9:$AE$55,MATCH($AL38,'Level Engine'!$AA$9:$AA$55,0)),0)))&lt;=ABS(N(IFERROR(INDEX('Level Engine'!$AE$9:$AE$55,MATCH($AL38+5,'Level Engine'!$AA$9:$AA$55,0)),0))),ABS(N(IFERROR(INDEX('Level Engine'!$AE$9:$AE$55,MATCH($AL38,'Level Engine'!$AA$9:$AA$55,0)),0)))&lt;=ABS(N(IFERROR(INDEX('Level Engine'!$AE$9:$AE$55,MATCH($AL38-5,'Level Engine'!$AA$9:$AA$55,0)),0))),OR(AND(ABS(N(IFERROR(INDEX('Level Engine'!$AE$9:$AE$55,MATCH($AL38+5,'Level Engine'!$AA$9:$AA$55,0)),0)))&gt;='Level Engine'!$BG$85,ABS(N(IFERROR(INDEX('Level Engine'!$AE$9:$AE$55,MATCH($AL38,'Level Engine'!$AA$9:$AA$55,0)),0)))&lt;='Level Engine'!$BG$88*ABS(N(IFERROR(INDEX('Level Engine'!$AE$9:$AE$55,MATCH($AL38+5,'Level Engine'!$AA$9:$AA$55,0)),0)))),AND(ABS(N(IFERROR(INDEX('Level Engine'!$AE$9:$AE$55,MATCH($AL38-5,'Level Engine'!$AA$9:$AA$55,0)),0)))&gt;='Level Engine'!$BG$85,ABS(N(IFERROR(INDEX('Level Engine'!$AE$9:$AE$55,MATCH($AL38,'Level Engine'!$AA$9:$AA$55,0)),0)))&lt;='Level Engine'!$BG$88*ABS(N(IFERROR(INDEX('Level Engine'!$AE$9:$AE$55,MATCH($AL38-5,'Level Engine'!$AA$9:$AA$55,0)),0)))))),IF(AND('King Node Model'!$A$8="Pos",N('Level Engine'!$BG$72)&lt;&gt;1),""," ∅"),""),"")&amp;IF(IFERROR(INDEX('Level Engine'!$JD$9:$JD$55,MATCH($AL38,'Level Engine'!$AA$9:$AA$55,0)),"")="P"," P-OI",IF(IFERROR(INDEX('Level Engine'!$JD$9:$JD$55,MATCH($AL38,'Level Engine'!$AA$9:$AA$55,0)),"")="C"," C-OI",""))</f>
        <v>7710 ∅</v>
      </c>
      <c r="C38" s="9" t="str">
        <f>IF(AND(ISNUMBER($AM38),$AM38&gt;0,ISNUMBER($AO38),$AO$1&gt;0),REPT("█",ROUND($AO38/$AO$1*26,0)),"")</f>
        <v/>
      </c>
      <c r="D38" t="str">
        <f>IF(NOT(ISNUMBER($AL38)),"",IF(IFERROR(INDEX('Level Engine'!$FS$9:$FS$55,MATCH($AL38,'Level Engine'!$AA$9:$AA$55,0)),0)=1,"⊙",""))</f>
        <v/>
      </c>
      <c r="E38" s="35" t="str">
        <f>IF(COUNTIF($M$42:$M$46,"*SHORT*")+COUNTIF($M$49:$M$53,"*LONG*")&gt;0,"Vomma trigger","")</f>
        <v/>
      </c>
      <c r="F38" s="612" t="str">
        <f>IF(COUNTIF($M$42:$M$46,"*SHORT*")+COUNTIF($M$49:$M$53,"*LONG*")&gt;0,'GEX Depth'!$C$54,"")</f>
        <v/>
      </c>
      <c r="G38" s="612"/>
      <c r="H38" s="612"/>
      <c r="I38" s="612"/>
      <c r="J38" s="612"/>
      <c r="K38" s="612"/>
      <c r="L38" s="612"/>
      <c r="M38" s="612"/>
      <c r="N38" s="612"/>
      <c r="O38" s="21"/>
      <c r="Q38" s="452" t="str">
        <f t="shared" si="14"/>
        <v xml:space="preserve">B4  7780   78% </v>
      </c>
      <c r="R38" s="447" t="str">
        <f t="shared" si="5"/>
        <v>739 ▉▉</v>
      </c>
      <c r="S38" s="484" t="str">
        <f t="shared" si="6"/>
        <v>▉▉▉▉▉▉ 2.7k</v>
      </c>
      <c r="T38" s="484" t="str">
        <f t="shared" si="15"/>
        <v>g3</v>
      </c>
      <c r="U38" s="453" t="str">
        <f t="shared" si="16"/>
        <v/>
      </c>
      <c r="AL38" s="1">
        <f>'King Node Model'!A64</f>
        <v>7710</v>
      </c>
      <c r="AM38" s="10">
        <f>'King Node Model'!C64</f>
        <v>-132005</v>
      </c>
      <c r="AN38" s="3" t="str">
        <f>IF('King Node Model'!$AC$24,'King Node Model'!$B$23,"-")</f>
        <v>-</v>
      </c>
      <c r="AO38" s="10">
        <f>'King Node Model'!B64</f>
        <v>182333</v>
      </c>
      <c r="AY38" s="1">
        <f>IF(AND($B$2="Hide unsafe",$BB38=1),0,IF(AND(OR(AND(AND(ISNUMBER($AL38),OR(AND($AL38&gt;=$AQ$22,$AL38&lt;=$AR$22,$AS$22=1),$AL38=$AQ$22,$AL38=$AR$22,$AL38=$AQ$23,$AL38=$AR$23,$AL38=$AQ$24,$AL38=$AR$24),NOT(OR($AL38=$AN$5,$AL38=$AN$6,$AL38=$AN$7,$AL38=$AN$8,$AL38=$AN$10,$AL38=$AN$11))),NOT(OR(AND('King Node Model'!$P$13="Up",OR($AL38=$AQ$22,$AL38=$AQ$23,$AL38=$AQ$24,$AL38='King Node Model'!$AM$20,$AL38='King Node Model'!$AM$21,$AL38='King Node Model'!$AM$22),OR(AND('King Node Model'!$B$23-$AL38&gt;=0,'King Node Model'!$B$23-$AL38&lt;=5),AND('King Node Model'!$C$23-$AL38&gt;=0,'King Node Model'!$C$23-$AL38&lt;=5))),AND('King Node Model'!$P$13="Down",OR($AL38=$AR$22,$AL38=$AR$23,$AL38=$AR$24,$AL38='King Node Model'!$AN$20,$AL38='King Node Model'!$AN$21,$AL38='King Node Model'!$AN$22),OR(AND($AL38-'King Node Model'!$B$23&gt;=0,$AL38-'King Node Model'!$B$23&lt;=5),AND($AL38-'King Node Model'!$C$24&gt;=0,$AL38-'King Node Model'!$C$24&lt;=5)))))),AND(AND(ISNUMBER($AL38),OR(AND($AL38&gt;=$AQ$22,$AL38&lt;=$AR$22,$AS$22=1),$AL38=$AQ$22,$AL38=$AR$22,$AL38=$AQ$23,$AL38=$AR$23,$AL38=$AQ$24,$AL38=$AR$24,$AL38='King Node Model'!$AL$42,$AL38='King Node Model'!$AL$43),OR($AL38=$AN$5,$AL38=$AN$6,$AL38=$AN$7,$AL38=$AN$8,$AL38=$AN$10,$AL38=$AN$11)),NOT(OR(AND('King Node Model'!$P$13="Up",OR($AL38=$AQ$22,$AL38=$AQ$23,$AL38=$AQ$24,$AL38='King Node Model'!$AM$20,$AL38='King Node Model'!$AM$21,$AL38='King Node Model'!$AM$22),OR(AND('King Node Model'!$B$23-$AL38&gt;=0,'King Node Model'!$B$23-$AL38&lt;=5),AND('King Node Model'!$C$23-$AL38&gt;=0,'King Node Model'!$C$23-$AL38&lt;=5))),AND('King Node Model'!$P$13="Down",OR($AL38=$AR$22,$AL38=$AR$23,$AL38=$AR$24,$AL38='King Node Model'!$AN$20,$AL38='King Node Model'!$AN$21,$AL38='King Node Model'!$AN$22),OR(AND($AL38-'King Node Model'!$B$23&gt;=0,$AL38-'King Node Model'!$B$23&lt;=5),AND($AL38-'King Node Model'!$C$24&gt;=0,$AL38-'King Node Model'!$C$24&lt;=5)))))),AND(AND(ISNUMBER($AL38),OR(AND($AL38&gt;='King Node Model'!$AM$20,$AL38&lt;='King Node Model'!$AN$20,$AS$23=1),$AL38='King Node Model'!$AM$20,$AL38='King Node Model'!$AN$20,$AL38='King Node Model'!$AM$21,$AL38='King Node Model'!$AN$21,$AL38='King Node Model'!$AM$22,$AL38='King Node Model'!$AN$22),NOT(OR($AL38=$AN$5,$AL38=$AN$6,$AL38=$AN$7,$AL38=$AN$8,$AL38=$AN$10,$AL38=$AN$11))),NOT(AND(ISNUMBER('King Node Model'!$F$24),$AL38='King Node Model'!$F$24,IFERROR(INDEX('Level Engine'!$JN$9:$JN$55,MATCH($AL38,'Level Engine'!$AA$9:$AA$55,0)),0)&lt;&gt;1))),AND(AND(ISNUMBER($AL38),OR(AND($AL38&gt;='King Node Model'!$AM$20,$AL38&lt;='King Node Model'!$AN$20,$AS$23=1),$AL38='King Node Model'!$AM$20,$AL38='King Node Model'!$AN$20,$AL38='King Node Model'!$AM$21,$AL38='King Node Model'!$AN$21,$AL38='King Node Model'!$AM$22,$AL38='King Node Model'!$AN$22,$AL38='King Node Model'!$AL$49,$AL38='King Node Model'!$AL$50),OR($AL38=$AN$5,$AL38=$AN$6,$AL38=$AN$7,$AL38=$AN$8,$AL38=$AN$10,$AL38=$AN$11)),NOT(OR(AND('King Node Model'!$P$13="Up",OR($AL38=$AQ$22,$AL38=$AQ$23,$AL38=$AQ$24,$AL38='King Node Model'!$AM$20,$AL38='King Node Model'!$AM$21,$AL38='King Node Model'!$AM$22),OR(AND('King Node Model'!$B$23-$AL38&gt;=0,'King Node Model'!$B$23-$AL38&lt;=5),AND('King Node Model'!$C$23-$AL38&gt;=0,'King Node Model'!$C$23-$AL38&lt;=5))),AND('King Node Model'!$P$13="Down",OR($AL38=$AR$22,$AL38=$AR$23,$AL38=$AR$24,$AL38='King Node Model'!$AN$20,$AL38='King Node Model'!$AN$21,$AL38='King Node Model'!$AN$22),OR(AND($AL38-'King Node Model'!$B$23&gt;=0,$AL38-'King Node Model'!$B$23&lt;=5),AND($AL38-'King Node Model'!$C$24&gt;=0,$AL38-'King Node Model'!$C$24&lt;=5))))))),OR(COUNTIF('Level Engine'!$W$9:$W$14,$AL38)&gt;0,COUNTIF('Level Engine'!$W$18:$W$23,$AL38)&gt;0)),1,0))</f>
        <v>0</v>
      </c>
      <c r="AZ38" s="1">
        <f t="shared" si="1"/>
        <v>0</v>
      </c>
      <c r="BB38" s="1">
        <f>IF(OR(AND($AL38='King Node Model'!$AL$42,$AP$45&lt;&gt;"RASP"),AND($AL38='King Node Model'!$AL$43,$AP$46&lt;&gt;"RASP"),AND($AL38='King Node Model'!$AL$49,$AP$52&lt;&gt;"RASP"),AND($AL38='King Node Model'!$AL$50,$AP$53&lt;&gt;"RASP"),AND($AL38='King Node Model'!$AL$44,$AP$47&lt;&gt;"RASP"),AND($AL38='King Node Model'!$AL$51,$AP$54&lt;&gt;"RASP")),0,IF(AND(AND(ISNUMBER($AL38),OR(AND($AL38&gt;=$AQ$22,$AL38&lt;=$AR$22,$AP$45="RASP"),AND($AL38&gt;=$AQ$23,$AL38&lt;=$AR$23,$AP$46="RASP"),AND($AL38&gt;=$AQ$24,$AL38&lt;=$AR$24,$AP$47="RASP"),AND($AL38&gt;='King Node Model'!$AM$20,$AL38&lt;='King Node Model'!$AN$20,$AP$52="RASP",NOT($L$52=$AW$52)),AND($AL38='King Node Model'!$B$23,$AP$52="RASP",$L$52=$AW$52),AND($AL38&gt;='King Node Model'!$AM$21,$AL38&lt;='King Node Model'!$AN$21,$AP$53="RASP",NOT($L$53=$AW$53)),AND($AL38='King Node Model'!$B$23,$AP$53="RASP",$L$53=$AW$53),AND($AL38&gt;='King Node Model'!$AM$22,$AL38&lt;='King Node Model'!$AN$22,$AP$54="RASP"),AND($AL38&gt;=IFERROR(INDEX('Level Engine'!$AT$9:$AT$55,MATCH('King Node Model'!$AL$42,'Level Engine'!$AA$9:$AA$55,0)),""),$AL38&lt;=IFERROR(INDEX('Level Engine'!$AU$9:$AU$55,MATCH('King Node Model'!$AL$42,'Level Engine'!$AA$9:$AA$55,0)),""),$AP$45="RASP"),AND($AL38&gt;=IFERROR(INDEX('Level Engine'!$AT$9:$AT$55,MATCH('King Node Model'!$AL$43,'Level Engine'!$AA$9:$AA$55,0)),""),$AL38&lt;=IFERROR(INDEX('Level Engine'!$AU$9:$AU$55,MATCH('King Node Model'!$AL$43,'Level Engine'!$AA$9:$AA$55,0)),""),$AP$46="RASP"),AND($AL38&gt;=IFERROR(INDEX('Level Engine'!$AT$9:$AT$55,MATCH('King Node Model'!$AL$44,'Level Engine'!$AA$9:$AA$55,0)),""),$AL38&lt;=IFERROR(INDEX('Level Engine'!$AU$9:$AU$55,MATCH('King Node Model'!$AL$44,'Level Engine'!$AA$9:$AA$55,0)),""),$AP$47="RASP"),AND($AL38&gt;=IFERROR(INDEX('Level Engine'!$AT$9:$AT$55,MATCH('King Node Model'!$AL$49,'Level Engine'!$AA$9:$AA$55,0)),""),$AL38&lt;=IFERROR(INDEX('Level Engine'!$AU$9:$AU$55,MATCH('King Node Model'!$AL$49,'Level Engine'!$AA$9:$AA$55,0)),""),$AP$52="RASP",NOT($L$52=$AW$52)),AND($AL38&gt;=IFERROR(INDEX('Level Engine'!$AT$9:$AT$55,MATCH('King Node Model'!$AL$50,'Level Engine'!$AA$9:$AA$55,0)),""),$AL38&lt;=IFERROR(INDEX('Level Engine'!$AU$9:$AU$55,MATCH('King Node Model'!$AL$50,'Level Engine'!$AA$9:$AA$55,0)),""),$AP$53="RASP",NOT($L$53=$AW$53)),AND($AL38&gt;=IFERROR(INDEX('Level Engine'!$AT$9:$AT$55,MATCH('King Node Model'!$AL$51,'Level Engine'!$AA$9:$AA$55,0)),""),$AL38&lt;=IFERROR(INDEX('Level Engine'!$AU$9:$AU$55,MATCH('King Node Model'!$AL$51,'Level Engine'!$AA$9:$AA$55,0)),""),$AP$54="RASP"))),NOT(AND(ISNUMBER('King Node Model'!$F$24),$AL38='King Node Model'!$F$24,IFERROR(INDEX('Level Engine'!$JN$9:$JN$55,MATCH($AL38,'Level Engine'!$AA$9:$AA$55,0)),0)&lt;&gt;1,$AL38&lt;&gt;'King Node Model'!$AL$42,$AL38&lt;&gt;'King Node Model'!$AL$43,$AL38&lt;&gt;'King Node Model'!$AL$44,$AL38&lt;&gt;'King Node Model'!$AL$49,$AL38&lt;&gt;'King Node Model'!$AL$50,$AL38&lt;&gt;'King Node Model'!$AL$51))),1,0))</f>
        <v>0</v>
      </c>
      <c r="BK38">
        <f>IFERROR(LARGE($CE$35:$CE$40,4),"")</f>
        <v>7780</v>
      </c>
      <c r="BL38">
        <f>IFERROR(INDEX('King Node Model'!$K$29:$K$75,MATCH($BK38,'King Node Model'!$A$29:$A$75,0)),"")</f>
        <v>739</v>
      </c>
      <c r="BM38">
        <f>IFERROR(INDEX('King Node Model'!$L$29:$L$75,MATCH($BK38,'King Node Model'!$A$29:$A$75,0)),"")</f>
        <v>2693</v>
      </c>
      <c r="BN38">
        <f t="shared" si="9"/>
        <v>0.5693473193473193</v>
      </c>
      <c r="BO38">
        <f>IFERROR(INDEX('Level Engine'!$AC$9:$AC$55,MATCH($BK38,'Level Engine'!$AA$9:$AA$55,0))/MAX('Level Engine'!$AC$9:$AC$55),"")</f>
        <v>0.9032886064840886</v>
      </c>
      <c r="BP38">
        <f>IF(NOT(ISNUMBER($BK38)),"",IF($BK38&gt;'King Node Model'!$B$4,1,-1))</f>
        <v>1</v>
      </c>
      <c r="BQ38" t="str">
        <f>IF(OR(NOT(ISNUMBER($BN38)),NOT(ISNUMBER($BO38))),"",IF($BO38&lt;0.15,"thin",IF(OR('King Node Model'!$A$8="Neg",N('Level Engine'!$BG$72)=1),"",IF($BP38=1,IF($BN38&lt;=-0.4,"HARD ceil",IF($BN38&lt;=-0.15,"ceil",IF($BN38&lt;0.15,"neutral","soft ceil"))),IF($BN38&gt;=0.4,"FIRM floor",IF($BN38&gt;=0.15,"floor",IF($BN38&gt;-0.15,"neutral","WEAK floor"))))&amp;IF($BO38&lt;0.25," ·marginal",""))))</f>
        <v/>
      </c>
      <c r="BR38" t="str">
        <f>IF(NOT(ISNUMBER($BN38)),"",IF(OR('King Node Model'!$A$8="Neg",N('Level Engine'!$BG$72)=1),"",IF(AND($BP38=1,$BN38&gt;0.15),"⚠",IF(AND($BP38=-1,$BN38&lt;-0.15),"⚠",""))))</f>
        <v/>
      </c>
      <c r="BW38">
        <f t="shared" si="17"/>
        <v>3</v>
      </c>
      <c r="BX38">
        <f t="shared" si="18"/>
        <v>4</v>
      </c>
      <c r="BY38" t="str">
        <f t="shared" si="19"/>
        <v/>
      </c>
      <c r="CA38">
        <f>IFERROR(SUMPRODUCT(LARGE(('King Node Model'!$A$29:$A$75&lt;$BZ$24)*('King Node Model'!$A$29:$A$75&gt;=$BY$24)*('King Node Model'!$A$29:$A$75&lt;&gt;$BK$34)*(('King Node Model'!$K$29:$K$75+'King Node Model'!$L$29:$L$75)*1000000+'King Node Model'!$A$29:$A$75),4)),0)</f>
        <v>3432007780</v>
      </c>
      <c r="CE38">
        <f>IF(NOT(ISNUMBER($CA38)),"",IF($CA38&lt;=0,"",IFERROR(SUMPRODUCT(MAX((('King Node Model'!$A$29:$A$75&lt;$BZ$24)*('King Node Model'!$A$29:$A$75&gt;=$BY$24)*('King Node Model'!$A$29:$A$75&lt;&gt;$BK$34)*(('King Node Model'!$K$29:$K$75+'King Node Model'!$L$29:$L$75)*1000000+'King Node Model'!$A$29:$A$75)=$CA38)*'King Node Model'!$A$29:$A$75)),"")))</f>
        <v>7780</v>
      </c>
      <c r="CF38">
        <f t="shared" si="20"/>
        <v>4</v>
      </c>
      <c r="CO38">
        <f>IF(NOT(ISNUMBER($AL38)),"",IF(NOT(ISNUMBER(IFERROR(INDEX('Level Engine'!$FT$9:$FT$55,MATCH($AL38,'Level Engine'!$AA$9:$AA$55,0)),""))),"",IF(IFERROR(INDEX('Level Engine'!$FT$9:$FT$55,MATCH($AL38,'Level Engine'!$AA$9:$AA$55,0)),"")&lt;0,0,2)+IF(ABS(IFERROR(INDEX('Level Engine'!$FT$9:$FT$55,MATCH($AL38,'Level Engine'!$AA$9:$AA$55,0)),""))&gt;='Level Engine'!$FT$2,2,1)))</f>
        <v>2</v>
      </c>
      <c r="DJ38" t="str">
        <f>IF(ISNUMBER($AL38),IF($AL38='Level Engine'!$BG$122," ⫪","")&amp;IF($AL38='Level Engine'!$BG$118," S↑"&amp;IFERROR(INDEX('Level Engine'!$MV$9:$MV$55,MATCH($AL38,'Level Engine'!$AA$9:$AA$55,0)),""),"")&amp;IF($AL38='Level Engine'!$BG$119," S↓"&amp;IFERROR(INDEX('Level Engine'!$MV$9:$MV$55,MATCH($AL38,'Level Engine'!$AA$9:$AA$55,0)),""),"")&amp;IF($AL38='Level Engine'!$BG$120," D↑","")&amp;IF($AL38='Level Engine'!$BG$121," D↓","")&amp;IFERROR(INDEX('Level Engine'!$LG$9:$LG$55,MATCH($AL38,'Level Engine'!$AA$9:$AA$55,0)),"")&amp;IF(IFERROR(INDEX('Level Engine'!$MA$9:$MA$55,MATCH($AL38,'Level Engine'!$AA$9:$AA$55,0)),0)=1," SAND","")&amp;IF(IFERROR(INDEX('Level Engine'!$LM$9:$LM$55,MATCH($AL38,'Level Engine'!$AA$9:$AA$55,0)),0)&gt;0," TP","")&amp;IFERROR(" r"&amp;MATCH($AL38,'Level Engine'!$W$9:$W$14,0),IFERROR(" s"&amp;MATCH($AL38,'Level Engine'!$W$18:$W$23,0),""))&amp;IF($AL38='Level Engine'!$BG$165," ◇","")&amp;IF(N($DZ38)=1,IF($AL38&gt;'Level Engine'!$BG$165," ⚠ DOM↓"," ⚠ DOM↑")&amp;'Level Engine'!$BG$165,""),"")</f>
        <v/>
      </c>
      <c r="DK38" t="str">
        <f>IF(AND(ISNUMBER($AL38),OR($AL38='King Node Model'!$AL$42,$AL38='King Node Model'!$AL$43,$AL38='King Node Model'!$AL$44)),IFERROR(MATCH($AL38,'Level Engine'!$W$9:$W$14,0),""),"")</f>
        <v/>
      </c>
      <c r="DL38" t="str">
        <f>IF(AND(ISNUMBER($AL38),OR($AL38='King Node Model'!$AL$49,$AL38='King Node Model'!$AL$50,$AL38='King Node Model'!$AL$51)),IFERROR(MATCH($AL38,'Level Engine'!$W$18:$W$23,0),""),"")</f>
        <v/>
      </c>
      <c r="DM38">
        <f>IF(AND(ISNUMBER($AL38),IFERROR(INDEX('Level Engine'!$LC$9:$LC$55,MATCH($AL38,'Level Engine'!$AA$9:$AA$55,0)),0)=1,OR($AL38=$AN$3,IFERROR(INDEX('Level Engine'!$LB$9:$LB$55,MATCH($AL38,'Level Engine'!$AA$9:$AA$55,0)),0)=1)),1,0)</f>
        <v>0</v>
      </c>
      <c r="DZ38">
        <f>IF(ISNUMBER($AL38),IF(IFERROR(INDEX('Level Engine'!$NJ$9:$NJ$55,MATCH($AL38,'Level Engine'!$AA$9:$AA$55,0)),0)=1,1,0),0)</f>
      </c>
    </row>
    <row r="39" spans="1:123" ht="15" customHeight="1" x14ac:dyDescent="0.25">
      <c r="A39" s="7" t="str">
        <f t="shared" si="3"/>
        <v>██</v>
      </c>
      <c r="B39" s="8" t="str">
        <f>TEXT(IF(IF('Level Engine'!$GJ$4=1,$AL39='Level Engine'!$GJ$3,AND($AL39-$AM$2&gt;-2.5,$AL39-$AM$2&lt;=2.5)),$AM$2,$AL39),"0")&amp;IF($AL39=$AN$1," ★","")&amp;IF($AL39=$AN$2," ★","")&amp;IF($AL39=$AN$3," ◆","")&amp;IF(AND(ISNUMBER($AN$4),$AL39=$AN$4)," Ⓕ","")&amp;IF(OR(AND(ISNUMBER('Level Engine'!$BG$87),$AL39='Level Engine'!$BG$87),AND(ISNUMBER('Level Engine'!$BG$105),$AL39='Level Engine'!$BG$105))," ζ","")&amp;IF(AND(ISNUMBER($AN$35),$AL39=$AN$35)," ⓏⒼ","")&amp;IF(OR($AL39='Level Engine'!$CP$4,$AL39='Level Engine'!$CP$5,$AL39='Level Engine'!$CP$6,$AL39='Level Engine'!$CP$7)," ☄","")&amp;IF(OR($AL39=$AN$5,$AL39=$AN$8)," ║1","")&amp;IF(OR($AL39=$AN$6,$AL39=$AN$10)," ║2","")&amp;IF(OR($AL39=$AN$7,$AL39=$AN$11)," ║3","")&amp;IF(OR($AL39=$AN$13,$AL39=$AN$16)," ▣1","")&amp;IF(OR($AL39=$AN$14,$AL39=$AN$17)," ▣2","")&amp;IF(OR($AL39=$AN$15,$AL39=$AN$18)," ▣3","")&amp;IF(AND(NOT(OR(AND(ISNUMBER(SEARCH("chop edge",$E$45)),IFERROR(ABS($AL39-'King Node Model'!$AL$42)&lt;=5,FALSE),NOT(ISNUMBER(SEARCH("UNSAFE",$L$45)))),AND(ISNUMBER(SEARCH("chop edge",$E$46)),IFERROR(ABS($AL39-'King Node Model'!$AL$43)&lt;=5,FALSE),NOT(ISNUMBER(SEARCH("UNSAFE",$L$46)))),AND(ISNUMBER(SEARCH("chop edge",$E$52)),IFERROR(ABS($AL39-'King Node Model'!$AL$49)&lt;=5,FALSE),NOT(ISNUMBER(SEARCH("UNSAFE",$L$52)))),AND(ISNUMBER(SEARCH("chop edge",$E$53)),IFERROR(ABS($AL39-'King Node Model'!$AL$50)&lt;=5,FALSE),NOT(ISNUMBER(SEARCH("UNSAFE",$L$53)))))),OR(AND(IFERROR(INDEX('Level Engine'!$IB$9:$IB$55,MATCH('King Node Model'!$AL$49,'Level Engine'!$AA$9:$AA$55,0)),0)&lt;&gt;1,$AL39=IFERROR(INDEX('Level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Engine'!$AA$9:$AA$55,0)),0)&lt;&gt;1,$AL39=IFERROR(INDEX('Level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edge",$E$45)),IFERROR(ABS($AL39-'King Node Model'!$AL$42)&lt;=5,FALSE),NOT(ISNUMBER(SEARCH("UNSAFE",$L$45)))),AND(ISNUMBER(SEARCH("chop edge",$E$46)),IFERROR(ABS($AL39-'King Node Model'!$AL$43)&lt;=5,FALSE),NOT(ISNUMBER(SEARCH("UNSAFE",$L$46)))),AND(ISNUMBER(SEARCH("chop edge",$E$52)),IFERROR(ABS($AL39-'King Node Model'!$AL$49)&lt;=5,FALSE),NOT(ISNUMBER(SEARCH("UNSAFE",$L$52)))),AND(ISNUMBER(SEARCH("chop edge",$E$53)),IFERROR(ABS($AL39-'King Node Model'!$AL$50)&lt;=5,FALSE),NOT(ISNUMBER(SEARCH("UNSAFE",$L$53)))))),OR(AND(IFERROR(INDEX('Level Engine'!$IB$9:$IB$55,MATCH('King Node Model'!$AL$42,'Level Engine'!$AA$9:$AA$55,0)),0)&lt;&gt;1,$AL39=IFERROR(INDEX('Level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Engine'!$AA$9:$AA$55,0)),0)&lt;&gt;1,$AL39=IFERROR(INDEX('Level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ⒷⓁ"),"")&amp;IF(OR(AND($AL39&gt;='King Node Model'!$AM$17,$AL39&lt;='King Node Model'!$AN$17,$AP$45="RASP"),AND($AL39&gt;='King Node Model'!$AM$18,$AL39&lt;='King Node Model'!$AN$18,$AP$46="RASP"),AND($AL39&gt;='King Node Model'!$AM$19,$AL39&lt;='King Node Model'!$AN$19,$AP$47="RASP"),AND($AL39&gt;='King Node Model'!$AM$20,$AL39&lt;='King Node Model'!$AN$20,$AP$52="RASP"),AND($AL39&gt;='King Node Model'!$AM$21,$AL39&lt;='King Node Model'!$AN$21,$AP$53="RASP"),AND($AL39&gt;='King Node Model'!$AM$22,$AL39&lt;='King Node Model'!$AN$22,$AP$54="RASP")),"","")&amp;IF(IF('Level Engine'!$GJ$4=1,$AL39='Level Engine'!$GJ$3,AND($AL39-$AM$2&gt;-2.5,$AL39-$AM$2&lt;=2.5))," ◄","")&amp;IF(IFERROR(INDEX('Level Engine'!$GV$9:$GV$55,MATCH($AL39,'Level Engine'!$AA$9:$AA$55,0)),0)=1," Ⓥ"&amp;IF(IFERROR(INDEX('Level Engine'!$ET$9:$ET$55,MATCH($AL39,'Level Engine'!$AA$9:$AA$55,0)),0)=1,"+",""),"")&amp;IF(OR(AND($AL39=$AN$38,IFERROR(INDEX('Level Engine'!$AN$9:$AN$55,MATCH($AL39,'Level Engine'!$AA$9:$AA$55,0)),0)&lt;&gt;1),$AL39=$AN$39)," ⊙","")&amp;IF(AND(OR('King Node Model'!$A$8="Neg",N('Level Engine'!$BG$72)=1),ABS(MIN($AM$3:$AM$64))&gt;MAX($AM$3:$AM$64),$AN$2&lt;$AM$2,$AL39&lt;$AM$2,ABS($AL39-$AN$2)&lt;=5,IFERROR(VALUE(MID('King Node Model'!$K$26,FIND(":",'King Node Model'!$K$26)-2,2)),0)&gt;=19,IFERROR(INDEX('Level Engine'!$EJ$9:$EJ$55,MATCH($AL39,'Level Engine'!$AA$9:$AA$55,0)),0)=0,$AN$3&gt;$AM$2)," ⟲rev","")&amp;IF($AL39='King Node Model'!$F$24," ⟂","")&amp;$DJ39&amp;IF(IFERROR(INDEX('Level Engine'!$EN$9:$EN$55,MATCH($AL39,'Level Engine'!$AA$9:$AA$55,0)),0)=1," Ⓟ"&amp;IF(AND(OR('King Node Model'!$A$8="Neg",N('Level Engine'!$BG$72)=1),IFERROR(INDEX('Level Engine'!$AN$9:$AN$55,MATCH($AL39,'Level Engine'!$AA$9:$AA$55,0)),0)&lt;&gt;1)," NO-REV",""),"")&amp;IF(AND(ISNUMBER($AL39),OR(AND(ISNUMBER(SEARCH("chop edge",$E$45)),$AL39='King Node Model'!$AL$42),AND(ISNUMBER(SEARCH("chop edge",$E$46)),$AL39='King Node Model'!$AL$43),AND(ISNUMBER(SEARCH("chop edge",$E$52)),$AL39='King Node Model'!$AL$49),AND(ISNUMBER(SEARCH("chop edge",$E$53)),$AL39='King Node Model'!$AL$50)))," ⒸⒺ","")&amp;IF(AND('Level Engine'!$GJ$4=1,OR($AL39='Level Engine'!$GJ$1,$AL39='Level Engine'!$GJ$2)),"","")&amp;IF(ABS(N(IFERROR(INDEX('Level Engine'!$AE$9:$AE$55,MATCH($AL39,'Level Engine'!$AA$9:$AA$55,0)),0)))&gt;='Level Engine'!$BG$85,IF(N(IFERROR(INDEX('Level Engine'!$AE$9:$AE$55,MATCH($AL39,'Level Engine'!$AA$9:$AA$55,0)),0))&gt;0," Δ+"," Δ−"),"")&amp;IFERROR(IF(AND(ISNUMBER(MATCH($AL39,'Level Engine'!$AA$9:$AA$55,0)),ABS(N(IFERROR(INDEX('Level Engine'!$AE$9:$AE$55,MATCH($AL39,'Level Engine'!$AA$9:$AA$55,0)),0)))&lt;'Level Engine'!$BG$85,ABS(N(IFERROR(INDEX('Level Engine'!$AE$9:$AE$55,MATCH($AL39,'Level Engine'!$AA$9:$AA$55,0)),0)))&lt;=ABS(N(IFERROR(INDEX('Level Engine'!$AE$9:$AE$55,MATCH($AL39+5,'Level Engine'!$AA$9:$AA$55,0)),0))),ABS(N(IFERROR(INDEX('Level Engine'!$AE$9:$AE$55,MATCH($AL39,'Level Engine'!$AA$9:$AA$55,0)),0)))&lt;=ABS(N(IFERROR(INDEX('Level Engine'!$AE$9:$AE$55,MATCH($AL39-5,'Level Engine'!$AA$9:$AA$55,0)),0))),OR(AND(ABS(N(IFERROR(INDEX('Level Engine'!$AE$9:$AE$55,MATCH($AL39+5,'Level Engine'!$AA$9:$AA$55,0)),0)))&gt;='Level Engine'!$BG$85,ABS(N(IFERROR(INDEX('Level Engine'!$AE$9:$AE$55,MATCH($AL39,'Level Engine'!$AA$9:$AA$55,0)),0)))&lt;='Level Engine'!$BG$88*ABS(N(IFERROR(INDEX('Level Engine'!$AE$9:$AE$55,MATCH($AL39+5,'Level Engine'!$AA$9:$AA$55,0)),0)))),AND(ABS(N(IFERROR(INDEX('Level Engine'!$AE$9:$AE$55,MATCH($AL39-5,'Level Engine'!$AA$9:$AA$55,0)),0)))&gt;='Level Engine'!$BG$85,ABS(N(IFERROR(INDEX('Level Engine'!$AE$9:$AE$55,MATCH($AL39,'Level Engine'!$AA$9:$AA$55,0)),0)))&lt;='Level Engine'!$BG$88*ABS(N(IFERROR(INDEX('Level Engine'!$AE$9:$AE$55,MATCH($AL39-5,'Level Engine'!$AA$9:$AA$55,0)),0)))))),IF(AND('King Node Model'!$A$8="Pos",N('Level Engine'!$BG$72)&lt;&gt;1),""," ∅"),""),"")&amp;IF(IFERROR(INDEX('Level Engine'!$JD$9:$JD$55,MATCH($AL39,'Level Engine'!$AA$9:$AA$55,0)),"")="P"," P-OI",IF(IFERROR(INDEX('Level Engine'!$JD$9:$JD$55,MATCH($AL39,'Level Engine'!$AA$9:$AA$55,0)),"")="C"," C-OI",""))</f>
        <v>7705 D↑ s6 Δ+ C-OI</v>
      </c>
      <c r="C39" s="9" t="str">
        <f t="shared" si="0"/>
        <v/>
      </c>
      <c r="D39" t="str">
        <f>IF(NOT(ISNUMBER($AL39)),"",IF(IFERROR(INDEX('Level Engine'!$FS$9:$FS$55,MATCH($AL39,'Level Engine'!$AA$9:$AA$55,0)),0)=1,"⊙",""))</f>
        <v/>
      </c>
      <c r="E39" s="36" t="str">
        <f>'King Node Model'!K26</f>
        <v>Updated 17:39:36</v>
      </c>
      <c r="G39" s="37" t="str">
        <f>"SPOT  "&amp;TEXT('King Node Model'!$B$4,"#,##0.0")</f>
        <v>SPOT  7,775.4</v>
      </c>
      <c r="J39" s="37" t="str">
        <f>IF(ISNUMBER('Technical Analysis'!$J$5),"ES  "&amp;TEXT('Technical Analysis'!$J$5,"#,##0.0"),"")</f>
        <v>ES  7,827.0</v>
      </c>
      <c r="Q39" s="452" t="str">
        <f t="shared" si="14"/>
        <v xml:space="preserve">B3  7775   51% </v>
      </c>
      <c r="R39" s="447" t="str">
        <f t="shared" si="5"/>
        <v>1.7k ▉▉▉▉</v>
      </c>
      <c r="S39" s="484" t="str">
        <f t="shared" si="6"/>
        <v>▉▉▉▉ 1.8k</v>
      </c>
      <c r="T39" s="484" t="str">
        <f t="shared" si="15"/>
        <v>g2</v>
      </c>
      <c r="U39" s="453" t="str">
        <f t="shared" si="16"/>
        <v/>
      </c>
      <c r="AL39" s="1">
        <f>'King Node Model'!A65</f>
        <v>7705</v>
      </c>
      <c r="AM39" s="10">
        <f>'King Node Model'!C65</f>
        <v>-70311</v>
      </c>
      <c r="AN39" s="3">
        <f>IF('King Node Model'!$S$52&lt;&gt;"",'Level Engine'!$BG$28,"-")</f>
        <v>7800</v>
      </c>
      <c r="AO39" s="10">
        <f>'King Node Model'!B65</f>
        <v>399334</v>
      </c>
      <c r="AY39" s="1">
        <f>IF(AND($B$2="Hide unsafe",$BB39=1),0,IF(AND(OR(AND(AND(ISNUMBER($AL39),OR(AND($AL39&gt;=$AQ$22,$AL39&lt;=$AR$22,$AS$22=1),$AL39=$AQ$22,$AL39=$AR$22,$AL39=$AQ$23,$AL39=$AR$23,$AL39=$AQ$24,$AL39=$AR$24),NOT(OR($AL39=$AN$5,$AL39=$AN$6,$AL39=$AN$7,$AL39=$AN$8,$AL39=$AN$10,$AL39=$AN$11))),NOT(OR(AND('King Node Model'!$P$13="Up",OR($AL39=$AQ$22,$AL39=$AQ$23,$AL39=$AQ$24,$AL39='King Node Model'!$AM$20,$AL39='King Node Model'!$AM$21,$AL39='King Node Model'!$AM$22),OR(AND('King Node Model'!$B$23-$AL39&gt;=0,'King Node Model'!$B$23-$AL39&lt;=5),AND('King Node Model'!$C$23-$AL39&gt;=0,'King Node Model'!$C$23-$AL39&lt;=5))),AND('King Node Model'!$P$13="Down",OR($AL39=$AR$22,$AL39=$AR$23,$AL39=$AR$24,$AL39='King Node Model'!$AN$20,$AL39='King Node Model'!$AN$21,$AL39='King Node Model'!$AN$22),OR(AND($AL39-'King Node Model'!$B$23&gt;=0,$AL39-'King Node Model'!$B$23&lt;=5),AND($AL39-'King Node Model'!$C$24&gt;=0,$AL39-'King Node Model'!$C$24&lt;=5)))))),AND(AND(ISNUMBER($AL39),OR(AND($AL39&gt;=$AQ$22,$AL39&lt;=$AR$22,$AS$22=1),$AL39=$AQ$22,$AL39=$AR$22,$AL39=$AQ$23,$AL39=$AR$23,$AL39=$AQ$24,$AL39=$AR$24,$AL39='King Node Model'!$AL$42,$AL39='King Node Model'!$AL$43),OR($AL39=$AN$5,$AL39=$AN$6,$AL39=$AN$7,$AL39=$AN$8,$AL39=$AN$10,$AL39=$AN$11)),NOT(OR(AND('King Node Model'!$P$13="Up",OR($AL39=$AQ$22,$AL39=$AQ$23,$AL39=$AQ$24,$AL39='King Node Model'!$AM$20,$AL39='King Node Model'!$AM$21,$AL39='King Node Model'!$AM$22),OR(AND('King Node Model'!$B$23-$AL39&gt;=0,'King Node Model'!$B$23-$AL39&lt;=5),AND('King Node Model'!$C$23-$AL39&gt;=0,'King Node Model'!$C$23-$AL39&lt;=5))),AND('King Node Model'!$P$13="Down",OR($AL39=$AR$22,$AL39=$AR$23,$AL39=$AR$24,$AL39='King Node Model'!$AN$20,$AL39='King Node Model'!$AN$21,$AL39='King Node Model'!$AN$22),OR(AND($AL39-'King Node Model'!$B$23&gt;=0,$AL39-'King Node Model'!$B$23&lt;=5),AND($AL39-'King Node Model'!$C$24&gt;=0,$AL39-'King Node Model'!$C$24&lt;=5)))))),AND(AND(ISNUMBER($AL39),OR(AND($AL39&gt;='King Node Model'!$AM$20,$AL39&lt;='King Node Model'!$AN$20,$AS$23=1),$AL39='King Node Model'!$AM$20,$AL39='King Node Model'!$AN$20,$AL39='King Node Model'!$AM$21,$AL39='King Node Model'!$AN$21,$AL39='King Node Model'!$AM$22,$AL39='King Node Model'!$AN$22),NOT(OR($AL39=$AN$5,$AL39=$AN$6,$AL39=$AN$7,$AL39=$AN$8,$AL39=$AN$10,$AL39=$AN$11))),NOT(AND(ISNUMBER('King Node Model'!$F$24),$AL39='King Node Model'!$F$24,IFERROR(INDEX('Level Engine'!$JN$9:$JN$55,MATCH($AL39,'Level Engine'!$AA$9:$AA$55,0)),0)&lt;&gt;1))),AND(AND(ISNUMBER($AL39),OR(AND($AL39&gt;='King Node Model'!$AM$20,$AL39&lt;='King Node Model'!$AN$20,$AS$23=1),$AL39='King Node Model'!$AM$20,$AL39='King Node Model'!$AN$20,$AL39='King Node Model'!$AM$21,$AL39='King Node Model'!$AN$21,$AL39='King Node Model'!$AM$22,$AL39='King Node Model'!$AN$22,$AL39='King Node Model'!$AL$49,$AL39='King Node Model'!$AL$50),OR($AL39=$AN$5,$AL39=$AN$6,$AL39=$AN$7,$AL39=$AN$8,$AL39=$AN$10,$AL39=$AN$11)),NOT(OR(AND('King Node Model'!$P$13="Up",OR($AL39=$AQ$22,$AL39=$AQ$23,$AL39=$AQ$24,$AL39='King Node Model'!$AM$20,$AL39='King Node Model'!$AM$21,$AL39='King Node Model'!$AM$22),OR(AND('King Node Model'!$B$23-$AL39&gt;=0,'King Node Model'!$B$23-$AL39&lt;=5),AND('King Node Model'!$C$23-$AL39&gt;=0,'King Node Model'!$C$23-$AL39&lt;=5))),AND('King Node Model'!$P$13="Down",OR($AL39=$AR$22,$AL39=$AR$23,$AL39=$AR$24,$AL39='King Node Model'!$AN$20,$AL39='King Node Model'!$AN$21,$AL39='King Node Model'!$AN$22),OR(AND($AL39-'King Node Model'!$B$23&gt;=0,$AL39-'King Node Model'!$B$23&lt;=5),AND($AL39-'King Node Model'!$C$24&gt;=0,$AL39-'King Node Model'!$C$24&lt;=5))))))),OR(COUNTIF('Level Engine'!$W$9:$W$14,$AL39)&gt;0,COUNTIF('Level Engine'!$W$18:$W$23,$AL39)&gt;0)),1,0))</f>
        <v>0</v>
      </c>
      <c r="AZ39" s="1">
        <f t="shared" si="1"/>
        <v>0</v>
      </c>
      <c r="BB39" s="1">
        <f>IF(OR(AND($AL39='King Node Model'!$AL$42,$AP$45&lt;&gt;"RASP"),AND($AL39='King Node Model'!$AL$43,$AP$46&lt;&gt;"RASP"),AND($AL39='King Node Model'!$AL$49,$AP$52&lt;&gt;"RASP"),AND($AL39='King Node Model'!$AL$50,$AP$53&lt;&gt;"RASP"),AND($AL39='King Node Model'!$AL$44,$AP$47&lt;&gt;"RASP"),AND($AL39='King Node Model'!$AL$51,$AP$54&lt;&gt;"RASP")),0,IF(AND(AND(ISNUMBER($AL39),OR(AND($AL39&gt;=$AQ$22,$AL39&lt;=$AR$22,$AP$45="RASP"),AND($AL39&gt;=$AQ$23,$AL39&lt;=$AR$23,$AP$46="RASP"),AND($AL39&gt;=$AQ$24,$AL39&lt;=$AR$24,$AP$47="RASP"),AND($AL39&gt;='King Node Model'!$AM$20,$AL39&lt;='King Node Model'!$AN$20,$AP$52="RASP",NOT($L$52=$AW$52)),AND($AL39='King Node Model'!$B$23,$AP$52="RASP",$L$52=$AW$52),AND($AL39&gt;='King Node Model'!$AM$21,$AL39&lt;='King Node Model'!$AN$21,$AP$53="RASP",NOT($L$53=$AW$53)),AND($AL39='King Node Model'!$B$23,$AP$53="RASP",$L$53=$AW$53),AND($AL39&gt;='King Node Model'!$AM$22,$AL39&lt;='King Node Model'!$AN$22,$AP$54="RASP"),AND($AL39&gt;=IFERROR(INDEX('Level Engine'!$AT$9:$AT$55,MATCH('King Node Model'!$AL$42,'Level Engine'!$AA$9:$AA$55,0)),""),$AL39&lt;=IFERROR(INDEX('Level Engine'!$AU$9:$AU$55,MATCH('King Node Model'!$AL$42,'Level Engine'!$AA$9:$AA$55,0)),""),$AP$45="RASP"),AND($AL39&gt;=IFERROR(INDEX('Level Engine'!$AT$9:$AT$55,MATCH('King Node Model'!$AL$43,'Level Engine'!$AA$9:$AA$55,0)),""),$AL39&lt;=IFERROR(INDEX('Level Engine'!$AU$9:$AU$55,MATCH('King Node Model'!$AL$43,'Level Engine'!$AA$9:$AA$55,0)),""),$AP$46="RASP"),AND($AL39&gt;=IFERROR(INDEX('Level Engine'!$AT$9:$AT$55,MATCH('King Node Model'!$AL$44,'Level Engine'!$AA$9:$AA$55,0)),""),$AL39&lt;=IFERROR(INDEX('Level Engine'!$AU$9:$AU$55,MATCH('King Node Model'!$AL$44,'Level Engine'!$AA$9:$AA$55,0)),""),$AP$47="RASP"),AND($AL39&gt;=IFERROR(INDEX('Level Engine'!$AT$9:$AT$55,MATCH('King Node Model'!$AL$49,'Level Engine'!$AA$9:$AA$55,0)),""),$AL39&lt;=IFERROR(INDEX('Level Engine'!$AU$9:$AU$55,MATCH('King Node Model'!$AL$49,'Level Engine'!$AA$9:$AA$55,0)),""),$AP$52="RASP",NOT($L$52=$AW$52)),AND($AL39&gt;=IFERROR(INDEX('Level Engine'!$AT$9:$AT$55,MATCH('King Node Model'!$AL$50,'Level Engine'!$AA$9:$AA$55,0)),""),$AL39&lt;=IFERROR(INDEX('Level Engine'!$AU$9:$AU$55,MATCH('King Node Model'!$AL$50,'Level Engine'!$AA$9:$AA$55,0)),""),$AP$53="RASP",NOT($L$53=$AW$53)),AND($AL39&gt;=IFERROR(INDEX('Level Engine'!$AT$9:$AT$55,MATCH('King Node Model'!$AL$51,'Level Engine'!$AA$9:$AA$55,0)),""),$AL39&lt;=IFERROR(INDEX('Level Engine'!$AU$9:$AU$55,MATCH('King Node Model'!$AL$51,'Level Engine'!$AA$9:$AA$55,0)),""),$AP$54="RASP"))),NOT(AND(ISNUMBER('King Node Model'!$F$24),$AL39='King Node Model'!$F$24,IFERROR(INDEX('Level Engine'!$JN$9:$JN$55,MATCH($AL39,'Level Engine'!$AA$9:$AA$55,0)),0)&lt;&gt;1,$AL39&lt;&gt;'King Node Model'!$AL$42,$AL39&lt;&gt;'King Node Model'!$AL$43,$AL39&lt;&gt;'King Node Model'!$AL$44,$AL39&lt;&gt;'King Node Model'!$AL$49,$AL39&lt;&gt;'King Node Model'!$AL$50,$AL39&lt;&gt;'King Node Model'!$AL$51))),1,0))</f>
        <v>0</v>
      </c>
      <c r="BK39">
        <f>IFERROR(LARGE($CE$35:$CE$40,5),"")</f>
        <v>7775</v>
      </c>
      <c r="BL39">
        <f>IFERROR(INDEX('King Node Model'!$K$29:$K$75,MATCH($BK39,'King Node Model'!$A$29:$A$75,0)),"")</f>
        <v>1710</v>
      </c>
      <c r="BM39">
        <f>IFERROR(INDEX('King Node Model'!$L$29:$L$75,MATCH($BK39,'King Node Model'!$A$29:$A$75,0)),"")</f>
        <v>1752</v>
      </c>
      <c r="BN39">
        <f t="shared" si="9"/>
        <v>1.2131715771230503E-2</v>
      </c>
      <c r="BO39">
        <f>IFERROR(INDEX('Level Engine'!$AC$9:$AC$55,MATCH($BK39,'Level Engine'!$AA$9:$AA$55,0))/MAX('Level Engine'!$AC$9:$AC$55),"")</f>
        <v>0.90710035563503288</v>
      </c>
      <c r="BP39">
        <f>IF(NOT(ISNUMBER($BK39)),"",IF($BK39&gt;'King Node Model'!$B$4,1,-1))</f>
        <v>-1</v>
      </c>
      <c r="BQ39" t="str">
        <f>IF(OR(NOT(ISNUMBER($BN39)),NOT(ISNUMBER($BO39))),"",IF($BO39&lt;0.15,"thin",IF(OR('King Node Model'!$A$8="Neg",N('Level Engine'!$BG$72)=1),"",IF($BP39=1,IF($BN39&lt;=-0.4,"HARD ceil",IF($BN39&lt;=-0.15,"ceil",IF($BN39&lt;0.15,"neutral","soft ceil"))),IF($BN39&gt;=0.4,"FIRM floor",IF($BN39&gt;=0.15,"floor",IF($BN39&gt;-0.15,"neutral","WEAK floor"))))&amp;IF($BO39&lt;0.25," ·marginal",""))))</f>
        <v/>
      </c>
      <c r="BR39" t="str">
        <f>IF(NOT(ISNUMBER($BN39)),"",IF(OR('King Node Model'!$A$8="Neg",N('Level Engine'!$BG$72)=1),"",IF(AND($BP39=1,$BN39&gt;0.15),"⚠",IF(AND($BP39=-1,$BN39&lt;-0.15),"⚠",""))))</f>
        <v/>
      </c>
      <c r="BW39">
        <f t="shared" si="17"/>
        <v>2</v>
      </c>
      <c r="BX39">
        <f t="shared" si="18"/>
        <v>3</v>
      </c>
      <c r="BY39" t="str">
        <f t="shared" si="19"/>
        <v/>
      </c>
      <c r="CA39">
        <f>IFERROR(SUMPRODUCT(LARGE(('King Node Model'!$A$29:$A$75&lt;$BZ$24)*('King Node Model'!$A$29:$A$75&gt;=$BY$24)*('King Node Model'!$A$29:$A$75&lt;&gt;$BK$34)*(('King Node Model'!$K$29:$K$75+'King Node Model'!$L$29:$L$75)*1000000+'King Node Model'!$A$29:$A$75),5)),0)</f>
        <v>2055007790</v>
      </c>
      <c r="CE39">
        <f>IF(NOT(ISNUMBER($CA39)),"",IF($CA39&lt;=0,"",IFERROR(SUMPRODUCT(MAX((('King Node Model'!$A$29:$A$75&lt;$BZ$24)*('King Node Model'!$A$29:$A$75&gt;=$BY$24)*('King Node Model'!$A$29:$A$75&lt;&gt;$BK$34)*(('King Node Model'!$K$29:$K$75+'King Node Model'!$L$29:$L$75)*1000000+'King Node Model'!$A$29:$A$75)=$CA39)*'King Node Model'!$A$29:$A$75)),"")))</f>
        <v>7790</v>
      </c>
      <c r="CF39">
        <f t="shared" si="20"/>
        <v>3</v>
      </c>
      <c r="CO39">
        <f>IF(NOT(ISNUMBER($AL39)),"",IF(NOT(ISNUMBER(IFERROR(INDEX('Level Engine'!$FT$9:$FT$55,MATCH($AL39,'Level Engine'!$AA$9:$AA$55,0)),""))),"",IF(IFERROR(INDEX('Level Engine'!$FT$9:$FT$55,MATCH($AL39,'Level Engine'!$AA$9:$AA$55,0)),"")&lt;0,0,2)+IF(ABS(IFERROR(INDEX('Level Engine'!$FT$9:$FT$55,MATCH($AL39,'Level Engine'!$AA$9:$AA$55,0)),""))&gt;='Level Engine'!$FT$2,2,1)))</f>
        <v>1</v>
      </c>
      <c r="DJ39" t="str">
        <f>IF(ISNUMBER($AL39),IF($AL39='Level Engine'!$BG$122," ⫪","")&amp;IF($AL39='Level Engine'!$BG$118," S↑"&amp;IFERROR(INDEX('Level Engine'!$MV$9:$MV$55,MATCH($AL39,'Level Engine'!$AA$9:$AA$55,0)),""),"")&amp;IF($AL39='Level Engine'!$BG$119," S↓"&amp;IFERROR(INDEX('Level Engine'!$MV$9:$MV$55,MATCH($AL39,'Level Engine'!$AA$9:$AA$55,0)),""),"")&amp;IF($AL39='Level Engine'!$BG$120," D↑","")&amp;IF($AL39='Level Engine'!$BG$121," D↓","")&amp;IFERROR(INDEX('Level Engine'!$LG$9:$LG$55,MATCH($AL39,'Level Engine'!$AA$9:$AA$55,0)),"")&amp;IF(IFERROR(INDEX('Level Engine'!$MA$9:$MA$55,MATCH($AL39,'Level Engine'!$AA$9:$AA$55,0)),0)=1," SAND","")&amp;IF(IFERROR(INDEX('Level Engine'!$LM$9:$LM$55,MATCH($AL39,'Level Engine'!$AA$9:$AA$55,0)),0)&gt;0," TP","")&amp;IFERROR(" r"&amp;MATCH($AL39,'Level Engine'!$W$9:$W$14,0),IFERROR(" s"&amp;MATCH($AL39,'Level Engine'!$W$18:$W$23,0),""))&amp;IF($AL39='Level Engine'!$BG$165," ◇","")&amp;IF(N($DZ39)=1,IF($AL39&gt;'Level Engine'!$BG$165," ⚠ DOM↓"," ⚠ DOM↑")&amp;'Level Engine'!$BG$165,""),"")</f>
        <v xml:space="preserve"> D↑ s6</v>
      </c>
      <c r="DK39" t="str">
        <f>IF(AND(ISNUMBER($AL39),OR($AL39='King Node Model'!$AL$42,$AL39='King Node Model'!$AL$43,$AL39='King Node Model'!$AL$44)),IFERROR(MATCH($AL39,'Level Engine'!$W$9:$W$14,0),""),"")</f>
        <v/>
      </c>
      <c r="DL39" t="str">
        <f>IF(AND(ISNUMBER($AL39),OR($AL39='King Node Model'!$AL$49,$AL39='King Node Model'!$AL$50,$AL39='King Node Model'!$AL$51)),IFERROR(MATCH($AL39,'Level Engine'!$W$18:$W$23,0),""),"")</f>
        <v/>
      </c>
      <c r="DM39">
        <f>IF(AND(ISNUMBER($AL39),IFERROR(INDEX('Level Engine'!$LC$9:$LC$55,MATCH($AL39,'Level Engine'!$AA$9:$AA$55,0)),0)=1,OR($AL39=$AN$3,IFERROR(INDEX('Level Engine'!$LB$9:$LB$55,MATCH($AL39,'Level Engine'!$AA$9:$AA$55,0)),0)=1)),1,0)</f>
        <v>0</v>
      </c>
      <c r="DZ39">
        <f>IF(ISNUMBER($AL39),IF(IFERROR(INDEX('Level Engine'!$NJ$9:$NJ$55,MATCH($AL39,'Level Engine'!$AA$9:$AA$55,0)),0)=1,1,0),0)</f>
      </c>
    </row>
    <row r="40" spans="1:123" ht="15" customHeight="1" x14ac:dyDescent="0.25">
      <c r="A40" s="7" t="str">
        <f t="shared" si="3"/>
        <v>██</v>
      </c>
      <c r="B40" s="8" t="str">
        <f>TEXT(IF(IF('Level Engine'!$GJ$4=1,$AL40='Level Engine'!$GJ$3,AND($AL40-$AM$2&gt;-2.5,$AL40-$AM$2&lt;=2.5)),$AM$2,$AL40),"0")&amp;IF($AL40=$AN$1," ★","")&amp;IF($AL40=$AN$2," ★","")&amp;IF($AL40=$AN$3," ◆","")&amp;IF(AND(ISNUMBER($AN$4),$AL40=$AN$4)," Ⓕ","")&amp;IF(OR(AND(ISNUMBER('Level Engine'!$BG$87),$AL40='Level Engine'!$BG$87),AND(ISNUMBER('Level Engine'!$BG$105),$AL40='Level Engine'!$BG$105))," ζ","")&amp;IF(AND(ISNUMBER($AN$35),$AL40=$AN$35)," ⓏⒼ","")&amp;IF(OR($AL40='Level Engine'!$CP$4,$AL40='Level Engine'!$CP$5,$AL40='Level Engine'!$CP$6,$AL40='Level Engine'!$CP$7)," ☄","")&amp;IF(OR($AL40=$AN$5,$AL40=$AN$8)," ║1","")&amp;IF(OR($AL40=$AN$6,$AL40=$AN$10)," ║2","")&amp;IF(OR($AL40=$AN$7,$AL40=$AN$11)," ║3","")&amp;IF(OR($AL40=$AN$13,$AL40=$AN$16)," ▣1","")&amp;IF(OR($AL40=$AN$14,$AL40=$AN$17)," ▣2","")&amp;IF(OR($AL40=$AN$15,$AL40=$AN$18)," ▣3","")&amp;IF(AND(NOT(OR(AND(ISNUMBER(SEARCH("chop edge",$E$45)),IFERROR(ABS($AL40-'King Node Model'!$AL$42)&lt;=5,FALSE),NOT(ISNUMBER(SEARCH("UNSAFE",$L$45)))),AND(ISNUMBER(SEARCH("chop edge",$E$46)),IFERROR(ABS($AL40-'King Node Model'!$AL$43)&lt;=5,FALSE),NOT(ISNUMBER(SEARCH("UNSAFE",$L$46)))),AND(ISNUMBER(SEARCH("chop edge",$E$52)),IFERROR(ABS($AL40-'King Node Model'!$AL$49)&lt;=5,FALSE),NOT(ISNUMBER(SEARCH("UNSAFE",$L$52)))),AND(ISNUMBER(SEARCH("chop edge",$E$53)),IFERROR(ABS($AL40-'King Node Model'!$AL$50)&lt;=5,FALSE),NOT(ISNUMBER(SEARCH("UNSAFE",$L$53)))))),OR(AND(IFERROR(INDEX('Level Engine'!$IB$9:$IB$55,MATCH('King Node Model'!$AL$49,'Level Engine'!$AA$9:$AA$55,0)),0)&lt;&gt;1,$AL40=IFERROR(INDEX('Level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Engine'!$AA$9:$AA$55,0)),0)&lt;&gt;1,$AL40=IFERROR(INDEX('Level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edge",$E$45)),IFERROR(ABS($AL40-'King Node Model'!$AL$42)&lt;=5,FALSE),NOT(ISNUMBER(SEARCH("UNSAFE",$L$45)))),AND(ISNUMBER(SEARCH("chop edge",$E$46)),IFERROR(ABS($AL40-'King Node Model'!$AL$43)&lt;=5,FALSE),NOT(ISNUMBER(SEARCH("UNSAFE",$L$46)))),AND(ISNUMBER(SEARCH("chop edge",$E$52)),IFERROR(ABS($AL40-'King Node Model'!$AL$49)&lt;=5,FALSE),NOT(ISNUMBER(SEARCH("UNSAFE",$L$52)))),AND(ISNUMBER(SEARCH("chop edge",$E$53)),IFERROR(ABS($AL40-'King Node Model'!$AL$50)&lt;=5,FALSE),NOT(ISNUMBER(SEARCH("UNSAFE",$L$53)))))),OR(AND(IFERROR(INDEX('Level Engine'!$IB$9:$IB$55,MATCH('King Node Model'!$AL$42,'Level Engine'!$AA$9:$AA$55,0)),0)&lt;&gt;1,$AL40=IFERROR(INDEX('Level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Engine'!$AA$9:$AA$55,0)),0)&lt;&gt;1,$AL40=IFERROR(INDEX('Level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ⒷⓁ"),"")&amp;IF(OR(AND($AL40&gt;='King Node Model'!$AM$17,$AL40&lt;='King Node Model'!$AN$17,$AP$45="RASP"),AND($AL40&gt;='King Node Model'!$AM$18,$AL40&lt;='King Node Model'!$AN$18,$AP$46="RASP"),AND($AL40&gt;='King Node Model'!$AM$19,$AL40&lt;='King Node Model'!$AN$19,$AP$47="RASP"),AND($AL40&gt;='King Node Model'!$AM$20,$AL40&lt;='King Node Model'!$AN$20,$AP$52="RASP"),AND($AL40&gt;='King Node Model'!$AM$21,$AL40&lt;='King Node Model'!$AN$21,$AP$53="RASP"),AND($AL40&gt;='King Node Model'!$AM$22,$AL40&lt;='King Node Model'!$AN$22,$AP$54="RASP")),"","")&amp;IF(IF('Level Engine'!$GJ$4=1,$AL40='Level Engine'!$GJ$3,AND($AL40-$AM$2&gt;-2.5,$AL40-$AM$2&lt;=2.5))," ◄","")&amp;IF(IFERROR(INDEX('Level Engine'!$GV$9:$GV$55,MATCH($AL40,'Level Engine'!$AA$9:$AA$55,0)),0)=1," Ⓥ"&amp;IF(IFERROR(INDEX('Level Engine'!$ET$9:$ET$55,MATCH($AL40,'Level Engine'!$AA$9:$AA$55,0)),0)=1,"+",""),"")&amp;IF(OR(AND($AL40=$AN$38,IFERROR(INDEX('Level Engine'!$AN$9:$AN$55,MATCH($AL40,'Level Engine'!$AA$9:$AA$55,0)),0)&lt;&gt;1),$AL40=$AN$39)," ⊙","")&amp;IF(AND(OR('King Node Model'!$A$8="Neg",N('Level Engine'!$BG$72)=1),ABS(MIN($AM$3:$AM$64))&gt;MAX($AM$3:$AM$64),$AN$2&lt;$AM$2,$AL40&lt;$AM$2,ABS($AL40-$AN$2)&lt;=5,IFERROR(VALUE(MID('King Node Model'!$K$26,FIND(":",'King Node Model'!$K$26)-2,2)),0)&gt;=19,IFERROR(INDEX('Level Engine'!$EJ$9:$EJ$55,MATCH($AL40,'Level Engine'!$AA$9:$AA$55,0)),0)=0,$AN$3&gt;$AM$2)," ⟲rev","")&amp;IF($AL40='King Node Model'!$F$24," ⟂","")&amp;$DJ40&amp;IF(IFERROR(INDEX('Level Engine'!$EN$9:$EN$55,MATCH($AL40,'Level Engine'!$AA$9:$AA$55,0)),0)=1," Ⓟ"&amp;IF(AND(OR('King Node Model'!$A$8="Neg",N('Level Engine'!$BG$72)=1),IFERROR(INDEX('Level Engine'!$AN$9:$AN$55,MATCH($AL40,'Level Engine'!$AA$9:$AA$55,0)),0)&lt;&gt;1)," NO-REV",""),"")&amp;IF(AND(ISNUMBER($AL40),OR(AND(ISNUMBER(SEARCH("chop edge",$E$45)),$AL40='King Node Model'!$AL$42),AND(ISNUMBER(SEARCH("chop edge",$E$46)),$AL40='King Node Model'!$AL$43),AND(ISNUMBER(SEARCH("chop edge",$E$52)),$AL40='King Node Model'!$AL$49),AND(ISNUMBER(SEARCH("chop edge",$E$53)),$AL40='King Node Model'!$AL$50)))," ⒸⒺ","")&amp;IF(AND('Level Engine'!$GJ$4=1,OR($AL40='Level Engine'!$GJ$1,$AL40='Level Engine'!$GJ$2)),"","")&amp;IF(ABS(N(IFERROR(INDEX('Level Engine'!$AE$9:$AE$55,MATCH($AL40,'Level Engine'!$AA$9:$AA$55,0)),0)))&gt;='Level Engine'!$BG$85,IF(N(IFERROR(INDEX('Level Engine'!$AE$9:$AE$55,MATCH($AL40,'Level Engine'!$AA$9:$AA$55,0)),0))&gt;0," Δ+"," Δ−"),"")&amp;IFERROR(IF(AND(ISNUMBER(MATCH($AL40,'Level Engine'!$AA$9:$AA$55,0)),ABS(N(IFERROR(INDEX('Level Engine'!$AE$9:$AE$55,MATCH($AL40,'Level Engine'!$AA$9:$AA$55,0)),0)))&lt;'Level Engine'!$BG$85,ABS(N(IFERROR(INDEX('Level Engine'!$AE$9:$AE$55,MATCH($AL40,'Level Engine'!$AA$9:$AA$55,0)),0)))&lt;=ABS(N(IFERROR(INDEX('Level Engine'!$AE$9:$AE$55,MATCH($AL40+5,'Level Engine'!$AA$9:$AA$55,0)),0))),ABS(N(IFERROR(INDEX('Level Engine'!$AE$9:$AE$55,MATCH($AL40,'Level Engine'!$AA$9:$AA$55,0)),0)))&lt;=ABS(N(IFERROR(INDEX('Level Engine'!$AE$9:$AE$55,MATCH($AL40-5,'Level Engine'!$AA$9:$AA$55,0)),0))),OR(AND(ABS(N(IFERROR(INDEX('Level Engine'!$AE$9:$AE$55,MATCH($AL40+5,'Level Engine'!$AA$9:$AA$55,0)),0)))&gt;='Level Engine'!$BG$85,ABS(N(IFERROR(INDEX('Level Engine'!$AE$9:$AE$55,MATCH($AL40,'Level Engine'!$AA$9:$AA$55,0)),0)))&lt;='Level Engine'!$BG$88*ABS(N(IFERROR(INDEX('Level Engine'!$AE$9:$AE$55,MATCH($AL40+5,'Level Engine'!$AA$9:$AA$55,0)),0)))),AND(ABS(N(IFERROR(INDEX('Level Engine'!$AE$9:$AE$55,MATCH($AL40-5,'Level Engine'!$AA$9:$AA$55,0)),0)))&gt;='Level Engine'!$BG$85,ABS(N(IFERROR(INDEX('Level Engine'!$AE$9:$AE$55,MATCH($AL40,'Level Engine'!$AA$9:$AA$55,0)),0)))&lt;='Level Engine'!$BG$88*ABS(N(IFERROR(INDEX('Level Engine'!$AE$9:$AE$55,MATCH($AL40-5,'Level Engine'!$AA$9:$AA$55,0)),0)))))),IF(AND('King Node Model'!$A$8="Pos",N('Level Engine'!$BG$72)&lt;&gt;1),""," ∅"),""),"")&amp;IF(IFERROR(INDEX('Level Engine'!$JD$9:$JD$55,MATCH($AL40,'Level Engine'!$AA$9:$AA$55,0)),"")="P"," P-OI",IF(IFERROR(INDEX('Level Engine'!$JD$9:$JD$55,MATCH($AL40,'Level Engine'!$AA$9:$AA$55,0)),"")="C"," C-OI",""))</f>
        <v>7700 ▣2</v>
      </c>
      <c r="C40" s="9" t="str">
        <f t="shared" si="0"/>
        <v/>
      </c>
      <c r="D40" t="str">
        <f>IF(NOT(ISNUMBER($AL40)),"",IF(IFERROR(INDEX('Level Engine'!$FS$9:$FS$55,MATCH($AL40,'Level Engine'!$AA$9:$AA$55,0)),0)=1,"⊙",""))</f>
        <v/>
      </c>
      <c r="E40" s="613" t="s">
        <v>31</v>
      </c>
      <c r="F40" s="613"/>
      <c r="G40" s="613"/>
      <c r="H40" s="613"/>
      <c r="I40" s="613"/>
      <c r="J40" s="613"/>
      <c r="K40" s="613"/>
      <c r="L40" s="613"/>
      <c r="M40" s="613"/>
      <c r="N40" s="614" t="str">
        <f>IF(LEN(TRIM($E$6))&gt;0,"⚠ DEX CHOPPY","")</f>
        <v>⚠ DEX CHOPPY</v>
      </c>
      <c r="O40" s="615"/>
      <c r="P40" s="472"/>
      <c r="Q40" s="457" t="str">
        <f t="shared" si="14"/>
        <v xml:space="preserve">B2  7770   85% </v>
      </c>
      <c r="R40" s="458" t="str">
        <f t="shared" si="5"/>
        <v>605 ▉</v>
      </c>
      <c r="S40" s="485" t="str">
        <f t="shared" si="6"/>
        <v>▉▉▉▉▉▉▉ 3.5k</v>
      </c>
      <c r="T40" s="485" t="str">
        <f t="shared" si="15"/>
        <v>g1</v>
      </c>
      <c r="U40" s="459" t="str">
        <f t="shared" si="16"/>
        <v>biggest gamma below</v>
      </c>
      <c r="V40" s="39"/>
      <c r="W40" s="40"/>
      <c r="X40" s="40"/>
      <c r="Y40" s="40"/>
      <c r="AL40" s="1">
        <f>'King Node Model'!A66</f>
        <v>7700</v>
      </c>
      <c r="AM40" s="10">
        <f>'King Node Model'!C66</f>
        <v>-274698</v>
      </c>
      <c r="AO40" s="10">
        <f>'King Node Model'!B66</f>
        <v>414842</v>
      </c>
      <c r="AP40" s="1" t="str">
        <f>IF(N('Level Engine'!$CT$26)=1,"BLUE","")</f>
        <v/>
      </c>
      <c r="AY40" s="1">
        <f>IF(AND($B$2="Hide unsafe",$BB40=1),0,IF(AND(OR(AND(AND(ISNUMBER($AL40),OR(AND($AL40&gt;=$AQ$22,$AL40&lt;=$AR$22,$AS$22=1),$AL40=$AQ$22,$AL40=$AR$22,$AL40=$AQ$23,$AL40=$AR$23,$AL40=$AQ$24,$AL40=$AR$24),NOT(OR($AL40=$AN$5,$AL40=$AN$6,$AL40=$AN$7,$AL40=$AN$8,$AL40=$AN$10,$AL40=$AN$11))),NOT(OR(AND('King Node Model'!$P$13="Up",OR($AL40=$AQ$22,$AL40=$AQ$23,$AL40=$AQ$24,$AL40='King Node Model'!$AM$20,$AL40='King Node Model'!$AM$21,$AL40='King Node Model'!$AM$22),OR(AND('King Node Model'!$B$23-$AL40&gt;=0,'King Node Model'!$B$23-$AL40&lt;=5),AND('King Node Model'!$C$23-$AL40&gt;=0,'King Node Model'!$C$23-$AL40&lt;=5))),AND('King Node Model'!$P$13="Down",OR($AL40=$AR$22,$AL40=$AR$23,$AL40=$AR$24,$AL40='King Node Model'!$AN$20,$AL40='King Node Model'!$AN$21,$AL40='King Node Model'!$AN$22),OR(AND($AL40-'King Node Model'!$B$23&gt;=0,$AL40-'King Node Model'!$B$23&lt;=5),AND($AL40-'King Node Model'!$C$24&gt;=0,$AL40-'King Node Model'!$C$24&lt;=5)))))),AND(AND(ISNUMBER($AL40),OR(AND($AL40&gt;=$AQ$22,$AL40&lt;=$AR$22,$AS$22=1),$AL40=$AQ$22,$AL40=$AR$22,$AL40=$AQ$23,$AL40=$AR$23,$AL40=$AQ$24,$AL40=$AR$24,$AL40='King Node Model'!$AL$42,$AL40='King Node Model'!$AL$43),OR($AL40=$AN$5,$AL40=$AN$6,$AL40=$AN$7,$AL40=$AN$8,$AL40=$AN$10,$AL40=$AN$11)),NOT(OR(AND('King Node Model'!$P$13="Up",OR($AL40=$AQ$22,$AL40=$AQ$23,$AL40=$AQ$24,$AL40='King Node Model'!$AM$20,$AL40='King Node Model'!$AM$21,$AL40='King Node Model'!$AM$22),OR(AND('King Node Model'!$B$23-$AL40&gt;=0,'King Node Model'!$B$23-$AL40&lt;=5),AND('King Node Model'!$C$23-$AL40&gt;=0,'King Node Model'!$C$23-$AL40&lt;=5))),AND('King Node Model'!$P$13="Down",OR($AL40=$AR$22,$AL40=$AR$23,$AL40=$AR$24,$AL40='King Node Model'!$AN$20,$AL40='King Node Model'!$AN$21,$AL40='King Node Model'!$AN$22),OR(AND($AL40-'King Node Model'!$B$23&gt;=0,$AL40-'King Node Model'!$B$23&lt;=5),AND($AL40-'King Node Model'!$C$24&gt;=0,$AL40-'King Node Model'!$C$24&lt;=5)))))),AND(AND(ISNUMBER($AL40),OR(AND($AL40&gt;='King Node Model'!$AM$20,$AL40&lt;='King Node Model'!$AN$20,$AS$23=1),$AL40='King Node Model'!$AM$20,$AL40='King Node Model'!$AN$20,$AL40='King Node Model'!$AM$21,$AL40='King Node Model'!$AN$21,$AL40='King Node Model'!$AM$22,$AL40='King Node Model'!$AN$22),NOT(OR($AL40=$AN$5,$AL40=$AN$6,$AL40=$AN$7,$AL40=$AN$8,$AL40=$AN$10,$AL40=$AN$11))),NOT(AND(ISNUMBER('King Node Model'!$F$24),$AL40='King Node Model'!$F$24,IFERROR(INDEX('Level Engine'!$JN$9:$JN$55,MATCH($AL40,'Level Engine'!$AA$9:$AA$55,0)),0)&lt;&gt;1))),AND(AND(ISNUMBER($AL40),OR(AND($AL40&gt;='King Node Model'!$AM$20,$AL40&lt;='King Node Model'!$AN$20,$AS$23=1),$AL40='King Node Model'!$AM$20,$AL40='King Node Model'!$AN$20,$AL40='King Node Model'!$AM$21,$AL40='King Node Model'!$AN$21,$AL40='King Node Model'!$AM$22,$AL40='King Node Model'!$AN$22,$AL40='King Node Model'!$AL$49,$AL40='King Node Model'!$AL$50),OR($AL40=$AN$5,$AL40=$AN$6,$AL40=$AN$7,$AL40=$AN$8,$AL40=$AN$10,$AL40=$AN$11)),NOT(OR(AND('King Node Model'!$P$13="Up",OR($AL40=$AQ$22,$AL40=$AQ$23,$AL40=$AQ$24,$AL40='King Node Model'!$AM$20,$AL40='King Node Model'!$AM$21,$AL40='King Node Model'!$AM$22),OR(AND('King Node Model'!$B$23-$AL40&gt;=0,'King Node Model'!$B$23-$AL40&lt;=5),AND('King Node Model'!$C$23-$AL40&gt;=0,'King Node Model'!$C$23-$AL40&lt;=5))),AND('King Node Model'!$P$13="Down",OR($AL40=$AR$22,$AL40=$AR$23,$AL40=$AR$24,$AL40='King Node Model'!$AN$20,$AL40='King Node Model'!$AN$21,$AL40='King Node Model'!$AN$22),OR(AND($AL40-'King Node Model'!$B$23&gt;=0,$AL40-'King Node Model'!$B$23&lt;=5),AND($AL40-'King Node Model'!$C$24&gt;=0,$AL40-'King Node Model'!$C$24&lt;=5))))))),OR(COUNTIF('Level Engine'!$W$9:$W$14,$AL40)&gt;0,COUNTIF('Level Engine'!$W$18:$W$23,$AL40)&gt;0)),1,0))</f>
        <v>0</v>
      </c>
      <c r="AZ40" s="1">
        <f t="shared" si="1"/>
        <v>0</v>
      </c>
      <c r="BB40" s="1">
        <f>IF(OR(AND($AL40='King Node Model'!$AL$42,$AP$45&lt;&gt;"RASP"),AND($AL40='King Node Model'!$AL$43,$AP$46&lt;&gt;"RASP"),AND($AL40='King Node Model'!$AL$49,$AP$52&lt;&gt;"RASP"),AND($AL40='King Node Model'!$AL$50,$AP$53&lt;&gt;"RASP"),AND($AL40='King Node Model'!$AL$44,$AP$47&lt;&gt;"RASP"),AND($AL40='King Node Model'!$AL$51,$AP$54&lt;&gt;"RASP")),0,IF(AND(AND(ISNUMBER($AL40),OR(AND($AL40&gt;=$AQ$22,$AL40&lt;=$AR$22,$AP$45="RASP"),AND($AL40&gt;=$AQ$23,$AL40&lt;=$AR$23,$AP$46="RASP"),AND($AL40&gt;=$AQ$24,$AL40&lt;=$AR$24,$AP$47="RASP"),AND($AL40&gt;='King Node Model'!$AM$20,$AL40&lt;='King Node Model'!$AN$20,$AP$52="RASP",NOT($L$52=$AW$52)),AND($AL40='King Node Model'!$B$23,$AP$52="RASP",$L$52=$AW$52),AND($AL40&gt;='King Node Model'!$AM$21,$AL40&lt;='King Node Model'!$AN$21,$AP$53="RASP",NOT($L$53=$AW$53)),AND($AL40='King Node Model'!$B$23,$AP$53="RASP",$L$53=$AW$53),AND($AL40&gt;='King Node Model'!$AM$22,$AL40&lt;='King Node Model'!$AN$22,$AP$54="RASP"),AND($AL40&gt;=IFERROR(INDEX('Level Engine'!$AT$9:$AT$55,MATCH('King Node Model'!$AL$42,'Level Engine'!$AA$9:$AA$55,0)),""),$AL40&lt;=IFERROR(INDEX('Level Engine'!$AU$9:$AU$55,MATCH('King Node Model'!$AL$42,'Level Engine'!$AA$9:$AA$55,0)),""),$AP$45="RASP"),AND($AL40&gt;=IFERROR(INDEX('Level Engine'!$AT$9:$AT$55,MATCH('King Node Model'!$AL$43,'Level Engine'!$AA$9:$AA$55,0)),""),$AL40&lt;=IFERROR(INDEX('Level Engine'!$AU$9:$AU$55,MATCH('King Node Model'!$AL$43,'Level Engine'!$AA$9:$AA$55,0)),""),$AP$46="RASP"),AND($AL40&gt;=IFERROR(INDEX('Level Engine'!$AT$9:$AT$55,MATCH('King Node Model'!$AL$44,'Level Engine'!$AA$9:$AA$55,0)),""),$AL40&lt;=IFERROR(INDEX('Level Engine'!$AU$9:$AU$55,MATCH('King Node Model'!$AL$44,'Level Engine'!$AA$9:$AA$55,0)),""),$AP$47="RASP"),AND($AL40&gt;=IFERROR(INDEX('Level Engine'!$AT$9:$AT$55,MATCH('King Node Model'!$AL$49,'Level Engine'!$AA$9:$AA$55,0)),""),$AL40&lt;=IFERROR(INDEX('Level Engine'!$AU$9:$AU$55,MATCH('King Node Model'!$AL$49,'Level Engine'!$AA$9:$AA$55,0)),""),$AP$52="RASP",NOT($L$52=$AW$52)),AND($AL40&gt;=IFERROR(INDEX('Level Engine'!$AT$9:$AT$55,MATCH('King Node Model'!$AL$50,'Level Engine'!$AA$9:$AA$55,0)),""),$AL40&lt;=IFERROR(INDEX('Level Engine'!$AU$9:$AU$55,MATCH('King Node Model'!$AL$50,'Level Engine'!$AA$9:$AA$55,0)),""),$AP$53="RASP",NOT($L$53=$AW$53)),AND($AL40&gt;=IFERROR(INDEX('Level Engine'!$AT$9:$AT$55,MATCH('King Node Model'!$AL$51,'Level Engine'!$AA$9:$AA$55,0)),""),$AL40&lt;=IFERROR(INDEX('Level Engine'!$AU$9:$AU$55,MATCH('King Node Model'!$AL$51,'Level Engine'!$AA$9:$AA$55,0)),""),$AP$54="RASP"))),NOT(AND(ISNUMBER('King Node Model'!$F$24),$AL40='King Node Model'!$F$24,IFERROR(INDEX('Level Engine'!$JN$9:$JN$55,MATCH($AL40,'Level Engine'!$AA$9:$AA$55,0)),0)&lt;&gt;1,$AL40&lt;&gt;'King Node Model'!$AL$42,$AL40&lt;&gt;'King Node Model'!$AL$43,$AL40&lt;&gt;'King Node Model'!$AL$44,$AL40&lt;&gt;'King Node Model'!$AL$49,$AL40&lt;&gt;'King Node Model'!$AL$50,$AL40&lt;&gt;'King Node Model'!$AL$51))),1,0))</f>
        <v>0</v>
      </c>
      <c r="BK40">
        <f>IFERROR(LARGE($CE$35:$CE$40,6),"")</f>
        <v>7770</v>
      </c>
      <c r="BL40">
        <f>IFERROR(INDEX('King Node Model'!$K$29:$K$75,MATCH($BK40,'King Node Model'!$A$29:$A$75,0)),"")</f>
        <v>605</v>
      </c>
      <c r="BM40">
        <f>IFERROR(INDEX('King Node Model'!$L$29:$L$75,MATCH($BK40,'King Node Model'!$A$29:$A$75,0)),"")</f>
        <v>3450</v>
      </c>
      <c r="BN40">
        <f t="shared" si="9"/>
        <v>0.70160295930949446</v>
      </c>
      <c r="BO40">
        <f>IFERROR(INDEX('Level Engine'!$AC$9:$AC$55,MATCH($BK40,'Level Engine'!$AA$9:$AA$55,0))/MAX('Level Engine'!$AC$9:$AC$55),"")</f>
        <v>1</v>
      </c>
      <c r="BP40">
        <f>IF(NOT(ISNUMBER($BK40)),"",IF($BK40&gt;'King Node Model'!$B$4,1,-1))</f>
        <v>-1</v>
      </c>
      <c r="BQ40" t="str">
        <f>IF(OR(NOT(ISNUMBER($BN40)),NOT(ISNUMBER($BO40))),"",IF($BO40&lt;0.15,"thin",IF(OR('King Node Model'!$A$8="Neg",N('Level Engine'!$BG$72)=1),"",IF($BP40=1,IF($BN40&lt;=-0.4,"HARD ceil",IF($BN40&lt;=-0.15,"ceil",IF($BN40&lt;0.15,"neutral","soft ceil"))),IF($BN40&gt;=0.4,"FIRM floor",IF($BN40&gt;=0.15,"floor",IF($BN40&gt;-0.15,"neutral","WEAK floor"))))&amp;IF($BO40&lt;0.25," ·marginal",""))))</f>
        <v/>
      </c>
      <c r="BR40" t="str">
        <f>IF(NOT(ISNUMBER($BN40)),"",IF(OR('King Node Model'!$A$8="Neg",N('Level Engine'!$BG$72)=1),"",IF(AND($BP40=1,$BN40&gt;0.15),"⚠",IF(AND($BP40=-1,$BN40&lt;-0.15),"⚠",""))))</f>
        <v/>
      </c>
      <c r="BW40">
        <f t="shared" si="17"/>
        <v>1</v>
      </c>
      <c r="BX40">
        <f t="shared" si="18"/>
        <v>2</v>
      </c>
      <c r="BY40" t="str">
        <f t="shared" si="19"/>
        <v>biggest gamma below</v>
      </c>
      <c r="CA40">
        <f>IFERROR(SUMPRODUCT(LARGE(('King Node Model'!$A$29:$A$75&lt;$BZ$24)*('King Node Model'!$A$29:$A$75&gt;=$BY$24)*('King Node Model'!$A$29:$A$75&lt;&gt;$BK$34)*(('King Node Model'!$K$29:$K$75+'King Node Model'!$L$29:$L$75)*1000000+'King Node Model'!$A$29:$A$75),6)),0)</f>
        <v>1830007795</v>
      </c>
      <c r="CE40">
        <f>IF(NOT(ISNUMBER($CA40)),"",IF($CA40&lt;=0,"",IFERROR(SUMPRODUCT(MAX((('King Node Model'!$A$29:$A$75&lt;$BZ$24)*('King Node Model'!$A$29:$A$75&gt;=$BY$24)*('King Node Model'!$A$29:$A$75&lt;&gt;$BK$34)*(('King Node Model'!$K$29:$K$75+'King Node Model'!$L$29:$L$75)*1000000+'King Node Model'!$A$29:$A$75)=$CA40)*'King Node Model'!$A$29:$A$75)),"")))</f>
        <v>7795</v>
      </c>
      <c r="CF40">
        <f t="shared" si="20"/>
        <v>2</v>
      </c>
      <c r="CO40">
        <f>IF(NOT(ISNUMBER($AL40)),"",IF(NOT(ISNUMBER(IFERROR(INDEX('Level Engine'!$FT$9:$FT$55,MATCH($AL40,'Level Engine'!$AA$9:$AA$55,0)),""))),"",IF(IFERROR(INDEX('Level Engine'!$FT$9:$FT$55,MATCH($AL40,'Level Engine'!$AA$9:$AA$55,0)),"")&lt;0,0,2)+IF(ABS(IFERROR(INDEX('Level Engine'!$FT$9:$FT$55,MATCH($AL40,'Level Engine'!$AA$9:$AA$55,0)),""))&gt;='Level Engine'!$FT$2,2,1)))</f>
        <v>2</v>
      </c>
      <c r="DJ40" t="str">
        <f>IF(ISNUMBER($AL40),IF($AL40='Level Engine'!$BG$122," ⫪","")&amp;IF($AL40='Level Engine'!$BG$118," S↑"&amp;IFERROR(INDEX('Level Engine'!$MV$9:$MV$55,MATCH($AL40,'Level Engine'!$AA$9:$AA$55,0)),""),"")&amp;IF($AL40='Level Engine'!$BG$119," S↓"&amp;IFERROR(INDEX('Level Engine'!$MV$9:$MV$55,MATCH($AL40,'Level Engine'!$AA$9:$AA$55,0)),""),"")&amp;IF($AL40='Level Engine'!$BG$120," D↑","")&amp;IF($AL40='Level Engine'!$BG$121," D↓","")&amp;IFERROR(INDEX('Level Engine'!$LG$9:$LG$55,MATCH($AL40,'Level Engine'!$AA$9:$AA$55,0)),"")&amp;IF(IFERROR(INDEX('Level Engine'!$MA$9:$MA$55,MATCH($AL40,'Level Engine'!$AA$9:$AA$55,0)),0)=1," SAND","")&amp;IF(IFERROR(INDEX('Level Engine'!$LM$9:$LM$55,MATCH($AL40,'Level Engine'!$AA$9:$AA$55,0)),0)&gt;0," TP","")&amp;IFERROR(" r"&amp;MATCH($AL40,'Level Engine'!$W$9:$W$14,0),IFERROR(" s"&amp;MATCH($AL40,'Level Engine'!$W$18:$W$23,0),""))&amp;IF($AL40='Level Engine'!$BG$165," ◇","")&amp;IF(N($DZ40)=1,IF($AL40&gt;'Level Engine'!$BG$165," ⚠ DOM↓"," ⚠ DOM↑")&amp;'Level Engine'!$BG$165,""),"")</f>
        <v/>
      </c>
      <c r="DK40" t="str">
        <f>IF(AND(ISNUMBER($AL40),OR($AL40='King Node Model'!$AL$42,$AL40='King Node Model'!$AL$43,$AL40='King Node Model'!$AL$44)),IFERROR(MATCH($AL40,'Level Engine'!$W$9:$W$14,0),""),"")</f>
        <v/>
      </c>
      <c r="DL40" t="str">
        <f>IF(AND(ISNUMBER($AL40),OR($AL40='King Node Model'!$AL$49,$AL40='King Node Model'!$AL$50,$AL40='King Node Model'!$AL$51)),IFERROR(MATCH($AL40,'Level Engine'!$W$18:$W$23,0),""),"")</f>
        <v/>
      </c>
      <c r="DM40">
        <f>IF(AND(ISNUMBER($AL40),IFERROR(INDEX('Level Engine'!$LC$9:$LC$55,MATCH($AL40,'Level Engine'!$AA$9:$AA$55,0)),0)=1,OR($AL40=$AN$3,IFERROR(INDEX('Level Engine'!$LB$9:$LB$55,MATCH($AL40,'Level Engine'!$AA$9:$AA$55,0)),0)=1)),1,0)</f>
        <v>0</v>
      </c>
      <c r="DZ40">
        <f>IF(ISNUMBER($AL40),IF(IFERROR(INDEX('Level Engine'!$NJ$9:$NJ$55,MATCH($AL40,'Level Engine'!$AA$9:$AA$55,0)),0)=1,1,0),0)</f>
      </c>
    </row>
    <row r="41" spans="1:123" ht="15" customHeight="1" x14ac:dyDescent="0.25">
      <c r="A41" s="7" t="str">
        <f t="shared" si="3"/>
        <v/>
      </c>
      <c r="B41" s="8" t="str">
        <f>TEXT(IF(IF('Level Engine'!$GJ$4=1,$AL41='Level Engine'!$GJ$3,AND($AL41-$AM$2&gt;-2.5,$AL41-$AM$2&lt;=2.5)),$AM$2,$AL41),"0")&amp;IF($AL41=$AN$1," ★","")&amp;IF($AL41=$AN$2," ★","")&amp;IF($AL41=$AN$3," ◆","")&amp;IF(AND(ISNUMBER($AN$4),$AL41=$AN$4)," Ⓕ","")&amp;IF(OR(AND(ISNUMBER('Level Engine'!$BG$87),$AL41='Level Engine'!$BG$87),AND(ISNUMBER('Level Engine'!$BG$105),$AL41='Level Engine'!$BG$105))," ζ","")&amp;IF(AND(ISNUMBER($AN$35),$AL41=$AN$35)," ⓏⒼ","")&amp;IF(OR($AL41='Level Engine'!$CP$4,$AL41='Level Engine'!$CP$5,$AL41='Level Engine'!$CP$6,$AL41='Level Engine'!$CP$7)," ☄","")&amp;IF(OR($AL41=$AN$5,$AL41=$AN$8)," ║1","")&amp;IF(OR($AL41=$AN$6,$AL41=$AN$10)," ║2","")&amp;IF(OR($AL41=$AN$7,$AL41=$AN$11)," ║3","")&amp;IF(OR($AL41=$AN$13,$AL41=$AN$16)," ▣1","")&amp;IF(OR($AL41=$AN$14,$AL41=$AN$17)," ▣2","")&amp;IF(OR($AL41=$AN$15,$AL41=$AN$18)," ▣3","")&amp;IF(AND(NOT(OR(AND(ISNUMBER(SEARCH("chop edge",$E$45)),IFERROR(ABS($AL41-'King Node Model'!$AL$42)&lt;=5,FALSE),NOT(ISNUMBER(SEARCH("UNSAFE",$L$45)))),AND(ISNUMBER(SEARCH("chop edge",$E$46)),IFERROR(ABS($AL41-'King Node Model'!$AL$43)&lt;=5,FALSE),NOT(ISNUMBER(SEARCH("UNSAFE",$L$46)))),AND(ISNUMBER(SEARCH("chop edge",$E$52)),IFERROR(ABS($AL41-'King Node Model'!$AL$49)&lt;=5,FALSE),NOT(ISNUMBER(SEARCH("UNSAFE",$L$52)))),AND(ISNUMBER(SEARCH("chop edge",$E$53)),IFERROR(ABS($AL41-'King Node Model'!$AL$50)&lt;=5,FALSE),NOT(ISNUMBER(SEARCH("UNSAFE",$L$53)))))),OR(AND(IFERROR(INDEX('Level Engine'!$IB$9:$IB$55,MATCH('King Node Model'!$AL$49,'Level Engine'!$AA$9:$AA$55,0)),0)&lt;&gt;1,$AL41=IFERROR(INDEX('Level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Engine'!$AA$9:$AA$55,0)),0)&lt;&gt;1,$AL41=IFERROR(INDEX('Level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edge",$E$45)),IFERROR(ABS($AL41-'King Node Model'!$AL$42)&lt;=5,FALSE),NOT(ISNUMBER(SEARCH("UNSAFE",$L$45)))),AND(ISNUMBER(SEARCH("chop edge",$E$46)),IFERROR(ABS($AL41-'King Node Model'!$AL$43)&lt;=5,FALSE),NOT(ISNUMBER(SEARCH("UNSAFE",$L$46)))),AND(ISNUMBER(SEARCH("chop edge",$E$52)),IFERROR(ABS($AL41-'King Node Model'!$AL$49)&lt;=5,FALSE),NOT(ISNUMBER(SEARCH("UNSAFE",$L$52)))),AND(ISNUMBER(SEARCH("chop edge",$E$53)),IFERROR(ABS($AL41-'King Node Model'!$AL$50)&lt;=5,FALSE),NOT(ISNUMBER(SEARCH("UNSAFE",$L$53)))))),OR(AND(IFERROR(INDEX('Level Engine'!$IB$9:$IB$55,MATCH('King Node Model'!$AL$42,'Level Engine'!$AA$9:$AA$55,0)),0)&lt;&gt;1,$AL41=IFERROR(INDEX('Level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Engine'!$AA$9:$AA$55,0)),0)&lt;&gt;1,$AL41=IFERROR(INDEX('Level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ⒷⓁ"),"")&amp;IF(OR(AND($AL41&gt;='King Node Model'!$AM$17,$AL41&lt;='King Node Model'!$AN$17,$AP$45="RASP"),AND($AL41&gt;='King Node Model'!$AM$18,$AL41&lt;='King Node Model'!$AN$18,$AP$46="RASP"),AND($AL41&gt;='King Node Model'!$AM$19,$AL41&lt;='King Node Model'!$AN$19,$AP$47="RASP"),AND($AL41&gt;='King Node Model'!$AM$20,$AL41&lt;='King Node Model'!$AN$20,$AP$52="RASP"),AND($AL41&gt;='King Node Model'!$AM$21,$AL41&lt;='King Node Model'!$AN$21,$AP$53="RASP"),AND($AL41&gt;='King Node Model'!$AM$22,$AL41&lt;='King Node Model'!$AN$22,$AP$54="RASP")),"","")&amp;IF(IF('Level Engine'!$GJ$4=1,$AL41='Level Engine'!$GJ$3,AND($AL41-$AM$2&gt;-2.5,$AL41-$AM$2&lt;=2.5))," ◄","")&amp;IF(IFERROR(INDEX('Level Engine'!$GV$9:$GV$55,MATCH($AL41,'Level Engine'!$AA$9:$AA$55,0)),0)=1," Ⓥ"&amp;IF(IFERROR(INDEX('Level Engine'!$ET$9:$ET$55,MATCH($AL41,'Level Engine'!$AA$9:$AA$55,0)),0)=1,"+",""),"")&amp;IF(OR(AND($AL41=$AN$38,IFERROR(INDEX('Level Engine'!$AN$9:$AN$55,MATCH($AL41,'Level Engine'!$AA$9:$AA$55,0)),0)&lt;&gt;1),$AL41=$AN$39)," ⊙","")&amp;IF(AND(OR('King Node Model'!$A$8="Neg",N('Level Engine'!$BG$72)=1),ABS(MIN($AM$3:$AM$64))&gt;MAX($AM$3:$AM$64),$AN$2&lt;$AM$2,$AL41&lt;$AM$2,ABS($AL41-$AN$2)&lt;=5,IFERROR(VALUE(MID('King Node Model'!$K$26,FIND(":",'King Node Model'!$K$26)-2,2)),0)&gt;=19,IFERROR(INDEX('Level Engine'!$EJ$9:$EJ$55,MATCH($AL41,'Level Engine'!$AA$9:$AA$55,0)),0)=0,$AN$3&gt;$AM$2)," ⟲rev","")&amp;IF($AL41='King Node Model'!$F$24," ⟂","")&amp;$DJ41&amp;IF(IFERROR(INDEX('Level Engine'!$EN$9:$EN$55,MATCH($AL41,'Level Engine'!$AA$9:$AA$55,0)),0)=1," Ⓟ"&amp;IF(AND(OR('King Node Model'!$A$8="Neg",N('Level Engine'!$BG$72)=1),IFERROR(INDEX('Level Engine'!$AN$9:$AN$55,MATCH($AL41,'Level Engine'!$AA$9:$AA$55,0)),0)&lt;&gt;1)," NO-REV",""),"")&amp;IF(AND(ISNUMBER($AL41),OR(AND(ISNUMBER(SEARCH("chop edge",$E$45)),$AL41='King Node Model'!$AL$42),AND(ISNUMBER(SEARCH("chop edge",$E$46)),$AL41='King Node Model'!$AL$43),AND(ISNUMBER(SEARCH("chop edge",$E$52)),$AL41='King Node Model'!$AL$49),AND(ISNUMBER(SEARCH("chop edge",$E$53)),$AL41='King Node Model'!$AL$50)))," ⒸⒺ","")&amp;IF(AND('Level Engine'!$GJ$4=1,OR($AL41='Level Engine'!$GJ$1,$AL41='Level Engine'!$GJ$2)),"","")&amp;IF(ABS(N(IFERROR(INDEX('Level Engine'!$AE$9:$AE$55,MATCH($AL41,'Level Engine'!$AA$9:$AA$55,0)),0)))&gt;='Level Engine'!$BG$85,IF(N(IFERROR(INDEX('Level Engine'!$AE$9:$AE$55,MATCH($AL41,'Level Engine'!$AA$9:$AA$55,0)),0))&gt;0," Δ+"," Δ−"),"")&amp;IFERROR(IF(AND(ISNUMBER(MATCH($AL41,'Level Engine'!$AA$9:$AA$55,0)),ABS(N(IFERROR(INDEX('Level Engine'!$AE$9:$AE$55,MATCH($AL41,'Level Engine'!$AA$9:$AA$55,0)),0)))&lt;'Level Engine'!$BG$85,ABS(N(IFERROR(INDEX('Level Engine'!$AE$9:$AE$55,MATCH($AL41,'Level Engine'!$AA$9:$AA$55,0)),0)))&lt;=ABS(N(IFERROR(INDEX('Level Engine'!$AE$9:$AE$55,MATCH($AL41+5,'Level Engine'!$AA$9:$AA$55,0)),0))),ABS(N(IFERROR(INDEX('Level Engine'!$AE$9:$AE$55,MATCH($AL41,'Level Engine'!$AA$9:$AA$55,0)),0)))&lt;=ABS(N(IFERROR(INDEX('Level Engine'!$AE$9:$AE$55,MATCH($AL41-5,'Level Engine'!$AA$9:$AA$55,0)),0))),OR(AND(ABS(N(IFERROR(INDEX('Level Engine'!$AE$9:$AE$55,MATCH($AL41+5,'Level Engine'!$AA$9:$AA$55,0)),0)))&gt;='Level Engine'!$BG$85,ABS(N(IFERROR(INDEX('Level Engine'!$AE$9:$AE$55,MATCH($AL41,'Level Engine'!$AA$9:$AA$55,0)),0)))&lt;='Level Engine'!$BG$88*ABS(N(IFERROR(INDEX('Level Engine'!$AE$9:$AE$55,MATCH($AL41+5,'Level Engine'!$AA$9:$AA$55,0)),0)))),AND(ABS(N(IFERROR(INDEX('Level Engine'!$AE$9:$AE$55,MATCH($AL41-5,'Level Engine'!$AA$9:$AA$55,0)),0)))&gt;='Level Engine'!$BG$85,ABS(N(IFERROR(INDEX('Level Engine'!$AE$9:$AE$55,MATCH($AL41,'Level Engine'!$AA$9:$AA$55,0)),0)))&lt;='Level Engine'!$BG$88*ABS(N(IFERROR(INDEX('Level Engine'!$AE$9:$AE$55,MATCH($AL41-5,'Level Engine'!$AA$9:$AA$55,0)),0)))))),IF(AND('King Node Model'!$A$8="Pos",N('Level Engine'!$BG$72)&lt;&gt;1),""," ∅"),""),"")&amp;IF(IFERROR(INDEX('Level Engine'!$JD$9:$JD$55,MATCH($AL41,'Level Engine'!$AA$9:$AA$55,0)),"")="P"," P-OI",IF(IFERROR(INDEX('Level Engine'!$JD$9:$JD$55,MATCH($AL41,'Level Engine'!$AA$9:$AA$55,0)),"")="C"," C-OI",""))</f>
        <v>7695 P-OI</v>
      </c>
      <c r="C41" s="9" t="str">
        <f t="shared" si="0"/>
        <v/>
      </c>
      <c r="D41" t="str">
        <f>IF(NOT(ISNUMBER($AL41)),"",IF(IFERROR(INDEX('Level Engine'!$FS$9:$FS$55,MATCH($AL41,'Level Engine'!$AA$9:$AA$55,0)),0)=1,"⊙",""))</f>
        <v/>
      </c>
      <c r="E41" s="618" t="s">
        <v>32</v>
      </c>
      <c r="F41" s="618"/>
      <c r="G41" s="618"/>
      <c r="H41" s="618"/>
      <c r="I41" s="618"/>
      <c r="J41" s="618"/>
      <c r="K41" s="618"/>
      <c r="L41" s="618"/>
      <c r="M41" s="618"/>
      <c r="N41" s="618"/>
      <c r="O41" s="618"/>
      <c r="P41" s="473"/>
      <c r="V41" s="39"/>
      <c r="W41" s="41"/>
      <c r="X41" s="42"/>
      <c r="Y41" s="40"/>
      <c r="Z41" s="1"/>
      <c r="AA41" s="41"/>
      <c r="AL41" s="1">
        <f>'King Node Model'!A67</f>
        <v>7695</v>
      </c>
      <c r="AM41" s="10">
        <f>'King Node Model'!C67</f>
        <v>-63476</v>
      </c>
      <c r="AO41" s="10">
        <f>'King Node Model'!B67</f>
        <v>72674</v>
      </c>
      <c r="AY41" s="1">
        <f>IF(AND($B$2="Hide unsafe",$BB41=1),0,IF(AND(OR(AND(AND(ISNUMBER($AL41),OR(AND($AL41&gt;=$AQ$22,$AL41&lt;=$AR$22,$AS$22=1),$AL41=$AQ$22,$AL41=$AR$22,$AL41=$AQ$23,$AL41=$AR$23,$AL41=$AQ$24,$AL41=$AR$24),NOT(OR($AL41=$AN$5,$AL41=$AN$6,$AL41=$AN$7,$AL41=$AN$8,$AL41=$AN$10,$AL41=$AN$11))),NOT(OR(AND('King Node Model'!$P$13="Up",OR($AL41=$AQ$22,$AL41=$AQ$23,$AL41=$AQ$24,$AL41='King Node Model'!$AM$20,$AL41='King Node Model'!$AM$21,$AL41='King Node Model'!$AM$22),OR(AND('King Node Model'!$B$23-$AL41&gt;=0,'King Node Model'!$B$23-$AL41&lt;=5),AND('King Node Model'!$C$23-$AL41&gt;=0,'King Node Model'!$C$23-$AL41&lt;=5))),AND('King Node Model'!$P$13="Down",OR($AL41=$AR$22,$AL41=$AR$23,$AL41=$AR$24,$AL41='King Node Model'!$AN$20,$AL41='King Node Model'!$AN$21,$AL41='King Node Model'!$AN$22),OR(AND($AL41-'King Node Model'!$B$23&gt;=0,$AL41-'King Node Model'!$B$23&lt;=5),AND($AL41-'King Node Model'!$C$24&gt;=0,$AL41-'King Node Model'!$C$24&lt;=5)))))),AND(AND(ISNUMBER($AL41),OR(AND($AL41&gt;=$AQ$22,$AL41&lt;=$AR$22,$AS$22=1),$AL41=$AQ$22,$AL41=$AR$22,$AL41=$AQ$23,$AL41=$AR$23,$AL41=$AQ$24,$AL41=$AR$24,$AL41='King Node Model'!$AL$42,$AL41='King Node Model'!$AL$43),OR($AL41=$AN$5,$AL41=$AN$6,$AL41=$AN$7,$AL41=$AN$8,$AL41=$AN$10,$AL41=$AN$11)),NOT(OR(AND('King Node Model'!$P$13="Up",OR($AL41=$AQ$22,$AL41=$AQ$23,$AL41=$AQ$24,$AL41='King Node Model'!$AM$20,$AL41='King Node Model'!$AM$21,$AL41='King Node Model'!$AM$22),OR(AND('King Node Model'!$B$23-$AL41&gt;=0,'King Node Model'!$B$23-$AL41&lt;=5),AND('King Node Model'!$C$23-$AL41&gt;=0,'King Node Model'!$C$23-$AL41&lt;=5))),AND('King Node Model'!$P$13="Down",OR($AL41=$AR$22,$AL41=$AR$23,$AL41=$AR$24,$AL41='King Node Model'!$AN$20,$AL41='King Node Model'!$AN$21,$AL41='King Node Model'!$AN$22),OR(AND($AL41-'King Node Model'!$B$23&gt;=0,$AL41-'King Node Model'!$B$23&lt;=5),AND($AL41-'King Node Model'!$C$24&gt;=0,$AL41-'King Node Model'!$C$24&lt;=5)))))),AND(AND(ISNUMBER($AL41),OR(AND($AL41&gt;='King Node Model'!$AM$20,$AL41&lt;='King Node Model'!$AN$20,$AS$23=1),$AL41='King Node Model'!$AM$20,$AL41='King Node Model'!$AN$20,$AL41='King Node Model'!$AM$21,$AL41='King Node Model'!$AN$21,$AL41='King Node Model'!$AM$22,$AL41='King Node Model'!$AN$22),NOT(OR($AL41=$AN$5,$AL41=$AN$6,$AL41=$AN$7,$AL41=$AN$8,$AL41=$AN$10,$AL41=$AN$11))),NOT(AND(ISNUMBER('King Node Model'!$F$24),$AL41='King Node Model'!$F$24,IFERROR(INDEX('Level Engine'!$JN$9:$JN$55,MATCH($AL41,'Level Engine'!$AA$9:$AA$55,0)),0)&lt;&gt;1))),AND(AND(ISNUMBER($AL41),OR(AND($AL41&gt;='King Node Model'!$AM$20,$AL41&lt;='King Node Model'!$AN$20,$AS$23=1),$AL41='King Node Model'!$AM$20,$AL41='King Node Model'!$AN$20,$AL41='King Node Model'!$AM$21,$AL41='King Node Model'!$AN$21,$AL41='King Node Model'!$AM$22,$AL41='King Node Model'!$AN$22,$AL41='King Node Model'!$AL$49,$AL41='King Node Model'!$AL$50),OR($AL41=$AN$5,$AL41=$AN$6,$AL41=$AN$7,$AL41=$AN$8,$AL41=$AN$10,$AL41=$AN$11)),NOT(OR(AND('King Node Model'!$P$13="Up",OR($AL41=$AQ$22,$AL41=$AQ$23,$AL41=$AQ$24,$AL41='King Node Model'!$AM$20,$AL41='King Node Model'!$AM$21,$AL41='King Node Model'!$AM$22),OR(AND('King Node Model'!$B$23-$AL41&gt;=0,'King Node Model'!$B$23-$AL41&lt;=5),AND('King Node Model'!$C$23-$AL41&gt;=0,'King Node Model'!$C$23-$AL41&lt;=5))),AND('King Node Model'!$P$13="Down",OR($AL41=$AR$22,$AL41=$AR$23,$AL41=$AR$24,$AL41='King Node Model'!$AN$20,$AL41='King Node Model'!$AN$21,$AL41='King Node Model'!$AN$22),OR(AND($AL41-'King Node Model'!$B$23&gt;=0,$AL41-'King Node Model'!$B$23&lt;=5),AND($AL41-'King Node Model'!$C$24&gt;=0,$AL41-'King Node Model'!$C$24&lt;=5))))))),OR(COUNTIF('Level Engine'!$W$9:$W$14,$AL41)&gt;0,COUNTIF('Level Engine'!$W$18:$W$23,$AL41)&gt;0)),1,0))</f>
        <v>0</v>
      </c>
      <c r="AZ41" s="1">
        <f t="shared" si="1"/>
        <v>0</v>
      </c>
      <c r="BB41" s="1">
        <f>IF(OR(AND($AL41='King Node Model'!$AL$42,$AP$45&lt;&gt;"RASP"),AND($AL41='King Node Model'!$AL$43,$AP$46&lt;&gt;"RASP"),AND($AL41='King Node Model'!$AL$49,$AP$52&lt;&gt;"RASP"),AND($AL41='King Node Model'!$AL$50,$AP$53&lt;&gt;"RASP"),AND($AL41='King Node Model'!$AL$44,$AP$47&lt;&gt;"RASP"),AND($AL41='King Node Model'!$AL$51,$AP$54&lt;&gt;"RASP")),0,IF(AND(AND(ISNUMBER($AL41),OR(AND($AL41&gt;=$AQ$22,$AL41&lt;=$AR$22,$AP$45="RASP"),AND($AL41&gt;=$AQ$23,$AL41&lt;=$AR$23,$AP$46="RASP"),AND($AL41&gt;=$AQ$24,$AL41&lt;=$AR$24,$AP$47="RASP"),AND($AL41&gt;='King Node Model'!$AM$20,$AL41&lt;='King Node Model'!$AN$20,$AP$52="RASP",NOT($L$52=$AW$52)),AND($AL41='King Node Model'!$B$23,$AP$52="RASP",$L$52=$AW$52),AND($AL41&gt;='King Node Model'!$AM$21,$AL41&lt;='King Node Model'!$AN$21,$AP$53="RASP",NOT($L$53=$AW$53)),AND($AL41='King Node Model'!$B$23,$AP$53="RASP",$L$53=$AW$53),AND($AL41&gt;='King Node Model'!$AM$22,$AL41&lt;='King Node Model'!$AN$22,$AP$54="RASP"),AND($AL41&gt;=IFERROR(INDEX('Level Engine'!$AT$9:$AT$55,MATCH('King Node Model'!$AL$42,'Level Engine'!$AA$9:$AA$55,0)),""),$AL41&lt;=IFERROR(INDEX('Level Engine'!$AU$9:$AU$55,MATCH('King Node Model'!$AL$42,'Level Engine'!$AA$9:$AA$55,0)),""),$AP$45="RASP"),AND($AL41&gt;=IFERROR(INDEX('Level Engine'!$AT$9:$AT$55,MATCH('King Node Model'!$AL$43,'Level Engine'!$AA$9:$AA$55,0)),""),$AL41&lt;=IFERROR(INDEX('Level Engine'!$AU$9:$AU$55,MATCH('King Node Model'!$AL$43,'Level Engine'!$AA$9:$AA$55,0)),""),$AP$46="RASP"),AND($AL41&gt;=IFERROR(INDEX('Level Engine'!$AT$9:$AT$55,MATCH('King Node Model'!$AL$44,'Level Engine'!$AA$9:$AA$55,0)),""),$AL41&lt;=IFERROR(INDEX('Level Engine'!$AU$9:$AU$55,MATCH('King Node Model'!$AL$44,'Level Engine'!$AA$9:$AA$55,0)),""),$AP$47="RASP"),AND($AL41&gt;=IFERROR(INDEX('Level Engine'!$AT$9:$AT$55,MATCH('King Node Model'!$AL$49,'Level Engine'!$AA$9:$AA$55,0)),""),$AL41&lt;=IFERROR(INDEX('Level Engine'!$AU$9:$AU$55,MATCH('King Node Model'!$AL$49,'Level Engine'!$AA$9:$AA$55,0)),""),$AP$52="RASP",NOT($L$52=$AW$52)),AND($AL41&gt;=IFERROR(INDEX('Level Engine'!$AT$9:$AT$55,MATCH('King Node Model'!$AL$50,'Level Engine'!$AA$9:$AA$55,0)),""),$AL41&lt;=IFERROR(INDEX('Level Engine'!$AU$9:$AU$55,MATCH('King Node Model'!$AL$50,'Level Engine'!$AA$9:$AA$55,0)),""),$AP$53="RASP",NOT($L$53=$AW$53)),AND($AL41&gt;=IFERROR(INDEX('Level Engine'!$AT$9:$AT$55,MATCH('King Node Model'!$AL$51,'Level Engine'!$AA$9:$AA$55,0)),""),$AL41&lt;=IFERROR(INDEX('Level Engine'!$AU$9:$AU$55,MATCH('King Node Model'!$AL$51,'Level Engine'!$AA$9:$AA$55,0)),""),$AP$54="RASP"))),NOT(AND(ISNUMBER('King Node Model'!$F$24),$AL41='King Node Model'!$F$24,IFERROR(INDEX('Level Engine'!$JN$9:$JN$55,MATCH($AL41,'Level Engine'!$AA$9:$AA$55,0)),0)&lt;&gt;1,$AL41&lt;&gt;'King Node Model'!$AL$42,$AL41&lt;&gt;'King Node Model'!$AL$43,$AL41&lt;&gt;'King Node Model'!$AL$44,$AL41&lt;&gt;'King Node Model'!$AL$49,$AL41&lt;&gt;'King Node Model'!$AL$50,$AL41&lt;&gt;'King Node Model'!$AL$51))),1,0))</f>
        <v>0</v>
      </c>
      <c r="CO41">
        <f>IF(NOT(ISNUMBER($AL41)),"",IF(NOT(ISNUMBER(IFERROR(INDEX('Level Engine'!$FT$9:$FT$55,MATCH($AL41,'Level Engine'!$AA$9:$AA$55,0)),""))),"",IF(IFERROR(INDEX('Level Engine'!$FT$9:$FT$55,MATCH($AL41,'Level Engine'!$AA$9:$AA$55,0)),"")&lt;0,0,2)+IF(ABS(IFERROR(INDEX('Level Engine'!$FT$9:$FT$55,MATCH($AL41,'Level Engine'!$AA$9:$AA$55,0)),""))&gt;='Level Engine'!$FT$2,2,1)))</f>
        <v>2</v>
      </c>
      <c r="DJ41" t="str">
        <f>IF(ISNUMBER($AL41),IF($AL41='Level Engine'!$BG$122," ⫪","")&amp;IF($AL41='Level Engine'!$BG$118," S↑"&amp;IFERROR(INDEX('Level Engine'!$MV$9:$MV$55,MATCH($AL41,'Level Engine'!$AA$9:$AA$55,0)),""),"")&amp;IF($AL41='Level Engine'!$BG$119," S↓"&amp;IFERROR(INDEX('Level Engine'!$MV$9:$MV$55,MATCH($AL41,'Level Engine'!$AA$9:$AA$55,0)),""),"")&amp;IF($AL41='Level Engine'!$BG$120," D↑","")&amp;IF($AL41='Level Engine'!$BG$121," D↓","")&amp;IFERROR(INDEX('Level Engine'!$LG$9:$LG$55,MATCH($AL41,'Level Engine'!$AA$9:$AA$55,0)),"")&amp;IF(IFERROR(INDEX('Level Engine'!$MA$9:$MA$55,MATCH($AL41,'Level Engine'!$AA$9:$AA$55,0)),0)=1," SAND","")&amp;IF(IFERROR(INDEX('Level Engine'!$LM$9:$LM$55,MATCH($AL41,'Level Engine'!$AA$9:$AA$55,0)),0)&gt;0," TP","")&amp;IFERROR(" r"&amp;MATCH($AL41,'Level Engine'!$W$9:$W$14,0),IFERROR(" s"&amp;MATCH($AL41,'Level Engine'!$W$18:$W$23,0),""))&amp;IF($AL41='Level Engine'!$BG$165," ◇","")&amp;IF(N($DZ41)=1,IF($AL41&gt;'Level Engine'!$BG$165," ⚠ DOM↓"," ⚠ DOM↑")&amp;'Level Engine'!$BG$165,""),"")</f>
        <v/>
      </c>
      <c r="DK41" t="str">
        <f>IF(AND(ISNUMBER($AL41),OR($AL41='King Node Model'!$AL$42,$AL41='King Node Model'!$AL$43,$AL41='King Node Model'!$AL$44)),IFERROR(MATCH($AL41,'Level Engine'!$W$9:$W$14,0),""),"")</f>
        <v/>
      </c>
      <c r="DL41" t="str">
        <f>IF(AND(ISNUMBER($AL41),OR($AL41='King Node Model'!$AL$49,$AL41='King Node Model'!$AL$50,$AL41='King Node Model'!$AL$51)),IFERROR(MATCH($AL41,'Level Engine'!$W$18:$W$23,0),""),"")</f>
        <v/>
      </c>
      <c r="DM41">
        <f>IF(AND(ISNUMBER($AL41),IFERROR(INDEX('Level Engine'!$LC$9:$LC$55,MATCH($AL41,'Level Engine'!$AA$9:$AA$55,0)),0)=1,OR($AL41=$AN$3,IFERROR(INDEX('Level Engine'!$LB$9:$LB$55,MATCH($AL41,'Level Engine'!$AA$9:$AA$55,0)),0)=1)),1,0)</f>
        <v>0</v>
      </c>
      <c r="DZ41">
        <f>IF(ISNUMBER($AL41),IF(IFERROR(INDEX('Level Engine'!$NJ$9:$NJ$55,MATCH($AL41,'Level Engine'!$AA$9:$AA$55,0)),0)=1,1,0),0)</f>
      </c>
    </row>
    <row r="42" spans="1:123" ht="39.75" customHeight="1" x14ac:dyDescent="0.25">
      <c r="A42" s="7" t="str">
        <f t="shared" si="3"/>
        <v/>
      </c>
      <c r="B42" s="8" t="str">
        <f>TEXT(IF(IF('Level Engine'!$GJ$4=1,$AL42='Level Engine'!$GJ$3,AND($AL42-$AM$2&gt;-2.5,$AL42-$AM$2&lt;=2.5)),$AM$2,$AL42),"0")&amp;IF($AL42=$AN$1," ★","")&amp;IF($AL42=$AN$2," ★","")&amp;IF($AL42=$AN$3," ◆","")&amp;IF(AND(ISNUMBER($AN$4),$AL42=$AN$4)," Ⓕ","")&amp;IF(OR(AND(ISNUMBER('Level Engine'!$BG$87),$AL42='Level Engine'!$BG$87),AND(ISNUMBER('Level Engine'!$BG$105),$AL42='Level Engine'!$BG$105))," ζ","")&amp;IF(AND(ISNUMBER($AN$35),$AL42=$AN$35)," ⓏⒼ","")&amp;IF(OR($AL42='Level Engine'!$CP$4,$AL42='Level Engine'!$CP$5,$AL42='Level Engine'!$CP$6,$AL42='Level Engine'!$CP$7)," ☄","")&amp;IF(OR($AL42=$AN$5,$AL42=$AN$8)," ║1","")&amp;IF(OR($AL42=$AN$6,$AL42=$AN$10)," ║2","")&amp;IF(OR($AL42=$AN$7,$AL42=$AN$11)," ║3","")&amp;IF(OR($AL42=$AN$13,$AL42=$AN$16)," ▣1","")&amp;IF(OR($AL42=$AN$14,$AL42=$AN$17)," ▣2","")&amp;IF(OR($AL42=$AN$15,$AL42=$AN$18)," ▣3","")&amp;IF(AND(NOT(OR(AND(ISNUMBER(SEARCH("chop edge",$E$45)),IFERROR(ABS($AL42-'King Node Model'!$AL$42)&lt;=5,FALSE),NOT(ISNUMBER(SEARCH("UNSAFE",$L$45)))),AND(ISNUMBER(SEARCH("chop edge",$E$46)),IFERROR(ABS($AL42-'King Node Model'!$AL$43)&lt;=5,FALSE),NOT(ISNUMBER(SEARCH("UNSAFE",$L$46)))),AND(ISNUMBER(SEARCH("chop edge",$E$52)),IFERROR(ABS($AL42-'King Node Model'!$AL$49)&lt;=5,FALSE),NOT(ISNUMBER(SEARCH("UNSAFE",$L$52)))),AND(ISNUMBER(SEARCH("chop edge",$E$53)),IFERROR(ABS($AL42-'King Node Model'!$AL$50)&lt;=5,FALSE),NOT(ISNUMBER(SEARCH("UNSAFE",$L$53)))))),OR(AND(IFERROR(INDEX('Level Engine'!$IB$9:$IB$55,MATCH('King Node Model'!$AL$49,'Level Engine'!$AA$9:$AA$55,0)),0)&lt;&gt;1,$AL42=IFERROR(INDEX('Level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Engine'!$AA$9:$AA$55,0)),0)&lt;&gt;1,$AL42=IFERROR(INDEX('Level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edge",$E$45)),IFERROR(ABS($AL42-'King Node Model'!$AL$42)&lt;=5,FALSE),NOT(ISNUMBER(SEARCH("UNSAFE",$L$45)))),AND(ISNUMBER(SEARCH("chop edge",$E$46)),IFERROR(ABS($AL42-'King Node Model'!$AL$43)&lt;=5,FALSE),NOT(ISNUMBER(SEARCH("UNSAFE",$L$46)))),AND(ISNUMBER(SEARCH("chop edge",$E$52)),IFERROR(ABS($AL42-'King Node Model'!$AL$49)&lt;=5,FALSE),NOT(ISNUMBER(SEARCH("UNSAFE",$L$52)))),AND(ISNUMBER(SEARCH("chop edge",$E$53)),IFERROR(ABS($AL42-'King Node Model'!$AL$50)&lt;=5,FALSE),NOT(ISNUMBER(SEARCH("UNSAFE",$L$53)))))),OR(AND(IFERROR(INDEX('Level Engine'!$IB$9:$IB$55,MATCH('King Node Model'!$AL$42,'Level Engine'!$AA$9:$AA$55,0)),0)&lt;&gt;1,$AL42=IFERROR(INDEX('Level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Engine'!$AA$9:$AA$55,0)),0)&lt;&gt;1,$AL42=IFERROR(INDEX('Level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ⒷⓁ"),"")&amp;IF(OR(AND($AL42&gt;='King Node Model'!$AM$17,$AL42&lt;='King Node Model'!$AN$17,$AP$45="RASP"),AND($AL42&gt;='King Node Model'!$AM$18,$AL42&lt;='King Node Model'!$AN$18,$AP$46="RASP"),AND($AL42&gt;='King Node Model'!$AM$19,$AL42&lt;='King Node Model'!$AN$19,$AP$47="RASP"),AND($AL42&gt;='King Node Model'!$AM$20,$AL42&lt;='King Node Model'!$AN$20,$AP$52="RASP"),AND($AL42&gt;='King Node Model'!$AM$21,$AL42&lt;='King Node Model'!$AN$21,$AP$53="RASP"),AND($AL42&gt;='King Node Model'!$AM$22,$AL42&lt;='King Node Model'!$AN$22,$AP$54="RASP")),"","")&amp;IF(IF('Level Engine'!$GJ$4=1,$AL42='Level Engine'!$GJ$3,AND($AL42-$AM$2&gt;-2.5,$AL42-$AM$2&lt;=2.5))," ◄","")&amp;IF(IFERROR(INDEX('Level Engine'!$GV$9:$GV$55,MATCH($AL42,'Level Engine'!$AA$9:$AA$55,0)),0)=1," Ⓥ"&amp;IF(IFERROR(INDEX('Level Engine'!$ET$9:$ET$55,MATCH($AL42,'Level Engine'!$AA$9:$AA$55,0)),0)=1,"+",""),"")&amp;IF(OR(AND($AL42=$AN$38,IFERROR(INDEX('Level Engine'!$AN$9:$AN$55,MATCH($AL42,'Level Engine'!$AA$9:$AA$55,0)),0)&lt;&gt;1),$AL42=$AN$39)," ⊙","")&amp;IF(AND(OR('King Node Model'!$A$8="Neg",N('Level Engine'!$BG$72)=1),ABS(MIN($AM$3:$AM$64))&gt;MAX($AM$3:$AM$64),$AN$2&lt;$AM$2,$AL42&lt;$AM$2,ABS($AL42-$AN$2)&lt;=5,IFERROR(VALUE(MID('King Node Model'!$K$26,FIND(":",'King Node Model'!$K$26)-2,2)),0)&gt;=19,IFERROR(INDEX('Level Engine'!$EJ$9:$EJ$55,MATCH($AL42,'Level Engine'!$AA$9:$AA$55,0)),0)=0,$AN$3&gt;$AM$2)," ⟲rev","")&amp;IF($AL42='King Node Model'!$F$24," ⟂","")&amp;$DJ42&amp;IF(IFERROR(INDEX('Level Engine'!$EN$9:$EN$55,MATCH($AL42,'Level Engine'!$AA$9:$AA$55,0)),0)=1," Ⓟ"&amp;IF(AND(OR('King Node Model'!$A$8="Neg",N('Level Engine'!$BG$72)=1),IFERROR(INDEX('Level Engine'!$AN$9:$AN$55,MATCH($AL42,'Level Engine'!$AA$9:$AA$55,0)),0)&lt;&gt;1)," NO-REV",""),"")&amp;IF(AND(ISNUMBER($AL42),OR(AND(ISNUMBER(SEARCH("chop edge",$E$45)),$AL42='King Node Model'!$AL$42),AND(ISNUMBER(SEARCH("chop edge",$E$46)),$AL42='King Node Model'!$AL$43),AND(ISNUMBER(SEARCH("chop edge",$E$52)),$AL42='King Node Model'!$AL$49),AND(ISNUMBER(SEARCH("chop edge",$E$53)),$AL42='King Node Model'!$AL$50)))," ⒸⒺ","")&amp;IF(AND('Level Engine'!$GJ$4=1,OR($AL42='Level Engine'!$GJ$1,$AL42='Level Engine'!$GJ$2)),"","")&amp;IF(ABS(N(IFERROR(INDEX('Level Engine'!$AE$9:$AE$55,MATCH($AL42,'Level Engine'!$AA$9:$AA$55,0)),0)))&gt;='Level Engine'!$BG$85,IF(N(IFERROR(INDEX('Level Engine'!$AE$9:$AE$55,MATCH($AL42,'Level Engine'!$AA$9:$AA$55,0)),0))&gt;0," Δ+"," Δ−"),"")&amp;IFERROR(IF(AND(ISNUMBER(MATCH($AL42,'Level Engine'!$AA$9:$AA$55,0)),ABS(N(IFERROR(INDEX('Level Engine'!$AE$9:$AE$55,MATCH($AL42,'Level Engine'!$AA$9:$AA$55,0)),0)))&lt;'Level Engine'!$BG$85,ABS(N(IFERROR(INDEX('Level Engine'!$AE$9:$AE$55,MATCH($AL42,'Level Engine'!$AA$9:$AA$55,0)),0)))&lt;=ABS(N(IFERROR(INDEX('Level Engine'!$AE$9:$AE$55,MATCH($AL42+5,'Level Engine'!$AA$9:$AA$55,0)),0))),ABS(N(IFERROR(INDEX('Level Engine'!$AE$9:$AE$55,MATCH($AL42,'Level Engine'!$AA$9:$AA$55,0)),0)))&lt;=ABS(N(IFERROR(INDEX('Level Engine'!$AE$9:$AE$55,MATCH($AL42-5,'Level Engine'!$AA$9:$AA$55,0)),0))),OR(AND(ABS(N(IFERROR(INDEX('Level Engine'!$AE$9:$AE$55,MATCH($AL42+5,'Level Engine'!$AA$9:$AA$55,0)),0)))&gt;='Level Engine'!$BG$85,ABS(N(IFERROR(INDEX('Level Engine'!$AE$9:$AE$55,MATCH($AL42,'Level Engine'!$AA$9:$AA$55,0)),0)))&lt;='Level Engine'!$BG$88*ABS(N(IFERROR(INDEX('Level Engine'!$AE$9:$AE$55,MATCH($AL42+5,'Level Engine'!$AA$9:$AA$55,0)),0)))),AND(ABS(N(IFERROR(INDEX('Level Engine'!$AE$9:$AE$55,MATCH($AL42-5,'Level Engine'!$AA$9:$AA$55,0)),0)))&gt;='Level Engine'!$BG$85,ABS(N(IFERROR(INDEX('Level Engine'!$AE$9:$AE$55,MATCH($AL42,'Level Engine'!$AA$9:$AA$55,0)),0)))&lt;='Level Engine'!$BG$88*ABS(N(IFERROR(INDEX('Level Engine'!$AE$9:$AE$55,MATCH($AL42-5,'Level Engine'!$AA$9:$AA$55,0)),0)))))),IF(AND('King Node Model'!$A$8="Pos",N('Level Engine'!$BG$72)&lt;&gt;1),""," ∅"),""),"")&amp;IF(IFERROR(INDEX('Level Engine'!$JD$9:$JD$55,MATCH($AL42,'Level Engine'!$AA$9:$AA$55,0)),"")="P"," P-OI",IF(IFERROR(INDEX('Level Engine'!$JD$9:$JD$55,MATCH($AL42,'Level Engine'!$AA$9:$AA$55,0)),"")="C"," C-OI",""))</f>
        <v>7690</v>
      </c>
      <c r="C42" s="9" t="str">
        <f t="shared" si="0"/>
        <v/>
      </c>
      <c r="D42"/>
      <c r="E42" s="43" t="s">
        <v>33</v>
      </c>
      <c r="F42" s="44" t="s">
        <v>34</v>
      </c>
      <c r="G42" s="44" t="s">
        <v>35</v>
      </c>
      <c r="H42" s="44" t="s">
        <v>36</v>
      </c>
      <c r="I42" s="44" t="s">
        <v>37</v>
      </c>
      <c r="J42" s="44" t="str">
        <f>"Vanna  now → arrival"</f>
        <v>Vanna  now → arrival</v>
      </c>
      <c r="K42" s="44" t="s">
        <v>2142</v>
      </c>
      <c r="L42" s="44" t="s">
        <v>39</v>
      </c>
      <c r="M42" s="44" t="s">
        <v>40</v>
      </c>
      <c r="N42" s="44" t="s">
        <v>19</v>
      </c>
      <c r="O42" s="45" t="s">
        <v>41</v>
      </c>
      <c r="P42" s="474"/>
      <c r="Q42" s="449" t="str">
        <f>"NEAR SPOT ±25"&amp;IF(ISNUMBER('King Node Model'!$B$4),"  ·  "&amp;TEXT('King Node Model'!$B$4,"0"),"")</f>
        <v>NEAR SPOT ±25  ·  7775</v>
      </c>
      <c r="R42" s="450" t="str">
        <f>"CALLS"</f>
        <v>CALLS</v>
      </c>
      <c r="S42" s="450" t="str">
        <f>"PUTS"</f>
        <v>PUTS</v>
      </c>
      <c r="T42" s="450" t="s">
        <v>1602</v>
      </c>
      <c r="U42" s="451" t="s">
        <v>1603</v>
      </c>
      <c r="V42" s="39"/>
      <c r="W42" s="1" t="str">
        <f>"Why not on 36/37"</f>
        <v>Why not on 36/37</v>
      </c>
      <c r="X42" s="10"/>
      <c r="Y42" s="10"/>
      <c r="Z42" s="46"/>
      <c r="AA42" s="47"/>
      <c r="AB42" s="44"/>
      <c r="AC42" s="44"/>
      <c r="AL42" s="1">
        <f>'King Node Model'!A68</f>
        <v>7690</v>
      </c>
      <c r="AM42" s="10">
        <f>'King Node Model'!C68</f>
        <v>-58328</v>
      </c>
      <c r="AO42" s="10">
        <f>'King Node Model'!B68</f>
        <v>74724</v>
      </c>
      <c r="AY42" s="1">
        <f>IF(AND($B$2="Hide unsafe",$BB42=1),0,IF(AND(OR(AND(AND(ISNUMBER($AL42),OR(AND($AL42&gt;=$AQ$22,$AL42&lt;=$AR$22,$AS$22=1),$AL42=$AQ$22,$AL42=$AR$22,$AL42=$AQ$23,$AL42=$AR$23,$AL42=$AQ$24,$AL42=$AR$24),NOT(OR($AL42=$AN$5,$AL42=$AN$6,$AL42=$AN$7,$AL42=$AN$8,$AL42=$AN$10,$AL42=$AN$11))),NOT(OR(AND('King Node Model'!$P$13="Up",OR($AL42=$AQ$22,$AL42=$AQ$23,$AL42=$AQ$24,$AL42='King Node Model'!$AM$20,$AL42='King Node Model'!$AM$21,$AL42='King Node Model'!$AM$22),OR(AND('King Node Model'!$B$23-$AL42&gt;=0,'King Node Model'!$B$23-$AL42&lt;=5),AND('King Node Model'!$C$23-$AL42&gt;=0,'King Node Model'!$C$23-$AL42&lt;=5))),AND('King Node Model'!$P$13="Down",OR($AL42=$AR$22,$AL42=$AR$23,$AL42=$AR$24,$AL42='King Node Model'!$AN$20,$AL42='King Node Model'!$AN$21,$AL42='King Node Model'!$AN$22),OR(AND($AL42-'King Node Model'!$B$23&gt;=0,$AL42-'King Node Model'!$B$23&lt;=5),AND($AL42-'King Node Model'!$C$24&gt;=0,$AL42-'King Node Model'!$C$24&lt;=5)))))),AND(AND(ISNUMBER($AL42),OR(AND($AL42&gt;=$AQ$22,$AL42&lt;=$AR$22,$AS$22=1),$AL42=$AQ$22,$AL42=$AR$22,$AL42=$AQ$23,$AL42=$AR$23,$AL42=$AQ$24,$AL42=$AR$24,$AL42='King Node Model'!$AL$42,$AL42='King Node Model'!$AL$43),OR($AL42=$AN$5,$AL42=$AN$6,$AL42=$AN$7,$AL42=$AN$8,$AL42=$AN$10,$AL42=$AN$11)),NOT(OR(AND('King Node Model'!$P$13="Up",OR($AL42=$AQ$22,$AL42=$AQ$23,$AL42=$AQ$24,$AL42='King Node Model'!$AM$20,$AL42='King Node Model'!$AM$21,$AL42='King Node Model'!$AM$22),OR(AND('King Node Model'!$B$23-$AL42&gt;=0,'King Node Model'!$B$23-$AL42&lt;=5),AND('King Node Model'!$C$23-$AL42&gt;=0,'King Node Model'!$C$23-$AL42&lt;=5))),AND('King Node Model'!$P$13="Down",OR($AL42=$AR$22,$AL42=$AR$23,$AL42=$AR$24,$AL42='King Node Model'!$AN$20,$AL42='King Node Model'!$AN$21,$AL42='King Node Model'!$AN$22),OR(AND($AL42-'King Node Model'!$B$23&gt;=0,$AL42-'King Node Model'!$B$23&lt;=5),AND($AL42-'King Node Model'!$C$24&gt;=0,$AL42-'King Node Model'!$C$24&lt;=5)))))),AND(AND(ISNUMBER($AL42),OR(AND($AL42&gt;='King Node Model'!$AM$20,$AL42&lt;='King Node Model'!$AN$20,$AS$23=1),$AL42='King Node Model'!$AM$20,$AL42='King Node Model'!$AN$20,$AL42='King Node Model'!$AM$21,$AL42='King Node Model'!$AN$21,$AL42='King Node Model'!$AM$22,$AL42='King Node Model'!$AN$22),NOT(OR($AL42=$AN$5,$AL42=$AN$6,$AL42=$AN$7,$AL42=$AN$8,$AL42=$AN$10,$AL42=$AN$11))),NOT(AND(ISNUMBER('King Node Model'!$F$24),$AL42='King Node Model'!$F$24,IFERROR(INDEX('Level Engine'!$JN$9:$JN$55,MATCH($AL42,'Level Engine'!$AA$9:$AA$55,0)),0)&lt;&gt;1))),AND(AND(ISNUMBER($AL42),OR(AND($AL42&gt;='King Node Model'!$AM$20,$AL42&lt;='King Node Model'!$AN$20,$AS$23=1),$AL42='King Node Model'!$AM$20,$AL42='King Node Model'!$AN$20,$AL42='King Node Model'!$AM$21,$AL42='King Node Model'!$AN$21,$AL42='King Node Model'!$AM$22,$AL42='King Node Model'!$AN$22,$AL42='King Node Model'!$AL$49,$AL42='King Node Model'!$AL$50),OR($AL42=$AN$5,$AL42=$AN$6,$AL42=$AN$7,$AL42=$AN$8,$AL42=$AN$10,$AL42=$AN$11)),NOT(OR(AND('King Node Model'!$P$13="Up",OR($AL42=$AQ$22,$AL42=$AQ$23,$AL42=$AQ$24,$AL42='King Node Model'!$AM$20,$AL42='King Node Model'!$AM$21,$AL42='King Node Model'!$AM$22),OR(AND('King Node Model'!$B$23-$AL42&gt;=0,'King Node Model'!$B$23-$AL42&lt;=5),AND('King Node Model'!$C$23-$AL42&gt;=0,'King Node Model'!$C$23-$AL42&lt;=5))),AND('King Node Model'!$P$13="Down",OR($AL42=$AR$22,$AL42=$AR$23,$AL42=$AR$24,$AL42='King Node Model'!$AN$20,$AL42='King Node Model'!$AN$21,$AL42='King Node Model'!$AN$22),OR(AND($AL42-'King Node Model'!$B$23&gt;=0,$AL42-'King Node Model'!$B$23&lt;=5),AND($AL42-'King Node Model'!$C$24&gt;=0,$AL42-'King Node Model'!$C$24&lt;=5))))))),OR(COUNTIF('Level Engine'!$W$9:$W$14,$AL42)&gt;0,COUNTIF('Level Engine'!$W$18:$W$23,$AL42)&gt;0)),1,0))</f>
        <v>0</v>
      </c>
      <c r="AZ42" s="1">
        <f t="shared" si="1"/>
        <v>0</v>
      </c>
      <c r="BB42" s="1">
        <f>IF(OR(AND($AL42='King Node Model'!$AL$42,$AP$45&lt;&gt;"RASP"),AND($AL42='King Node Model'!$AL$43,$AP$46&lt;&gt;"RASP"),AND($AL42='King Node Model'!$AL$49,$AP$52&lt;&gt;"RASP"),AND($AL42='King Node Model'!$AL$50,$AP$53&lt;&gt;"RASP"),AND($AL42='King Node Model'!$AL$44,$AP$47&lt;&gt;"RASP"),AND($AL42='King Node Model'!$AL$51,$AP$54&lt;&gt;"RASP")),0,IF(AND(AND(ISNUMBER($AL42),OR(AND($AL42&gt;=$AQ$22,$AL42&lt;=$AR$22,$AP$45="RASP"),AND($AL42&gt;=$AQ$23,$AL42&lt;=$AR$23,$AP$46="RASP"),AND($AL42&gt;=$AQ$24,$AL42&lt;=$AR$24,$AP$47="RASP"),AND($AL42&gt;='King Node Model'!$AM$20,$AL42&lt;='King Node Model'!$AN$20,$AP$52="RASP",NOT($L$52=$AW$52)),AND($AL42='King Node Model'!$B$23,$AP$52="RASP",$L$52=$AW$52),AND($AL42&gt;='King Node Model'!$AM$21,$AL42&lt;='King Node Model'!$AN$21,$AP$53="RASP",NOT($L$53=$AW$53)),AND($AL42='King Node Model'!$B$23,$AP$53="RASP",$L$53=$AW$53),AND($AL42&gt;='King Node Model'!$AM$22,$AL42&lt;='King Node Model'!$AN$22,$AP$54="RASP"),AND($AL42&gt;=IFERROR(INDEX('Level Engine'!$AT$9:$AT$55,MATCH('King Node Model'!$AL$42,'Level Engine'!$AA$9:$AA$55,0)),""),$AL42&lt;=IFERROR(INDEX('Level Engine'!$AU$9:$AU$55,MATCH('King Node Model'!$AL$42,'Level Engine'!$AA$9:$AA$55,0)),""),$AP$45="RASP"),AND($AL42&gt;=IFERROR(INDEX('Level Engine'!$AT$9:$AT$55,MATCH('King Node Model'!$AL$43,'Level Engine'!$AA$9:$AA$55,0)),""),$AL42&lt;=IFERROR(INDEX('Level Engine'!$AU$9:$AU$55,MATCH('King Node Model'!$AL$43,'Level Engine'!$AA$9:$AA$55,0)),""),$AP$46="RASP"),AND($AL42&gt;=IFERROR(INDEX('Level Engine'!$AT$9:$AT$55,MATCH('King Node Model'!$AL$44,'Level Engine'!$AA$9:$AA$55,0)),""),$AL42&lt;=IFERROR(INDEX('Level Engine'!$AU$9:$AU$55,MATCH('King Node Model'!$AL$44,'Level Engine'!$AA$9:$AA$55,0)),""),$AP$47="RASP"),AND($AL42&gt;=IFERROR(INDEX('Level Engine'!$AT$9:$AT$55,MATCH('King Node Model'!$AL$49,'Level Engine'!$AA$9:$AA$55,0)),""),$AL42&lt;=IFERROR(INDEX('Level Engine'!$AU$9:$AU$55,MATCH('King Node Model'!$AL$49,'Level Engine'!$AA$9:$AA$55,0)),""),$AP$52="RASP",NOT($L$52=$AW$52)),AND($AL42&gt;=IFERROR(INDEX('Level Engine'!$AT$9:$AT$55,MATCH('King Node Model'!$AL$50,'Level Engine'!$AA$9:$AA$55,0)),""),$AL42&lt;=IFERROR(INDEX('Level Engine'!$AU$9:$AU$55,MATCH('King Node Model'!$AL$50,'Level Engine'!$AA$9:$AA$55,0)),""),$AP$53="RASP",NOT($L$53=$AW$53)),AND($AL42&gt;=IFERROR(INDEX('Level Engine'!$AT$9:$AT$55,MATCH('King Node Model'!$AL$51,'Level Engine'!$AA$9:$AA$55,0)),""),$AL42&lt;=IFERROR(INDEX('Level Engine'!$AU$9:$AU$55,MATCH('King Node Model'!$AL$51,'Level Engine'!$AA$9:$AA$55,0)),""),$AP$54="RASP"))),NOT(AND(ISNUMBER('King Node Model'!$F$24),$AL42='King Node Model'!$F$24,IFERROR(INDEX('Level Engine'!$JN$9:$JN$55,MATCH($AL42,'Level Engine'!$AA$9:$AA$55,0)),0)&lt;&gt;1,$AL42&lt;&gt;'King Node Model'!$AL$42,$AL42&lt;&gt;'King Node Model'!$AL$43,$AL42&lt;&gt;'King Node Model'!$AL$44,$AL42&lt;&gt;'King Node Model'!$AL$49,$AL42&lt;&gt;'King Node Model'!$AL$50,$AL42&lt;&gt;'King Node Model'!$AL$51))),1,0))</f>
        <v>0</v>
      </c>
      <c r="CO42">
        <f>IF(NOT(ISNUMBER($AL42)),"",IF(NOT(ISNUMBER(IFERROR(INDEX('Level Engine'!$FT$9:$FT$55,MATCH($AL42,'Level Engine'!$AA$9:$AA$55,0)),""))),"",IF(IFERROR(INDEX('Level Engine'!$FT$9:$FT$55,MATCH($AL42,'Level Engine'!$AA$9:$AA$55,0)),"")&lt;0,0,2)+IF(ABS(IFERROR(INDEX('Level Engine'!$FT$9:$FT$55,MATCH($AL42,'Level Engine'!$AA$9:$AA$55,0)),""))&gt;='Level Engine'!$FT$2,2,1)))</f>
        <v>2</v>
      </c>
      <c r="DJ42" t="str">
        <f>IF(ISNUMBER($AL42),IF($AL42='Level Engine'!$BG$122," ⫪","")&amp;IF($AL42='Level Engine'!$BG$118," S↑"&amp;IFERROR(INDEX('Level Engine'!$MV$9:$MV$55,MATCH($AL42,'Level Engine'!$AA$9:$AA$55,0)),""),"")&amp;IF($AL42='Level Engine'!$BG$119," S↓"&amp;IFERROR(INDEX('Level Engine'!$MV$9:$MV$55,MATCH($AL42,'Level Engine'!$AA$9:$AA$55,0)),""),"")&amp;IF($AL42='Level Engine'!$BG$120," D↑","")&amp;IF($AL42='Level Engine'!$BG$121," D↓","")&amp;IFERROR(INDEX('Level Engine'!$LG$9:$LG$55,MATCH($AL42,'Level Engine'!$AA$9:$AA$55,0)),"")&amp;IF(IFERROR(INDEX('Level Engine'!$MA$9:$MA$55,MATCH($AL42,'Level Engine'!$AA$9:$AA$55,0)),0)=1," SAND","")&amp;IF(IFERROR(INDEX('Level Engine'!$LM$9:$LM$55,MATCH($AL42,'Level Engine'!$AA$9:$AA$55,0)),0)&gt;0," TP","")&amp;IFERROR(" r"&amp;MATCH($AL42,'Level Engine'!$W$9:$W$14,0),IFERROR(" s"&amp;MATCH($AL42,'Level Engine'!$W$18:$W$23,0),""))&amp;IF($AL42='Level Engine'!$BG$165," ◇","")&amp;IF(N($DZ42)=1,IF($AL42&gt;'Level Engine'!$BG$165," ⚠ DOM↓"," ⚠ DOM↑")&amp;'Level Engine'!$BG$165,""),"")</f>
        <v/>
      </c>
      <c r="DK42" t="str">
        <f>IF(AND(ISNUMBER($AL42),OR($AL42='King Node Model'!$AL$42,$AL42='King Node Model'!$AL$43,$AL42='King Node Model'!$AL$44)),IFERROR(MATCH($AL42,'Level Engine'!$W$9:$W$14,0),""),"")</f>
        <v/>
      </c>
      <c r="DL42" t="str">
        <f>IF(AND(ISNUMBER($AL42),OR($AL42='King Node Model'!$AL$49,$AL42='King Node Model'!$AL$50,$AL42='King Node Model'!$AL$51)),IFERROR(MATCH($AL42,'Level Engine'!$W$18:$W$23,0),""),"")</f>
        <v/>
      </c>
      <c r="DM42">
        <f>IF(AND(ISNUMBER($AL42),IFERROR(INDEX('Level Engine'!$LC$9:$LC$55,MATCH($AL42,'Level Engine'!$AA$9:$AA$55,0)),0)=1,OR($AL42=$AN$3,IFERROR(INDEX('Level Engine'!$LB$9:$LB$55,MATCH($AL42,'Level Engine'!$AA$9:$AA$55,0)),0)=1)),1,0)</f>
        <v>0</v>
      </c>
      <c r="DZ42">
        <f>IF(ISNUMBER($AL42),IF(IFERROR(INDEX('Level Engine'!$NJ$9:$NJ$55,MATCH($AL42,'Level Engine'!$AA$9:$AA$55,0)),0)=1,1,0),0)</f>
      </c>
    </row>
    <row r="43" spans="1:123" s="33" customFormat="1" ht="84.95" customHeight="1" x14ac:dyDescent="0.25">
      <c r="A43" s="7" t="str">
        <f t="shared" si="3"/>
        <v/>
      </c>
      <c r="B43" s="8" t="str">
        <f>TEXT(IF(IF('Level Engine'!$GJ$4=1,$AL43='Level Engine'!$GJ$3,AND($AL43-$AM$2&gt;-2.5,$AL43-$AM$2&lt;=2.5)),$AM$2,$AL43),"0")&amp;IF($AL43=$AN$1," ★","")&amp;IF($AL43=$AN$2," ★","")&amp;IF($AL43=$AN$3," ◆","")&amp;IF(AND(ISNUMBER($AN$4),$AL43=$AN$4)," Ⓕ","")&amp;IF(OR(AND(ISNUMBER('Level Engine'!$BG$87),$AL43='Level Engine'!$BG$87),AND(ISNUMBER('Level Engine'!$BG$105),$AL43='Level Engine'!$BG$105))," ζ","")&amp;IF(AND(ISNUMBER($AN$35),$AL43=$AN$35)," ⓏⒼ","")&amp;IF(OR($AL43='Level Engine'!$CP$4,$AL43='Level Engine'!$CP$5,$AL43='Level Engine'!$CP$6,$AL43='Level Engine'!$CP$7)," ☄","")&amp;IF(OR($AL43=$AN$5,$AL43=$AN$8)," ║1","")&amp;IF(OR($AL43=$AN$6,$AL43=$AN$10)," ║2","")&amp;IF(OR($AL43=$AN$7,$AL43=$AN$11)," ║3","")&amp;IF(OR($AL43=$AN$13,$AL43=$AN$16)," ▣1","")&amp;IF(OR($AL43=$AN$14,$AL43=$AN$17)," ▣2","")&amp;IF(OR($AL43=$AN$15,$AL43=$AN$18)," ▣3","")&amp;IF(AND(NOT(OR(AND(ISNUMBER(SEARCH("chop edge",$E$45)),IFERROR(ABS($AL43-'King Node Model'!$AL$42)&lt;=5,FALSE),NOT(ISNUMBER(SEARCH("UNSAFE",$L$45)))),AND(ISNUMBER(SEARCH("chop edge",$E$46)),IFERROR(ABS($AL43-'King Node Model'!$AL$43)&lt;=5,FALSE),NOT(ISNUMBER(SEARCH("UNSAFE",$L$46)))),AND(ISNUMBER(SEARCH("chop edge",$E$52)),IFERROR(ABS($AL43-'King Node Model'!$AL$49)&lt;=5,FALSE),NOT(ISNUMBER(SEARCH("UNSAFE",$L$52)))),AND(ISNUMBER(SEARCH("chop edge",$E$53)),IFERROR(ABS($AL43-'King Node Model'!$AL$50)&lt;=5,FALSE),NOT(ISNUMBER(SEARCH("UNSAFE",$L$53)))))),OR(AND(IFERROR(INDEX('Level Engine'!$IB$9:$IB$55,MATCH('King Node Model'!$AL$49,'Level Engine'!$AA$9:$AA$55,0)),0)&lt;&gt;1,$AL43=IFERROR(INDEX('Level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Engine'!$AA$9:$AA$55,0)),0)&lt;&gt;1,$AL43=IFERROR(INDEX('Level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edge",$E$45)),IFERROR(ABS($AL43-'King Node Model'!$AL$42)&lt;=5,FALSE),NOT(ISNUMBER(SEARCH("UNSAFE",$L$45)))),AND(ISNUMBER(SEARCH("chop edge",$E$46)),IFERROR(ABS($AL43-'King Node Model'!$AL$43)&lt;=5,FALSE),NOT(ISNUMBER(SEARCH("UNSAFE",$L$46)))),AND(ISNUMBER(SEARCH("chop edge",$E$52)),IFERROR(ABS($AL43-'King Node Model'!$AL$49)&lt;=5,FALSE),NOT(ISNUMBER(SEARCH("UNSAFE",$L$52)))),AND(ISNUMBER(SEARCH("chop edge",$E$53)),IFERROR(ABS($AL43-'King Node Model'!$AL$50)&lt;=5,FALSE),NOT(ISNUMBER(SEARCH("UNSAFE",$L$53)))))),OR(AND(IFERROR(INDEX('Level Engine'!$IB$9:$IB$55,MATCH('King Node Model'!$AL$42,'Level Engine'!$AA$9:$AA$55,0)),0)&lt;&gt;1,$AL43=IFERROR(INDEX('Level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Engine'!$AA$9:$AA$55,0)),0)&lt;&gt;1,$AL43=IFERROR(INDEX('Level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ⒷⓁ"),"")&amp;IF(OR(AND($AL43&gt;='King Node Model'!$AM$17,$AL43&lt;='King Node Model'!$AN$17,$AP$45="RASP"),AND($AL43&gt;='King Node Model'!$AM$18,$AL43&lt;='King Node Model'!$AN$18,$AP$46="RASP"),AND($AL43&gt;='King Node Model'!$AM$19,$AL43&lt;='King Node Model'!$AN$19,$AP$47="RASP"),AND($AL43&gt;='King Node Model'!$AM$20,$AL43&lt;='King Node Model'!$AN$20,$AP$52="RASP"),AND($AL43&gt;='King Node Model'!$AM$21,$AL43&lt;='King Node Model'!$AN$21,$AP$53="RASP"),AND($AL43&gt;='King Node Model'!$AM$22,$AL43&lt;='King Node Model'!$AN$22,$AP$54="RASP")),"","")&amp;IF(IF('Level Engine'!$GJ$4=1,$AL43='Level Engine'!$GJ$3,AND($AL43-$AM$2&gt;-2.5,$AL43-$AM$2&lt;=2.5))," ◄","")&amp;IF(IFERROR(INDEX('Level Engine'!$GV$9:$GV$55,MATCH($AL43,'Level Engine'!$AA$9:$AA$55,0)),0)=1," Ⓥ"&amp;IF(IFERROR(INDEX('Level Engine'!$ET$9:$ET$55,MATCH($AL43,'Level Engine'!$AA$9:$AA$55,0)),0)=1,"+",""),"")&amp;IF(OR(AND($AL43=$AN$38,IFERROR(INDEX('Level Engine'!$AN$9:$AN$55,MATCH($AL43,'Level Engine'!$AA$9:$AA$55,0)),0)&lt;&gt;1),$AL43=$AN$39)," ⊙","")&amp;IF(AND(OR('King Node Model'!$A$8="Neg",N('Level Engine'!$BG$72)=1),ABS(MIN($AM$3:$AM$64))&gt;MAX($AM$3:$AM$64),$AN$2&lt;$AM$2,$AL43&lt;$AM$2,ABS($AL43-$AN$2)&lt;=5,IFERROR(VALUE(MID('King Node Model'!$K$26,FIND(":",'King Node Model'!$K$26)-2,2)),0)&gt;=19,IFERROR(INDEX('Level Engine'!$EJ$9:$EJ$55,MATCH($AL43,'Level Engine'!$AA$9:$AA$55,0)),0)=0,$AN$3&gt;$AM$2)," ⟲rev","")&amp;IF($AL43='King Node Model'!$F$24," ⟂","")&amp;$DJ43&amp;IF(IFERROR(INDEX('Level Engine'!$EN$9:$EN$55,MATCH($AL43,'Level Engine'!$AA$9:$AA$55,0)),0)=1," Ⓟ"&amp;IF(AND(OR('King Node Model'!$A$8="Neg",N('Level Engine'!$BG$72)=1),IFERROR(INDEX('Level Engine'!$AN$9:$AN$55,MATCH($AL43,'Level Engine'!$AA$9:$AA$55,0)),0)&lt;&gt;1)," NO-REV",""),"")&amp;IF(AND(ISNUMBER($AL43),OR(AND(ISNUMBER(SEARCH("chop edge",$E$45)),$AL43='King Node Model'!$AL$42),AND(ISNUMBER(SEARCH("chop edge",$E$46)),$AL43='King Node Model'!$AL$43),AND(ISNUMBER(SEARCH("chop edge",$E$52)),$AL43='King Node Model'!$AL$49),AND(ISNUMBER(SEARCH("chop edge",$E$53)),$AL43='King Node Model'!$AL$50)))," ⒸⒺ","")&amp;IF(AND('Level Engine'!$GJ$4=1,OR($AL43='Level Engine'!$GJ$1,$AL43='Level Engine'!$GJ$2)),"","")&amp;IF(ABS(N(IFERROR(INDEX('Level Engine'!$AE$9:$AE$55,MATCH($AL43,'Level Engine'!$AA$9:$AA$55,0)),0)))&gt;='Level Engine'!$BG$85,IF(N(IFERROR(INDEX('Level Engine'!$AE$9:$AE$55,MATCH($AL43,'Level Engine'!$AA$9:$AA$55,0)),0))&gt;0," Δ+"," Δ−"),"")&amp;IFERROR(IF(AND(ISNUMBER(MATCH($AL43,'Level Engine'!$AA$9:$AA$55,0)),ABS(N(IFERROR(INDEX('Level Engine'!$AE$9:$AE$55,MATCH($AL43,'Level Engine'!$AA$9:$AA$55,0)),0)))&lt;'Level Engine'!$BG$85,ABS(N(IFERROR(INDEX('Level Engine'!$AE$9:$AE$55,MATCH($AL43,'Level Engine'!$AA$9:$AA$55,0)),0)))&lt;=ABS(N(IFERROR(INDEX('Level Engine'!$AE$9:$AE$55,MATCH($AL43+5,'Level Engine'!$AA$9:$AA$55,0)),0))),ABS(N(IFERROR(INDEX('Level Engine'!$AE$9:$AE$55,MATCH($AL43,'Level Engine'!$AA$9:$AA$55,0)),0)))&lt;=ABS(N(IFERROR(INDEX('Level Engine'!$AE$9:$AE$55,MATCH($AL43-5,'Level Engine'!$AA$9:$AA$55,0)),0))),OR(AND(ABS(N(IFERROR(INDEX('Level Engine'!$AE$9:$AE$55,MATCH($AL43+5,'Level Engine'!$AA$9:$AA$55,0)),0)))&gt;='Level Engine'!$BG$85,ABS(N(IFERROR(INDEX('Level Engine'!$AE$9:$AE$55,MATCH($AL43,'Level Engine'!$AA$9:$AA$55,0)),0)))&lt;='Level Engine'!$BG$88*ABS(N(IFERROR(INDEX('Level Engine'!$AE$9:$AE$55,MATCH($AL43+5,'Level Engine'!$AA$9:$AA$55,0)),0)))),AND(ABS(N(IFERROR(INDEX('Level Engine'!$AE$9:$AE$55,MATCH($AL43-5,'Level Engine'!$AA$9:$AA$55,0)),0)))&gt;='Level Engine'!$BG$85,ABS(N(IFERROR(INDEX('Level Engine'!$AE$9:$AE$55,MATCH($AL43,'Level Engine'!$AA$9:$AA$55,0)),0)))&lt;='Level Engine'!$BG$88*ABS(N(IFERROR(INDEX('Level Engine'!$AE$9:$AE$55,MATCH($AL43-5,'Level Engine'!$AA$9:$AA$55,0)),0)))))),IF(AND('King Node Model'!$A$8="Pos",N('Level Engine'!$BG$72)&lt;&gt;1),""," ∅"),""),"")&amp;IF(IFERROR(INDEX('Level Engine'!$JD$9:$JD$55,MATCH($AL43,'Level Engine'!$AA$9:$AA$55,0)),"")="P"," P-OI",IF(IFERROR(INDEX('Level Engine'!$JD$9:$JD$55,MATCH($AL43,'Level Engine'!$AA$9:$AA$55,0)),"")="C"," C-OI",""))</f>
        <v>7685 P-OI</v>
      </c>
      <c r="C43" s="9" t="str">
        <f t="shared" si="0"/>
        <v/>
      </c>
      <c r="D43" t="str">
        <f>IF(NOT(ISNUMBER($AL43)),"",IF(IFERROR(INDEX('Level Engine'!$FS$9:$FS$55,MATCH($AL43,'Level Engine'!$AA$9:$AA$55,0)),0)=1,"⊙",""))</f>
        <v/>
      </c>
      <c r="E43" s="428" t="str">
        <f>((IF('King Node Model'!$BB$42="","",'King Node Model'!$BB$42&amp;IFERROR(" ·r"&amp;MATCH('King Node Model'!$BA$42,'Level Engine'!$W$9:$W$14,0),"")&amp;IF(AND('King Node Model'!$AB$18&lt;&gt;"",ISNUMBER('King Node Model'!$BA$42),'King Node Model'!$AB$18&gt;=IFERROR(IF(ISNUMBER(INDEX('Level Engine'!$AT$9:$AT$55,MATCH('King Node Model'!$BA$42,'Level Engine'!$AA$9:$AA$55,0))),INDEX('Level Engine'!$AT$9:$AT$55,MATCH('King Node Model'!$BA$42,'Level Engine'!$AA$9:$AA$55,0)),'King Node Model'!$BA$42),'King Node Model'!$BA$42),'King Node Model'!$AB$18&lt;=IFERROR(IF(ISNUMBER(INDEX('Level Engine'!$AU$9:$AU$55,MATCH('King Node Model'!$BA$42,'Level Engine'!$AA$9:$AA$55,0))),INDEX('Level Engine'!$AU$9:$AU$55,MATCH('King Node Model'!$BA$42,'Level Engine'!$AA$9:$AA$55,0)),'King Node Model'!$BA$42),'King Node Model'!$BA$42))," ‹chop edge"&amp;IF('King Node Model'!$BA$42='King Node Model'!$AB$18,""," "&amp;TEXT('King Node Model'!$AB$18,"0"))&amp;"›","")))&amp;IFERROR(IF(AND(ISNUMBER('King Node Model'!$BA$42),AND(ISNUMBER(MATCH('King Node Model'!$BA$42+5,'Level Engine'!$AA$9:$AA$55,0)),ABS(N(IFERROR(INDEX('Level Engine'!$AE$9:$AE$55,MATCH('King Node Model'!$BA$42+5,'Level Engine'!$AA$9:$AA$55,0)),0)))&lt;'Level Engine'!$BG$85,ABS(N(IFERROR(INDEX('Level Engine'!$AE$9:$AE$55,MATCH('King Node Model'!$BA$42+5,'Level Engine'!$AA$9:$AA$55,0)),0)))&lt;=ABS(N(IFERROR(INDEX('Level Engine'!$AE$9:$AE$55,MATCH(('King Node Model'!$BA$42+5)+5,'Level Engine'!$AA$9:$AA$55,0)),0))),ABS(N(IFERROR(INDEX('Level Engine'!$AE$9:$AE$55,MATCH('King Node Model'!$BA$42+5,'Level Engine'!$AA$9:$AA$55,0)),0)))&lt;=ABS(N(IFERROR(INDEX('Level Engine'!$AE$9:$AE$55,MATCH(('King Node Model'!$BA$42+5)-5,'Level Engine'!$AA$9:$AA$55,0)),0))),OR(AND(ABS(N(IFERROR(INDEX('Level Engine'!$AE$9:$AE$55,MATCH(('King Node Model'!$BA$42+5)+5,'Level Engine'!$AA$9:$AA$55,0)),0)))&gt;='Level Engine'!$BG$85,ABS(N(IFERROR(INDEX('Level Engine'!$AE$9:$AE$55,MATCH('King Node Model'!$BA$42+5,'Level Engine'!$AA$9:$AA$55,0)),0)))&lt;='Level Engine'!$BG$88*ABS(N(IFERROR(INDEX('Level Engine'!$AE$9:$AE$55,MATCH(('King Node Model'!$BA$42+5)+5,'Level Engine'!$AA$9:$AA$55,0)),0)))),AND(ABS(N(IFERROR(INDEX('Level Engine'!$AE$9:$AE$55,MATCH(('King Node Model'!$BA$42+5)-5,'Level Engine'!$AA$9:$AA$55,0)),0)))&gt;='Level Engine'!$BG$85,ABS(N(IFERROR(INDEX('Level Engine'!$AE$9:$AE$55,MATCH('King Node Model'!$BA$42+5,'Level Engine'!$AA$9:$AA$55,0)),0)))&lt;='Level Engine'!$BG$88*ABS(N(IFERROR(INDEX('Level Engine'!$AE$9:$AE$55,MATCH(('King Node Model'!$BA$42+5)-5,'Level Engine'!$AA$9:$AA$55,0)),0))))))),IF(AND('King Node Model'!$A$8="Pos",N('Level Engine'!$BG$72)&lt;&gt;1),""," → ∅"&amp;TEXT('King Node Model'!$BA$42+5,"0")),""),""))&amp;IF(IFERROR(AND('King Node Model'!$A$8="Pos",ISNUMBER('Level Engine'!$BG$87),ISNUMBER('King Node Model'!$BA$42),'King Node Model'!$BA$42='Level Engine'!$BG$87),FALSE)," ζ","")</f>
        <v>7780 ⟂ ·r5</v>
      </c>
      <c r="F43" s="509">
        <f>IF($E43="","",'King Node Model'!$BA42-'King Node Model'!$B$4)</f>
        <v>4.6099999999996726</v>
      </c>
      <c r="G43" s="533">
        <f>IF($E43="","",'King Node Model'!BC42)</f>
        <v>-2299593</v>
      </c>
      <c r="H43" s="429" t="str">
        <f>IF($E43="","",'King Node Model'!BQ42)</f>
        <v>Dex Zom Dex↓ Zsh P-OI</v>
      </c>
      <c r="I43" s="430">
        <f>IF($E43="","",'King Node Model'!BE42)</f>
        <v>5</v>
      </c>
      <c r="J43" s="429" t="str">
        <f>IF($E43="","",IFERROR(IF(OR(INDEX('Level Engine'!$IY$9:$IY$55,MATCH(--LEFT($E43,4),'Level Engine'!$AA$9:$AA$55,0))="SELL",INDEX('Level Engine'!$IY$9:$IY$55,MATCH(--LEFT($E43,4),'Level Engine'!$AA$9:$AA$55,0))="BUY"),IF(AND(N('Level Engine'!$BG$78)=1,IF('Level Engine'!$BG$80&lt;&gt;"",UPPER('Level Engine'!$BG$80),'Level Engine'!$D$5)="UP"),"TURNING",INDEX('Level Engine'!$IY$9:$IY$55,MATCH(--LEFT($E43,4),'Level Engine'!$AA$9:$AA$55,0)))&amp;" "&amp;IF(ABS(INDEX('Level Engine'!$AD$9:$AD$55,MATCH(--LEFT($E43,4),'Level Engine'!$AA$9:$AA$55,0)))&gt;=1000000,TEXT(INDEX('Level Engine'!$AD$9:$AD$55,MATCH(--LEFT($E43,4),'Level Engine'!$AA$9:$AA$55,0))/1000000,"+0.00;-0.00")&amp;"M",TEXT(INDEX('Level Engine'!$AD$9:$AD$55,MATCH(--LEFT($E43,4),'Level Engine'!$AA$9:$AA$55,0))/1000,"+0;-0")&amp;"K"),"—")&amp;IF(OR(INDEX('Level Engine'!$KF$9:$KF$55,MATCH(--LEFT($E43,4),'Level Engine'!$AA$9:$AA$55,0))="BUY",INDEX('Level Engine'!$KF$9:$KF$55,MATCH(--LEFT($E43,4),'Level Engine'!$AA$9:$AA$55,0))="SELL")," → "&amp;INDEX('Level Engine'!$KF$9:$KF$55,MATCH(--LEFT($E43,4),'Level Engine'!$AA$9:$AA$55,0))&amp;IF(ABS(N(INDEX('Level Engine'!$AD$9:$AD$55,MATCH(--LEFT($E43,4),'Level Engine'!$AA$9:$AA$55,0))))&gt;='Level Engine'!$BG$94,IF(OR(AND(INDEX('Level Engine'!$AG$9:$AG$55,MATCH(--LEFT($E43,4),'Level Engine'!$AA$9:$AA$55,0))="R",INDEX('Level Engine'!$KF$9:$KF$55,MATCH(--LEFT($E43,4),'Level Engine'!$AA$9:$AA$55,0))="SELL"),AND(INDEX('Level Engine'!$AG$9:$AG$55,MATCH(--LEFT($E43,4),'Level Engine'!$AA$9:$AA$55,0))="S",INDEX('Level Engine'!$KF$9:$KF$55,MATCH(--LEFT($E43,4),'Level Engine'!$AA$9:$AA$55,0))="BUY"))," ✓"," ✗"),""),""),"—"))</f>
        <v>BUY -699K → BUY ✗</v>
      </c>
      <c r="K43" s="429" t="str">
        <f>(IF(AND($E43&lt;&gt;"",IFERROR(AND('King Node Model'!$A$8="Pos",OR(ISNUMBER('Level Engine'!$BG$87),ISNUMBER('Level Engine'!$BG$105)),ISNUMBER('King Node Model'!$BA$42),OR('King Node Model'!$BA$42='Level Engine'!$BG$87,'King Node Model'!$BA$42='Level Engine'!$BG$105)),FALSE)),IF('King Node Model'!$BA$42='Level Engine'!$BG$105,"ζ MAX ZOMMA ","ζ MIN ZOMMA ")&amp;TEXT(IFERROR(INDEX('Level Engine'!$AF$9:$AF$55,MATCH('King Node Model'!$BA$42,'Level Engine'!$AA$9:$AA$55,0)),0)/1000000,"+0.0;-0.0")&amp;"M"&amp;CHAR(10),"")&amp;(IF(OR($E43="",NOT(ISNUMBER('King Node Model'!$BA$42))),"",TEXT('King Node Model'!$BA$42,"0")&amp;" "&amp;(IF($E43="","",IF(NOT(ISNUMBER('King Node Model'!$BA$42)),"",SUBSTITUTE(IFERROR(INDEX('Level Engine'!$EQ$9:$EQ$55,MATCH('King Node Model'!$BA$42,'Level Engine'!$AA$9:$AA$55,0)),"")," (sub-threshold)","")&amp;IF(COUNTIF('Level Engine'!$ES$9:$ES$55,"&gt;"&amp;IFERROR(INDEX('Level Engine'!$ES$9:$ES$55,MATCH('King Node Model'!$BA$42,'Level Engine'!$AA$9:$AA$55,0)),0))+1&lt;=8," ("&amp;IF(IFERROR(INDEX('Level Engine'!$ES$9:$ES$55,MATCH('King Node Model'!$BA$42,'Level Engine'!$AA$9:$AA$55,0)),0)&gt;='Level Engine'!$S$10,"","sub-threshold, ")&amp;"r"&amp;TEXT(COUNTIF('Level Engine'!$ES$9:$ES$55,"&gt;"&amp;IFERROR(INDEX('Level Engine'!$ES$9:$ES$55,MATCH('King Node Model'!$BA$42,'Level Engine'!$AA$9:$AA$55,0)),0))+1,"0")&amp;")","")&amp;IF(AND(IFERROR(INDEX('Level Engine'!$AT$9:$AT$55,MATCH('King Node Model'!$BA$42,'Level Engine'!$AA$9:$AA$55,0)),'King Node Model'!$BA$42)&lt;&gt;IFERROR(INDEX('Level Engine'!$AU$9:$AU$55,MATCH('King Node Model'!$BA$42,'Level Engine'!$AA$9:$AA$55,0)),'King Node Model'!$BA$42),IF(IF(IFERROR(INDEX('Level Engine'!$KC$9:$KC$55,MATCH('King Node Model'!$BA$42,'Level Engine'!$AA$9:$AA$55,0)),IF('Level Engine'!$BG$80&lt;&gt;"",UPPER('Level Engine'!$BG$80),UPPER('Level Engine'!$D$5)))="UP",SIGN(IFERROR(INDEX('Level Engine'!$AF$9:$AF$55,MATCH('King Node Model'!$BA$42,'Level Engine'!$AA$9:$AA$55,0)),0)),IF(IFERROR(INDEX('Level Engine'!$KC$9:$KC$55,MATCH('King Node Model'!$BA$42,'Level Engine'!$AA$9:$AA$55,0)),IF('Level Engine'!$BG$80&lt;&gt;"",UPPER('Level Engine'!$BG$80),UPPER('Level Engine'!$D$5)))="DOWN",-SIGN(IFERROR(INDEX('Level Engine'!$AF$9:$AF$55,MATCH('King Node Model'!$BA$42,'Level Engine'!$AA$9:$AA$55,0)),0)),0))=1,"firming","thinning")&lt;&gt;IF(IF(IFERROR(INDEX('Level Engine'!$KC$9:$KC$55,MATCH('King Node Model'!$BA$42,'Level Engine'!$AA$9:$AA$55,0)),IF('Level Engine'!$BG$80&lt;&gt;"",UPPER('Level Engine'!$BG$80),UPPER('Level Engine'!$D$5)))="UP",SIGN(IFERROR(INDEX('Level Engine'!$AF$9:$AF$55,MATCH(IF('King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Engine'!$AA$9:$AA$55,0)),0)),IF(IFERROR(INDEX('Level Engine'!$KC$9:$KC$55,MATCH('King Node Model'!$BA$42,'Level Engine'!$AA$9:$AA$55,0)),IF('Level Engine'!$BG$80&lt;&gt;"",UPPER('Level Engine'!$BG$80),UPPER('Level Engine'!$D$5)))="DOWN",-SIGN(IFERROR(INDEX('Level Engine'!$AF$9:$AF$55,MATCH(IF('King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Engine'!$AA$9:$AA$55,0)),0)),0))=1,"firming","thinning"))," / "&amp;TEXT(IF('King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Model'!$BA$42)),"0")&amp;" "&amp;IF(IF(IFERROR(INDEX('Level Engine'!$KC$9:$KC$55,MATCH('King Node Model'!$BA$42,'Level Engine'!$AA$9:$AA$55,0)),IF('Level Engine'!$BG$80&lt;&gt;"",UPPER('Level Engine'!$BG$80),UPPER('Level Engine'!$D$5)))="UP",SIGN(IFERROR(INDEX('Level Engine'!$AF$9:$AF$55,MATCH(IF('King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Engine'!$AA$9:$AA$55,0)),0)),IF(IFERROR(INDEX('Level Engine'!$KC$9:$KC$55,MATCH('King Node Model'!$BA$42,'Level Engine'!$AA$9:$AA$55,0)),IF('Level Engine'!$BG$80&lt;&gt;"",UPPER('Level Engine'!$BG$80),UPPER('Level Engine'!$D$5)))="DOWN",-SIGN(IFERROR(INDEX('Level Engine'!$AF$9:$AF$55,MATCH(IF('King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Engine'!$AA$9:$AA$55,0)),0)),0))=1,"firming","thinning")&amp;" the ceiling ("&amp;IF(IFERROR(INDEX('Level Engine'!$ES$9:$ES$55,MATCH(IF('King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Engine'!$AA$9:$AA$55,0)),0)&gt;='Level Engine'!$S$10,"",IF(IFERROR(INDEX('Level Engine'!$ES$9:$ES$55,MATCH(IF('King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Engine'!$AA$9:$AA$55,0)),0)&gt;='Level Engine'!$S$16,"sub-threshold, ","magnitude weak, "))&amp;"r"&amp;TEXT(COUNTIF('Level Engine'!$ES$9:$ES$55,"&gt;"&amp;IFERROR(INDEX('Level Engine'!$ES$9:$ES$55,MATCH(IF('King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Engine'!$AA$9:$AA$55,0)),0))+1,"0")&amp;")","")))))))&amp;IF(AND($E43&lt;&gt;"",ISNUMBER('King Node Model'!$BA$42)),CHAR(10)&amp;IFERROR(INDEX('Level Engine'!$KE$9:$KE$55,MATCH('King Node Model'!$BA$42,'Level Engine'!$AA$9:$AA$55,0)),""),"")</f>
        <v>7780 ACCEL fading · Neg gamma ↓ (firmer resistance) (r2)
Now: strengthening the ceiling (IV rising) · if IV falls: weakens the ceiling · expected on arrival: STRENGTHENS ✓</v>
      </c>
      <c r="L43" s="429" t="str">
        <f>IF($E43="","","")</f>
        <v/>
      </c>
      <c r="M43" s="431" t="str">
        <f>IF(AND(AND('King Node Model'!$A$8="Pos",IFERROR(IFERROR(INDEX('Level Engine'!$CZ$9:$CZ$55,MATCH('King Node Model'!$BA$42,'Level Engine'!$AA$9:$AA$55,0)),0)=1,FALSE),N(IFERROR(INDEX('Level Engine'!$AB$9:$AB$55,MATCH('King Node Model'!$BA$42,'Level Engine'!$AA$9:$AA$55,0)),0))&lt;0),NOT(ISNUMBER(SEARCH("REVERSAL",(IF($E43="","",'King Node Model'!BP42)))))),"REVERSAL · ","")&amp;SUBSTITUTE(SUBSTITUTE(SUBSTITUTE(SUBSTITUTE((IF($E43="","",'King Node Model'!BP42)),"dEdge Cliff",IF(AND('King Node Model'!$A$8="Pos",IFERROR(IFERROR(INDEX('Level Engine'!$CZ$9:$CZ$55,MATCH('King Node Model'!$BA$42,'Level Engine'!$AA$9:$AA$55,0)),0)=1,FALSE),N(IFERROR(INDEX('Level Engine'!$AB$9:$AB$55,MATCH('King Node Model'!$BA$42,'Level Engine'!$AA$9:$AA$55,0)),0))&lt;0),"Put Wall · dEdge Cliff","dEdge Cliff"))," · accelerates",IF(AND('King Node Model'!$A$8="Pos",IFERROR(IFERROR(INDEX('Level Engine'!$CZ$9:$CZ$55,MATCH('King Node Model'!$BA$42,'Level Engine'!$AA$9:$AA$55,0)),0)=1,FALSE),N(IFERROR(INDEX('Level Engine'!$AB$9:$AB$55,MATCH('King Node Model'!$BA$42,'Level Engine'!$AA$9:$AA$55,0)),0))&lt;0),""," · accelerates")),"REVERSAL · ",IF(AND('King Node Model'!$A$8="Pos",IFERROR(IFERROR(INDEX('Level Engine'!$CZ$9:$CZ$55,MATCH('King Node Model'!$BA$42,'Level Engine'!$AA$9:$AA$55,0)),0)=1,FALSE),N(IFERROR(INDEX('Level Engine'!$AB$9:$AB$55,MATCH('King Node Model'!$BA$42,'Level Engine'!$AA$9:$AA$55,0)),0))&gt;0,N('Level Engine'!$BG$109)=1),"","REVERSAL · ")),"REVERSAL",IF(AND('King Node Model'!$A$8="Pos",IFERROR(IFERROR(INDEX('Level Engine'!$CZ$9:$CZ$55,MATCH('King Node Model'!$BA$42,'Level Engine'!$AA$9:$AA$55,0)),0)=1,FALSE),N(IFERROR(INDEX('Level Engine'!$AB$9:$AB$55,MATCH('King Node Model'!$BA$42,'Level Engine'!$AA$9:$AA$55,0)),0))&gt;0,N('Level Engine'!$BG$109)=1),"","REVERSAL"))</f>
        <v>REVERSAL · Cluster · accelerates ‹nearest›</v>
      </c>
      <c r="N43" s="431" t="str">
        <f>IF($E43="","","—")</f>
        <v>—</v>
      </c>
      <c r="O43" s="463" t="str">
        <f>IF($E43="","","")</f>
        <v/>
      </c>
      <c r="P43" s="475"/>
      <c r="Q43" s="452" t="str">
        <f t="shared" ref="Q43:Q51" si="21">IF(NOT(ISNUMBER($BK43)),"",TEXT($BK43,"0")&amp;IF($BQ43="", " ", "   ·   "&amp;$BQ43)&amp;IF(OR(NOT(ISNUMBER($BL43)),NOT(ISNUMBER($BM43)),($BL43+$BM43)=0),"","  "&amp;TEXT(MAX($BL43,$BM43)/($BL43+$BM43),"0%"))&amp;IF($BR43="", " ", " "&amp;$BR43))</f>
        <v xml:space="preserve">7795   52% </v>
      </c>
      <c r="R43" s="447" t="str">
        <f t="shared" ref="R43:R51" si="22">IF(NOT(ISNUMBER($BN43)),"",IF($BL43&gt;=10000,TEXT($BL43/1000,"0")&amp;"k",IF($BL43&gt;=1000,TEXT($BL43/1000,"0.0")&amp;"k",TEXT($BL43,"0")))&amp;" "&amp;REPT("▉",ROUND(8*$BL43/($BL43+$BM43),0)))</f>
        <v>944 ▉▉▉▉</v>
      </c>
      <c r="S43" s="484" t="str">
        <f t="shared" ref="S43:S51" si="23">IF(NOT(ISNUMBER($BN43)),"",REPT("▉",8-ROUND(8*$BL43/($BL43+$BM43),0))&amp;" "&amp;IF($BM43&gt;=10000,TEXT($BM43/1000,"0")&amp;"k",IF($BM43&gt;=1000,TEXT($BM43/1000,"0.0")&amp;"k",TEXT($BM43,"0"))))</f>
        <v>▉▉▉▉ 886</v>
      </c>
      <c r="T43" s="484" t="str">
        <f t="shared" ref="T43:T51" si="24">IF(NOT(ISNUMBER($BW43)),"","g"&amp;TEXT($BW43,"0"))</f>
        <v>g8</v>
      </c>
      <c r="U43" s="453" t="str">
        <f t="shared" ref="U43:U51" si="25">$BY43</f>
        <v/>
      </c>
      <c r="V43" s="39"/>
      <c r="W43" s="420" t="str">
        <f>IF($E43="","",IF(NOT(ISNUMBER('King Node Model'!$BA$42)),"",IF('King Node Model'!$BA$42='King Node Model'!$AL$42,"this is the level on line 36",IF('King Node Model'!$BA$42='King Node Model'!$AL$43,"this is the level on line 37",IF(AND(ISNUMBER(IFERROR(INDEX('Level Engine'!$AT$9:$AT$55,MATCH('King Node Model'!$BA$42,'Level Engine'!$AA$9:$AA$55,0)),"")),ISNUMBER(IFERROR(INDEX('Level Engine'!$AU$9:$AU$55,MATCH('King Node Model'!$BA$42,'Level Engine'!$AA$9:$AA$55,0)),"")),IFERROR(INDEX('Level Engine'!$AT$9:$AT$55,MATCH('King Node Model'!$BA$42,'Level Engine'!$AA$9:$AA$55,0)),"")=IFERROR(INDEX('Level Engine'!$AU$9:$AU$55,MATCH('King Node Model'!$BA$42,'Level Engine'!$AA$9:$AA$55,0)),""),ISNUMBER('King Node Model'!$AL$42),'King Node Model'!$AL$42&lt;&gt;'King Node Model'!$BA$42,ISNUMBER(IFERROR(INDEX('Level Engine'!$AT$9:$AT$55,MATCH('King Node Model'!$AL$42,'Level Engine'!$AA$9:$AA$55,0)),"")),ISNUMBER(IFERROR(INDEX('Level Engine'!$AU$9:$AU$55,MATCH('King Node Model'!$AL$42,'Level Engine'!$AA$9:$AA$55,0)),"")),IFERROR(INDEX('Level Engine'!$AT$9:$AT$55,MATCH('King Node Model'!$AL$42,'Level Engine'!$AA$9:$AA$55,0)),"")&lt;&gt;IFERROR(INDEX('Level Engine'!$AU$9:$AU$55,MATCH('King Node Model'!$AL$42,'Level Engine'!$AA$9:$AA$55,0)),""),'King Node Model'!$BA$42&gt;=IFERROR(INDEX('Level Engine'!$AT$9:$AT$55,MATCH('King Node Model'!$AL$42,'Level Engine'!$AA$9:$AA$55,0)),""),'King Node Model'!$BA$42&lt;=IFERROR(INDEX('Level Engine'!$AU$9:$AU$55,MATCH('King Node Model'!$AL$42,'Level Engine'!$AA$9:$AA$55,0)),"")),"suppressed by the box de-duplication rule: it qualified and ranked r"&amp;IFERROR(TEXT(MATCH('King Node Model'!$BA$42,'Level Engine'!$W$9:$W$14,0),"0"),"?")&amp;", but its own box is a single strike and it sits inside the box on line 36",IF(AND(IFERROR(INDEX('Level Engine'!$CU$9:$CU$55,MATCH('King Node Model'!$BA$42,'Level Engine'!$AA$9:$AA$55,0)),0)=1,NOT(ISNUMBER(IFERROR(INDEX('Level Engine'!$BT$9:$BT$55,MATCH('King Node Model'!$BA$42,'Level Engine'!$AA$9:$AA$55,0)),"")))),"it qualified, but it is number "&amp;IFERROR(TEXT(MATCH('King Node Model'!$BA$42,'Level Engine'!$W$9:$W$14,0),"0"),"?")&amp;" on the strength list and only the top 3 get a ladder place (no exemption applies)",IF(IFERROR(INDEX('Level Engine'!$CU$9:$CU$55,MATCH('King Node Model'!$BA$42,'Level Engine'!$AA$9:$AA$55,0)),0)=1,"qualified and ranked, but line 36 holds "&amp;IF(ISNUMBER('King Node Model'!$AL$42),TEXT('King Node Model'!$AL$42,"0"),"nothing")&amp;" and line 37 holds "&amp;IF(ISNUMBER('King Node Model'!$AL$43),TEXT('King Node Model'!$AL$43,"0"),"nothing"),IF(LEN($AU43)=0,"it clears every gate listed - but is not on the strength list","failed: "&amp;MID($AU43,4,900)))))))))</f>
        <v>this is the level on line 36</v>
      </c>
      <c r="X43" s="10"/>
      <c r="Y43" s="10"/>
      <c r="Z43" s="46"/>
      <c r="AA43" s="47"/>
      <c r="AB43" s="44"/>
      <c r="AC43" s="44"/>
      <c r="AE43" s="420"/>
      <c r="AL43" s="1">
        <f>'King Node Model'!A69</f>
        <v>7685</v>
      </c>
      <c r="AM43" s="10">
        <f>'King Node Model'!C69</f>
        <v>-63513</v>
      </c>
      <c r="AN43" s="420"/>
      <c r="AO43" s="10">
        <f>'King Node Model'!B69</f>
        <v>67289</v>
      </c>
      <c r="AP43" s="420"/>
      <c r="AU43" t="str">
        <f>IF(NOT(ISNUMBER('King Node Model'!$BA$42)),"",IF(IFERROR(INDEX('Level Engine'!$EM$9:$EM$55,MATCH('King Node Model'!$BA$42,'Level Engine'!$AA$9:$AA$55,0)),0)=1," | "&amp;"it is an inner shelf, which is ruled out on its own","")&amp;IF(IFERROR(INDEX('Level Engine'!$AG$9:$AG$55,MATCH('King Node Model'!$BA$42,'Level Engine'!$AA$9:$AA$55,0)),chr)&lt;&gt;"R"," | "&amp;"it is not tagged as a resistance level","")&amp;IF(COUNTIF('Level Engine'!$W$9:$W$14,'King Node Model'!$BA$42)=0," | "&amp;"it is not on the Level Engine strength list (W9:W14)","")&amp;IF(ABS('King Node Model'!$BA$42-'King Node Model'!$B$4)&gt;'Level Engine'!$BG$7," | "&amp;"too far away: "&amp;TEXT(ABS('King Node Model'!$BA$42-'King Node Model'!$B$4),"0")&amp;" pts from spot, only "&amp;TEXT('Level Engine'!$BG$7,"0")&amp;" pts are looked at","")&amp;IF(IFERROR(INDEX('Level Engine'!$BK$9:$BK$55,MATCH('King Node Model'!$BA$42,'Level Engine'!$AA$9:$AA$55,0)),0)=1," | "&amp;" it is folded into "&amp;TEXT(('King Node Model'!$BA$42-5),"0")&amp;", the stronger reversal one strike closer to spot","")&amp;IF(IFERROR(INDEX('Level Engine'!$DH$9:$DH$55,MATCH('King Node Model'!$BA$42,'Level Engine'!$AA$9:$AA$55,0)),0)=1," | "&amp;"it is a shelf sitting inside a box, so the box level is shown in its place","")&amp;IF(IFERROR(INDEX('Level Engine'!$CI$9:$CI$55,MATCH('King Node Model'!$BA$42,'Level Engine'!$AA$9:$AA$55,0)),0)&lt;&gt;0," | "&amp;"it is accelerating, not holding (negative GEX with zomma falling)","")&amp;IF(NOT(OR(IFERROR(INDEX('Level Engine'!$AM$9:$AM$55,MATCH('King Node Model'!$BA$42,'Level Engine'!$AA$9:$AA$55,0)),0)&gt;=IF(OR('King Node Model'!$A$8="Neg",N('Level Engine'!$BG$72)=1),'Level Engine'!$BG$20,3),'King Node Model'!$BA$42='King Node Model'!$D$26,IFERROR(INDEX('Level Engine'!$DT$9:$DT$55,MATCH('King Node Model'!$BA$42,'Level Engine'!$AA$9:$AA$55,0)),0)=1))," | "&amp;"fewer than "&amp;IF(OR('King Node Model'!$A$8="Neg",N('Level Engine'!$BG$72)=1),'Level Engine'!$BG$20,3)&amp;" backers ("&amp;TEXT(IFERROR(INDEX('Level Engine'!$AM$9:$AM$55,MATCH('King Node Model'!$BA$42,'Level Engine'!$AA$9:$AA$55,0)),0),"0")&amp;") and it is neither the king node nor an nVanna level","")&amp;IF(IFERROR(INDEX('Level Engine'!$AM$9:$AM$55,MATCH('King Node Model'!$BA$42,'Level Engine'!$AA$9:$AA$55,0)),0)&lt;'Level Engine'!$BG$20," | "&amp;"not enough agrees here: "&amp;TEXT(IFERROR(INDEX('Level Engine'!$AM$9:$AM$55,MATCH('King Node Model'!$BA$42,'Level Engine'!$AA$9:$AA$55,0)),0),"0")&amp;" backers, needs at least "&amp;TEXT('Level Engine'!$BG$20,"0"),"")&amp;IF(IFERROR(INDEX('Level Engine'!$AC$9:$AC$55,MATCH('King Node Model'!$BA$42,'Level Engine'!$AA$9:$AA$55,0)),0)&lt;='Level Engine'!$BG$19," | "&amp;"too small: gamma is "&amp;TEXT(IFERROR(INDEX('Level Engine'!$AC$9:$AC$55,MATCH('King Node Model'!$BA$42,'Level Engine'!$AA$9:$AA$55,0)),0),"#,##0")&amp;", it has to be bigger than "&amp;TEXT('Level Engine'!$BG$19,"#,##0"),"")&amp;IF(LEN($AV43)&gt;0," | "&amp;"nothing is switched on at it - "&amp;$AV43,""))</f>
        <v/>
      </c>
      <c r="AV43" t="str">
        <f>IF(NOT(ISNUMBER('King Node Model'!$BA$42)),"",IF(IF((OR('King Node Model'!$A$8="Neg",N('Level Engine'!$BG$72)=1)),OR(IFERROR(INDEX('Level Engine'!$AN$9:$AN$55,MATCH('King Node Model'!$BA$42,'Level Engine'!$AA$9:$AA$55,0)),0)=1,'King Node Model'!$BA$42='King Node Model'!$D$26,AND(OR('King Node Model'!$BA$42='Level Engine'!$CP$4,'King Node Model'!$BA$42='Level Engine'!$CP$5,'King Node Model'!$BA$42='Level Engine'!$CP$6,'King Node Model'!$BA$42='Level Engine'!$CP$7),ABS('King Node Model'!$BA$42-'King Node Model'!$B$4)&lt;=30),OR(ISNUMBER(SEARCH("STRENGTHENING",IFERROR(INDEX('Level Engine'!$CG$9:$CG$55,MATCH('King Node Model'!$BA$42,'Level Engine'!$AA$9:$AA$55,0)),""))),ISNUMBER(SEARCH("firmer resistance",IFERROR(INDEX('Level Engine'!$CG$9:$CG$55,MATCH('King Node Model'!$BA$42,'Level Engine'!$AA$9:$AA$55,0)),"")))),AND(IFERROR(INDEX('Level Engine'!$AX$9:$AX$55,MATCH('King Node Model'!$BA$42,'Level Engine'!$AA$9:$AA$55,0)),0)=1,'Level Engine'!$D$5="DOWN"),AND(IFERROR(INDEX('Level Engine'!$BY$9:$BY$55,MATCH('King Node Model'!$BA$42,'Level Engine'!$AA$9:$AA$55,0)),0)=1,'King Node Model'!$BA$42&gt;'King Node Model'!$B$4),IFERROR(INDEX('Level Engine'!$BX$9:$BX$55,MATCH('King Node Model'!$BA$42,'Level Engine'!$AA$9:$AA$55,0)),0)=1),OR(IFERROR(INDEX('Level Engine'!$AN$9:$AN$55,MATCH('King Node Model'!$BA$42,'Level Engine'!$AA$9:$AA$55,0)),0)=1,'King Node Model'!$BA$42='King Node Model'!$D$26,AND(OR('King Node Model'!$BA$42='Level Engine'!$CP$4,'King Node Model'!$BA$42='Level Engine'!$CP$5,'King Node Model'!$BA$42='Level Engine'!$CP$6,'King Node Model'!$BA$42='Level Engine'!$CP$7),ABS('King Node Model'!$BA$42-'King Node Model'!$B$4)&lt;=30),OR(ISNUMBER(SEARCH("STRENGTHENING",IFERROR(INDEX('Level Engine'!$CG$9:$CG$55,MATCH('King Node Model'!$BA$42,'Level Engine'!$AA$9:$AA$55,0)),""))),ISNUMBER(SEARCH("firmer resistance",IFERROR(INDEX('Level Engine'!$CG$9:$CG$55,MATCH('King Node Model'!$BA$42,'Level Engine'!$AA$9:$AA$55,0)),"")))),AND(IFERROR(INDEX('Level Engine'!$AX$9:$AX$55,MATCH('King Node Model'!$BA$42,'Level Engine'!$AA$9:$AA$55,0)),0)=1,'Level Engine'!$D$5="DOWN"),IFERROR(INDEX('Level Engine'!$AC$9:$AC$55,MATCH('King Node Model'!$BA$42,'Level Engine'!$AA$9:$AA$55,0)),0)&gt;=MAX('Level Engine'!$AC$9:$AC$55),IFERROR(INDEX('Level Engine'!$BC$9:$BC$55,MATCH('King Node Model'!$BA$42,'Level Engine'!$AA$9:$AA$55,0)),0)&gt;0)),"","reversal flag ("&amp;IF(IFERROR(INDEX('Level Engine'!$AN$9:$AN$55,MATCH('King Node Model'!$BA$42,'Level Engine'!$AA$9:$AA$55,0)),0)=1,"on","off")&amp;"), "&amp;"king node ("&amp;IF('King Node Model'!$BA$42='King Node Model'!$D$26,"on","off")&amp;"), "&amp;"gravity point within 30 pts ("&amp;IF(AND(OR('King Node Model'!$BA$42='Level Engine'!$CP$4,'King Node Model'!$BA$42='Level Engine'!$CP$5,'King Node Model'!$BA$42='Level Engine'!$CP$6,'King Node Model'!$BA$42='Level Engine'!$CP$7),ABS('King Node Model'!$BA$42-'King Node Model'!$B$4)&lt;=30),"on","off")&amp;"), "&amp;"zomma tag STRENGTHENING/firmer ("&amp;IF(OR(ISNUMBER(SEARCH("STRENGTHENING",IFERROR(INDEX('Level Engine'!$CG$9:$CG$55,MATCH('King Node Model'!$BA$42,'Level Engine'!$AA$9:$AA$55,0)),""))),ISNUMBER(SEARCH("firmer resistance",IFERROR(INDEX('Level Engine'!$CG$9:$CG$55,MATCH('King Node Model'!$BA$42,'Level Engine'!$AA$9:$AA$55,0)),"")))),"on","off")&amp;"), "&amp;"big vomma with IV falling ("&amp;IF(AND(IFERROR(INDEX('Level Engine'!$AX$9:$AX$55,MATCH('King Node Model'!$BA$42,'Level Engine'!$AA$9:$AA$55,0)),0)=1,'Level Engine'!$D$5="DOWN"),"on","off")&amp;")"&amp;IF((OR('King Node Model'!$A$8="Neg",N('Level Engine'!$BG$72)=1)),", GEX sign flip at the next strike ("&amp;IF(AND(IFERROR(INDEX('Level Engine'!$BY$9:$BY$55,MATCH('King Node Model'!$BA$42,'Level Engine'!$AA$9:$AA$55,0)),0)=1,'King Node Model'!$BA$42&gt;'King Node Model'!$B$4),"on","off")&amp;")"&amp;", positive GEX in a negative tape ("&amp;IF(IFERROR(INDEX('Level Engine'!$BX$9:$BX$55,MATCH('King Node Model'!$BA$42,'Level Engine'!$AA$9:$AA$55,0)),0)=1,"on","off")&amp;")",", biggest gamma on the board ("&amp;IF(IFERROR(INDEX('Level Engine'!$AC$9:$AC$55,MATCH('King Node Model'!$BA$42,'Level Engine'!$AA$9:$AA$55,0)),0)&gt;=MAX('Level Engine'!$AC$9:$AC$55),"on","off")&amp;")"&amp;", positive GEX ("&amp;IF(IFERROR(INDEX('Level Engine'!$BC$9:$BC$55,MATCH('King Node Model'!$BA$42,'Level Engine'!$AA$9:$AA$55,0)),0)&gt;0,"on","off")&amp;")")))</f>
        <v/>
      </c>
      <c r="AY43" s="1">
        <f>IF(AND($B$2="Hide unsafe",$BB43=1),0,IF(AND(OR(AND(AND(ISNUMBER($AL43),OR(AND($AL43&gt;=$AQ$22,$AL43&lt;=$AR$22,$AS$22=1),$AL43=$AQ$22,$AL43=$AR$22,$AL43=$AQ$23,$AL43=$AR$23,$AL43=$AQ$24,$AL43=$AR$24),NOT(OR($AL43=$AN$5,$AL43=$AN$6,$AL43=$AN$7,$AL43=$AN$8,$AL43=$AN$10,$AL43=$AN$11))),NOT(OR(AND('King Node Model'!$P$13="Up",OR($AL43=$AQ$22,$AL43=$AQ$23,$AL43=$AQ$24,$AL43='King Node Model'!$AM$20,$AL43='King Node Model'!$AM$21,$AL43='King Node Model'!$AM$22),OR(AND('King Node Model'!$B$23-$AL43&gt;=0,'King Node Model'!$B$23-$AL43&lt;=5),AND('King Node Model'!$C$23-$AL43&gt;=0,'King Node Model'!$C$23-$AL43&lt;=5))),AND('King Node Model'!$P$13="Down",OR($AL43=$AR$22,$AL43=$AR$23,$AL43=$AR$24,$AL43='King Node Model'!$AN$20,$AL43='King Node Model'!$AN$21,$AL43='King Node Model'!$AN$22),OR(AND($AL43-'King Node Model'!$B$23&gt;=0,$AL43-'King Node Model'!$B$23&lt;=5),AND($AL43-'King Node Model'!$C$24&gt;=0,$AL43-'King Node Model'!$C$24&lt;=5)))))),AND(AND(ISNUMBER($AL43),OR(AND($AL43&gt;=$AQ$22,$AL43&lt;=$AR$22,$AS$22=1),$AL43=$AQ$22,$AL43=$AR$22,$AL43=$AQ$23,$AL43=$AR$23,$AL43=$AQ$24,$AL43=$AR$24,$AL43='King Node Model'!$AL$42,$AL43='King Node Model'!$AL$43),OR($AL43=$AN$5,$AL43=$AN$6,$AL43=$AN$7,$AL43=$AN$8,$AL43=$AN$10,$AL43=$AN$11)),NOT(OR(AND('King Node Model'!$P$13="Up",OR($AL43=$AQ$22,$AL43=$AQ$23,$AL43=$AQ$24,$AL43='King Node Model'!$AM$20,$AL43='King Node Model'!$AM$21,$AL43='King Node Model'!$AM$22),OR(AND('King Node Model'!$B$23-$AL43&gt;=0,'King Node Model'!$B$23-$AL43&lt;=5),AND('King Node Model'!$C$23-$AL43&gt;=0,'King Node Model'!$C$23-$AL43&lt;=5))),AND('King Node Model'!$P$13="Down",OR($AL43=$AR$22,$AL43=$AR$23,$AL43=$AR$24,$AL43='King Node Model'!$AN$20,$AL43='King Node Model'!$AN$21,$AL43='King Node Model'!$AN$22),OR(AND($AL43-'King Node Model'!$B$23&gt;=0,$AL43-'King Node Model'!$B$23&lt;=5),AND($AL43-'King Node Model'!$C$24&gt;=0,$AL43-'King Node Model'!$C$24&lt;=5)))))),AND(AND(ISNUMBER($AL43),OR(AND($AL43&gt;='King Node Model'!$AM$20,$AL43&lt;='King Node Model'!$AN$20,$AS$23=1),$AL43='King Node Model'!$AM$20,$AL43='King Node Model'!$AN$20,$AL43='King Node Model'!$AM$21,$AL43='King Node Model'!$AN$21,$AL43='King Node Model'!$AM$22,$AL43='King Node Model'!$AN$22),NOT(OR($AL43=$AN$5,$AL43=$AN$6,$AL43=$AN$7,$AL43=$AN$8,$AL43=$AN$10,$AL43=$AN$11))),NOT(AND(ISNUMBER('King Node Model'!$F$24),$AL43='King Node Model'!$F$24,IFERROR(INDEX('Level Engine'!$JN$9:$JN$55,MATCH($AL43,'Level Engine'!$AA$9:$AA$55,0)),0)&lt;&gt;1))),AND(AND(ISNUMBER($AL43),OR(AND($AL43&gt;='King Node Model'!$AM$20,$AL43&lt;='King Node Model'!$AN$20,$AS$23=1),$AL43='King Node Model'!$AM$20,$AL43='King Node Model'!$AN$20,$AL43='King Node Model'!$AM$21,$AL43='King Node Model'!$AN$21,$AL43='King Node Model'!$AM$22,$AL43='King Node Model'!$AN$22,$AL43='King Node Model'!$AL$49,$AL43='King Node Model'!$AL$50),OR($AL43=$AN$5,$AL43=$AN$6,$AL43=$AN$7,$AL43=$AN$8,$AL43=$AN$10,$AL43=$AN$11)),NOT(OR(AND('King Node Model'!$P$13="Up",OR($AL43=$AQ$22,$AL43=$AQ$23,$AL43=$AQ$24,$AL43='King Node Model'!$AM$20,$AL43='King Node Model'!$AM$21,$AL43='King Node Model'!$AM$22),OR(AND('King Node Model'!$B$23-$AL43&gt;=0,'King Node Model'!$B$23-$AL43&lt;=5),AND('King Node Model'!$C$23-$AL43&gt;=0,'King Node Model'!$C$23-$AL43&lt;=5))),AND('King Node Model'!$P$13="Down",OR($AL43=$AR$22,$AL43=$AR$23,$AL43=$AR$24,$AL43='King Node Model'!$AN$20,$AL43='King Node Model'!$AN$21,$AL43='King Node Model'!$AN$22),OR(AND($AL43-'King Node Model'!$B$23&gt;=0,$AL43-'King Node Model'!$B$23&lt;=5),AND($AL43-'King Node Model'!$C$24&gt;=0,$AL43-'King Node Model'!$C$24&lt;=5))))))),OR(COUNTIF('Level Engine'!$W$9:$W$14,$AL43)&gt;0,COUNTIF('Level Engine'!$W$18:$W$23,$AL43)&gt;0)),1,0))</f>
        <v>0</v>
      </c>
      <c r="AZ43" s="1">
        <f t="shared" si="1"/>
        <v>0</v>
      </c>
      <c r="BB43" s="1">
        <f>IF(OR(AND($AL43='King Node Model'!$AL$42,$AP$45&lt;&gt;"RASP"),AND($AL43='King Node Model'!$AL$43,$AP$46&lt;&gt;"RASP"),AND($AL43='King Node Model'!$AL$49,$AP$52&lt;&gt;"RASP"),AND($AL43='King Node Model'!$AL$50,$AP$53&lt;&gt;"RASP"),AND($AL43='King Node Model'!$AL$44,$AP$47&lt;&gt;"RASP"),AND($AL43='King Node Model'!$AL$51,$AP$54&lt;&gt;"RASP")),0,IF(AND(AND(ISNUMBER($AL43),OR(AND($AL43&gt;=$AQ$22,$AL43&lt;=$AR$22,$AP$45="RASP"),AND($AL43&gt;=$AQ$23,$AL43&lt;=$AR$23,$AP$46="RASP"),AND($AL43&gt;=$AQ$24,$AL43&lt;=$AR$24,$AP$47="RASP"),AND($AL43&gt;='King Node Model'!$AM$20,$AL43&lt;='King Node Model'!$AN$20,$AP$52="RASP",NOT($L$52=$AW$52)),AND($AL43='King Node Model'!$B$23,$AP$52="RASP",$L$52=$AW$52),AND($AL43&gt;='King Node Model'!$AM$21,$AL43&lt;='King Node Model'!$AN$21,$AP$53="RASP",NOT($L$53=$AW$53)),AND($AL43='King Node Model'!$B$23,$AP$53="RASP",$L$53=$AW$53),AND($AL43&gt;='King Node Model'!$AM$22,$AL43&lt;='King Node Model'!$AN$22,$AP$54="RASP"),AND($AL43&gt;=IFERROR(INDEX('Level Engine'!$AT$9:$AT$55,MATCH('King Node Model'!$AL$42,'Level Engine'!$AA$9:$AA$55,0)),""),$AL43&lt;=IFERROR(INDEX('Level Engine'!$AU$9:$AU$55,MATCH('King Node Model'!$AL$42,'Level Engine'!$AA$9:$AA$55,0)),""),$AP$45="RASP"),AND($AL43&gt;=IFERROR(INDEX('Level Engine'!$AT$9:$AT$55,MATCH('King Node Model'!$AL$43,'Level Engine'!$AA$9:$AA$55,0)),""),$AL43&lt;=IFERROR(INDEX('Level Engine'!$AU$9:$AU$55,MATCH('King Node Model'!$AL$43,'Level Engine'!$AA$9:$AA$55,0)),""),$AP$46="RASP"),AND($AL43&gt;=IFERROR(INDEX('Level Engine'!$AT$9:$AT$55,MATCH('King Node Model'!$AL$44,'Level Engine'!$AA$9:$AA$55,0)),""),$AL43&lt;=IFERROR(INDEX('Level Engine'!$AU$9:$AU$55,MATCH('King Node Model'!$AL$44,'Level Engine'!$AA$9:$AA$55,0)),""),$AP$47="RASP"),AND($AL43&gt;=IFERROR(INDEX('Level Engine'!$AT$9:$AT$55,MATCH('King Node Model'!$AL$49,'Level Engine'!$AA$9:$AA$55,0)),""),$AL43&lt;=IFERROR(INDEX('Level Engine'!$AU$9:$AU$55,MATCH('King Node Model'!$AL$49,'Level Engine'!$AA$9:$AA$55,0)),""),$AP$52="RASP",NOT($L$52=$AW$52)),AND($AL43&gt;=IFERROR(INDEX('Level Engine'!$AT$9:$AT$55,MATCH('King Node Model'!$AL$50,'Level Engine'!$AA$9:$AA$55,0)),""),$AL43&lt;=IFERROR(INDEX('Level Engine'!$AU$9:$AU$55,MATCH('King Node Model'!$AL$50,'Level Engine'!$AA$9:$AA$55,0)),""),$AP$53="RASP",NOT($L$53=$AW$53)),AND($AL43&gt;=IFERROR(INDEX('Level Engine'!$AT$9:$AT$55,MATCH('King Node Model'!$AL$51,'Level Engine'!$AA$9:$AA$55,0)),""),$AL43&lt;=IFERROR(INDEX('Level Engine'!$AU$9:$AU$55,MATCH('King Node Model'!$AL$51,'Level Engine'!$AA$9:$AA$55,0)),""),$AP$54="RASP"))),NOT(AND(ISNUMBER('King Node Model'!$F$24),$AL43='King Node Model'!$F$24,IFERROR(INDEX('Level Engine'!$JN$9:$JN$55,MATCH($AL43,'Level Engine'!$AA$9:$AA$55,0)),0)&lt;&gt;1,$AL43&lt;&gt;'King Node Model'!$AL$42,$AL43&lt;&gt;'King Node Model'!$AL$43,$AL43&lt;&gt;'King Node Model'!$AL$44,$AL43&lt;&gt;'King Node Model'!$AL$49,$AL43&lt;&gt;'King Node Model'!$AL$50,$AL43&lt;&gt;'King Node Model'!$AL$51))),1,0))</f>
        <v>0</v>
      </c>
      <c r="BK43">
        <f>IFERROR(LARGE($CH$43:$CH$51,1),"")</f>
        <v>7795</v>
      </c>
      <c r="BL43">
        <f>IFERROR(INDEX('King Node Model'!$K$29:$K$75,MATCH($BK43,'King Node Model'!$A$29:$A$75,0)),"")</f>
        <v>944</v>
      </c>
      <c r="BM43">
        <f>IFERROR(INDEX('King Node Model'!$L$29:$L$75,MATCH($BK43,'King Node Model'!$A$29:$A$75,0)),"")</f>
        <v>886</v>
      </c>
      <c r="BN43">
        <f t="shared" ref="BN43:BN51" si="26">IF(AND(ISNUMBER($BL43),ISNUMBER($BM43)),IF(($BL43+$BM43)=0,"",($BM43-$BL43)/($BM43+$BL43)),"")</f>
        <v>-3.169398907103825E-2</v>
      </c>
      <c r="BO43">
        <f>IFERROR(INDEX('Level Engine'!$AC$9:$AC$55,MATCH($BK43,'Level Engine'!$AA$9:$AA$55,0))/MAX('Level Engine'!$AC$9:$AC$55),"")</f>
        <v>0.32636257060927604</v>
      </c>
      <c r="BP43">
        <f>IF(NOT(ISNUMBER($BK43)),"",IF($BK43&gt;'King Node Model'!$B$4,1,-1))</f>
        <v>1</v>
      </c>
      <c r="BQ43" t="str">
        <f>IF(OR(NOT(ISNUMBER($BN43)),NOT(ISNUMBER($BO43))),"",IF($BO43&lt;0.15,"thin",IF(OR('King Node Model'!$A$8="Neg",N('Level Engine'!$BG$72)=1),"",IF($BP43=1,IF($BN43&lt;=-0.4,"HARD ceil",IF($BN43&lt;=-0.15,"ceil",IF($BN43&lt;0.15,"neutral","soft ceil"))),IF($BN43&gt;=0.4,"FIRM floor",IF($BN43&gt;=0.15,"floor",IF($BN43&gt;-0.15,"neutral","WEAK floor"))))&amp;IF($BO43&lt;0.25," ·marginal",""))))</f>
        <v/>
      </c>
      <c r="BR43" t="str">
        <f>IF(NOT(ISNUMBER($BN43)),"",IF(OR('King Node Model'!$A$8="Neg",N('Level Engine'!$BG$72)=1),"",IF(AND($BP43=1,$BN43&gt;0.15),"⚠",IF(AND($BP43=-1,$BN43&lt;-0.15),"⚠",""))))</f>
        <v/>
      </c>
      <c r="BW43">
        <f t="shared" ref="BW43:BW51" si="27">IF(NOT(ISNUMBER($BO43)),"",COUNTIF($BO$43:$BO$51,"&gt;"&amp;$BO43)+1)</f>
        <v>8</v>
      </c>
      <c r="BX43">
        <f t="shared" ref="BX43:BX51" si="28">IF(NOT(ISNUMBER($BZ43)),"",COUNTIF($BZ$43:$BZ$51,"&gt;"&amp;$BZ43)+1)</f>
        <v>7</v>
      </c>
      <c r="BY43" t="str">
        <f t="shared" ref="BY43:BY51" si="29">IF(OR(NOT(ISNUMBER($BW43)),NOT(ISNUMBER($BX43))),"",IF($BW43=1,"biggest gamma in band",IF(AND($BX43&lt;=3,$BW43-$BX43&gt;=3),"thin for its OI",IF(AND($BW43&lt;=3,$BX43-$BW43&gt;=3),"heavy for its OI",""))))</f>
        <v/>
      </c>
      <c r="BZ43">
        <f t="shared" ref="BZ43:BZ51" si="30">IF(OR(NOT(ISNUMBER($BL43)),NOT(ISNUMBER($BM43))),"",$BL43+$BM43)</f>
        <v>1830</v>
      </c>
      <c r="CH43">
        <f>IF($CI43&lt;=0,"",IFERROR(SUMPRODUCT(MAX((('King Node Model'!$A$29:$A$75&gt;='King Node Model'!$B$4-25)*('King Node Model'!$A$29:$A$75&lt;='King Node Model'!$B$4+25)*('King Node Model'!$A$29:$A$75&gt;0)*((626-('King Node Model'!$A$29:$A$75-'King Node Model'!$B$4)^2)*1000000+'King Node Model'!$A$29:$A$75)=$CI43)*'King Node Model'!$A$29:$A$75)),""))</f>
        <v>7775</v>
      </c>
      <c r="CI43">
        <f>IFERROR(SUMPRODUCT(LARGE(('King Node Model'!$A$29:$A$75&gt;='King Node Model'!$B$4-25)*('King Node Model'!$A$29:$A$75&lt;='King Node Model'!$B$4+25)*('King Node Model'!$A$29:$A$75&gt;0)*((626-('King Node Model'!$A$29:$A$75-'King Node Model'!$B$4)^2)*1000000+'King Node Model'!$A$29:$A$75),1)),0)</f>
        <v>625855674.99999976</v>
      </c>
      <c r="CO43">
        <f>IF(NOT(ISNUMBER($AL43)),"",IF(NOT(ISNUMBER(IFERROR(INDEX('Level Engine'!$FT$9:$FT$55,MATCH($AL43,'Level Engine'!$AA$9:$AA$55,0)),""))),"",IF(IFERROR(INDEX('Level Engine'!$FT$9:$FT$55,MATCH($AL43,'Level Engine'!$AA$9:$AA$55,0)),"")&lt;0,0,2)+IF(ABS(IFERROR(INDEX('Level Engine'!$FT$9:$FT$55,MATCH($AL43,'Level Engine'!$AA$9:$AA$55,0)),""))&gt;='Level Engine'!$FT$2,2,1)))</f>
        <v>2</v>
      </c>
      <c r="CX43"/>
      <c r="DJ43" t="str">
        <f>IF(ISNUMBER($AL43),IF($AL43='Level Engine'!$BG$122," ⫪","")&amp;IF($AL43='Level Engine'!$BG$118," S↑"&amp;IFERROR(INDEX('Level Engine'!$MV$9:$MV$55,MATCH($AL43,'Level Engine'!$AA$9:$AA$55,0)),""),"")&amp;IF($AL43='Level Engine'!$BG$119," S↓"&amp;IFERROR(INDEX('Level Engine'!$MV$9:$MV$55,MATCH($AL43,'Level Engine'!$AA$9:$AA$55,0)),""),"")&amp;IF($AL43='Level Engine'!$BG$120," D↑","")&amp;IF($AL43='Level Engine'!$BG$121," D↓","")&amp;IFERROR(INDEX('Level Engine'!$LG$9:$LG$55,MATCH($AL43,'Level Engine'!$AA$9:$AA$55,0)),"")&amp;IF(IFERROR(INDEX('Level Engine'!$MA$9:$MA$55,MATCH($AL43,'Level Engine'!$AA$9:$AA$55,0)),0)=1," SAND","")&amp;IF(IFERROR(INDEX('Level Engine'!$LM$9:$LM$55,MATCH($AL43,'Level Engine'!$AA$9:$AA$55,0)),0)&gt;0," TP","")&amp;IFERROR(" r"&amp;MATCH($AL43,'Level Engine'!$W$9:$W$14,0),IFERROR(" s"&amp;MATCH($AL43,'Level Engine'!$W$18:$W$23,0),""))&amp;IF($AL43='Level Engine'!$BG$165," ◇","")&amp;IF(N($DZ43)=1,IF($AL43&gt;'Level Engine'!$BG$165," ⚠ DOM↓"," ⚠ DOM↑")&amp;'Level Engine'!$BG$165,""),"")</f>
        <v/>
      </c>
      <c r="DK43" t="str">
        <f>IF(AND(ISNUMBER($AL43),OR($AL43='King Node Model'!$AL$42,$AL43='King Node Model'!$AL$43,$AL43='King Node Model'!$AL$44)),IFERROR(MATCH($AL43,'Level Engine'!$W$9:$W$14,0),""),"")</f>
        <v/>
      </c>
      <c r="DL43" t="str">
        <f>IF(AND(ISNUMBER($AL43),OR($AL43='King Node Model'!$AL$49,$AL43='King Node Model'!$AL$50,$AL43='King Node Model'!$AL$51)),IFERROR(MATCH($AL43,'Level Engine'!$W$18:$W$23,0),""),"")</f>
        <v/>
      </c>
      <c r="DM43">
        <f>IF(AND(ISNUMBER($AL43),IFERROR(INDEX('Level Engine'!$LC$9:$LC$55,MATCH($AL43,'Level Engine'!$AA$9:$AA$55,0)),0)=1,OR($AL43=$AN$3,IFERROR(INDEX('Level Engine'!$LB$9:$LB$55,MATCH($AL43,'Level Engine'!$AA$9:$AA$55,0)),0)=1)),1,0)</f>
        <v>0</v>
      </c>
      <c r="DZ43">
        <f>IF(ISNUMBER($AL43),IF(IFERROR(INDEX('Level Engine'!$NJ$9:$NJ$55,MATCH($AL43,'Level Engine'!$AA$9:$AA$55,0)),0)=1,1,0),0)</f>
      </c>
      <c r="EA43">
        <f>IF($E43="",0,IF(IFERROR(INDEX('Level Engine'!$NJ$9:$NJ$55,MATCH(IFERROR(VALUE(LEFT($E43,4)),0),'Level Engine'!$AA$9:$AA$55,0)),0)=1,1,0))</f>
      </c>
    </row>
    <row r="44" spans="1:123" s="33" customFormat="1" ht="84.95" customHeight="1" x14ac:dyDescent="0.25">
      <c r="A44" s="7" t="str">
        <f t="shared" si="3"/>
        <v>█</v>
      </c>
      <c r="B44" s="8" t="str">
        <f>TEXT(IF(IF('Level Engine'!$GJ$4=1,$AL44='Level Engine'!$GJ$3,AND($AL44-$AM$2&gt;-2.5,$AL44-$AM$2&lt;=2.5)),$AM$2,$AL44),"0")&amp;IF($AL44=$AN$1," ★","")&amp;IF($AL44=$AN$2," ★","")&amp;IF($AL44=$AN$3," ◆","")&amp;IF(AND(ISNUMBER($AN$4),$AL44=$AN$4)," Ⓕ","")&amp;IF(OR(AND(ISNUMBER('Level Engine'!$BG$87),$AL44='Level Engine'!$BG$87),AND(ISNUMBER('Level Engine'!$BG$105),$AL44='Level Engine'!$BG$105))," ζ","")&amp;IF(AND(ISNUMBER($AN$35),$AL44=$AN$35)," ⓏⒼ","")&amp;IF(OR($AL44='Level Engine'!$CP$4,$AL44='Level Engine'!$CP$5,$AL44='Level Engine'!$CP$6,$AL44='Level Engine'!$CP$7)," ☄","")&amp;IF(OR($AL44=$AN$5,$AL44=$AN$8)," ║1","")&amp;IF(OR($AL44=$AN$6,$AL44=$AN$10)," ║2","")&amp;IF(OR($AL44=$AN$7,$AL44=$AN$11)," ║3","")&amp;IF(OR($AL44=$AN$13,$AL44=$AN$16)," ▣1","")&amp;IF(OR($AL44=$AN$14,$AL44=$AN$17)," ▣2","")&amp;IF(OR($AL44=$AN$15,$AL44=$AN$18)," ▣3","")&amp;IF(AND(NOT(OR(AND(ISNUMBER(SEARCH("chop edge",$E$45)),IFERROR(ABS($AL44-'King Node Model'!$AL$42)&lt;=5,FALSE),NOT(ISNUMBER(SEARCH("UNSAFE",$L$45)))),AND(ISNUMBER(SEARCH("chop edge",$E$46)),IFERROR(ABS($AL44-'King Node Model'!$AL$43)&lt;=5,FALSE),NOT(ISNUMBER(SEARCH("UNSAFE",$L$46)))),AND(ISNUMBER(SEARCH("chop edge",$E$52)),IFERROR(ABS($AL44-'King Node Model'!$AL$49)&lt;=5,FALSE),NOT(ISNUMBER(SEARCH("UNSAFE",$L$52)))),AND(ISNUMBER(SEARCH("chop edge",$E$53)),IFERROR(ABS($AL44-'King Node Model'!$AL$50)&lt;=5,FALSE),NOT(ISNUMBER(SEARCH("UNSAFE",$L$53)))))),OR(AND(IFERROR(INDEX('Level Engine'!$IB$9:$IB$55,MATCH('King Node Model'!$AL$49,'Level Engine'!$AA$9:$AA$55,0)),0)&lt;&gt;1,$AL44=IFERROR(INDEX('Level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Engine'!$AA$9:$AA$55,0)),0)&lt;&gt;1,$AL44=IFERROR(INDEX('Level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edge",$E$45)),IFERROR(ABS($AL44-'King Node Model'!$AL$42)&lt;=5,FALSE),NOT(ISNUMBER(SEARCH("UNSAFE",$L$45)))),AND(ISNUMBER(SEARCH("chop edge",$E$46)),IFERROR(ABS($AL44-'King Node Model'!$AL$43)&lt;=5,FALSE),NOT(ISNUMBER(SEARCH("UNSAFE",$L$46)))),AND(ISNUMBER(SEARCH("chop edge",$E$52)),IFERROR(ABS($AL44-'King Node Model'!$AL$49)&lt;=5,FALSE),NOT(ISNUMBER(SEARCH("UNSAFE",$L$52)))),AND(ISNUMBER(SEARCH("chop edge",$E$53)),IFERROR(ABS($AL44-'King Node Model'!$AL$50)&lt;=5,FALSE),NOT(ISNUMBER(SEARCH("UNSAFE",$L$53)))))),OR(AND(IFERROR(INDEX('Level Engine'!$IB$9:$IB$55,MATCH('King Node Model'!$AL$42,'Level Engine'!$AA$9:$AA$55,0)),0)&lt;&gt;1,$AL44=IFERROR(INDEX('Level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Engine'!$AA$9:$AA$55,0)),0)&lt;&gt;1,$AL44=IFERROR(INDEX('Level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ⒷⓁ"),"")&amp;IF(OR(AND($AL44&gt;='King Node Model'!$AM$17,$AL44&lt;='King Node Model'!$AN$17,$AP$45="RASP"),AND($AL44&gt;='King Node Model'!$AM$18,$AL44&lt;='King Node Model'!$AN$18,$AP$46="RASP"),AND($AL44&gt;='King Node Model'!$AM$19,$AL44&lt;='King Node Model'!$AN$19,$AP$47="RASP"),AND($AL44&gt;='King Node Model'!$AM$20,$AL44&lt;='King Node Model'!$AN$20,$AP$52="RASP"),AND($AL44&gt;='King Node Model'!$AM$21,$AL44&lt;='King Node Model'!$AN$21,$AP$53="RASP"),AND($AL44&gt;='King Node Model'!$AM$22,$AL44&lt;='King Node Model'!$AN$22,$AP$54="RASP")),"","")&amp;IF(IF('Level Engine'!$GJ$4=1,$AL44='Level Engine'!$GJ$3,AND($AL44-$AM$2&gt;-2.5,$AL44-$AM$2&lt;=2.5))," ◄","")&amp;IF(IFERROR(INDEX('Level Engine'!$GV$9:$GV$55,MATCH($AL44,'Level Engine'!$AA$9:$AA$55,0)),0)=1," Ⓥ"&amp;IF(IFERROR(INDEX('Level Engine'!$ET$9:$ET$55,MATCH($AL44,'Level Engine'!$AA$9:$AA$55,0)),0)=1,"+",""),"")&amp;IF(OR(AND($AL44=$AN$38,IFERROR(INDEX('Level Engine'!$AN$9:$AN$55,MATCH($AL44,'Level Engine'!$AA$9:$AA$55,0)),0)&lt;&gt;1),$AL44=$AN$39)," ⊙","")&amp;IF(AND(OR('King Node Model'!$A$8="Neg",N('Level Engine'!$BG$72)=1),ABS(MIN($AM$3:$AM$64))&gt;MAX($AM$3:$AM$64),$AN$2&lt;$AM$2,$AL44&lt;$AM$2,ABS($AL44-$AN$2)&lt;=5,IFERROR(VALUE(MID('King Node Model'!$K$26,FIND(":",'King Node Model'!$K$26)-2,2)),0)&gt;=19,IFERROR(INDEX('Level Engine'!$EJ$9:$EJ$55,MATCH($AL44,'Level Engine'!$AA$9:$AA$55,0)),0)=0,$AN$3&gt;$AM$2)," ⟲rev","")&amp;IF($AL44='King Node Model'!$F$24," ⟂","")&amp;$DJ44&amp;IF(IFERROR(INDEX('Level Engine'!$EN$9:$EN$55,MATCH($AL44,'Level Engine'!$AA$9:$AA$55,0)),0)=1," Ⓟ"&amp;IF(AND(OR('King Node Model'!$A$8="Neg",N('Level Engine'!$BG$72)=1),IFERROR(INDEX('Level Engine'!$AN$9:$AN$55,MATCH($AL44,'Level Engine'!$AA$9:$AA$55,0)),0)&lt;&gt;1)," NO-REV",""),"")&amp;IF(AND(ISNUMBER($AL44),OR(AND(ISNUMBER(SEARCH("chop edge",$E$45)),$AL44='King Node Model'!$AL$42),AND(ISNUMBER(SEARCH("chop edge",$E$46)),$AL44='King Node Model'!$AL$43),AND(ISNUMBER(SEARCH("chop edge",$E$52)),$AL44='King Node Model'!$AL$49),AND(ISNUMBER(SEARCH("chop edge",$E$53)),$AL44='King Node Model'!$AL$50)))," ⒸⒺ","")&amp;IF(AND('Level Engine'!$GJ$4=1,OR($AL44='Level Engine'!$GJ$1,$AL44='Level Engine'!$GJ$2)),"","")&amp;IF(ABS(N(IFERROR(INDEX('Level Engine'!$AE$9:$AE$55,MATCH($AL44,'Level Engine'!$AA$9:$AA$55,0)),0)))&gt;='Level Engine'!$BG$85,IF(N(IFERROR(INDEX('Level Engine'!$AE$9:$AE$55,MATCH($AL44,'Level Engine'!$AA$9:$AA$55,0)),0))&gt;0," Δ+"," Δ−"),"")&amp;IFERROR(IF(AND(ISNUMBER(MATCH($AL44,'Level Engine'!$AA$9:$AA$55,0)),ABS(N(IFERROR(INDEX('Level Engine'!$AE$9:$AE$55,MATCH($AL44,'Level Engine'!$AA$9:$AA$55,0)),0)))&lt;'Level Engine'!$BG$85,ABS(N(IFERROR(INDEX('Level Engine'!$AE$9:$AE$55,MATCH($AL44,'Level Engine'!$AA$9:$AA$55,0)),0)))&lt;=ABS(N(IFERROR(INDEX('Level Engine'!$AE$9:$AE$55,MATCH($AL44+5,'Level Engine'!$AA$9:$AA$55,0)),0))),ABS(N(IFERROR(INDEX('Level Engine'!$AE$9:$AE$55,MATCH($AL44,'Level Engine'!$AA$9:$AA$55,0)),0)))&lt;=ABS(N(IFERROR(INDEX('Level Engine'!$AE$9:$AE$55,MATCH($AL44-5,'Level Engine'!$AA$9:$AA$55,0)),0))),OR(AND(ABS(N(IFERROR(INDEX('Level Engine'!$AE$9:$AE$55,MATCH($AL44+5,'Level Engine'!$AA$9:$AA$55,0)),0)))&gt;='Level Engine'!$BG$85,ABS(N(IFERROR(INDEX('Level Engine'!$AE$9:$AE$55,MATCH($AL44,'Level Engine'!$AA$9:$AA$55,0)),0)))&lt;='Level Engine'!$BG$88*ABS(N(IFERROR(INDEX('Level Engine'!$AE$9:$AE$55,MATCH($AL44+5,'Level Engine'!$AA$9:$AA$55,0)),0)))),AND(ABS(N(IFERROR(INDEX('Level Engine'!$AE$9:$AE$55,MATCH($AL44-5,'Level Engine'!$AA$9:$AA$55,0)),0)))&gt;='Level Engine'!$BG$85,ABS(N(IFERROR(INDEX('Level Engine'!$AE$9:$AE$55,MATCH($AL44,'Level Engine'!$AA$9:$AA$55,0)),0)))&lt;='Level Engine'!$BG$88*ABS(N(IFERROR(INDEX('Level Engine'!$AE$9:$AE$55,MATCH($AL44-5,'Level Engine'!$AA$9:$AA$55,0)),0)))))),IF(AND('King Node Model'!$A$8="Pos",N('Level Engine'!$BG$72)&lt;&gt;1),""," ∅"),""),"")&amp;IF(IFERROR(INDEX('Level Engine'!$JD$9:$JD$55,MATCH($AL44,'Level Engine'!$AA$9:$AA$55,0)),"")="P"," P-OI",IF(IFERROR(INDEX('Level Engine'!$JD$9:$JD$55,MATCH($AL44,'Level Engine'!$AA$9:$AA$55,0)),"")="C"," C-OI",""))</f>
        <v>7680</v>
      </c>
      <c r="C44" s="9" t="str">
        <f t="shared" si="0"/>
        <v/>
      </c>
      <c r="D44" t="str">
        <f>IF(NOT(ISNUMBER($AL44)),"",IF(IFERROR(INDEX('Level Engine'!$FS$9:$FS$55,MATCH($AL44,'Level Engine'!$AA$9:$AA$55,0)),0)=1,"⊙",""))</f>
        <v/>
      </c>
      <c r="E44" s="54" t="str">
        <f>((IF('King Node Model'!$BB$43="","",'King Node Model'!$BB$43&amp;IFERROR(" ·r"&amp;MATCH('King Node Model'!$BA$43,'Level Engine'!$W$9:$W$14,0),"")&amp;IF(AND('King Node Model'!$AB$18&lt;&gt;"",ISNUMBER('King Node Model'!$BA$43),'King Node Model'!$AB$18&gt;=IFERROR(IF(ISNUMBER(INDEX('Level Engine'!$AT$9:$AT$55,MATCH('King Node Model'!$BA$43,'Level Engine'!$AA$9:$AA$55,0))),INDEX('Level Engine'!$AT$9:$AT$55,MATCH('King Node Model'!$BA$43,'Level Engine'!$AA$9:$AA$55,0)),'King Node Model'!$BA$43),'King Node Model'!$BA$43),'King Node Model'!$AB$18&lt;=IFERROR(IF(ISNUMBER(INDEX('Level Engine'!$AU$9:$AU$55,MATCH('King Node Model'!$BA$43,'Level Engine'!$AA$9:$AA$55,0))),INDEX('Level Engine'!$AU$9:$AU$55,MATCH('King Node Model'!$BA$43,'Level Engine'!$AA$9:$AA$55,0)),'King Node Model'!$BA$43),'King Node Model'!$BA$43))," ‹chop edge"&amp;IF('King Node Model'!$BA$43='King Node Model'!$AB$18,""," "&amp;TEXT('King Node Model'!$AB$18,"0"))&amp;"›","")))&amp;IFERROR(IF(AND(ISNUMBER('King Node Model'!$BA$43),AND(ISNUMBER(MATCH('King Node Model'!$BA$43+5,'Level Engine'!$AA$9:$AA$55,0)),ABS(N(IFERROR(INDEX('Level Engine'!$AE$9:$AE$55,MATCH('King Node Model'!$BA$43+5,'Level Engine'!$AA$9:$AA$55,0)),0)))&lt;'Level Engine'!$BG$85,ABS(N(IFERROR(INDEX('Level Engine'!$AE$9:$AE$55,MATCH('King Node Model'!$BA$43+5,'Level Engine'!$AA$9:$AA$55,0)),0)))&lt;=ABS(N(IFERROR(INDEX('Level Engine'!$AE$9:$AE$55,MATCH(('King Node Model'!$BA$43+5)+5,'Level Engine'!$AA$9:$AA$55,0)),0))),ABS(N(IFERROR(INDEX('Level Engine'!$AE$9:$AE$55,MATCH('King Node Model'!$BA$43+5,'Level Engine'!$AA$9:$AA$55,0)),0)))&lt;=ABS(N(IFERROR(INDEX('Level Engine'!$AE$9:$AE$55,MATCH(('King Node Model'!$BA$43+5)-5,'Level Engine'!$AA$9:$AA$55,0)),0))),OR(AND(ABS(N(IFERROR(INDEX('Level Engine'!$AE$9:$AE$55,MATCH(('King Node Model'!$BA$43+5)+5,'Level Engine'!$AA$9:$AA$55,0)),0)))&gt;='Level Engine'!$BG$85,ABS(N(IFERROR(INDEX('Level Engine'!$AE$9:$AE$55,MATCH('King Node Model'!$BA$43+5,'Level Engine'!$AA$9:$AA$55,0)),0)))&lt;='Level Engine'!$BG$88*ABS(N(IFERROR(INDEX('Level Engine'!$AE$9:$AE$55,MATCH(('King Node Model'!$BA$43+5)+5,'Level Engine'!$AA$9:$AA$55,0)),0)))),AND(ABS(N(IFERROR(INDEX('Level Engine'!$AE$9:$AE$55,MATCH(('King Node Model'!$BA$43+5)-5,'Level Engine'!$AA$9:$AA$55,0)),0)))&gt;='Level Engine'!$BG$85,ABS(N(IFERROR(INDEX('Level Engine'!$AE$9:$AE$55,MATCH('King Node Model'!$BA$43+5,'Level Engine'!$AA$9:$AA$55,0)),0)))&lt;='Level Engine'!$BG$88*ABS(N(IFERROR(INDEX('Level Engine'!$AE$9:$AE$55,MATCH(('King Node Model'!$BA$43+5)-5,'Level Engine'!$AA$9:$AA$55,0)),0))))))),IF(AND('King Node Model'!$A$8="Pos",N('Level Engine'!$BG$72)&lt;&gt;1),""," → ∅"&amp;TEXT('King Node Model'!$BA$43+5,"0")),""),""))&amp;IF(IFERROR(AND('King Node Model'!$A$8="Pos",ISNUMBER('Level Engine'!$BG$87),ISNUMBER('King Node Model'!$BA$43),'King Node Model'!$BA$43='Level Engine'!$BG$87),FALSE)," ζ","")</f>
        <v>7805 ·r2</v>
      </c>
      <c r="F44" s="55">
        <f>IF($E44="","",'King Node Model'!$BA43-'King Node Model'!$B$4)</f>
        <v>29.609999999999673</v>
      </c>
      <c r="G44" s="510">
        <f>IF($E44="","",'King Node Model'!BC43)</f>
        <v>308525</v>
      </c>
      <c r="H44" s="56" t="str">
        <f>IF($E44="","",'King Node Model'!BQ43)</f>
        <v>Gxp Gfx oEdge</v>
      </c>
      <c r="I44" s="57">
        <f>IF($E44="","",'King Node Model'!BE43)</f>
        <v>3</v>
      </c>
      <c r="J44" s="56" t="str">
        <f>IF($E44="","",IFERROR(IF(OR(INDEX('Level Engine'!$IY$9:$IY$55,MATCH(--LEFT($E44,4),'Level Engine'!$AA$9:$AA$55,0))="SELL",INDEX('Level Engine'!$IY$9:$IY$55,MATCH(--LEFT($E44,4),'Level Engine'!$AA$9:$AA$55,0))="BUY"),IF(AND(N('Level Engine'!$BG$78)=1,IF('Level Engine'!$BG$80&lt;&gt;"",UPPER('Level Engine'!$BG$80),'Level Engine'!$D$5)="UP"),"TURNING",INDEX('Level Engine'!$IY$9:$IY$55,MATCH(--LEFT($E44,4),'Level Engine'!$AA$9:$AA$55,0)))&amp;" "&amp;IF(ABS(INDEX('Level Engine'!$AD$9:$AD$55,MATCH(--LEFT($E44,4),'Level Engine'!$AA$9:$AA$55,0)))&gt;=1000000,TEXT(INDEX('Level Engine'!$AD$9:$AD$55,MATCH(--LEFT($E44,4),'Level Engine'!$AA$9:$AA$55,0))/1000000,"+0.00;-0.00")&amp;"M",TEXT(INDEX('Level Engine'!$AD$9:$AD$55,MATCH(--LEFT($E44,4),'Level Engine'!$AA$9:$AA$55,0))/1000,"+0;-0")&amp;"K"),"—")&amp;IF(OR(INDEX('Level Engine'!$KF$9:$KF$55,MATCH(--LEFT($E44,4),'Level Engine'!$AA$9:$AA$55,0))="BUY",INDEX('Level Engine'!$KF$9:$KF$55,MATCH(--LEFT($E44,4),'Level Engine'!$AA$9:$AA$55,0))="SELL")," → "&amp;INDEX('Level Engine'!$KF$9:$KF$55,MATCH(--LEFT($E44,4),'Level Engine'!$AA$9:$AA$55,0))&amp;IF(ABS(N(INDEX('Level Engine'!$AD$9:$AD$55,MATCH(--LEFT($E44,4),'Level Engine'!$AA$9:$AA$55,0))))&gt;='Level Engine'!$BG$94,IF(OR(AND(INDEX('Level Engine'!$AG$9:$AG$55,MATCH(--LEFT($E44,4),'Level Engine'!$AA$9:$AA$55,0))="R",INDEX('Level Engine'!$KF$9:$KF$55,MATCH(--LEFT($E44,4),'Level Engine'!$AA$9:$AA$55,0))="SELL"),AND(INDEX('Level Engine'!$AG$9:$AG$55,MATCH(--LEFT($E44,4),'Level Engine'!$AA$9:$AA$55,0))="S",INDEX('Level Engine'!$KF$9:$KF$55,MATCH(--LEFT($E44,4),'Level Engine'!$AA$9:$AA$55,0))="BUY"))," ✓"," ✗"),""),""),"—"))</f>
        <v>SELL +796K → BUY ✗</v>
      </c>
      <c r="K44" s="56" t="str">
        <f>(IF(AND($E44&lt;&gt;"",IFERROR(AND('King Node Model'!$A$8="Pos",OR(ISNUMBER('Level Engine'!$BG$87),ISNUMBER('Level Engine'!$BG$105)),ISNUMBER('King Node Model'!$BA$43),OR('King Node Model'!$BA$43='Level Engine'!$BG$87,'King Node Model'!$BA$43='Level Engine'!$BG$105)),FALSE)),IF('King Node Model'!$BA$43='Level Engine'!$BG$105,"ζ MAX ZOMMA ","ζ MIN ZOMMA ")&amp;TEXT(IFERROR(INDEX('Level Engine'!$AF$9:$AF$55,MATCH('King Node Model'!$BA$43,'Level Engine'!$AA$9:$AA$55,0)),0)/1000000,"+0.0;-0.0")&amp;"M"&amp;CHAR(10),"")&amp;(IF(OR($E44="",NOT(ISNUMBER('King Node Model'!$BA$43))),"",TEXT('King Node Model'!$BA$43,"0")&amp;" "&amp;(IF($E44="","",IF(NOT(ISNUMBER('King Node Model'!$BA$43)),"",SUBSTITUTE(IFERROR(INDEX('Level Engine'!$EQ$9:$EQ$55,MATCH('King Node Model'!$BA$43,'Level Engine'!$AA$9:$AA$55,0)),"")," (sub-threshold)","")&amp;IF(COUNTIF('Level Engine'!$ES$9:$ES$55,"&gt;"&amp;IFERROR(INDEX('Level Engine'!$ES$9:$ES$55,MATCH('King Node Model'!$BA$43,'Level Engine'!$AA$9:$AA$55,0)),0))+1&lt;=8," ("&amp;IF(IFERROR(INDEX('Level Engine'!$ES$9:$ES$55,MATCH('King Node Model'!$BA$43,'Level Engine'!$AA$9:$AA$55,0)),0)&gt;='Level Engine'!$S$10,"","sub-threshold, ")&amp;"r"&amp;TEXT(COUNTIF('Level Engine'!$ES$9:$ES$55,"&gt;"&amp;IFERROR(INDEX('Level Engine'!$ES$9:$ES$55,MATCH('King Node Model'!$BA$43,'Level Engine'!$AA$9:$AA$55,0)),0))+1,"0")&amp;")","")&amp;IF(AND(IFERROR(INDEX('Level Engine'!$AT$9:$AT$55,MATCH('King Node Model'!$BA$43,'Level Engine'!$AA$9:$AA$55,0)),'King Node Model'!$BA$43)&lt;&gt;IFERROR(INDEX('Level Engine'!$AU$9:$AU$55,MATCH('King Node Model'!$BA$43,'Level Engine'!$AA$9:$AA$55,0)),'King Node Model'!$BA$43),IF(IF(IFERROR(INDEX('Level Engine'!$KC$9:$KC$55,MATCH('King Node Model'!$BA$43,'Level Engine'!$AA$9:$AA$55,0)),IF('Level Engine'!$BG$80&lt;&gt;"",UPPER('Level Engine'!$BG$80),UPPER('Level Engine'!$D$5)))="UP",SIGN(IFERROR(INDEX('Level Engine'!$AF$9:$AF$55,MATCH('King Node Model'!$BA$43,'Level Engine'!$AA$9:$AA$55,0)),0)),IF(IFERROR(INDEX('Level Engine'!$KC$9:$KC$55,MATCH('King Node Model'!$BA$43,'Level Engine'!$AA$9:$AA$55,0)),IF('Level Engine'!$BG$80&lt;&gt;"",UPPER('Level Engine'!$BG$80),UPPER('Level Engine'!$D$5)))="DOWN",-SIGN(IFERROR(INDEX('Level Engine'!$AF$9:$AF$55,MATCH('King Node Model'!$BA$43,'Level Engine'!$AA$9:$AA$55,0)),0)),0))=1,"firming","thinning")&lt;&gt;IF(IF(IFERROR(INDEX('Level Engine'!$KC$9:$KC$55,MATCH('King Node Model'!$BA$43,'Level Engine'!$AA$9:$AA$55,0)),IF('Level Engine'!$BG$80&lt;&gt;"",UPPER('Level Engine'!$BG$80),UPPER('Level Engine'!$D$5)))="UP",SIGN(IFERROR(INDEX('Level Engine'!$AF$9:$AF$55,MATCH(IF('King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Engine'!$AA$9:$AA$55,0)),0)),IF(IFERROR(INDEX('Level Engine'!$KC$9:$KC$55,MATCH('King Node Model'!$BA$43,'Level Engine'!$AA$9:$AA$55,0)),IF('Level Engine'!$BG$80&lt;&gt;"",UPPER('Level Engine'!$BG$80),UPPER('Level Engine'!$D$5)))="DOWN",-SIGN(IFERROR(INDEX('Level Engine'!$AF$9:$AF$55,MATCH(IF('King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Engine'!$AA$9:$AA$55,0)),0)),0))=1,"firming","thinning"))," / "&amp;TEXT(IF('King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Model'!$BA$43)),"0")&amp;" "&amp;IF(IF(IFERROR(INDEX('Level Engine'!$KC$9:$KC$55,MATCH('King Node Model'!$BA$43,'Level Engine'!$AA$9:$AA$55,0)),IF('Level Engine'!$BG$80&lt;&gt;"",UPPER('Level Engine'!$BG$80),UPPER('Level Engine'!$D$5)))="UP",SIGN(IFERROR(INDEX('Level Engine'!$AF$9:$AF$55,MATCH(IF('King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Engine'!$AA$9:$AA$55,0)),0)),IF(IFERROR(INDEX('Level Engine'!$KC$9:$KC$55,MATCH('King Node Model'!$BA$43,'Level Engine'!$AA$9:$AA$55,0)),IF('Level Engine'!$BG$80&lt;&gt;"",UPPER('Level Engine'!$BG$80),UPPER('Level Engine'!$D$5)))="DOWN",-SIGN(IFERROR(INDEX('Level Engine'!$AF$9:$AF$55,MATCH(IF('King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Engine'!$AA$9:$AA$55,0)),0)),0))=1,"firming","thinning")&amp;" the ceiling ("&amp;IF(IFERROR(INDEX('Level Engine'!$ES$9:$ES$55,MATCH(IF('King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Engine'!$AA$9:$AA$55,0)),0)&gt;='Level Engine'!$S$10,"",IF(IFERROR(INDEX('Level Engine'!$ES$9:$ES$55,MATCH(IF('King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Engine'!$AA$9:$AA$55,0)),0)&gt;='Level Engine'!$S$16,"sub-threshold, ","magnitude weak, "))&amp;"r"&amp;TEXT(COUNTIF('Level Engine'!$ES$9:$ES$55,"&gt;"&amp;IFERROR(INDEX('Level Engine'!$ES$9:$ES$55,MATCH(IF('King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Engine'!$AA$9:$AA$55,0)),0))+1,"0")&amp;")","")))))))&amp;IF(AND($E44&lt;&gt;"",ISNUMBER('King Node Model'!$BA$43)),CHAR(10)&amp;IFERROR(INDEX('Level Engine'!$KE$9:$KE$55,MATCH('King Node Model'!$BA$43,'Level Engine'!$AA$9:$AA$55,0)),""),"")</f>
        <v>7805 thinning the ceiling (magnitude weak)
Now: strengthening the ceiling (IV rising) · if IV falls: weakens the ceiling · expected on arrival: WEAKENS ✗</v>
      </c>
      <c r="L44" s="56" t="str">
        <f>IF($E44="","","")</f>
        <v/>
      </c>
      <c r="M44" s="58" t="str">
        <f>IF(AND(AND('King Node Model'!$A$8="Pos",IFERROR(IFERROR(INDEX('Level Engine'!$CZ$9:$CZ$55,MATCH('King Node Model'!$BA$43,'Level Engine'!$AA$9:$AA$55,0)),0)=1,FALSE),N(IFERROR(INDEX('Level Engine'!$AB$9:$AB$55,MATCH('King Node Model'!$BA$43,'Level Engine'!$AA$9:$AA$55,0)),0))&lt;0),NOT(ISNUMBER(SEARCH("REVERSAL",(IF($E44="","",'King Node Model'!BP43)))))),"REVERSAL · ","")&amp;SUBSTITUTE(SUBSTITUTE(SUBSTITUTE(SUBSTITUTE((IF($E44="","",'King Node Model'!BP43)),"dEdge Cliff",IF(AND('King Node Model'!$A$8="Pos",IFERROR(IFERROR(INDEX('Level Engine'!$CZ$9:$CZ$55,MATCH('King Node Model'!$BA$43,'Level Engine'!$AA$9:$AA$55,0)),0)=1,FALSE),N(IFERROR(INDEX('Level Engine'!$AB$9:$AB$55,MATCH('King Node Model'!$BA$43,'Level Engine'!$AA$9:$AA$55,0)),0))&lt;0),"Put Wall · dEdge Cliff","dEdge Cliff"))," · accelerates",IF(AND('King Node Model'!$A$8="Pos",IFERROR(IFERROR(INDEX('Level Engine'!$CZ$9:$CZ$55,MATCH('King Node Model'!$BA$43,'Level Engine'!$AA$9:$AA$55,0)),0)=1,FALSE),N(IFERROR(INDEX('Level Engine'!$AB$9:$AB$55,MATCH('King Node Model'!$BA$43,'Level Engine'!$AA$9:$AA$55,0)),0))&lt;0),""," · accelerates")),"REVERSAL · ",IF(AND('King Node Model'!$A$8="Pos",IFERROR(IFERROR(INDEX('Level Engine'!$CZ$9:$CZ$55,MATCH('King Node Model'!$BA$43,'Level Engine'!$AA$9:$AA$55,0)),0)=1,FALSE),N(IFERROR(INDEX('Level Engine'!$AB$9:$AB$55,MATCH('King Node Model'!$BA$43,'Level Engine'!$AA$9:$AA$55,0)),0))&gt;0,N('Level Engine'!$BG$109)=1),"","REVERSAL · ")),"REVERSAL",IF(AND('King Node Model'!$A$8="Pos",IFERROR(IFERROR(INDEX('Level Engine'!$CZ$9:$CZ$55,MATCH('King Node Model'!$BA$43,'Level Engine'!$AA$9:$AA$55,0)),0)=1,FALSE),N(IFERROR(INDEX('Level Engine'!$AB$9:$AB$55,MATCH('King Node Model'!$BA$43,'Level Engine'!$AA$9:$AA$55,0)),0))&gt;0,N('Level Engine'!$BG$109)=1),"","REVERSAL"))</f>
        <v>REVERSAL · Cluster</v>
      </c>
      <c r="N44" s="58" t="str">
        <f>IF($E44="","","—")</f>
        <v>—</v>
      </c>
      <c r="O44" s="464" t="str">
        <f>IF($E44="","","")</f>
        <v/>
      </c>
      <c r="P44" s="475"/>
      <c r="Q44" s="452" t="str">
        <f t="shared" si="21"/>
        <v xml:space="preserve">7790   58% </v>
      </c>
      <c r="R44" s="447" t="str">
        <f t="shared" si="22"/>
        <v>871 ▉▉▉</v>
      </c>
      <c r="S44" s="484" t="str">
        <f t="shared" si="23"/>
        <v>▉▉▉▉▉ 1.2k</v>
      </c>
      <c r="T44" s="484" t="str">
        <f t="shared" si="24"/>
        <v>g5</v>
      </c>
      <c r="U44" s="453" t="str">
        <f t="shared" si="25"/>
        <v/>
      </c>
      <c r="V44" s="39"/>
      <c r="W44" s="420" t="str">
        <f>IF($E44="","",IF(NOT(ISNUMBER('King Node Model'!$BA$43)),"",IF('King Node Model'!$BA$43='King Node Model'!$AL$42,"this is the level on line 36",IF('King Node Model'!$BA$43='King Node Model'!$AL$43,"this is the level on line 37",IF(AND(ISNUMBER(IFERROR(INDEX('Level Engine'!$AT$9:$AT$55,MATCH('King Node Model'!$BA$43,'Level Engine'!$AA$9:$AA$55,0)),"")),ISNUMBER(IFERROR(INDEX('Level Engine'!$AU$9:$AU$55,MATCH('King Node Model'!$BA$43,'Level Engine'!$AA$9:$AA$55,0)),"")),IFERROR(INDEX('Level Engine'!$AT$9:$AT$55,MATCH('King Node Model'!$BA$43,'Level Engine'!$AA$9:$AA$55,0)),"")=IFERROR(INDEX('Level Engine'!$AU$9:$AU$55,MATCH('King Node Model'!$BA$43,'Level Engine'!$AA$9:$AA$55,0)),""),ISNUMBER('King Node Model'!$AL$42),'King Node Model'!$AL$42&lt;&gt;'King Node Model'!$BA$43,ISNUMBER(IFERROR(INDEX('Level Engine'!$AT$9:$AT$55,MATCH('King Node Model'!$AL$42,'Level Engine'!$AA$9:$AA$55,0)),"")),ISNUMBER(IFERROR(INDEX('Level Engine'!$AU$9:$AU$55,MATCH('King Node Model'!$AL$42,'Level Engine'!$AA$9:$AA$55,0)),"")),IFERROR(INDEX('Level Engine'!$AT$9:$AT$55,MATCH('King Node Model'!$AL$42,'Level Engine'!$AA$9:$AA$55,0)),"")&lt;&gt;IFERROR(INDEX('Level Engine'!$AU$9:$AU$55,MATCH('King Node Model'!$AL$42,'Level Engine'!$AA$9:$AA$55,0)),""),'King Node Model'!$BA$43&gt;=IFERROR(INDEX('Level Engine'!$AT$9:$AT$55,MATCH('King Node Model'!$AL$42,'Level Engine'!$AA$9:$AA$55,0)),""),'King Node Model'!$BA$43&lt;=IFERROR(INDEX('Level Engine'!$AU$9:$AU$55,MATCH('King Node Model'!$AL$42,'Level Engine'!$AA$9:$AA$55,0)),"")),"suppressed by the box de-duplication rule: it qualified and ranked r"&amp;IFERROR(TEXT(MATCH('King Node Model'!$BA$43,'Level Engine'!$W$9:$W$14,0),"0"),"?")&amp;", but its own box is a single strike and it sits inside the box on line 36",IF(AND(IFERROR(INDEX('Level Engine'!$CU$9:$CU$55,MATCH('King Node Model'!$BA$43,'Level Engine'!$AA$9:$AA$55,0)),0)=1,NOT(ISNUMBER(IFERROR(INDEX('Level Engine'!$BT$9:$BT$55,MATCH('King Node Model'!$BA$43,'Level Engine'!$AA$9:$AA$55,0)),"")))),"it qualified, but it is number "&amp;IFERROR(TEXT(MATCH('King Node Model'!$BA$43,'Level Engine'!$W$9:$W$14,0),"0"),"?")&amp;" on the strength list and only the top 3 get a ladder place (no exemption applies)",IF(IFERROR(INDEX('Level Engine'!$CU$9:$CU$55,MATCH('King Node Model'!$BA$43,'Level Engine'!$AA$9:$AA$55,0)),0)=1,"qualified and ranked, but line 36 holds "&amp;IF(ISNUMBER('King Node Model'!$AL$42),TEXT('King Node Model'!$AL$42,"0"),"nothing")&amp;" and line 37 holds "&amp;IF(ISNUMBER('King Node Model'!$AL$43),TEXT('King Node Model'!$AL$43,"0"),"nothing"),IF(LEN($AU44)=0,"it clears every gate listed - but is not on the strength list","failed: "&amp;MID($AU44,4,900)))))))))</f>
        <v>this is the level on line 37</v>
      </c>
      <c r="X44" s="10"/>
      <c r="Y44" s="10"/>
      <c r="Z44" s="46"/>
      <c r="AA44" s="47"/>
      <c r="AB44" s="44"/>
      <c r="AC44" s="44"/>
      <c r="AE44" s="420"/>
      <c r="AL44" s="1">
        <f>'King Node Model'!A70</f>
        <v>7680</v>
      </c>
      <c r="AM44" s="10">
        <f>'King Node Model'!C70</f>
        <v>-113930</v>
      </c>
      <c r="AN44" s="420"/>
      <c r="AO44" s="10">
        <f>'King Node Model'!B70</f>
        <v>128040</v>
      </c>
      <c r="AP44" s="420"/>
      <c r="AU44" t="str">
        <f>IF(NOT(ISNUMBER('King Node Model'!$BA$43)),"",IF(IFERROR(INDEX('Level Engine'!$EM$9:$EM$55,MATCH('King Node Model'!$BA$43,'Level Engine'!$AA$9:$AA$55,0)),0)=1," | "&amp;"it is an inner shelf, which is ruled out on its own","")&amp;IF(IFERROR(INDEX('Level Engine'!$AG$9:$AG$55,MATCH('King Node Model'!$BA$43,'Level Engine'!$AA$9:$AA$55,0)),chr)&lt;&gt;"R"," | "&amp;"it is not tagged as a resistance level","")&amp;IF(COUNTIF('Level Engine'!$W$9:$W$14,'King Node Model'!$BA$43)=0," | "&amp;"it is not on the Level Engine strength list (W9:W14)","")&amp;IF(ABS('King Node Model'!$BA$43-'King Node Model'!$B$4)&gt;'Level Engine'!$BG$7," | "&amp;"too far away: "&amp;TEXT(ABS('King Node Model'!$BA$43-'King Node Model'!$B$4),"0")&amp;" pts from spot, only "&amp;TEXT('Level Engine'!$BG$7,"0")&amp;" pts are looked at","")&amp;IF(IFERROR(INDEX('Level Engine'!$BK$9:$BK$55,MATCH('King Node Model'!$BA$43,'Level Engine'!$AA$9:$AA$55,0)),0)=1," | "&amp;" it is folded into "&amp;TEXT(('King Node Model'!$BA$43-5),"0")&amp;", the stronger reversal one strike closer to spot","")&amp;IF(IFERROR(INDEX('Level Engine'!$DH$9:$DH$55,MATCH('King Node Model'!$BA$43,'Level Engine'!$AA$9:$AA$55,0)),0)=1," | "&amp;"it is a shelf sitting inside a box, so the box level is shown in its place","")&amp;IF(IFERROR(INDEX('Level Engine'!$CI$9:$CI$55,MATCH('King Node Model'!$BA$43,'Level Engine'!$AA$9:$AA$55,0)),0)&lt;&gt;0," | "&amp;"it is accelerating, not holding (negative GEX with zomma falling)","")&amp;IF(NOT(OR(IFERROR(INDEX('Level Engine'!$AM$9:$AM$55,MATCH('King Node Model'!$BA$43,'Level Engine'!$AA$9:$AA$55,0)),0)&gt;=IF(OR('King Node Model'!$A$8="Neg",N('Level Engine'!$BG$72)=1),'Level Engine'!$BG$20,3),'King Node Model'!$BA$43='King Node Model'!$D$26,IFERROR(INDEX('Level Engine'!$DT$9:$DT$55,MATCH('King Node Model'!$BA$43,'Level Engine'!$AA$9:$AA$55,0)),0)=1))," | "&amp;"fewer than "&amp;IF(OR('King Node Model'!$A$8="Neg",N('Level Engine'!$BG$72)=1),'Level Engine'!$BG$20,3)&amp;" backers ("&amp;TEXT(IFERROR(INDEX('Level Engine'!$AM$9:$AM$55,MATCH('King Node Model'!$BA$43,'Level Engine'!$AA$9:$AA$55,0)),0),"0")&amp;") and it is neither the king node nor an nVanna level","")&amp;IF(IFERROR(INDEX('Level Engine'!$AM$9:$AM$55,MATCH('King Node Model'!$BA$43,'Level Engine'!$AA$9:$AA$55,0)),0)&lt;'Level Engine'!$BG$20," | "&amp;"not enough agrees here: "&amp;TEXT(IFERROR(INDEX('Level Engine'!$AM$9:$AM$55,MATCH('King Node Model'!$BA$43,'Level Engine'!$AA$9:$AA$55,0)),0),"0")&amp;" backers, needs at least "&amp;TEXT('Level Engine'!$BG$20,"0"),"")&amp;IF(IFERROR(INDEX('Level Engine'!$AC$9:$AC$55,MATCH('King Node Model'!$BA$43,'Level Engine'!$AA$9:$AA$55,0)),0)&lt;='Level Engine'!$BG$19," | "&amp;"too small: gamma is "&amp;TEXT(IFERROR(INDEX('Level Engine'!$AC$9:$AC$55,MATCH('King Node Model'!$BA$43,'Level Engine'!$AA$9:$AA$55,0)),0),"#,##0")&amp;", it has to be bigger than "&amp;TEXT('Level Engine'!$BG$19,"#,##0"),"")&amp;IF(LEN($AV43)&gt;0," | "&amp;"nothing is switched on at it - "&amp;$AV43,""))</f>
        <v/>
      </c>
      <c r="AV44" t="str">
        <f>IF(NOT(ISNUMBER('King Node Model'!$BA$43)),"",IF(IF((OR('King Node Model'!$A$8="Neg",N('Level Engine'!$BG$72)=1)),OR(IFERROR(INDEX('Level Engine'!$AN$9:$AN$55,MATCH('King Node Model'!$BA$43,'Level Engine'!$AA$9:$AA$55,0)),0)=1,'King Node Model'!$BA$43='King Node Model'!$D$26,AND(OR('King Node Model'!$BA$43='Level Engine'!$CP$4,'King Node Model'!$BA$43='Level Engine'!$CP$5,'King Node Model'!$BA$43='Level Engine'!$CP$6,'King Node Model'!$BA$43='Level Engine'!$CP$7),ABS('King Node Model'!$BA$43-'King Node Model'!$B$4)&lt;=30),OR(ISNUMBER(SEARCH("STRENGTHENING",IFERROR(INDEX('Level Engine'!$CG$9:$CG$55,MATCH('King Node Model'!$BA$43,'Level Engine'!$AA$9:$AA$55,0)),""))),ISNUMBER(SEARCH("firmer resistance",IFERROR(INDEX('Level Engine'!$CG$9:$CG$55,MATCH('King Node Model'!$BA$43,'Level Engine'!$AA$9:$AA$55,0)),"")))),AND(IFERROR(INDEX('Level Engine'!$AX$9:$AX$55,MATCH('King Node Model'!$BA$43,'Level Engine'!$AA$9:$AA$55,0)),0)=1,'Level Engine'!$D$5="DOWN"),AND(IFERROR(INDEX('Level Engine'!$BY$9:$BY$55,MATCH('King Node Model'!$BA$43,'Level Engine'!$AA$9:$AA$55,0)),0)=1,'King Node Model'!$BA$43&gt;'King Node Model'!$B$4),IFERROR(INDEX('Level Engine'!$BX$9:$BX$55,MATCH('King Node Model'!$BA$43,'Level Engine'!$AA$9:$AA$55,0)),0)=1),OR(IFERROR(INDEX('Level Engine'!$AN$9:$AN$55,MATCH('King Node Model'!$BA$43,'Level Engine'!$AA$9:$AA$55,0)),0)=1,'King Node Model'!$BA$43='King Node Model'!$D$26,AND(OR('King Node Model'!$BA$43='Level Engine'!$CP$4,'King Node Model'!$BA$43='Level Engine'!$CP$5,'King Node Model'!$BA$43='Level Engine'!$CP$6,'King Node Model'!$BA$43='Level Engine'!$CP$7),ABS('King Node Model'!$BA$43-'King Node Model'!$B$4)&lt;=30),OR(ISNUMBER(SEARCH("STRENGTHENING",IFERROR(INDEX('Level Engine'!$CG$9:$CG$55,MATCH('King Node Model'!$BA$43,'Level Engine'!$AA$9:$AA$55,0)),""))),ISNUMBER(SEARCH("firmer resistance",IFERROR(INDEX('Level Engine'!$CG$9:$CG$55,MATCH('King Node Model'!$BA$43,'Level Engine'!$AA$9:$AA$55,0)),"")))),AND(IFERROR(INDEX('Level Engine'!$AX$9:$AX$55,MATCH('King Node Model'!$BA$43,'Level Engine'!$AA$9:$AA$55,0)),0)=1,'Level Engine'!$D$5="DOWN"),IFERROR(INDEX('Level Engine'!$AC$9:$AC$55,MATCH('King Node Model'!$BA$43,'Level Engine'!$AA$9:$AA$55,0)),0)&gt;=MAX('Level Engine'!$AC$9:$AC$55),IFERROR(INDEX('Level Engine'!$BC$9:$BC$55,MATCH('King Node Model'!$BA$43,'Level Engine'!$AA$9:$AA$55,0)),0)&gt;0)),"","reversal flag ("&amp;IF(IFERROR(INDEX('Level Engine'!$AN$9:$AN$55,MATCH('King Node Model'!$BA$43,'Level Engine'!$AA$9:$AA$55,0)),0)=1,"on","off")&amp;"), "&amp;"king node ("&amp;IF('King Node Model'!$BA$43='King Node Model'!$D$26,"on","off")&amp;"), "&amp;"gravity point within 30 pts ("&amp;IF(AND(OR('King Node Model'!$BA$43='Level Engine'!$CP$4,'King Node Model'!$BA$43='Level Engine'!$CP$5,'King Node Model'!$BA$43='Level Engine'!$CP$6,'King Node Model'!$BA$43='Level Engine'!$CP$7),ABS('King Node Model'!$BA$43-'King Node Model'!$B$4)&lt;=30),"on","off")&amp;"), "&amp;"zomma tag STRENGTHENING/firmer ("&amp;IF(OR(ISNUMBER(SEARCH("STRENGTHENING",IFERROR(INDEX('Level Engine'!$CG$9:$CG$55,MATCH('King Node Model'!$BA$43,'Level Engine'!$AA$9:$AA$55,0)),""))),ISNUMBER(SEARCH("firmer resistance",IFERROR(INDEX('Level Engine'!$CG$9:$CG$55,MATCH('King Node Model'!$BA$43,'Level Engine'!$AA$9:$AA$55,0)),"")))),"on","off")&amp;"), "&amp;"big vomma with IV falling ("&amp;IF(AND(IFERROR(INDEX('Level Engine'!$AX$9:$AX$55,MATCH('King Node Model'!$BA$43,'Level Engine'!$AA$9:$AA$55,0)),0)=1,'Level Engine'!$D$5="DOWN"),"on","off")&amp;")"&amp;IF((OR('King Node Model'!$A$8="Neg",N('Level Engine'!$BG$72)=1)),", GEX sign flip at the next strike ("&amp;IF(AND(IFERROR(INDEX('Level Engine'!$BY$9:$BY$55,MATCH('King Node Model'!$BA$43,'Level Engine'!$AA$9:$AA$55,0)),0)=1,'King Node Model'!$BA$43&gt;'King Node Model'!$B$4),"on","off")&amp;")"&amp;", positive GEX in a negative tape ("&amp;IF(IFERROR(INDEX('Level Engine'!$BX$9:$BX$55,MATCH('King Node Model'!$BA$43,'Level Engine'!$AA$9:$AA$55,0)),0)=1,"on","off")&amp;")",", biggest gamma on the board ("&amp;IF(IFERROR(INDEX('Level Engine'!$AC$9:$AC$55,MATCH('King Node Model'!$BA$43,'Level Engine'!$AA$9:$AA$55,0)),0)&gt;=MAX('Level Engine'!$AC$9:$AC$55),"on","off")&amp;")"&amp;", positive GEX ("&amp;IF(IFERROR(INDEX('Level Engine'!$BC$9:$BC$55,MATCH('King Node Model'!$BA$43,'Level Engine'!$AA$9:$AA$55,0)),0)&gt;0,"on","off")&amp;")")))</f>
        <v/>
      </c>
      <c r="AY44" s="1">
        <f>IF(AND($B$2="Hide unsafe",$BB44=1),0,IF(AND(OR(AND(AND(ISNUMBER($AL44),OR(AND($AL44&gt;=$AQ$22,$AL44&lt;=$AR$22,$AS$22=1),$AL44=$AQ$22,$AL44=$AR$22,$AL44=$AQ$23,$AL44=$AR$23,$AL44=$AQ$24,$AL44=$AR$24),NOT(OR($AL44=$AN$5,$AL44=$AN$6,$AL44=$AN$7,$AL44=$AN$8,$AL44=$AN$10,$AL44=$AN$11))),NOT(OR(AND('King Node Model'!$P$13="Up",OR($AL44=$AQ$22,$AL44=$AQ$23,$AL44=$AQ$24,$AL44='King Node Model'!$AM$20,$AL44='King Node Model'!$AM$21,$AL44='King Node Model'!$AM$22),OR(AND('King Node Model'!$B$23-$AL44&gt;=0,'King Node Model'!$B$23-$AL44&lt;=5),AND('King Node Model'!$C$23-$AL44&gt;=0,'King Node Model'!$C$23-$AL44&lt;=5))),AND('King Node Model'!$P$13="Down",OR($AL44=$AR$22,$AL44=$AR$23,$AL44=$AR$24,$AL44='King Node Model'!$AN$20,$AL44='King Node Model'!$AN$21,$AL44='King Node Model'!$AN$22),OR(AND($AL44-'King Node Model'!$B$23&gt;=0,$AL44-'King Node Model'!$B$23&lt;=5),AND($AL44-'King Node Model'!$C$24&gt;=0,$AL44-'King Node Model'!$C$24&lt;=5)))))),AND(AND(ISNUMBER($AL44),OR(AND($AL44&gt;=$AQ$22,$AL44&lt;=$AR$22,$AS$22=1),$AL44=$AQ$22,$AL44=$AR$22,$AL44=$AQ$23,$AL44=$AR$23,$AL44=$AQ$24,$AL44=$AR$24,$AL44='King Node Model'!$AL$42,$AL44='King Node Model'!$AL$43),OR($AL44=$AN$5,$AL44=$AN$6,$AL44=$AN$7,$AL44=$AN$8,$AL44=$AN$10,$AL44=$AN$11)),NOT(OR(AND('King Node Model'!$P$13="Up",OR($AL44=$AQ$22,$AL44=$AQ$23,$AL44=$AQ$24,$AL44='King Node Model'!$AM$20,$AL44='King Node Model'!$AM$21,$AL44='King Node Model'!$AM$22),OR(AND('King Node Model'!$B$23-$AL44&gt;=0,'King Node Model'!$B$23-$AL44&lt;=5),AND('King Node Model'!$C$23-$AL44&gt;=0,'King Node Model'!$C$23-$AL44&lt;=5))),AND('King Node Model'!$P$13="Down",OR($AL44=$AR$22,$AL44=$AR$23,$AL44=$AR$24,$AL44='King Node Model'!$AN$20,$AL44='King Node Model'!$AN$21,$AL44='King Node Model'!$AN$22),OR(AND($AL44-'King Node Model'!$B$23&gt;=0,$AL44-'King Node Model'!$B$23&lt;=5),AND($AL44-'King Node Model'!$C$24&gt;=0,$AL44-'King Node Model'!$C$24&lt;=5)))))),AND(AND(ISNUMBER($AL44),OR(AND($AL44&gt;='King Node Model'!$AM$20,$AL44&lt;='King Node Model'!$AN$20,$AS$23=1),$AL44='King Node Model'!$AM$20,$AL44='King Node Model'!$AN$20,$AL44='King Node Model'!$AM$21,$AL44='King Node Model'!$AN$21,$AL44='King Node Model'!$AM$22,$AL44='King Node Model'!$AN$22),NOT(OR($AL44=$AN$5,$AL44=$AN$6,$AL44=$AN$7,$AL44=$AN$8,$AL44=$AN$10,$AL44=$AN$11))),NOT(AND(ISNUMBER('King Node Model'!$F$24),$AL44='King Node Model'!$F$24,IFERROR(INDEX('Level Engine'!$JN$9:$JN$55,MATCH($AL44,'Level Engine'!$AA$9:$AA$55,0)),0)&lt;&gt;1))),AND(AND(ISNUMBER($AL44),OR(AND($AL44&gt;='King Node Model'!$AM$20,$AL44&lt;='King Node Model'!$AN$20,$AS$23=1),$AL44='King Node Model'!$AM$20,$AL44='King Node Model'!$AN$20,$AL44='King Node Model'!$AM$21,$AL44='King Node Model'!$AN$21,$AL44='King Node Model'!$AM$22,$AL44='King Node Model'!$AN$22,$AL44='King Node Model'!$AL$49,$AL44='King Node Model'!$AL$50),OR($AL44=$AN$5,$AL44=$AN$6,$AL44=$AN$7,$AL44=$AN$8,$AL44=$AN$10,$AL44=$AN$11)),NOT(OR(AND('King Node Model'!$P$13="Up",OR($AL44=$AQ$22,$AL44=$AQ$23,$AL44=$AQ$24,$AL44='King Node Model'!$AM$20,$AL44='King Node Model'!$AM$21,$AL44='King Node Model'!$AM$22),OR(AND('King Node Model'!$B$23-$AL44&gt;=0,'King Node Model'!$B$23-$AL44&lt;=5),AND('King Node Model'!$C$23-$AL44&gt;=0,'King Node Model'!$C$23-$AL44&lt;=5))),AND('King Node Model'!$P$13="Down",OR($AL44=$AR$22,$AL44=$AR$23,$AL44=$AR$24,$AL44='King Node Model'!$AN$20,$AL44='King Node Model'!$AN$21,$AL44='King Node Model'!$AN$22),OR(AND($AL44-'King Node Model'!$B$23&gt;=0,$AL44-'King Node Model'!$B$23&lt;=5),AND($AL44-'King Node Model'!$C$24&gt;=0,$AL44-'King Node Model'!$C$24&lt;=5))))))),OR(COUNTIF('Level Engine'!$W$9:$W$14,$AL44)&gt;0,COUNTIF('Level Engine'!$W$18:$W$23,$AL44)&gt;0)),1,0))</f>
        <v>0</v>
      </c>
      <c r="AZ44" s="1">
        <f t="shared" si="1"/>
        <v>0</v>
      </c>
      <c r="BB44" s="1">
        <f>IF(OR(AND($AL44='King Node Model'!$AL$42,$AP$45&lt;&gt;"RASP"),AND($AL44='King Node Model'!$AL$43,$AP$46&lt;&gt;"RASP"),AND($AL44='King Node Model'!$AL$49,$AP$52&lt;&gt;"RASP"),AND($AL44='King Node Model'!$AL$50,$AP$53&lt;&gt;"RASP"),AND($AL44='King Node Model'!$AL$44,$AP$47&lt;&gt;"RASP"),AND($AL44='King Node Model'!$AL$51,$AP$54&lt;&gt;"RASP")),0,IF(AND(AND(ISNUMBER($AL44),OR(AND($AL44&gt;=$AQ$22,$AL44&lt;=$AR$22,$AP$45="RASP"),AND($AL44&gt;=$AQ$23,$AL44&lt;=$AR$23,$AP$46="RASP"),AND($AL44&gt;=$AQ$24,$AL44&lt;=$AR$24,$AP$47="RASP"),AND($AL44&gt;='King Node Model'!$AM$20,$AL44&lt;='King Node Model'!$AN$20,$AP$52="RASP",NOT($L$52=$AW$52)),AND($AL44='King Node Model'!$B$23,$AP$52="RASP",$L$52=$AW$52),AND($AL44&gt;='King Node Model'!$AM$21,$AL44&lt;='King Node Model'!$AN$21,$AP$53="RASP",NOT($L$53=$AW$53)),AND($AL44='King Node Model'!$B$23,$AP$53="RASP",$L$53=$AW$53),AND($AL44&gt;='King Node Model'!$AM$22,$AL44&lt;='King Node Model'!$AN$22,$AP$54="RASP"),AND($AL44&gt;=IFERROR(INDEX('Level Engine'!$AT$9:$AT$55,MATCH('King Node Model'!$AL$42,'Level Engine'!$AA$9:$AA$55,0)),""),$AL44&lt;=IFERROR(INDEX('Level Engine'!$AU$9:$AU$55,MATCH('King Node Model'!$AL$42,'Level Engine'!$AA$9:$AA$55,0)),""),$AP$45="RASP"),AND($AL44&gt;=IFERROR(INDEX('Level Engine'!$AT$9:$AT$55,MATCH('King Node Model'!$AL$43,'Level Engine'!$AA$9:$AA$55,0)),""),$AL44&lt;=IFERROR(INDEX('Level Engine'!$AU$9:$AU$55,MATCH('King Node Model'!$AL$43,'Level Engine'!$AA$9:$AA$55,0)),""),$AP$46="RASP"),AND($AL44&gt;=IFERROR(INDEX('Level Engine'!$AT$9:$AT$55,MATCH('King Node Model'!$AL$44,'Level Engine'!$AA$9:$AA$55,0)),""),$AL44&lt;=IFERROR(INDEX('Level Engine'!$AU$9:$AU$55,MATCH('King Node Model'!$AL$44,'Level Engine'!$AA$9:$AA$55,0)),""),$AP$47="RASP"),AND($AL44&gt;=IFERROR(INDEX('Level Engine'!$AT$9:$AT$55,MATCH('King Node Model'!$AL$49,'Level Engine'!$AA$9:$AA$55,0)),""),$AL44&lt;=IFERROR(INDEX('Level Engine'!$AU$9:$AU$55,MATCH('King Node Model'!$AL$49,'Level Engine'!$AA$9:$AA$55,0)),""),$AP$52="RASP",NOT($L$52=$AW$52)),AND($AL44&gt;=IFERROR(INDEX('Level Engine'!$AT$9:$AT$55,MATCH('King Node Model'!$AL$50,'Level Engine'!$AA$9:$AA$55,0)),""),$AL44&lt;=IFERROR(INDEX('Level Engine'!$AU$9:$AU$55,MATCH('King Node Model'!$AL$50,'Level Engine'!$AA$9:$AA$55,0)),""),$AP$53="RASP",NOT($L$53=$AW$53)),AND($AL44&gt;=IFERROR(INDEX('Level Engine'!$AT$9:$AT$55,MATCH('King Node Model'!$AL$51,'Level Engine'!$AA$9:$AA$55,0)),""),$AL44&lt;=IFERROR(INDEX('Level Engine'!$AU$9:$AU$55,MATCH('King Node Model'!$AL$51,'Level Engine'!$AA$9:$AA$55,0)),""),$AP$54="RASP"))),NOT(AND(ISNUMBER('King Node Model'!$F$24),$AL44='King Node Model'!$F$24,IFERROR(INDEX('Level Engine'!$JN$9:$JN$55,MATCH($AL44,'Level Engine'!$AA$9:$AA$55,0)),0)&lt;&gt;1,$AL44&lt;&gt;'King Node Model'!$AL$42,$AL44&lt;&gt;'King Node Model'!$AL$43,$AL44&lt;&gt;'King Node Model'!$AL$44,$AL44&lt;&gt;'King Node Model'!$AL$49,$AL44&lt;&gt;'King Node Model'!$AL$50,$AL44&lt;&gt;'King Node Model'!$AL$51))),1,0))</f>
        <v>0</v>
      </c>
      <c r="BK44">
        <f>IFERROR(LARGE($CH$43:$CH$51,2),"")</f>
        <v>7790</v>
      </c>
      <c r="BL44">
        <f>IFERROR(INDEX('King Node Model'!$K$29:$K$75,MATCH($BK44,'King Node Model'!$A$29:$A$75,0)),"")</f>
        <v>871</v>
      </c>
      <c r="BM44">
        <f>IFERROR(INDEX('King Node Model'!$L$29:$L$75,MATCH($BK44,'King Node Model'!$A$29:$A$75,0)),"")</f>
        <v>1184</v>
      </c>
      <c r="BN44">
        <f t="shared" si="26"/>
        <v>0.15231143552311435</v>
      </c>
      <c r="BO44">
        <f>IFERROR(INDEX('Level Engine'!$AC$9:$AC$55,MATCH($BK44,'Level Engine'!$AA$9:$AA$55,0))/MAX('Level Engine'!$AC$9:$AC$55),"")</f>
        <v>0.44454468562462457</v>
      </c>
      <c r="BP44">
        <f>IF(NOT(ISNUMBER($BK44)),"",IF($BK44&gt;'King Node Model'!$B$4,1,-1))</f>
        <v>1</v>
      </c>
      <c r="BQ44" t="str">
        <f>IF(OR(NOT(ISNUMBER($BN44)),NOT(ISNUMBER($BO44))),"",IF($BO44&lt;0.15,"thin",IF(OR('King Node Model'!$A$8="Neg",N('Level Engine'!$BG$72)=1),"",IF($BP44=1,IF($BN44&lt;=-0.4,"HARD ceil",IF($BN44&lt;=-0.15,"ceil",IF($BN44&lt;0.15,"neutral","soft ceil"))),IF($BN44&gt;=0.4,"FIRM floor",IF($BN44&gt;=0.15,"floor",IF($BN44&gt;-0.15,"neutral","WEAK floor"))))&amp;IF($BO44&lt;0.25," ·marginal",""))))</f>
        <v/>
      </c>
      <c r="BR44" t="str">
        <f>IF(NOT(ISNUMBER($BN44)),"",IF(OR('King Node Model'!$A$8="Neg",N('Level Engine'!$BG$72)=1),"",IF(AND($BP44=1,$BN44&gt;0.15),"⚠",IF(AND($BP44=-1,$BN44&lt;-0.15),"⚠",""))))</f>
        <v/>
      </c>
      <c r="BW44">
        <f t="shared" si="27"/>
        <v>5</v>
      </c>
      <c r="BX44">
        <f t="shared" si="28"/>
        <v>5</v>
      </c>
      <c r="BY44" t="str">
        <f t="shared" si="29"/>
        <v/>
      </c>
      <c r="BZ44">
        <f t="shared" si="30"/>
        <v>2055</v>
      </c>
      <c r="CH44">
        <f>IF($CI44&lt;=0,"",IFERROR(SUMPRODUCT(MAX((('King Node Model'!$A$29:$A$75&gt;='King Node Model'!$B$4-25)*('King Node Model'!$A$29:$A$75&lt;='King Node Model'!$B$4+25)*('King Node Model'!$A$29:$A$75&gt;0)*((626-('King Node Model'!$A$29:$A$75-'King Node Model'!$B$4)^2)*1000000+'King Node Model'!$A$29:$A$75)=$CI44)*'King Node Model'!$A$29:$A$75)),""))</f>
        <v>7780</v>
      </c>
      <c r="CI44">
        <f>IFERROR(SUMPRODUCT(LARGE(('King Node Model'!$A$29:$A$75&gt;='King Node Model'!$B$4-25)*('King Node Model'!$A$29:$A$75&lt;='King Node Model'!$B$4+25)*('King Node Model'!$A$29:$A$75&gt;0)*((626-('King Node Model'!$A$29:$A$75-'King Node Model'!$B$4)^2)*1000000+'King Node Model'!$A$29:$A$75),2)),0)</f>
        <v>604755680.00000298</v>
      </c>
      <c r="CO44">
        <f>IF(NOT(ISNUMBER($AL44)),"",IF(NOT(ISNUMBER(IFERROR(INDEX('Level Engine'!$FT$9:$FT$55,MATCH($AL44,'Level Engine'!$AA$9:$AA$55,0)),""))),"",IF(IFERROR(INDEX('Level Engine'!$FT$9:$FT$55,MATCH($AL44,'Level Engine'!$AA$9:$AA$55,0)),"")&lt;0,0,2)+IF(ABS(IFERROR(INDEX('Level Engine'!$FT$9:$FT$55,MATCH($AL44,'Level Engine'!$AA$9:$AA$55,0)),""))&gt;='Level Engine'!$FT$2,2,1)))</f>
        <v>2</v>
      </c>
      <c r="CX44"/>
      <c r="DJ44" t="str">
        <f>IF(ISNUMBER($AL44),IF($AL44='Level Engine'!$BG$122," ⫪","")&amp;IF($AL44='Level Engine'!$BG$118," S↑"&amp;IFERROR(INDEX('Level Engine'!$MV$9:$MV$55,MATCH($AL44,'Level Engine'!$AA$9:$AA$55,0)),""),"")&amp;IF($AL44='Level Engine'!$BG$119," S↓"&amp;IFERROR(INDEX('Level Engine'!$MV$9:$MV$55,MATCH($AL44,'Level Engine'!$AA$9:$AA$55,0)),""),"")&amp;IF($AL44='Level Engine'!$BG$120," D↑","")&amp;IF($AL44='Level Engine'!$BG$121," D↓","")&amp;IFERROR(INDEX('Level Engine'!$LG$9:$LG$55,MATCH($AL44,'Level Engine'!$AA$9:$AA$55,0)),"")&amp;IF(IFERROR(INDEX('Level Engine'!$MA$9:$MA$55,MATCH($AL44,'Level Engine'!$AA$9:$AA$55,0)),0)=1," SAND","")&amp;IF(IFERROR(INDEX('Level Engine'!$LM$9:$LM$55,MATCH($AL44,'Level Engine'!$AA$9:$AA$55,0)),0)&gt;0," TP","")&amp;IFERROR(" r"&amp;MATCH($AL44,'Level Engine'!$W$9:$W$14,0),IFERROR(" s"&amp;MATCH($AL44,'Level Engine'!$W$18:$W$23,0),""))&amp;IF($AL44='Level Engine'!$BG$165," ◇","")&amp;IF(N($DZ44)=1,IF($AL44&gt;'Level Engine'!$BG$165," ⚠ DOM↓"," ⚠ DOM↑")&amp;'Level Engine'!$BG$165,""),"")</f>
        <v/>
      </c>
      <c r="DK44" t="str">
        <f>IF(AND(ISNUMBER($AL44),OR($AL44='King Node Model'!$AL$42,$AL44='King Node Model'!$AL$43,$AL44='King Node Model'!$AL$44)),IFERROR(MATCH($AL44,'Level Engine'!$W$9:$W$14,0),""),"")</f>
        <v/>
      </c>
      <c r="DL44" t="str">
        <f>IF(AND(ISNUMBER($AL44),OR($AL44='King Node Model'!$AL$49,$AL44='King Node Model'!$AL$50,$AL44='King Node Model'!$AL$51)),IFERROR(MATCH($AL44,'Level Engine'!$W$18:$W$23,0),""),"")</f>
        <v/>
      </c>
      <c r="DM44">
        <f>IF(AND(ISNUMBER($AL44),IFERROR(INDEX('Level Engine'!$LC$9:$LC$55,MATCH($AL44,'Level Engine'!$AA$9:$AA$55,0)),0)=1,OR($AL44=$AN$3,IFERROR(INDEX('Level Engine'!$LB$9:$LB$55,MATCH($AL44,'Level Engine'!$AA$9:$AA$55,0)),0)=1)),1,0)</f>
        <v>0</v>
      </c>
      <c r="DZ44">
        <f>IF(ISNUMBER($AL44),IF(IFERROR(INDEX('Level Engine'!$NJ$9:$NJ$55,MATCH($AL44,'Level Engine'!$AA$9:$AA$55,0)),0)=1,1,0),0)</f>
      </c>
      <c r="EA44">
        <f>IF($E44="",0,IF(IFERROR(INDEX('Level Engine'!$NJ$9:$NJ$55,MATCH(IFERROR(VALUE(LEFT($E44,4)),0),'Level Engine'!$AA$9:$AA$55,0)),0)=1,1,0))</f>
      </c>
    </row>
    <row r="45" spans="1:123" ht="120" customHeight="1" x14ac:dyDescent="0.25">
      <c r="A45" s="7" t="str">
        <f t="shared" si="3"/>
        <v>█</v>
      </c>
      <c r="B45" s="8" t="str">
        <f>TEXT(IF(IF('Level Engine'!$GJ$4=1,$AL45='Level Engine'!$GJ$3,AND($AL45-$AM$2&gt;-2.5,$AL45-$AM$2&lt;=2.5)),$AM$2,$AL45),"0")&amp;IF($AL45=$AN$1," ★","")&amp;IF($AL45=$AN$2," ★","")&amp;IF($AL45=$AN$3," ◆","")&amp;IF(AND(ISNUMBER($AN$4),$AL45=$AN$4)," Ⓕ","")&amp;IF(OR(AND(ISNUMBER('Level Engine'!$BG$87),$AL45='Level Engine'!$BG$87),AND(ISNUMBER('Level Engine'!$BG$105),$AL45='Level Engine'!$BG$105))," ζ","")&amp;IF(AND(ISNUMBER($AN$35),$AL45=$AN$35)," ⓏⒼ","")&amp;IF(OR($AL45='Level Engine'!$CP$4,$AL45='Level Engine'!$CP$5,$AL45='Level Engine'!$CP$6,$AL45='Level Engine'!$CP$7)," ☄","")&amp;IF(OR($AL45=$AN$5,$AL45=$AN$8)," ║1","")&amp;IF(OR($AL45=$AN$6,$AL45=$AN$10)," ║2","")&amp;IF(OR($AL45=$AN$7,$AL45=$AN$11)," ║3","")&amp;IF(OR($AL45=$AN$13,$AL45=$AN$16)," ▣1","")&amp;IF(OR($AL45=$AN$14,$AL45=$AN$17)," ▣2","")&amp;IF(OR($AL45=$AN$15,$AL45=$AN$18)," ▣3","")&amp;IF(AND(NOT(OR(AND(ISNUMBER(SEARCH("chop edge",$E$45)),IFERROR(ABS($AL45-'King Node Model'!$AL$42)&lt;=5,FALSE),NOT(ISNUMBER(SEARCH("UNSAFE",$L$45)))),AND(ISNUMBER(SEARCH("chop edge",$E$46)),IFERROR(ABS($AL45-'King Node Model'!$AL$43)&lt;=5,FALSE),NOT(ISNUMBER(SEARCH("UNSAFE",$L$46)))),AND(ISNUMBER(SEARCH("chop edge",$E$52)),IFERROR(ABS($AL45-'King Node Model'!$AL$49)&lt;=5,FALSE),NOT(ISNUMBER(SEARCH("UNSAFE",$L$52)))),AND(ISNUMBER(SEARCH("chop edge",$E$53)),IFERROR(ABS($AL45-'King Node Model'!$AL$50)&lt;=5,FALSE),NOT(ISNUMBER(SEARCH("UNSAFE",$L$53)))))),OR(AND(IFERROR(INDEX('Level Engine'!$IB$9:$IB$55,MATCH('King Node Model'!$AL$49,'Level Engine'!$AA$9:$AA$55,0)),0)&lt;&gt;1,$AL45=IFERROR(INDEX('Level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Engine'!$AA$9:$AA$55,0)),0)&lt;&gt;1,$AL45=IFERROR(INDEX('Level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edge",$E$45)),IFERROR(ABS($AL45-'King Node Model'!$AL$42)&lt;=5,FALSE),NOT(ISNUMBER(SEARCH("UNSAFE",$L$45)))),AND(ISNUMBER(SEARCH("chop edge",$E$46)),IFERROR(ABS($AL45-'King Node Model'!$AL$43)&lt;=5,FALSE),NOT(ISNUMBER(SEARCH("UNSAFE",$L$46)))),AND(ISNUMBER(SEARCH("chop edge",$E$52)),IFERROR(ABS($AL45-'King Node Model'!$AL$49)&lt;=5,FALSE),NOT(ISNUMBER(SEARCH("UNSAFE",$L$52)))),AND(ISNUMBER(SEARCH("chop edge",$E$53)),IFERROR(ABS($AL45-'King Node Model'!$AL$50)&lt;=5,FALSE),NOT(ISNUMBER(SEARCH("UNSAFE",$L$53)))))),OR(AND(IFERROR(INDEX('Level Engine'!$IB$9:$IB$55,MATCH('King Node Model'!$AL$42,'Level Engine'!$AA$9:$AA$55,0)),0)&lt;&gt;1,$AL45=IFERROR(INDEX('Level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Engine'!$AA$9:$AA$55,0)),0)&lt;&gt;1,$AL45=IFERROR(INDEX('Level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ⒷⓁ"),"")&amp;IF(OR(AND($AL45&gt;='King Node Model'!$AM$17,$AL45&lt;='King Node Model'!$AN$17,$AP$45="RASP"),AND($AL45&gt;='King Node Model'!$AM$18,$AL45&lt;='King Node Model'!$AN$18,$AP$46="RASP"),AND($AL45&gt;='King Node Model'!$AM$19,$AL45&lt;='King Node Model'!$AN$19,$AP$47="RASP"),AND($AL45&gt;='King Node Model'!$AM$20,$AL45&lt;='King Node Model'!$AN$20,$AP$52="RASP"),AND($AL45&gt;='King Node Model'!$AM$21,$AL45&lt;='King Node Model'!$AN$21,$AP$53="RASP"),AND($AL45&gt;='King Node Model'!$AM$22,$AL45&lt;='King Node Model'!$AN$22,$AP$54="RASP")),"","")&amp;IF(IF('Level Engine'!$GJ$4=1,$AL45='Level Engine'!$GJ$3,AND($AL45-$AM$2&gt;-2.5,$AL45-$AM$2&lt;=2.5))," ◄","")&amp;IF(IFERROR(INDEX('Level Engine'!$GV$9:$GV$55,MATCH($AL45,'Level Engine'!$AA$9:$AA$55,0)),0)=1," Ⓥ"&amp;IF(IFERROR(INDEX('Level Engine'!$ET$9:$ET$55,MATCH($AL45,'Level Engine'!$AA$9:$AA$55,0)),0)=1,"+",""),"")&amp;IF(OR(AND($AL45=$AN$38,IFERROR(INDEX('Level Engine'!$AN$9:$AN$55,MATCH($AL45,'Level Engine'!$AA$9:$AA$55,0)),0)&lt;&gt;1),$AL45=$AN$39)," ⊙","")&amp;IF(AND(OR('King Node Model'!$A$8="Neg",N('Level Engine'!$BG$72)=1),ABS(MIN($AM$3:$AM$64))&gt;MAX($AM$3:$AM$64),$AN$2&lt;$AM$2,$AL45&lt;$AM$2,ABS($AL45-$AN$2)&lt;=5,IFERROR(VALUE(MID('King Node Model'!$K$26,FIND(":",'King Node Model'!$K$26)-2,2)),0)&gt;=19,IFERROR(INDEX('Level Engine'!$EJ$9:$EJ$55,MATCH($AL45,'Level Engine'!$AA$9:$AA$55,0)),0)=0,$AN$3&gt;$AM$2)," ⟲rev","")&amp;IF($AL45='King Node Model'!$F$24," ⟂","")&amp;$DJ45&amp;IF(IFERROR(INDEX('Level Engine'!$EN$9:$EN$55,MATCH($AL45,'Level Engine'!$AA$9:$AA$55,0)),0)=1," Ⓟ"&amp;IF(AND(OR('King Node Model'!$A$8="Neg",N('Level Engine'!$BG$72)=1),IFERROR(INDEX('Level Engine'!$AN$9:$AN$55,MATCH($AL45,'Level Engine'!$AA$9:$AA$55,0)),0)&lt;&gt;1)," NO-REV",""),"")&amp;IF(AND(ISNUMBER($AL45),OR(AND(ISNUMBER(SEARCH("chop edge",$E$45)),$AL45='King Node Model'!$AL$42),AND(ISNUMBER(SEARCH("chop edge",$E$46)),$AL45='King Node Model'!$AL$43),AND(ISNUMBER(SEARCH("chop edge",$E$52)),$AL45='King Node Model'!$AL$49),AND(ISNUMBER(SEARCH("chop edge",$E$53)),$AL45='King Node Model'!$AL$50)))," ⒸⒺ","")&amp;IF(AND('Level Engine'!$GJ$4=1,OR($AL45='Level Engine'!$GJ$1,$AL45='Level Engine'!$GJ$2)),"","")&amp;IF(ABS(N(IFERROR(INDEX('Level Engine'!$AE$9:$AE$55,MATCH($AL45,'Level Engine'!$AA$9:$AA$55,0)),0)))&gt;='Level Engine'!$BG$85,IF(N(IFERROR(INDEX('Level Engine'!$AE$9:$AE$55,MATCH($AL45,'Level Engine'!$AA$9:$AA$55,0)),0))&gt;0," Δ+"," Δ−"),"")&amp;IFERROR(IF(AND(ISNUMBER(MATCH($AL45,'Level Engine'!$AA$9:$AA$55,0)),ABS(N(IFERROR(INDEX('Level Engine'!$AE$9:$AE$55,MATCH($AL45,'Level Engine'!$AA$9:$AA$55,0)),0)))&lt;'Level Engine'!$BG$85,ABS(N(IFERROR(INDEX('Level Engine'!$AE$9:$AE$55,MATCH($AL45,'Level Engine'!$AA$9:$AA$55,0)),0)))&lt;=ABS(N(IFERROR(INDEX('Level Engine'!$AE$9:$AE$55,MATCH($AL45+5,'Level Engine'!$AA$9:$AA$55,0)),0))),ABS(N(IFERROR(INDEX('Level Engine'!$AE$9:$AE$55,MATCH($AL45,'Level Engine'!$AA$9:$AA$55,0)),0)))&lt;=ABS(N(IFERROR(INDEX('Level Engine'!$AE$9:$AE$55,MATCH($AL45-5,'Level Engine'!$AA$9:$AA$55,0)),0))),OR(AND(ABS(N(IFERROR(INDEX('Level Engine'!$AE$9:$AE$55,MATCH($AL45+5,'Level Engine'!$AA$9:$AA$55,0)),0)))&gt;='Level Engine'!$BG$85,ABS(N(IFERROR(INDEX('Level Engine'!$AE$9:$AE$55,MATCH($AL45,'Level Engine'!$AA$9:$AA$55,0)),0)))&lt;='Level Engine'!$BG$88*ABS(N(IFERROR(INDEX('Level Engine'!$AE$9:$AE$55,MATCH($AL45+5,'Level Engine'!$AA$9:$AA$55,0)),0)))),AND(ABS(N(IFERROR(INDEX('Level Engine'!$AE$9:$AE$55,MATCH($AL45-5,'Level Engine'!$AA$9:$AA$55,0)),0)))&gt;='Level Engine'!$BG$85,ABS(N(IFERROR(INDEX('Level Engine'!$AE$9:$AE$55,MATCH($AL45,'Level Engine'!$AA$9:$AA$55,0)),0)))&lt;='Level Engine'!$BG$88*ABS(N(IFERROR(INDEX('Level Engine'!$AE$9:$AE$55,MATCH($AL45-5,'Level Engine'!$AA$9:$AA$55,0)),0)))))),IF(AND('King Node Model'!$A$8="Pos",N('Level Engine'!$BG$72)&lt;&gt;1),""," ∅"),""),"")&amp;IF(IFERROR(INDEX('Level Engine'!$JD$9:$JD$55,MATCH($AL45,'Level Engine'!$AA$9:$AA$55,0)),"")="P"," P-OI",IF(IFERROR(INDEX('Level Engine'!$JD$9:$JD$55,MATCH($AL45,'Level Engine'!$AA$9:$AA$55,0)),"")="C"," C-OI",""))</f>
        <v>7675</v>
      </c>
      <c r="C45" s="9" t="str">
        <f t="shared" si="0"/>
        <v/>
      </c>
      <c r="D45" t="str">
        <f>IF(NOT(ISNUMBER($AL45)),"",IF(IFERROR(INDEX('Level Engine'!$FS$9:$FS$55,MATCH($AL45,'Level Engine'!$AA$9:$AA$55,0)),0)=1,"⊙",""))</f>
        <v/>
      </c>
      <c r="E45" s="422" t="str">
        <f>(((IF(AND(AND(ISNUMBER('King Node Model'!$AL$42),ISNUMBER('King Node Model'!$AL$43),IFERROR(ABS('King Node Model'!$AL$42-'King Node Model'!$AL$43)&lt;=5,FALSE()),OR(AND(ISNUMBER(SEARCH("box",'King Node Model'!S42)),ISNUMBER(SEARCH("wall",'King Node Model'!S43))),AND(ISNUMBER(SEARCH("wall",'King Node Model'!S42)),ISNUMBER(SEARCH("box",'King Node Model'!S43))))),(IFERROR(MATCH('King Node Model'!$AL$42,'Level Engine'!$W$9:$W$14,0),99)&lt;=IFERROR(MATCH('King Node Model'!$AL$43,'Level Engine'!$W$9:$W$14,0),99))),TEXT(MIN('King Node Model'!$AL$42,'King Node Model'!$AL$43),"0")&amp;"-"&amp;TEXT(MAX('King Node Model'!$AL$42,'King Node Model'!$AL$43),"0")&amp;" (box + wall @ "&amp;TEXT(IF(ISNUMBER(SEARCH("wall",'King Node Model'!S42)),'King Node Model'!$AL$42,'King Node Model'!$AL$43),"0")&amp;")"&amp;IF(MIN(IFERROR(MATCH('King Node Model'!$AL$42,'Level Engine'!$W$9:$W$14,0),99),IFERROR(MATCH('King Node Model'!$AL$43,'Level Engine'!$W$9:$W$14,0),99))&lt;99," ·r"&amp;MIN(IFERROR(MATCH('King Node Model'!$AL$42,'Level Engine'!$W$9:$W$14,0),99),IFERROR(MATCH('King Node Model'!$AL$43,'Level Engine'!$W$9:$W$14,0),99)),""),IF(AND(ISNUMBER('King Node Model'!$AL$42),ISNUMBER('King Node Model'!$AL$43),IFERROR(ABS('King Node Model'!$AL$42-'King Node Model'!$AL$43)&lt;=5,FALSE()),OR(AND(ISNUMBER(SEARCH("box",'King Node Model'!S42)),ISNUMBER(SEARCH("wall",'King Node Model'!S43))),AND(ISNUMBER(SEARCH("wall",'King Node Model'!S42)),ISNUMBER(SEARCH("box",'King Node Model'!S43))))),"",'King Node Model'!S42&amp;IFERROR(" ·r"&amp;MATCH('King Node Model'!$AL$42,'Level Engine'!$W$9:$W$14,0),""))))&amp;$CM$45)&amp;IFERROR(IF(AND(ISNUMBER('King Node Model'!$AL$42),AND(ISNUMBER(MATCH('King Node Model'!$AL$42+5,'Level Engine'!$AA$9:$AA$55,0)),ABS(N(IFERROR(INDEX('Level Engine'!$AE$9:$AE$55,MATCH('King Node Model'!$AL$42+5,'Level Engine'!$AA$9:$AA$55,0)),0)))&lt;'Level Engine'!$BG$85,ABS(N(IFERROR(INDEX('Level Engine'!$AE$9:$AE$55,MATCH('King Node Model'!$AL$42+5,'Level Engine'!$AA$9:$AA$55,0)),0)))&lt;=ABS(N(IFERROR(INDEX('Level Engine'!$AE$9:$AE$55,MATCH(('King Node Model'!$AL$42+5)+5,'Level Engine'!$AA$9:$AA$55,0)),0))),ABS(N(IFERROR(INDEX('Level Engine'!$AE$9:$AE$55,MATCH('King Node Model'!$AL$42+5,'Level Engine'!$AA$9:$AA$55,0)),0)))&lt;=ABS(N(IFERROR(INDEX('Level Engine'!$AE$9:$AE$55,MATCH(('King Node Model'!$AL$42+5)-5,'Level Engine'!$AA$9:$AA$55,0)),0))),OR(AND(ABS(N(IFERROR(INDEX('Level Engine'!$AE$9:$AE$55,MATCH(('King Node Model'!$AL$42+5)+5,'Level Engine'!$AA$9:$AA$55,0)),0)))&gt;='Level Engine'!$BG$85,ABS(N(IFERROR(INDEX('Level Engine'!$AE$9:$AE$55,MATCH('King Node Model'!$AL$42+5,'Level Engine'!$AA$9:$AA$55,0)),0)))&lt;='Level Engine'!$BG$88*ABS(N(IFERROR(INDEX('Level Engine'!$AE$9:$AE$55,MATCH(('King Node Model'!$AL$42+5)+5,'Level Engine'!$AA$9:$AA$55,0)),0)))),AND(ABS(N(IFERROR(INDEX('Level Engine'!$AE$9:$AE$55,MATCH(('King Node Model'!$AL$42+5)-5,'Level Engine'!$AA$9:$AA$55,0)),0)))&gt;='Level Engine'!$BG$85,ABS(N(IFERROR(INDEX('Level Engine'!$AE$9:$AE$55,MATCH('King Node Model'!$AL$42+5,'Level Engine'!$AA$9:$AA$55,0)),0)))&lt;='Level Engine'!$BG$88*ABS(N(IFERROR(INDEX('Level Engine'!$AE$9:$AE$55,MATCH(('King Node Model'!$AL$42+5)-5,'Level Engine'!$AA$9:$AA$55,0)),0))))))),IF(AND('King Node Model'!$A$8="Pos",N('Level Engine'!$BG$72)&lt;&gt;1),""," → ∅"&amp;TEXT('King Node Model'!$AL$42+5,"0")),""),""))&amp;IF(IFERROR(AND('King Node Model'!$A$8="Pos",ISNUMBER('Level Engine'!$BG$87),ISNUMBER('King Node Model'!$AL$42),'King Node Model'!$AL$42='Level Engine'!$BG$87),FALSE)," ζ","")</f>
        <v>7780 ⟂ ·r5  [Cluster 7770-7780]</v>
      </c>
      <c r="F45" s="423">
        <f>IF($E45="","",'King Node Model'!T42)</f>
        <v>4.6099999999996726</v>
      </c>
      <c r="G45" s="511">
        <f>IF($E45="","",'King Node Model'!U42)</f>
        <v>-2299593</v>
      </c>
      <c r="H45" s="425" t="str">
        <f>IF($E45="","",'King Node Model'!V42)</f>
        <v>Dex Zom Dex↓ Zsh P-OI</v>
      </c>
      <c r="I45" s="426">
        <f>IF($E45="","",'King Node Model'!W42)</f>
        <v>5</v>
      </c>
      <c r="J45" s="425" t="str">
        <f>IF($E45="","",IFERROR(IF(OR(INDEX('Level Engine'!$IY$9:$IY$55,MATCH(--LEFT($E45,4),'Level Engine'!$AA$9:$AA$55,0))="SELL",INDEX('Level Engine'!$IY$9:$IY$55,MATCH(--LEFT($E45,4),'Level Engine'!$AA$9:$AA$55,0))="BUY"),IF(AND(N('Level Engine'!$BG$78)=1,IF('Level Engine'!$BG$80&lt;&gt;"",UPPER('Level Engine'!$BG$80),'Level Engine'!$D$5)="UP"),"TURNING",INDEX('Level Engine'!$IY$9:$IY$55,MATCH(--LEFT($E45,4),'Level Engine'!$AA$9:$AA$55,0)))&amp;" "&amp;IF(ABS(INDEX('Level Engine'!$AD$9:$AD$55,MATCH(--LEFT($E45,4),'Level Engine'!$AA$9:$AA$55,0)))&gt;=1000000,TEXT(INDEX('Level Engine'!$AD$9:$AD$55,MATCH(--LEFT($E45,4),'Level Engine'!$AA$9:$AA$55,0))/1000000,"+0.00;-0.00")&amp;"M",TEXT(INDEX('Level Engine'!$AD$9:$AD$55,MATCH(--LEFT($E45,4),'Level Engine'!$AA$9:$AA$55,0))/1000,"+0;-0")&amp;"K"),"—")&amp;IF(OR(INDEX('Level Engine'!$KF$9:$KF$55,MATCH(--LEFT($E45,4),'Level Engine'!$AA$9:$AA$55,0))="BUY",INDEX('Level Engine'!$KF$9:$KF$55,MATCH(--LEFT($E45,4),'Level Engine'!$AA$9:$AA$55,0))="SELL")," → "&amp;INDEX('Level Engine'!$KF$9:$KF$55,MATCH(--LEFT($E45,4),'Level Engine'!$AA$9:$AA$55,0))&amp;IF(ABS(N(INDEX('Level Engine'!$AD$9:$AD$55,MATCH(--LEFT($E45,4),'Level Engine'!$AA$9:$AA$55,0))))&gt;='Level Engine'!$BG$94,IF(OR(AND(INDEX('Level Engine'!$AG$9:$AG$55,MATCH(--LEFT($E45,4),'Level Engine'!$AA$9:$AA$55,0))="R",INDEX('Level Engine'!$KF$9:$KF$55,MATCH(--LEFT($E45,4),'Level Engine'!$AA$9:$AA$55,0))="SELL"),AND(INDEX('Level Engine'!$AG$9:$AG$55,MATCH(--LEFT($E45,4),'Level Engine'!$AA$9:$AA$55,0))="S",INDEX('Level Engine'!$KF$9:$KF$55,MATCH(--LEFT($E45,4),'Level Engine'!$AA$9:$AA$55,0))="BUY"))," ✓"," ✗"),""),""),"—"))</f>
        <v>BUY -699K → BUY ✗</v>
      </c>
      <c r="K45" s="425" t="str">
        <f>(IF(AND($E45&lt;&gt;"",IFERROR(AND('King Node Model'!$A$8="Pos",OR(ISNUMBER('Level Engine'!$BG$87),ISNUMBER('Level Engine'!$BG$105)),ISNUMBER('King Node Model'!$AL$42),OR('King Node Model'!$AL$42='Level Engine'!$BG$87,'King Node Model'!$AL$42='Level Engine'!$BG$105)),FALSE)),IF('King Node Model'!$AL$42='Level Engine'!$BG$105,"ζ MAX ZOMMA ","ζ MIN ZOMMA ")&amp;TEXT(IFERROR(INDEX('Level Engine'!$AF$9:$AF$55,MATCH('King Node Model'!$AL$42,'Level Engine'!$AA$9:$AA$55,0)),0)/1000000,"+0.0;-0.0")&amp;"M"&amp;CHAR(10),"")&amp;(IF(AND($E45&lt;&gt;"",IFERROR(INDEX('Level Engine'!$JS$9:$JS$55,MATCH('King Node Model'!$AL$42,'Level Engine'!$AA$9:$AA$55,0)),0)=1),IF(IFERROR(INDEX('Level Engine'!$AF$9:$AF$55,MATCH('King Node Model'!$AL$42,'Level Engine'!$AA$9:$AA$55,0)),0)&lt;0,"IV FALL","IV RISE")&amp;" REINFORCED · largest zomma on board"&amp;CHAR(10),""))&amp;(IF(OR($E45="",NOT(ISNUMBER('King Node Model'!$AL$42))),"",TEXT('King Node Model'!$AL$42,"0")&amp;" "&amp;(IF($E45="","",IF(NOT(ISNUMBER('King Node Model'!$AL$42)),"",SUBSTITUTE(IFERROR(INDEX('Level Engine'!$EQ$9:$EQ$55,MATCH('King Node Model'!$AL$42,'Level Engine'!$AA$9:$AA$55,0)),"")," (sub-threshold)","")&amp;IF(COUNTIF('Level Engine'!$ES$9:$ES$55,"&gt;"&amp;IFERROR(INDEX('Level Engine'!$ES$9:$ES$55,MATCH('King Node Model'!$AL$42,'Level Engine'!$AA$9:$AA$55,0)),0))+1&lt;=8," ("&amp;IF(IFERROR(INDEX('Level Engine'!$ES$9:$ES$55,MATCH('King Node Model'!$AL$42,'Level Engine'!$AA$9:$AA$55,0)),0)&gt;='Level Engine'!$S$10,"","sub-threshold, ")&amp;"r"&amp;TEXT(COUNTIF('Level Engine'!$ES$9:$ES$55,"&gt;"&amp;IFERROR(INDEX('Level Engine'!$ES$9:$ES$55,MATCH('King Node Model'!$AL$42,'Level Engine'!$AA$9:$AA$55,0)),0))+1,"0")&amp;")","")&amp;IF(AND(IFERROR(INDEX('Level Engine'!$AT$9:$AT$55,MATCH('King Node Model'!$AL$42,'Level Engine'!$AA$9:$AA$55,0)),'King Node Model'!$AL$42)&lt;&gt;IFERROR(INDEX('Level Engine'!$AU$9:$AU$55,MATCH('King Node Model'!$AL$42,'Level Engine'!$AA$9:$AA$55,0)),'King Node Model'!$AL$42),IF(IF(IFERROR(INDEX('Level Engine'!$KC$9:$KC$55,MATCH('King Node Model'!$AL$42,'Level Engine'!$AA$9:$AA$55,0)),IF('Level Engine'!$BG$80&lt;&gt;"",UPPER('Level Engine'!$BG$80),UPPER('Level Engine'!$D$5)))="UP",SIGN(IFERROR(INDEX('Level Engine'!$AF$9:$AF$55,MATCH('King Node Model'!$AL$42,'Level Engine'!$AA$9:$AA$55,0)),0)),IF(IFERROR(INDEX('Level Engine'!$KC$9:$KC$55,MATCH('King Node Model'!$AL$42,'Level Engine'!$AA$9:$AA$55,0)),IF('Level Engine'!$BG$80&lt;&gt;"",UPPER('Level Engine'!$BG$80),UPPER('Level Engine'!$D$5)))="DOWN",-SIGN(IFERROR(INDEX('Level Engine'!$AF$9:$AF$55,MATCH('King Node Model'!$AL$42,'Level Engine'!$AA$9:$AA$55,0)),0)),0))=1,"firming","thinning")&lt;&gt;IF(IF(IFERROR(INDEX('Level Engine'!$KC$9:$KC$55,MATCH('King Node Model'!$AL$42,'Level Engine'!$AA$9:$AA$55,0)),IF('Level Engine'!$BG$80&lt;&gt;"",UPPER('Level Engine'!$BG$80),UPPER('Level Engine'!$D$5)))="UP",SIGN(IFERROR(INDEX('Level Engine'!$AF$9:$AF$55,MATCH(IF('King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Engine'!$AA$9:$AA$55,0)),0)),IF(IFERROR(INDEX('Level Engine'!$KC$9:$KC$55,MATCH('King Node Model'!$AL$42,'Level Engine'!$AA$9:$AA$55,0)),IF('Level Engine'!$BG$80&lt;&gt;"",UPPER('Level Engine'!$BG$80),UPPER('Level Engine'!$D$5)))="DOWN",-SIGN(IFERROR(INDEX('Level Engine'!$AF$9:$AF$55,MATCH(IF('King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Engine'!$AA$9:$AA$55,0)),0)),0))=1,"firming","thinning"))," / "&amp;TEXT(IF('King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Model'!$AL$42)),"0")&amp;" "&amp;IF(IF(IFERROR(INDEX('Level Engine'!$KC$9:$KC$55,MATCH('King Node Model'!$AL$42,'Level Engine'!$AA$9:$AA$55,0)),IF('Level Engine'!$BG$80&lt;&gt;"",UPPER('Level Engine'!$BG$80),UPPER('Level Engine'!$D$5)))="UP",SIGN(IFERROR(INDEX('Level Engine'!$AF$9:$AF$55,MATCH(IF('King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Engine'!$AA$9:$AA$55,0)),0)),IF(IFERROR(INDEX('Level Engine'!$KC$9:$KC$55,MATCH('King Node Model'!$AL$42,'Level Engine'!$AA$9:$AA$55,0)),IF('Level Engine'!$BG$80&lt;&gt;"",UPPER('Level Engine'!$BG$80),UPPER('Level Engine'!$D$5)))="DOWN",-SIGN(IFERROR(INDEX('Level Engine'!$AF$9:$AF$55,MATCH(IF('King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Engine'!$AA$9:$AA$55,0)),0)),0))=1,"firming","thinning")&amp;" the ceiling ("&amp;IF(IFERROR(INDEX('Level Engine'!$ES$9:$ES$55,MATCH(IF('King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Engine'!$AA$9:$AA$55,0)),0)&gt;='Level Engine'!$S$10,"",IF(IFERROR(INDEX('Level Engine'!$ES$9:$ES$55,MATCH(IF('King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Engine'!$AA$9:$AA$55,0)),0)&gt;='Level Engine'!$S$16,"sub-threshold, ","magnitude weak, "))&amp;"r"&amp;TEXT(COUNTIF('Level Engine'!$ES$9:$ES$55,"&gt;"&amp;IFERROR(INDEX('Level Engine'!$ES$9:$ES$55,MATCH(IF('King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Engine'!$AA$9:$AA$55,0)),0))+1,"0")&amp;")","")))))))&amp;IF(AND($E45&lt;&gt;"",ISNUMBER('King Node Model'!$AL$42)),CHAR(10)&amp;IFERROR(INDEX('Level Engine'!$KE$9:$KE$55,MATCH('King Node Model'!$AL$42,'Level Engine'!$AA$9:$AA$55,0)),""),"")</f>
        <v>7780 ACCEL fading · Neg gamma ↓ (firmer resistance) (r2)
Now: strengthening the ceiling (IV rising) · if IV falls: weakens the ceiling · expected on arrival: STRENGTHENS ✓</v>
      </c>
      <c r="L45" s="425" t="str">
        <f>IF($DR45="",$DS45,IF($DS45="",$DR45,$DS45&amp;CHAR(10)&amp;$DR45))</f>
        <v>UNSAFE·Level at risk
• Vanna BUY on arrival — dealers buy into this ceiling as IV falls</v>
      </c>
      <c r="M45" s="427" t="str">
        <f>IF(AND($E45&lt;&gt;"",ISNUMBER('King Node Model'!$AL$42),IFERROR(INDEX('Level Engine'!$AN$9:$AN$55,MATCH('King Node Model'!$AL$42,'Level Engine'!$AA$9:$AA$55,0)),0)&lt;&gt;1),"NO REV · "&amp;$DI45,IF(AND($E45&lt;&gt;"",IFERROR(INDEX('Level Engine'!$AN$9:$AN$55,MATCH('King Node Model'!$AL$42,'Level Engine'!$AA$9:$AA$55,0)),0)=1,ISNUMBER(SEARCH("⊙ PIN",$DI45))),IF(ISNUMBER(SEARCH("REVERSAL",TRIM(SUBSTITUTE(SUBSTITUTE($DI45,"⚡ ⊙ PIN",""),"⊙ PIN","")))),TRIM(SUBSTITUTE(SUBSTITUTE($DI45,"⚡ ⊙ PIN",""),"⊙ PIN","")),"REVERSAL"&amp;IF(TRIM(SUBSTITUTE(SUBSTITUTE($DI45,"⚡ ⊙ PIN",""),"⊙ PIN",""))&lt;&gt;""," · "&amp;TRIM(SUBSTITUTE(SUBSTITUTE($DI45,"⚡ ⊙ PIN",""),"⊙ PIN","")),"")),IF(AND($E45&lt;&gt;"",IFERROR(INDEX('Level Engine'!$AN$9:$AN$55,MATCH('King Node Model'!$AL$42,'Level Engine'!$AA$9:$AA$55,0)),0)=1,NOT(ISNUMBER(SEARCH("REVERSAL",$DI45)))),"REVERSAL · ","")&amp;$DI45))</f>
        <v>REVERSAL · Cluster · accelerates ‹nearest›</v>
      </c>
      <c r="N45" s="427" t="str">
        <f>IF($E45="","",IF('King Node Model'!$AL$42="","",IF(IFERROR(INDEX('Level Engine'!$AX$9:$AX$55,MATCH('King Node Model'!$AL$42,'Level Engine'!$AA$9:$AA$55,0)),0)=1,"VOMMA CAP","—")))</f>
        <v>—</v>
      </c>
      <c r="O45" s="465" t="str">
        <f>IFERROR(IF(AND($N45="VOMMA CAP",ABS($F45)&lt;=10,ISNUMBER(SEARCH("SHORT trigger",'GEX Depth'!$C$54))),"⚡ SHORT",""),"")</f>
        <v/>
      </c>
      <c r="P45" s="475"/>
      <c r="Q45" s="452" t="str">
        <f t="shared" si="21"/>
        <v xml:space="preserve">7785   52% </v>
      </c>
      <c r="R45" s="447" t="str">
        <f t="shared" si="22"/>
        <v>708 ▉▉▉▉</v>
      </c>
      <c r="S45" s="484" t="str">
        <f t="shared" si="23"/>
        <v>▉▉▉▉ 763</v>
      </c>
      <c r="T45" s="484" t="str">
        <f t="shared" si="24"/>
        <v>g7</v>
      </c>
      <c r="U45" s="453" t="str">
        <f t="shared" si="25"/>
        <v/>
      </c>
      <c r="V45" s="39"/>
      <c r="W45" s="1"/>
      <c r="X45" s="10"/>
      <c r="Y45" s="10"/>
      <c r="Z45" s="1"/>
      <c r="AA45" s="52"/>
      <c r="AB45" s="53"/>
      <c r="AC45" s="49"/>
      <c r="AE45" s="1">
        <f>'King Node Model'!AW42</f>
        <v>0</v>
      </c>
      <c r="AL45" s="1">
        <f>'King Node Model'!A71</f>
        <v>7675</v>
      </c>
      <c r="AM45" s="10">
        <f>'King Node Model'!C71</f>
        <v>-52061</v>
      </c>
      <c r="AO45" s="10">
        <f>'King Node Model'!B71</f>
        <v>100523</v>
      </c>
      <c r="AP45" s="1" t="str">
        <f>IF($E45="","",IF($CJ45=1,"RASP",IF(AND(LEFT($L45,4)="SAFE",NOT(AND($DH45="",$DG45&lt;&gt;""))),"GREEN","")))</f>
        <v>RASP</v>
      </c>
      <c r="AT45" s="1" t="str">
        <f>IF($E45="","",IF(AND(OR(ISNUMBER(SEARCH("SPOT UP / VOL UP —",$E$28)),ISNUMBER(SEARCH("SPOT UP / TERM VOL UP —",$E$28))),NOT(ISNUMBER(SEARCH("SPOT DOWN / TERM VOL UP",$E$28)))),"UNSAFE·Level at risk"&amp;CHAR(10)&amp;"• Spot Up / Vol Up"&amp;CHAR(10)&amp;"• Rally on a front-end vol bid, not a calm advance",""))</f>
        <v/>
      </c>
      <c r="AU45" s="425" t="str">
        <f>IF($E45="","",IF(AND(SUM('King Node Model'!$C$29:$C$75)&gt;0,OR(ISNUMBER(SEARCH("PIN",'King Node Model'!Y42)),AND(ISNUMBER('Level Engine'!$BG$28),ISNUMBER(IFERROR(INDEX('Level Engine'!$AT$9:$AT$55,MATCH('King Node Model'!$AL$42,'Level Engine'!$AA$9:$AA$55,0)),"")),ISNUMBER(IFERROR(INDEX('Level Engine'!$AU$9:$AU$55,MATCH('King Node Model'!$AL$42,'Level Engine'!$AA$9:$AA$55,0)),"")),IFERROR(INDEX('Level Engine'!$AT$9:$AT$55,MATCH('King Node Model'!$AL$42,'Level Engine'!$AA$9:$AA$55,0)),"")&lt;&gt;IFERROR(INDEX('Level Engine'!$AU$9:$AU$55,MATCH('King Node Model'!$AL$42,'Level Engine'!$AA$9:$AA$55,0)),""),'Level Engine'!$BG$28&gt;=IFERROR(INDEX('Level Engine'!$AT$9:$AT$55,MATCH('King Node Model'!$AL$42,'Level Engine'!$AA$9:$AA$55,0)),""),'Level Engine'!$BG$28&lt;=IFERROR(INDEX('Level Engine'!$AU$9:$AU$55,MATCH('King Node Model'!$AL$42,'Level Engine'!$AA$9:$AA$55,0)),""))),OR(ISNUMBER(SEARCH("Charm buys",$F$17)),ISNUMBER(SEARCH("pin migrates higher",$F$17))),OR(ISNUMBER(SEARCH("Melt Up",$F$10)),ISNUMBER(SEARCH("Long Gamma Pin",$F$10))),OR(ISNUMBER(SEARCH("WEAKENING",$K45)),ISNUMBER(SEARCH("Pos gamma ↓",$K45)),ISNUMBER(SEARCH("thinning the ceiling",$K45))),IFERROR(ABS($F45)&lt;=25,FALSE())),"UNSAFE·Level at risk"&amp;CHAR(10)&amp;"• Charm · PIN MIGRATION ↑",IF(AND(ISNUMBER(SEARCH("5/5",$E$29)),OR(ISNUMBER(SEARCH("WEAKENING",$K45)),ISNUMBER(SEARCH("Pos gamma ↓",$K45)),ISNUMBER(SEARCH("thinning the ceiling",$K45)))),"UNSAFE·Level at risk"&amp;CHAR(10)&amp;"• SQUEEZE",IF(AND(NOT(OR('King Node Model'!$A$8="Neg",N('Level Engine'!$BG$72)=1)),ISNUMBER(SEARCH("Melt Up",$F$10)),ISNUMBER(SEARCH("Charm IS the melt-up",$F$17)),ISNUMBER(SEARCH("PIN",$M45))),"UNSAFE·Level at risk"&amp;CHAR(10)&amp;"• Charm",IF(NOT(OR('King Node Model'!$A$8="Neg",N('Level Engine'!$BG$72)=1)),"",IF(AND(SUMPRODUCT((ABS('Level Engine'!$AF$9:$AF$55)&lt;=ABS(IFERROR(INDEX('Level Engine'!$AF$9:$AF$55,MATCH('King Node Model'!$AL42,'Level Engine'!$AA$9:$AA$55,0)),0)))*1)/COUNT('Level Engine'!$AF$9:$AF$55)&gt;=0.66,OR(ISNUMBER(SEARCH("firmer resistance",IFERROR(INDEX('Level Engine'!$CG$9:$CG$55,MATCH('King Node Model'!$AL$42,'Level Engine'!$AA$9:$AA$55,0)),""))),ISNUMBER(SEARCH("STRENGTHENING",IFERROR(INDEX('Level Engine'!$CG$9:$CG$55,MATCH('King Node Model'!$AL$42,'Level Engine'!$AA$9:$AA$55,0)),""))),ISNUMBER(SEARCH("firmer support",IFERROR(INDEX('Level Engine'!$CG$9:$CG$55,MATCH('King Node Model'!$AL$42,'Level Engine'!$AA$9:$AA$55,0)),""))))),"",IF(AND(IFERROR(INDEX('Level Engine'!$AB$9:$AB$55,MATCH('King Node Model'!$AL42,'Level Engine'!$AA$9:$AA$55,0)),0)&gt;0,SUMPRODUCT((ABS('Level Engine'!$AB$9:$AB$55)&lt;=ABS(IFERROR(INDEX('Level Engine'!$AB$9:$AB$55,MATCH('King Node Model'!$AL42,'Level Engine'!$AA$9:$AA$55,0)),0)))*1)/COUNT('Level Engine'!$AB$9:$AB$55)&gt;=0.66),"",IF(AND(AND(ISNUMBER('King Node Model'!$AL$42),ISNUMBER('King Node Model'!$AL$43),IFERROR(ABS('King Node Model'!$AL$42-'King Node Model'!$AL$43)&lt;=5,FALSE()),OR(AND(ISNUMBER(SEARCH("box",'King Node Model'!S42)),ISNUMBER(SEARCH("wall",'King Node Model'!S43))),AND(ISNUMBER(SEARCH("wall",'King Node Model'!S42)),ISNUMBER(SEARCH("box",'King Node Model'!S43))))),OR(OR(ISNUMBER(SEARCH("firmer resistance",IFERROR(INDEX('Level Engine'!$CG$9:$CG$55,MATCH('King Node Model'!$AL$42,'Level Engine'!$AA$9:$AA$55,0)),""))),ISNUMBER(SEARCH("STRENGTHENING",IFERROR(INDEX('Level Engine'!$CG$9:$CG$55,MATCH('King Node Model'!$AL$42,'Level Engine'!$AA$9:$AA$55,0)),""))),ISNUMBER(SEARCH("firmer support",IFERROR(INDEX('Level Engine'!$CG$9:$CG$55,MATCH('King Node Model'!$AL$42,'Level Engine'!$AA$9:$AA$55,0)),"")))),OR(ISNUMBER(SEARCH("firmer resistance",IFERROR(INDEX('Level Engine'!$CG$9:$CG$55,MATCH('King Node Model'!$AL$43,'Level Engine'!$AA$9:$AA$55,0)),""))),ISNUMBER(SEARCH("STRENGTHENING",IFERROR(INDEX('Level Engine'!$CG$9:$CG$55,MATCH('King Node Model'!$AL$43,'Level Engine'!$AA$9:$AA$55,0)),""))),ISNUMBER(SEARCH("firmer support",IFERROR(INDEX('Level Engine'!$CG$9:$CG$55,MATCH('King Node Model'!$AL$43,'Level Engine'!$AA$9:$AA$55,0)),"")))))),"",""))))))))</f>
        <v/>
      </c>
      <c r="AV45" s="425" t="str">
        <f>IF(IFERROR(INDEX('Level Engine'!$JI$9:$JI$55,MATCH('King Node Model'!$AL$42,'Level Engine'!$AA$9:$AA$55,0)),0)=1,"",IF($E45="","",IF(AND(NOT(AND(IFERROR(INDEX('Level Engine'!$AC$9:$AC$55,MATCH('King Node Model'!$AL$42,'Level Engine'!$AA$9:$AA$55,0)),0)=MAX('Level Engine'!$AC$9:$AC$55),IFERROR(INDEX('Level Engine'!$AB$9:$AB$55,MATCH('King Node Model'!$AL$42,'Level Engine'!$AA$9:$AA$55,0)),0)=MIN('Level Engine'!$AB$9:$AB$55))),UPPER('King Node Model'!$L$5)="HIGH",IFERROR(INDEX('Level Engine'!$KC$9:$KC$55,MATCH(--LEFT($E45,4),'Level Engine'!$AA$9:$AA$55,0)),"")="DOWN",N(INDEX('Level Engine'!$AF$9:$AF$55,MATCH(--LEFT($E45,4),'Level Engine'!$AA$9:$AA$55,0)))&gt;0,ISNUMBER(SEARCH("chop edge",$E$45))),"UNSAFE·Level at risk"&amp;CHAR(10)&amp;"• IV High + ATM IV falling (melt-up risk)","")))</f>
        <v/>
      </c>
      <c r="AW45" s="425" t="str">
        <f>IF($E45="","",IF(AND(IFERROR(INDEX('Level Engine'!$JI$9:$JI$55,MATCH('King Node Model'!$AL$42,'Level Engine'!$AA$9:$AA$55,0)),0)&lt;&gt;1,NOT(AND(IFERROR(INDEX('Level Engine'!$AC$9:$AC$55,MATCH('King Node Model'!$AL$42,'Level Engine'!$AA$9:$AA$55,0)),0)=MAX('Level Engine'!$AC$9:$AC$55),IFERROR(INDEX('Level Engine'!$AB$9:$AB$55,MATCH('King Node Model'!$AL$42,'Level Engine'!$AA$9:$AA$55,0)),0)=MIN('Level Engine'!$AB$9:$AB$55))),UPPER('King Node Model'!$L$5)="LOW",IFERROR(INDEX('Level Engine'!$KC$9:$KC$55,MATCH(--LEFT($E45,4),'Level Engine'!$AA$9:$AA$55,0)),"")="DOWN",N(INDEX('Level Engine'!$AF$9:$AF$55,MATCH(--LEFT($E45,4),'Level Engine'!$AA$9:$AA$55,0)))&gt;0),"UNSAFE·Level at risk"&amp;CHAR(10)&amp;"• Low IV with ATM IV falling",""))</f>
        <v/>
      </c>
      <c r="AX45" s="425" t="str">
        <f>IF($E45="","",IF(AND(IFERROR(INDEX('Level Engine'!$JI$9:$JI$55,MATCH('King Node Model'!$AL$42,'Level Engine'!$AA$9:$AA$55,0)),0)&lt;&gt;1,NOT(AND(IFERROR(INDEX('Level Engine'!$AC$9:$AC$55,MATCH('King Node Model'!$AL$42,'Level Engine'!$AA$9:$AA$55,0)),0)=MAX('Level Engine'!$AC$9:$AC$55),IFERROR(INDEX('Level Engine'!$AB$9:$AB$55,MATCH('King Node Model'!$AL$42,'Level Engine'!$AA$9:$AA$55,0)),0)=MIN('Level Engine'!$AB$9:$AB$55))),UPPER('King Node Model'!$L$5)="HIGH",IFERROR(INDEX('Level Engine'!$KC$9:$KC$55,MATCH(--LEFT($E45,4),'Level Engine'!$AA$9:$AA$55,0)),"")="DOWN",N(INDEX('Level Engine'!$AF$9:$AF$55,MATCH(--LEFT($E45,4),'Level Engine'!$AA$9:$AA$55,0)))&gt;0,OR(ISNUMBER(SEARCH("·r4",$E45)),ISNUMBER(SEARCH("·r5",$E45)),ISNUMBER(SEARCH("·r6",$E45)))),"UNSAFE·Level at risk"&amp;CHAR(10)&amp;"• High IV with ATM IV falling",""))</f>
        <v/>
      </c>
      <c r="AY45" s="1">
        <f>IF(AND($B$2="Hide unsafe",$BB45=1),0,IF(AND(OR(AND(AND(ISNUMBER($AL45),OR(AND($AL45&gt;=$AQ$22,$AL45&lt;=$AR$22,$AS$22=1),$AL45=$AQ$22,$AL45=$AR$22,$AL45=$AQ$23,$AL45=$AR$23,$AL45=$AQ$24,$AL45=$AR$24),NOT(OR($AL45=$AN$5,$AL45=$AN$6,$AL45=$AN$7,$AL45=$AN$8,$AL45=$AN$10,$AL45=$AN$11))),NOT(OR(AND('King Node Model'!$P$13="Up",OR($AL45=$AQ$22,$AL45=$AQ$23,$AL45=$AQ$24,$AL45='King Node Model'!$AM$20,$AL45='King Node Model'!$AM$21,$AL45='King Node Model'!$AM$22),OR(AND('King Node Model'!$B$23-$AL45&gt;=0,'King Node Model'!$B$23-$AL45&lt;=5),AND('King Node Model'!$C$23-$AL45&gt;=0,'King Node Model'!$C$23-$AL45&lt;=5))),AND('King Node Model'!$P$13="Down",OR($AL45=$AR$22,$AL45=$AR$23,$AL45=$AR$24,$AL45='King Node Model'!$AN$20,$AL45='King Node Model'!$AN$21,$AL45='King Node Model'!$AN$22),OR(AND($AL45-'King Node Model'!$B$23&gt;=0,$AL45-'King Node Model'!$B$23&lt;=5),AND($AL45-'King Node Model'!$C$24&gt;=0,$AL45-'King Node Model'!$C$24&lt;=5)))))),AND(AND(ISNUMBER($AL45),OR(AND($AL45&gt;=$AQ$22,$AL45&lt;=$AR$22,$AS$22=1),$AL45=$AQ$22,$AL45=$AR$22,$AL45=$AQ$23,$AL45=$AR$23,$AL45=$AQ$24,$AL45=$AR$24,$AL45='King Node Model'!$AL$42,$AL45='King Node Model'!$AL$43),OR($AL45=$AN$5,$AL45=$AN$6,$AL45=$AN$7,$AL45=$AN$8,$AL45=$AN$10,$AL45=$AN$11)),NOT(OR(AND('King Node Model'!$P$13="Up",OR($AL45=$AQ$22,$AL45=$AQ$23,$AL45=$AQ$24,$AL45='King Node Model'!$AM$20,$AL45='King Node Model'!$AM$21,$AL45='King Node Model'!$AM$22),OR(AND('King Node Model'!$B$23-$AL45&gt;=0,'King Node Model'!$B$23-$AL45&lt;=5),AND('King Node Model'!$C$23-$AL45&gt;=0,'King Node Model'!$C$23-$AL45&lt;=5))),AND('King Node Model'!$P$13="Down",OR($AL45=$AR$22,$AL45=$AR$23,$AL45=$AR$24,$AL45='King Node Model'!$AN$20,$AL45='King Node Model'!$AN$21,$AL45='King Node Model'!$AN$22),OR(AND($AL45-'King Node Model'!$B$23&gt;=0,$AL45-'King Node Model'!$B$23&lt;=5),AND($AL45-'King Node Model'!$C$24&gt;=0,$AL45-'King Node Model'!$C$24&lt;=5)))))),AND(AND(ISNUMBER($AL45),OR(AND($AL45&gt;='King Node Model'!$AM$20,$AL45&lt;='King Node Model'!$AN$20,$AS$23=1),$AL45='King Node Model'!$AM$20,$AL45='King Node Model'!$AN$20,$AL45='King Node Model'!$AM$21,$AL45='King Node Model'!$AN$21,$AL45='King Node Model'!$AM$22,$AL45='King Node Model'!$AN$22),NOT(OR($AL45=$AN$5,$AL45=$AN$6,$AL45=$AN$7,$AL45=$AN$8,$AL45=$AN$10,$AL45=$AN$11))),NOT(AND(ISNUMBER('King Node Model'!$F$24),$AL45='King Node Model'!$F$24,IFERROR(INDEX('Level Engine'!$JN$9:$JN$55,MATCH($AL45,'Level Engine'!$AA$9:$AA$55,0)),0)&lt;&gt;1))),AND(AND(ISNUMBER($AL45),OR(AND($AL45&gt;='King Node Model'!$AM$20,$AL45&lt;='King Node Model'!$AN$20,$AS$23=1),$AL45='King Node Model'!$AM$20,$AL45='King Node Model'!$AN$20,$AL45='King Node Model'!$AM$21,$AL45='King Node Model'!$AN$21,$AL45='King Node Model'!$AM$22,$AL45='King Node Model'!$AN$22,$AL45='King Node Model'!$AL$49,$AL45='King Node Model'!$AL$50),OR($AL45=$AN$5,$AL45=$AN$6,$AL45=$AN$7,$AL45=$AN$8,$AL45=$AN$10,$AL45=$AN$11)),NOT(OR(AND('King Node Model'!$P$13="Up",OR($AL45=$AQ$22,$AL45=$AQ$23,$AL45=$AQ$24,$AL45='King Node Model'!$AM$20,$AL45='King Node Model'!$AM$21,$AL45='King Node Model'!$AM$22),OR(AND('King Node Model'!$B$23-$AL45&gt;=0,'King Node Model'!$B$23-$AL45&lt;=5),AND('King Node Model'!$C$23-$AL45&gt;=0,'King Node Model'!$C$23-$AL45&lt;=5))),AND('King Node Model'!$P$13="Down",OR($AL45=$AR$22,$AL45=$AR$23,$AL45=$AR$24,$AL45='King Node Model'!$AN$20,$AL45='King Node Model'!$AN$21,$AL45='King Node Model'!$AN$22),OR(AND($AL45-'King Node Model'!$B$23&gt;=0,$AL45-'King Node Model'!$B$23&lt;=5),AND($AL45-'King Node Model'!$C$24&gt;=0,$AL45-'King Node Model'!$C$24&lt;=5))))))),OR(COUNTIF('Level Engine'!$W$9:$W$14,$AL45)&gt;0,COUNTIF('Level Engine'!$W$18:$W$23,$AL45)&gt;0)),1,0))</f>
        <v>0</v>
      </c>
      <c r="AZ45" s="1">
        <f t="shared" si="1"/>
        <v>0</v>
      </c>
      <c r="BA45" s="425" t="str">
        <f>IF(IFERROR(INDEX('Level Engine'!$JZ$9:$JZ$55,MATCH('King Node Model'!$AL$42,'Level Engine'!$AA$9:$AA$55,0)),0)=1,"",IF(IFERROR(INDEX('Level Engine'!$JI$9:$JI$55,MATCH('King Node Model'!$AL$42,'Level Engine'!$AA$9:$AA$55,0)),0)=1,"",IF(IFERROR(INDEX('Level Engine'!$JO$9:$JO$55,MATCH('King Node Model'!$AL$42,'Level Engine'!$AA$9:$AA$55,0)),0)=1,"",IF($E45="","",IFERROR(IF(INDEX('Level Engine'!$EU$9:$EU$55,MATCH('King Node Model'!$AL$42,'Level Engine'!$AA$9:$AA$55,0))=1,"UNSAFE·Level at risk"&amp;CHAR(10)&amp;"• Positive node acts as a thin speed bump"&amp;CHAR(10)&amp;"• Negative Zomma thins it further",IF(AND(IFERROR(INDEX('Level Engine'!$GT$9:$GT$55,MATCH('King Node Model'!$AL$42,'Level Engine'!$AA$9:$AA$55,0)),0)=1,IFERROR(INDEX('Level Engine'!$JI$9:$JI$55,MATCH('King Node Model'!$AL$42,'Level Engine'!$AA$9:$AA$55,0)),0)&lt;&gt;1),"UNSAFE·Level at risk"&amp;CHAR(10)&amp;"• Sandwich — thin strike above"&amp;CHAR(10)&amp;"• Approaching the lower wall of a sandwich"&amp;CHAR(10)&amp;"• Zomma weakening here; likely path to "&amp;IFERROR(INDEX('Level Engine'!$GU$9:$GU$55,MATCH('King Node Model'!$AL$42,'Level Engine'!$AA$9:$AA$55,0)),"the upper wall"),"")),"")))))</f>
        <v/>
      </c>
      <c r="BB45" s="1">
        <f>IF(OR(AND($AL45='King Node Model'!$AL$42,$AP$45&lt;&gt;"RASP"),AND($AL45='King Node Model'!$AL$43,$AP$46&lt;&gt;"RASP"),AND($AL45='King Node Model'!$AL$49,$AP$52&lt;&gt;"RASP"),AND($AL45='King Node Model'!$AL$50,$AP$53&lt;&gt;"RASP"),AND($AL45='King Node Model'!$AL$44,$AP$47&lt;&gt;"RASP"),AND($AL45='King Node Model'!$AL$51,$AP$54&lt;&gt;"RASP")),0,IF(AND(AND(ISNUMBER($AL45),OR(AND($AL45&gt;=$AQ$22,$AL45&lt;=$AR$22,$AP$45="RASP"),AND($AL45&gt;=$AQ$23,$AL45&lt;=$AR$23,$AP$46="RASP"),AND($AL45&gt;=$AQ$24,$AL45&lt;=$AR$24,$AP$47="RASP"),AND($AL45&gt;='King Node Model'!$AM$20,$AL45&lt;='King Node Model'!$AN$20,$AP$52="RASP",NOT($L$52=$AW$52)),AND($AL45='King Node Model'!$B$23,$AP$52="RASP",$L$52=$AW$52),AND($AL45&gt;='King Node Model'!$AM$21,$AL45&lt;='King Node Model'!$AN$21,$AP$53="RASP",NOT($L$53=$AW$53)),AND($AL45='King Node Model'!$B$23,$AP$53="RASP",$L$53=$AW$53),AND($AL45&gt;='King Node Model'!$AM$22,$AL45&lt;='King Node Model'!$AN$22,$AP$54="RASP"),AND($AL45&gt;=IFERROR(INDEX('Level Engine'!$AT$9:$AT$55,MATCH('King Node Model'!$AL$42,'Level Engine'!$AA$9:$AA$55,0)),""),$AL45&lt;=IFERROR(INDEX('Level Engine'!$AU$9:$AU$55,MATCH('King Node Model'!$AL$42,'Level Engine'!$AA$9:$AA$55,0)),""),$AP$45="RASP"),AND($AL45&gt;=IFERROR(INDEX('Level Engine'!$AT$9:$AT$55,MATCH('King Node Model'!$AL$43,'Level Engine'!$AA$9:$AA$55,0)),""),$AL45&lt;=IFERROR(INDEX('Level Engine'!$AU$9:$AU$55,MATCH('King Node Model'!$AL$43,'Level Engine'!$AA$9:$AA$55,0)),""),$AP$46="RASP"),AND($AL45&gt;=IFERROR(INDEX('Level Engine'!$AT$9:$AT$55,MATCH('King Node Model'!$AL$44,'Level Engine'!$AA$9:$AA$55,0)),""),$AL45&lt;=IFERROR(INDEX('Level Engine'!$AU$9:$AU$55,MATCH('King Node Model'!$AL$44,'Level Engine'!$AA$9:$AA$55,0)),""),$AP$47="RASP"),AND($AL45&gt;=IFERROR(INDEX('Level Engine'!$AT$9:$AT$55,MATCH('King Node Model'!$AL$49,'Level Engine'!$AA$9:$AA$55,0)),""),$AL45&lt;=IFERROR(INDEX('Level Engine'!$AU$9:$AU$55,MATCH('King Node Model'!$AL$49,'Level Engine'!$AA$9:$AA$55,0)),""),$AP$52="RASP",NOT($L$52=$AW$52)),AND($AL45&gt;=IFERROR(INDEX('Level Engine'!$AT$9:$AT$55,MATCH('King Node Model'!$AL$50,'Level Engine'!$AA$9:$AA$55,0)),""),$AL45&lt;=IFERROR(INDEX('Level Engine'!$AU$9:$AU$55,MATCH('King Node Model'!$AL$50,'Level Engine'!$AA$9:$AA$55,0)),""),$AP$53="RASP",NOT($L$53=$AW$53)),AND($AL45&gt;=IFERROR(INDEX('Level Engine'!$AT$9:$AT$55,MATCH('King Node Model'!$AL$51,'Level Engine'!$AA$9:$AA$55,0)),""),$AL45&lt;=IFERROR(INDEX('Level Engine'!$AU$9:$AU$55,MATCH('King Node Model'!$AL$51,'Level Engine'!$AA$9:$AA$55,0)),""),$AP$54="RASP"))),NOT(AND(ISNUMBER('King Node Model'!$F$24),$AL45='King Node Model'!$F$24,IFERROR(INDEX('Level Engine'!$JN$9:$JN$55,MATCH($AL45,'Level Engine'!$AA$9:$AA$55,0)),0)&lt;&gt;1,$AL45&lt;&gt;'King Node Model'!$AL$42,$AL45&lt;&gt;'King Node Model'!$AL$43,$AL45&lt;&gt;'King Node Model'!$AL$44,$AL45&lt;&gt;'King Node Model'!$AL$49,$AL45&lt;&gt;'King Node Model'!$AL$50,$AL45&lt;&gt;'King Node Model'!$AL$51))),1,0))</f>
        <v>0</v>
      </c>
      <c r="BK45">
        <f>IFERROR(LARGE($CH$43:$CH$51,3),"")</f>
        <v>7785</v>
      </c>
      <c r="BL45">
        <f>IFERROR(INDEX('King Node Model'!$K$29:$K$75,MATCH($BK45,'King Node Model'!$A$29:$A$75,0)),"")</f>
        <v>708</v>
      </c>
      <c r="BM45">
        <f>IFERROR(INDEX('King Node Model'!$L$29:$L$75,MATCH($BK45,'King Node Model'!$A$29:$A$75,0)),"")</f>
        <v>763</v>
      </c>
      <c r="BN45">
        <f t="shared" si="26"/>
        <v>3.7389530931339225E-2</v>
      </c>
      <c r="BO45">
        <f>IFERROR(INDEX('Level Engine'!$AC$9:$AC$55,MATCH($BK45,'Level Engine'!$AA$9:$AA$55,0))/MAX('Level Engine'!$AC$9:$AC$55),"")</f>
        <v>0.36179390164864189</v>
      </c>
      <c r="BP45">
        <f>IF(NOT(ISNUMBER($BK45)),"",IF($BK45&gt;'King Node Model'!$B$4,1,-1))</f>
        <v>1</v>
      </c>
      <c r="BQ45" t="str">
        <f>IF(OR(NOT(ISNUMBER($BN45)),NOT(ISNUMBER($BO45))),"",IF($BO45&lt;0.15,"thin",IF(OR('King Node Model'!$A$8="Neg",N('Level Engine'!$BG$72)=1),"",IF($BP45=1,IF($BN45&lt;=-0.4,"HARD ceil",IF($BN45&lt;=-0.15,"ceil",IF($BN45&lt;0.15,"neutral","soft ceil"))),IF($BN45&gt;=0.4,"FIRM floor",IF($BN45&gt;=0.15,"floor",IF($BN45&gt;-0.15,"neutral","WEAK floor"))))&amp;IF($BO45&lt;0.25," ·marginal",""))))</f>
        <v/>
      </c>
      <c r="BR45" t="str">
        <f>IF(NOT(ISNUMBER($BN45)),"",IF(OR('King Node Model'!$A$8="Neg",N('Level Engine'!$BG$72)=1),"",IF(AND($BP45=1,$BN45&gt;0.15),"⚠",IF(AND($BP45=-1,$BN45&lt;-0.15),"⚠",""))))</f>
        <v/>
      </c>
      <c r="BW45">
        <f t="shared" si="27"/>
        <v>7</v>
      </c>
      <c r="BX45">
        <f t="shared" si="28"/>
        <v>9</v>
      </c>
      <c r="BY45" t="str">
        <f t="shared" si="29"/>
        <v/>
      </c>
      <c r="BZ45">
        <f t="shared" si="30"/>
        <v>1471</v>
      </c>
      <c r="CH45">
        <f>IF($CI45&lt;=0,"",IFERROR(SUMPRODUCT(MAX((('King Node Model'!$A$29:$A$75&gt;='King Node Model'!$B$4-25)*('King Node Model'!$A$29:$A$75&lt;='King Node Model'!$B$4+25)*('King Node Model'!$A$29:$A$75&gt;0)*((626-('King Node Model'!$A$29:$A$75-'King Node Model'!$B$4)^2)*1000000+'King Node Model'!$A$29:$A$75)=$CI45)*'King Node Model'!$A$29:$A$75)),""))</f>
        <v>7770</v>
      </c>
      <c r="CI45">
        <f>IFERROR(SUMPRODUCT(LARGE(('King Node Model'!$A$29:$A$75&gt;='King Node Model'!$B$4-25)*('King Node Model'!$A$29:$A$75&lt;='King Node Model'!$B$4+25)*('King Node Model'!$A$29:$A$75&gt;0)*((626-('King Node Model'!$A$29:$A$75-'King Node Model'!$B$4)^2)*1000000+'King Node Model'!$A$29:$A$75),3)),0)</f>
        <v>596955669.99999642</v>
      </c>
      <c r="CJ45">
        <f>IF($DF45&lt;&gt;"",0,IF(AND($E45&lt;&gt;"",IFERROR(INDEX('Level Engine'!$HP$9:$HP$55,MATCH('King Node Model'!$AL$42,'Level Engine'!$AA$9:$AA$55,0)),0)=1),1,IF(OR(AND(IFERROR(INDEX('Level Engine'!$GV$9:$GV$55,MATCH('King Node Model'!$AL$42,'Level Engine'!$AA$9:$AA$55,0)),0)=1,IFERROR(INDEX('Level Engine'!$JK$9:$JK$55,MATCH('King Node Model'!$AL$42,'Level Engine'!$AA$9:$AA$55,0)),0)&lt;&gt;1,IFERROR(INDEX('Level Engine'!$IW$9:$IW$55,MATCH('King Node Model'!$AL$42,'Level Engine'!$AA$9:$AA$55,0)),0)&lt;&gt;1),AND(ISNUMBER('King Node Model'!$AL$42),'King Node Model'!$AL$42='King Node Model'!$F$24,IFERROR(INDEX('Level Engine'!$JN$9:$JN$55,MATCH('King Node Model'!$AL$42,'Level Engine'!$AA$9:$AA$55,0)),0)&lt;&gt;1)),0,IF($E45="",0,IF(OR($CR45&lt;&gt;"",AND('King Node Model'!$A$8="Pos",N('Level Engine'!$BG$72)&lt;&gt;1,IFERROR(INDEX('Level Engine'!$HM$9:$HM$55,MATCH('King Node Model'!$AL$42,'Level Engine'!$AA$9:$AA$55,0)),0)=1,IFERROR(INDEX('Level Engine'!$JO$9:$JO$55,MATCH('King Node Model'!$AL$42,'Level Engine'!$AA$9:$AA$55,0)),0)&lt;&gt;1,IFERROR(INDEX('Level Engine'!$JI$9:$JI$55,MATCH('King Node Model'!$AL$42,'Level Engine'!$AA$9:$AA$55,0)),0)&lt;&gt;1),IFERROR(INDEX('Level Engine'!$IS$9:$IS$55,MATCH('King Node Model'!$AL$42,'Level Engine'!$AA$9:$AA$55,0)),0)=1,AND(ISNUMBER(SEARCH("UNSAFE",$L45)),NOT(AND(IFERROR(INDEX('Level Engine'!$EW$9:$EW$55,MATCH('King Node Model'!$AL$42,'Level Engine'!$AA$9:$AA$55,0)),0)=1,IFERROR(INDEX('Level Engine'!$CI$9:$CI$55,MATCH('King Node Model'!$AL$42,'Level Engine'!$AA$9:$AA$55,0)),0)=0)))),1,0)))))</f>
        <v>1</v>
      </c>
      <c r="CK45" t="str">
        <f>IF(IFERROR(INDEX('Level Engine'!$EX$9:$EX$55,MATCH('King Node Model'!$AL$42,'Level Engine'!$AA$9:$AA$55,0)),0)=1,"",IF($E45="","",IF(AND('King Node Model'!$A$8&lt;&gt;"Neg",N('Level Engine'!$BG$72)&lt;&gt;1),"",IF(AND(OR(AND(ISNUMBER(IFERROR(INDEX('Level Engine'!$AC$9:$AC$55,MATCH('King Node Model'!$AL$42,'Level Engine'!$AA$9:$AA$55,0)),"")),IFERROR(INDEX('Level Engine'!$AC$9:$AC$55,MATCH('King Node Model'!$AL$42,'Level Engine'!$AA$9:$AA$55,0)),"")=MAX('Level Engine'!$AC$9:$AC$55)),AND(ISNUMBER(IFERROR(INDEX('Level Engine'!$AB$9:$AB$55,MATCH('King Node Model'!$AL$42,'Level Engine'!$AA$9:$AA$55,0)),"")),IFERROR(INDEX('Level Engine'!$AB$9:$AB$55,MATCH('King Node Model'!$AL$42,'Level Engine'!$AA$9:$AA$55,0)),"")=MIN('Level Engine'!$AB$9:$AB$55))),NOT(AND(AND(ISNUMBER(IFERROR(INDEX('Level Engine'!$AC$9:$AC$55,MATCH('King Node Model'!$AL$42,'Level Engine'!$AA$9:$AA$55,0)),"")),IFERROR(INDEX('Level Engine'!$AC$9:$AC$55,MATCH('King Node Model'!$AL$42,'Level Engine'!$AA$9:$AA$55,0)),"")=MAX('Level Engine'!$AC$9:$AC$55)),AND(ISNUMBER(IFERROR(INDEX('Level Engine'!$AB$9:$AB$55,MATCH('King Node Model'!$AL$42,'Level Engine'!$AA$9:$AA$55,0)),"")),IFERROR(INDEX('Level Engine'!$AB$9:$AB$55,MATCH('King Node Model'!$AL$42,'Level Engine'!$AA$9:$AA$55,0)),"")=MIN('Level Engine'!$AB$9:$AB$55)))),IFERROR(INDEX('Level Engine'!$AG$9:$AG$55,MATCH('King Node Model'!$AL$42,'Level Engine'!$AA$9:$AA$55,0)),"")="S",IFERROR(INDEX('Level Engine'!$AB$9:$AB$55,MATCH('King Node Model'!$AL$42,'Level Engine'!$AA$9:$AA$55,0)),0)&lt;0,NOT(OR('King Node Model'!$AL$42=$AN$16,'King Node Model'!$AL$42=$AN$17,'King Node Model'!$AL$42=$AN$18)),NOT(AND(OR('King Node Model'!$A$8="Neg",N('Level Engine'!$BG$72)=1),ISNUMBER(IFERROR(INDEX('Level Engine'!$AB$9:$AB$55,MATCH('King Node Model'!$AL$42,'Level Engine'!$AA$9:$AA$55,0)),"")),IFERROR(INDEX('Level Engine'!$AB$9:$AB$55,MATCH('King Node Model'!$AL$42,'Level Engine'!$AA$9:$AA$55,0)),"")=MIN('Level Engine'!$AB$9:$AB$55),'King Node Model'!$AL$42='Level Engine'!$BG$105))),CHAR(10)&amp;"UNSAFE·Level at risk"&amp;CHAR(10)&amp;"• Accelerant — "&amp;IF(AND(ISNUMBER(IFERROR(INDEX('Level Engine'!$AC$9:$AC$55,MATCH('King Node Model'!$AL$42,'Level Engine'!$AA$9:$AA$55,0)),"")),IFERROR(INDEX('Level Engine'!$AC$9:$AC$55,MATCH('King Node Model'!$AL$42,'Level Engine'!$AA$9:$AA$55,0)),"")=MAX('Level Engine'!$AC$9:$AC$55)),"max gamma","min GEX")&amp;" alone, not a "&amp;IF(IFERROR(INDEX('Level Engine'!$AG$9:$AG$55,MATCH('King Node Model'!$AL$42,'Level Engine'!$AA$9:$AA$55,0)),"")="S","floor","ceiling"),""))))</f>
        <v/>
      </c>
      <c r="CM45" t="str">
        <f>(IF(NOT(ISNUMBER('King Node Model'!$AL$42)),"","  ["&amp;IF(IFERROR(INDEX('Level Engine'!$ID$9:$ID$55,MATCH('King Node Model'!$AL$42,'Level Engine'!$AA$9:$AA$55,0)),"")="",IF(IFERROR(INDEX('Level Engine'!$DC$9:$DC$55,MATCH('King Node Model'!$AL$42,'Level Engine'!$AA$9:$AA$55,0)),0)=1,"γSh",IFERROR(INDEX('Level Engine'!$JJ$9:$JJ$55,MATCH('King Node Model'!$AL$42,'Level Engine'!$AA$9:$AA$55,0)),"no geometry")),IFERROR(INDEX('Level Engine'!$ID$9:$ID$55,MATCH('King Node Model'!$AL$42,'Level Engine'!$AA$9:$AA$55,0)),""))&amp;IF(AND(ISNUMBER(IFERROR(INDEX('Level Engine'!$FB$9:$FB$55,MATCH('King Node Model'!$AL$42,'Level Engine'!$AA$9:$AA$55,0)),"")),ISNUMBER(IFERROR(INDEX('Level Engine'!$FC$9:$FC$55,MATCH('King Node Model'!$AL$42,'Level Engine'!$AA$9:$AA$55,0)),"")),IFERROR(INDEX('Level Engine'!$FB$9:$FB$55,MATCH('King Node Model'!$AL$42,'Level Engine'!$AA$9:$AA$55,0)),"")&lt;&gt;IFERROR(INDEX('Level Engine'!$FC$9:$FC$55,MATCH('King Node Model'!$AL$42,'Level Engine'!$AA$9:$AA$55,0)),""))," "&amp;TEXT(IFERROR(INDEX('Level Engine'!$FB$9:$FB$55,MATCH('King Node Model'!$AL$42,'Level Engine'!$AA$9:$AA$55,0)),""),"0")&amp;"-"&amp;TEXT(IFERROR(INDEX('Level Engine'!$FC$9:$FC$55,MATCH('King Node Model'!$AL$42,'Level Engine'!$AA$9:$AA$55,0)),""),"0"),"")&amp;"]"))&amp;IF(N(IFERROR(INDEX('Level Engine'!$KB$9:$KB$55,MATCH('King Node Model'!$AL$42,'Level Engine'!$AA$9:$AA$55,0)),0))&lt;&gt;0,"  ▲ accelerant "&amp;TEXT(IFERROR(INDEX('Level Engine'!$KB$9:$KB$55,MATCH('King Node Model'!$AL$42,'Level Engine'!$AA$9:$AA$55,0)),0),"0")&amp;" below","")</f>
        <v xml:space="preserve">  [Cluster 7770-7780]</v>
      </c>
      <c r="CN45" t="str">
        <f>IF(IFERROR(INDEX('Level Engine'!$JI$9:$JI$55,MATCH('King Node Model'!$AL$42,'Level Engine'!$AA$9:$AA$55,0)),0)=1,"",IF(IFERROR(INDEX('Level Engine'!$JO$9:$JO$55,MATCH('King Node Model'!$AL$42,'Level Engine'!$AA$9:$AA$55,0)),0)=1,"",IF(IFERROR(INDEX('Level Engine'!$EX$9:$EX$55,MATCH('King Node Model'!$AL$42,'Level Engine'!$AA$9:$AA$55,0)),0)=1,"",IF(NOT(ISNUMBER('King Node Model'!$AL$42)),"",IF(AND('King Node Model'!$A$8&lt;&gt;"Neg",N('Level Engine'!$BG$72)&lt;&gt;1),"",IF(IFERROR(INDEX('Level Engine'!$EY$9:$EY$55,MATCH('King Node Model'!$AL$42,'Level Engine'!$AA$9:$AA$55,0)),0)&lt;&gt;1,"",IF(AND('King Node Model'!$AL$42='King Node Model'!$B$23,OR('King Node Model'!$AL$42='King Node Model'!$C$23,'King Node Model'!$AL$42=$AN$13,'King Node Model'!$AL$42=$AN$14,'King Node Model'!$AL$42=$AN$15)),"",IF(AND(IFERROR(INDEX('Level Engine'!$EW$9:$EW$55,MATCH('King Node Model'!$AL$42,'Level Engine'!$AA$9:$AA$55,0)),0)=1,IFERROR(INDEX('Level Engine'!$CI$9:$CI$55,MATCH('King Node Model'!$AL$42,'Level Engine'!$AA$9:$AA$55,0)),0)=0),"",IF($CK45&lt;&gt;"","",CHAR(10)&amp;"UNSAFE·Level at risk"&amp;CHAR(10)&amp;"• Gamma peak — hedging amplifies through it rather than absorbing")))))))))</f>
        <v/>
      </c>
      <c r="CO45">
        <f>IF(NOT(ISNUMBER($AL45)),"",IF(NOT(ISNUMBER(IFERROR(INDEX('Level Engine'!$FT$9:$FT$55,MATCH($AL45,'Level Engine'!$AA$9:$AA$55,0)),""))),"",IF(IFERROR(INDEX('Level Engine'!$FT$9:$FT$55,MATCH($AL45,'Level Engine'!$AA$9:$AA$55,0)),"")&lt;0,0,2)+IF(ABS(IFERROR(INDEX('Level Engine'!$FT$9:$FT$55,MATCH($AL45,'Level Engine'!$AA$9:$AA$55,0)),""))&gt;='Level Engine'!$FT$2,2,1)))</f>
        <v>1</v>
      </c>
      <c r="CP45" t="str">
        <f>IF(IFERROR(INDEX('Level Engine'!$JO$9:$JO$55,MATCH('King Node Model'!$AL$42,'Level Engine'!$AA$9:$AA$55,0)),0)=1,"",IF($E45="","",IF(AND('King Node Model'!$A$8="Pos",N('Level Engine'!$BG$72)&lt;&gt;1,IFERROR(INDEX('Level Engine'!$HM$9:$HM$55,MATCH('King Node Model'!$AL$42,'Level Engine'!$AA$9:$AA$55,0)),0)=1,IFERROR(INDEX('Level Engine'!$JI$9:$JI$55,MATCH('King Node Model'!$AL$42,'Level Engine'!$AA$9:$AA$55,0)),0)&lt;&gt;1),"UNSAFE·Level at risk"&amp;CHAR(10)&amp;IF(OR('King Node Model'!$A$8&lt;&gt;"Pos",'Level Engine'!$BG$72=1),"• Trough · weak bounce","• Trough weakest shape on the ladder")&amp;"","")))</f>
        <v/>
      </c>
      <c r="CQ45" t="str">
        <f>(((IF($E45="","",((((((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lt;&gt;"",$BA45&lt;&gt;""),CHAR(10),"")&amp;$BA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lt;&gt;"",$BA45&lt;&gt;""),CHAR(10),"")&amp;$BA45)&lt;&gt;"",($AV45&amp;$AW45&amp;$AX45)&lt;&gt;""),CHAR(10)&amp;"• Zomma: "&amp;IFERROR(MID($DE45,FIND(" ",$DE45)+1,999),$DE45),""))&amp;IF(AND(IFERROR(INDEX('Level Engine'!$EW$9:$EW$55,MATCH('King Node Model'!$AL$42,'Level Engine'!$AA$9:$AA$55,0)),0)=1,IFERROR(INDEX('Level Engine'!$CI$9:$CI$55,MATCH('King Node Model'!$AL$42,'Level Engine'!$AA$9:$AA$55,0)),0)=0),IF(((((((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lt;&gt;"",$BA45&lt;&gt;""),CHAR(10),"")&amp;$BA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lt;&gt;"",$BA45&lt;&gt;""),CHAR(10),"")&amp;$BA45)&lt;&gt;"",($AV45&amp;$AW45&amp;$AX45)&lt;&gt;""),CHAR(10)&amp;"• Zomma: "&amp;IFERROR(MID($DE45,FIND(" ",$DE45)+1,999),$DE45),""))&lt;&gt;"",CHAR(10),"")&amp;"EXEMPT·buy-lean max node — border suppressed","")))&amp;$CK$45))&amp;$CN$45</f>
        <v/>
      </c>
      <c r="CR45" t="str">
        <f>IF($E45="","",IF(IFERROR(INDEX('Level Engine'!$HW$9:$HW$55,MATCH('King Node Model'!$AL$42,'Level Engine'!$AA$9:$AA$55,0)),0)=-1,"UNSAFE·Level at risk"&amp;CHAR(10)&amp;"• DEX falls off below ("&amp;TEXT(IFERROR(INDEX('Level Engine'!$KV$9:$KV$55,MATCH('King Node Model'!$AL$42,'Level Engine'!$AA$9:$AA$55,0)),0),"0%")&amp;") more sharply than above ("&amp;TEXT(IFERROR(INDEX('Level Engine'!$KU$9:$KU$55,MATCH('King Node Model'!$AL$42,'Level Engine'!$AA$9:$AA$55,0)),0),"0%")&amp;") — path of least resistance is up"&amp;IF(AND(ISNUMBER('King Node Model'!$T$22),'King Node Model'!$T$22&gt;'King Node Model'!$AL$42,'King Node Model'!$T$22-'King Node Model'!$AL$42&lt;=50),CHAR(10)&amp;"• Toward Max GEX "&amp;TEXT('King Node Model'!$T$22,"0"),""),""))</f>
        <v/>
      </c>
      <c r="CS45" t="str">
        <f>IF(IFERROR(INDEX('Level Engine'!$JO$9:$JO$55,MATCH('King Node Model'!$AL$42,'Level Engine'!$AA$9:$AA$55,0)),0)=1,"",IF($E45="","",IF(IFERROR(INDEX('Level Engine'!$HX$9:$HX$55,MATCH('King Node Model'!$AL$42,'Level Engine'!$AA$9:$AA$55,0)),0)=1,"UNSAFE·Level at risk"&amp;CHAR(10)&amp;"• Peak · gamma bump, not a ceiling","")))</f>
        <v/>
      </c>
      <c r="CT45" t="str">
        <f>IF($E45="","",IF(IFERROR(INDEX('Level Engine'!$IF$9:$IF$55,MATCH('King Node Model'!$AL$42,'Level Engine'!$AA$9:$AA$55,0)),0)=1,"UNSAFE·Level at risk"&amp;CHAR(10)&amp;"• Chop zone · inside a stack of heavy gamma/zomma strikes",""))</f>
        <v/>
      </c>
      <c r="CU45" t="str">
        <f>IF($E45="","",IF(IFERROR(INDEX('Level Engine'!$IQ$9:$IQ$55,MATCH('King Node Model'!$AL$42,'Level Engine'!$AA$9:$AA$55,0)),0)=1,"UNSAFE·Level at risk"&amp;CHAR(10)&amp;"• Contested level · claimed by both sides",""))</f>
        <v/>
      </c>
      <c r="CV45" t="str">
        <f>IF($E45="","",IFERROR(INDEX('Level Engine'!$IV$9:$IV$55,MATCH('King Node Model'!$AL$42,'Level Engine'!$AA$9:$AA$55,0))&amp;"",""))</f>
        <v/>
      </c>
      <c r="CW45" t="str">
        <f>IF($E45="","",IF(IFERROR(INDEX('Level Engine'!$JL$9:$JL$55,MATCH('King Node Model'!$AL$42,'Level Engine'!$AA$9:$AA$55,0)),0)=1,"UNSAFE·Level at risk"&amp;CHAR(10)&amp;"• DOM wall · vanna not supporting it — flat or too small (needs vanna SELL ≥ "&amp;TEXT('Level Engine'!$BG$92/1000,"0")&amp;"K)",IFERROR(IF(INDEX('Level Engine'!$JK$9:$JK$55,MATCH('King Node Model'!$AL$42,'Level Engine'!$AA$9:$AA$55,0))=1,"UNSAFE·Level at risk"&amp;CHAR(10)&amp;"• Vanna BUY on arrival — dealers buy into this ceiling as IV falls",""),"")))</f>
        <v>UNSAFE·Level at risk
• Vanna BUY on arrival — dealers buy into this ceiling as IV falls</v>
      </c>
      <c r="CX45" t="str">
        <f>IF($E45="","",IFERROR(IF(INDEX('Level Engine'!$IZ$9:$IZ$55,MATCH('King Node Model'!$AL$42,'Level Engine'!$AA$9:$AA$55,0))=1,"UNSAFE·Level at risk"&amp;CHAR(10)&amp;"• DEX wall "&amp;TEXT('King Node Model'!$AL$42-'Level Engine'!$BG$84,"0")&amp;" ("&amp;TEXT(INDEX('Level Engine'!$AE$9:$AE$55,MATCH('King Node Model'!$AL$42-'Level Engine'!$BG$84,'Level Engine'!$AA$9:$AA$55,0))/1000000,"+0.00;-0.00")&amp;"M) directly below caps the drop",""),""))</f>
        <v/>
      </c>
      <c r="CY45" t="str">
        <f>IF($E45="","",IFERROR(IF(INDEX('Level Engine'!$JM$9:$JM$55,MATCH('King Node Model'!$AL$42,'Level Engine'!$AA$9:$AA$55,0))=1,"UNSAFE·Level at risk"&amp;CHAR(10)&amp;"• Within "&amp;TEXT('Level Engine'!$BG$93,"0")&amp;" pts of the DOM "&amp;TEXT(INDEX('Level Engine'!$AA$9:$AA$55,MATCH("DOM",'Level Engine'!$FA$9:$FA$55,0)),"0")&amp;" — price tends to be pulled to the node",""),""))</f>
        <v/>
      </c>
      <c r="DA45" t="str">
        <f>IF($E45="","",IF(OR(IFERROR(INDEX('Level Engine'!$JP$9:$JP$55,MATCH('King Node Model'!$AL$42,'Level Engine'!$AA$9:$AA$55,0)),0)=1,AND(IFERROR(INDEX('Level Engine'!$JQ$9:$JQ$55,MATCH('King Node Model'!$AL$42,'Level Engine'!$AA$9:$AA$55,0)),0)=1,IFERROR(INDEX('Level Engine'!$JZ$9:$JZ$55,MATCH('King Node Model'!$AL$42,'Level Engine'!$AA$9:$AA$55,0)),0)&lt;&gt;1)),"UNSAFE·Level at risk"&amp;IF(AND(IFERROR(INDEX('Level Engine'!$JQ$9:$JQ$55,MATCH('King Node Model'!$AL$42,'Level Engine'!$AA$9:$AA$55,0)),0)=1,IFERROR(INDEX('Level Engine'!$JZ$9:$JZ$55,MATCH('King Node Model'!$AL$42,'Level Engine'!$AA$9:$AA$55,0)),0)&lt;&gt;1),CHAR(10)&amp;"• Dex not aligned (OI resistance needs Dex ≤ −"&amp;TEXT('Level Engine'!$BG$95/1000,"0")&amp;"K)","")&amp;IF(IFERROR(INDEX('Level Engine'!$JP$9:$JP$55,MATCH('King Node Model'!$AL$42,'Level Engine'!$AA$9:$AA$55,0)),0)=1,CHAR(10)&amp;"• Zomma not firming (OI resistance needs the zomma reading to firm the level)",""),""))</f>
        <v/>
      </c>
      <c r="DB45" t="str">
        <f>IF(AND(IFERROR(INDEX('Level Engine'!$KK$9:$KK$55,MATCH('King Node Model'!$AL$42,'Level Engine'!$AA$9:$AA$55,0)),0)=0,IFERROR(INDEX('Level Engine'!$JY$9:$JY$55,MATCH('King Node Model'!$AL$42,'Level Engine'!$AA$9:$AA$55,0)),0)&lt;&gt;1,IFERROR(INDEX('Level Engine'!$KR$9:$KR$55,MATCH('King Node Model'!$AL$42,'Level Engine'!$AA$9:$AA$55,0)),0)=0,IFERROR(INDEX('Level Engine'!$LD$9:$LD$55,MATCH('King Node Model'!$AL$42,'Level Engine'!$AA$9:$AA$55,0)),0)=0,IFERROR(INDEX('Level Engine'!$LE$9:$LE$55,MATCH('King Node Model'!$AL$42,'Level Engine'!$AA$9:$AA$55,0)),0)=0,IFERROR(INDEX('Level Engine'!$MH$9:$MH$55,MATCH('King Node Model'!$AL$42,'Level Engine'!$AA$9:$AA$55,0)),0)=0,IFERROR(INDEX('Level Engine'!$KA$9:$KA$55,MATCH('King Node Model'!$AL$42,'Level Engine'!$AA$9:$AA$55,0)),0)=0,OR(AND(IFERROR(INDEX('Level Engine'!$GV$9:$GV$55,MATCH('King Node Model'!$AL$42,'Level Engine'!$AA$9:$AA$55,0)),0)=1,IFERROR(INDEX('Level Engine'!$JK$9:$JK$55,MATCH('King Node Model'!$AL$42,'Level Engine'!$AA$9:$AA$55,0)),0)&lt;&gt;1,IFERROR(INDEX('Level Engine'!$IW$9:$IW$55,MATCH('King Node Model'!$AL$42,'Level Engine'!$AA$9:$AA$55,0)),0)&lt;&gt;1),AND(ISNUMBER('King Node Model'!$AL$42),'King Node Model'!$AL$42='King Node Model'!$F$24,IFERROR(INDEX('Level Engine'!$JN$9:$JN$55,MATCH('King Node Model'!$AL$42,'Level Engine'!$AA$9:$AA$55,0)),0)&lt;&gt;1))),"",IF(ISNUMBER(SEARCH("UNSAFE·Level at risk",IF(IFERROR(INDEX('Level Engine'!$IS$9:$IS$55,MATCH('King Node Model'!$AL$42,'Level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Model'!$AL$42,'Level Engine'!$AA$9:$AA$55,0)),0)=1,CHAR(10)&amp;"UNSAFE·Level at risk"&amp;CHAR(10)&amp;"• Vanna flat at the level — IV not moving, no dealer flow behind it","")&amp;IF(OR(AND(IFERROR(INDEX('Level Engine'!$KR$9:$KR$55,MATCH('King Node Model'!$AL$42,'Level Engine'!$AA$9:$AA$55,0)),0)=1,$CZ45=""),IFERROR(INDEX('Level Engine'!$KS$9:$KS$55,MATCH('King Node Model'!$AL$42,'Level Engine'!$AA$9:$AA$55,0)),0)=1),CHAR(10)&amp;"UNSAFE·Level at risk"&amp;CHAR(10)&amp;"• Vanna not aligned (gDex rule)","")&amp;IF(AND(IFERROR(INDEX('Level Engine'!$LD$9:$LD$55,MATCH('King Node Model'!$AL$42,'Level Engine'!$AA$9:$AA$55,0)),0)=1,$CZ45=""),CHAR(10)&amp;"UNSAFE·Level at risk"&amp;CHAR(10)&amp;"• Max Gamma support, not Max/Min GEX — fails ~66% of the time in positive gamma","")&amp;IF(AND(IFERROR(INDEX('Level Engine'!$LE$9:$LE$55,MATCH('King Node Model'!$AL$42,'Level Engine'!$AA$9:$AA$55,0)),0)=1,$CZ45=""),CHAR(10)&amp;"UNSAFE·Level at risk"&amp;CHAR(10)&amp;"• Resistance leaks · Max Gamma fails as resistance ~50% of the time","")&amp;IF(AND(IFERROR(INDEX('Level Engine'!$MH$9:$MH$55,MATCH('King Node Model'!$AL$42,'Level Engine'!$AA$9:$AA$55,0)),0)=1,$CZ45=""),CHAR(10)&amp;"UNSAFE·Level at risk"&amp;CHAR(10)&amp;IFERROR(INDEX('Level Engine'!$MI$9:$MI$55,MATCH('King Node Model'!$AL$42,'Level Engine'!$AA$9:$AA$55,0)),""),"")&amp;IF(IFERROR(INDEX('Level Engine'!$KK$9:$KK$55,MATCH('King Node Model'!$AL$42,'Level Engine'!$AA$9:$AA$55,0)),0)=1,CHAR(10)&amp;"UNSAFE·Level at risk"&amp;CHAR(10)&amp;"• Data incomplete — option chain not fully loaded at or next to this strike","")&amp;IF(N(IFERROR(INDEX('Level Engine'!$KA$9:$KA$55,MATCH('King Node Model'!$AL$42,'Level Engine'!$AA$9:$AA$55,0)),0))&lt;&gt;0,CHAR(10)&amp;"UNSAFE·Level at risk"&amp;CHAR(10)&amp;"• Accelerant under call wall "&amp;TEXT(IFERROR(INDEX('Level Engine'!$KA$9:$KA$55,MATCH('King Node Model'!$AL$42,'Level Engine'!$AA$9:$AA$55,0)),0),"0")&amp;" — price runs through to it","")&amp;IF($CQ45&lt;&gt;"",CHAR(10)&amp;$CQ45,"")&amp;IF($CP45&lt;&gt;"",CHAR(10)&amp;$CP45,"")&amp;IF($CR45&lt;&gt;"",CHAR(10)&amp;$CR45,"")&amp;IF($CS45&lt;&gt;"",CHAR(10)&amp;$CS45,"")&amp;IF($CT45&lt;&gt;"",CHAR(10)&amp;$CT45,"")&amp;IF($CU45&lt;&gt;"",CHAR(10)&amp;$CU45,"")&amp;IF($CV45&lt;&gt;"",CHAR(10)&amp;$CV45,"")&amp;IF($CW45&lt;&gt;"",CHAR(10)&amp;$CW45,"")&amp;IF($CX45&lt;&gt;"",CHAR(10)&amp;$CX45,"")&amp;IF($CY45&lt;&gt;"",CHAR(10)&amp;$CY45,"")&amp;IF($DA45&lt;&gt;"",CHAR(10)&amp;$DA45,"")&amp;IF($DC45&lt;&gt;"",CHAR(10)&amp;$DC45,"")&amp;IF($DD45&lt;&gt;"",CHAR(10)&amp;$DD45,""))),"UNSAFE·Level at risk"&amp;CHAR(10),"")&amp;MID(SUBSTITUTE(SUBSTITUTE(IF(IFERROR(INDEX('Level Engine'!$IS$9:$IS$55,MATCH('King Node Model'!$AL$42,'Level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Model'!$AL$42,'Level Engine'!$AA$9:$AA$55,0)),0)=1,CHAR(10)&amp;"UNSAFE·Level at risk"&amp;CHAR(10)&amp;"• Vanna flat at the level — IV not moving, no dealer flow behind it","")&amp;IF(OR(AND(IFERROR(INDEX('Level Engine'!$KR$9:$KR$55,MATCH('King Node Model'!$AL$42,'Level Engine'!$AA$9:$AA$55,0)),0)=1,$CZ45=""),IFERROR(INDEX('Level Engine'!$KS$9:$KS$55,MATCH('King Node Model'!$AL$42,'Level Engine'!$AA$9:$AA$55,0)),0)=1),CHAR(10)&amp;"UNSAFE·Level at risk"&amp;CHAR(10)&amp;"• Vanna not aligned (gDex rule)","")&amp;IF(AND(IFERROR(INDEX('Level Engine'!$LD$9:$LD$55,MATCH('King Node Model'!$AL$42,'Level Engine'!$AA$9:$AA$55,0)),0)=1,$CZ45=""),CHAR(10)&amp;"UNSAFE·Level at risk"&amp;CHAR(10)&amp;"• Max Gamma support, not Max/Min GEX — fails ~66% of the time in positive gamma","")&amp;IF(AND(IFERROR(INDEX('Level Engine'!$LE$9:$LE$55,MATCH('King Node Model'!$AL$42,'Level Engine'!$AA$9:$AA$55,0)),0)=1,$CZ45=""),CHAR(10)&amp;"UNSAFE·Level at risk"&amp;CHAR(10)&amp;"• Resistance leaks · Max Gamma fails as resistance ~50% of the time","")&amp;IF(AND(IFERROR(INDEX('Level Engine'!$MH$9:$MH$55,MATCH('King Node Model'!$AL$42,'Level Engine'!$AA$9:$AA$55,0)),0)=1,$CZ45=""),CHAR(10)&amp;"UNSAFE·Level at risk"&amp;CHAR(10)&amp;IFERROR(INDEX('Level Engine'!$MI$9:$MI$55,MATCH('King Node Model'!$AL$42,'Level Engine'!$AA$9:$AA$55,0)),""),"")&amp;IF(IFERROR(INDEX('Level Engine'!$KK$9:$KK$55,MATCH('King Node Model'!$AL$42,'Level Engine'!$AA$9:$AA$55,0)),0)=1,CHAR(10)&amp;"UNSAFE·Level at risk"&amp;CHAR(10)&amp;"• Data incomplete — option chain not fully loaded at or next to this strike","")&amp;IF(N(IFERROR(INDEX('Level Engine'!$KA$9:$KA$55,MATCH('King Node Model'!$AL$42,'Level Engine'!$AA$9:$AA$55,0)),0))&lt;&gt;0,CHAR(10)&amp;"UNSAFE·Level at risk"&amp;CHAR(10)&amp;"• Accelerant under call wall "&amp;TEXT(IFERROR(INDEX('Level Engine'!$KA$9:$KA$55,MATCH('King Node Model'!$AL$42,'Level Engine'!$AA$9:$AA$55,0)),0),"0")&amp;" — price runs through to it","")&amp;IF($CQ45&lt;&gt;"",CHAR(10)&amp;$CQ45,"")&amp;IF($CP45&lt;&gt;"",CHAR(10)&amp;$CP45,"")&amp;IF($CR45&lt;&gt;"",CHAR(10)&amp;$CR45,"")&amp;IF($CS45&lt;&gt;"",CHAR(10)&amp;$CS45,"")&amp;IF($CT45&lt;&gt;"",CHAR(10)&amp;$CT45,"")&amp;IF($CU45&lt;&gt;"",CHAR(10)&amp;$CU45,"")&amp;IF($CV45&lt;&gt;"",CHAR(10)&amp;$CV45,"")&amp;IF($CW45&lt;&gt;"",CHAR(10)&amp;$CW45,"")&amp;IF($CX45&lt;&gt;"",CHAR(10)&amp;$CX45,"")&amp;IF($CY45&lt;&gt;"",CHAR(10)&amp;$CY45,"")&amp;IF($DA45&lt;&gt;"",CHAR(10)&amp;$DA45,"")&amp;IF($DC45&lt;&gt;"",CHAR(10)&amp;$DC45,"")&amp;IF($DD45&lt;&gt;"",CHAR(10)&amp;$DD45,""),"UNSAFE·Level at risk"&amp;CHAR(10),""),CHAR(10)&amp;CHAR(10),CHAR(10)),2,32000))</f>
        <v>UNSAFE·Level at risk
• Vanna BUY on arrival — dealers buy into this ceiling as IV falls</v>
      </c>
      <c r="DC45" t="str">
        <f>IF($E45="","",IF(IFERROR(INDEX('Level Engine'!$KT$9:$KT$55,MATCH('King Node Model'!$AL$42,'Level Engine'!$AA$9:$AA$55,0)),0)=1,"UNSAFE·Level at risk"&amp;CHAR(10)&amp;"• DEX draining · "&amp;TEXT(IFERROR(INDEX('Level Engine'!$AE$9:$AE$55,MATCH('King Node Model'!$AL$42,'Level Engine'!$AA$9:$AA$55,0)),0)/1000,"+#,##0;-#,##0")&amp;"K, down 50%+ in the last few minutes"&amp;CHAR(10)&amp;"• VEX weak · "&amp;TEXT(IFERROR(INDEX('Level Engine'!$AD$9:$AD$55,MATCH('King Node Model'!$AL$42,'Level Engine'!$AA$9:$AA$55,0)),0)/1000,"+#,##0;-#,##0")&amp;"K"&amp;CHAR(10)&amp;"• The level's cushion is going",""))</f>
        <v/>
      </c>
      <c r="DD45" t="str">
        <f>IF($E45="","",IF(IFERROR(INDEX('Level Engine'!$JU$9:$JU$55,MATCH('King Node Model'!$AL$42,'Level Engine'!$AA$9:$AA$55,0)),0)=1,"UNSAFE·Level at risk"&amp;CHAR(10)&amp;"• dEdge Cliff: DEX falls off at "&amp;TEXT('King Node Model'!$AL$42,"0")&amp;" ("&amp;TEXT((IFERROR(INDEX('Level Engine'!$AE$9:$AE$55,MATCH('King Node Model'!$AL$42,'Level Engine'!$AA$9:$AA$55,0)),0))/1000,"+#,##0;-#,##0")&amp;"K"&amp;", vs "&amp;TEXT((IFERROR(INDEX('Level Engine'!$AE$9:$AE$55,MATCH(IF(IFERROR(INDEX('Level Engine'!$AG$9:$AG$55,MATCH('King Node Model'!$AL$42,'Level Engine'!$AA$9:$AA$55,0)),"S")="R",'King Node Model'!$AL$42-5,'King Node Model'!$AL$42+5),'Level Engine'!$AA$9:$AA$55,0)),0))/1000,"+#,##0;-#,##0")&amp;"K"&amp;" at "&amp;TEXT(IF(IFERROR(INDEX('Level Engine'!$AG$9:$AG$55,MATCH('King Node Model'!$AL$42,'Level Engine'!$AA$9:$AA$55,0)),"S")="R",'King Node Model'!$AL$42-5,'King Node Model'!$AL$42+5),"0")&amp;")"&amp;CHAR(10)&amp;"• Positive gamma, positive GEX at the strike: cliffs break more than they hold"&amp;CHAR(10)&amp;"• Next DEX cushion "&amp;TEXT(IF(ABS(IFERROR(INDEX('Level Engine'!$AE$9:$AE$55,MATCH(IF(IFERROR(INDEX('Level Engine'!$AG$9:$AG$55,MATCH('King Node Model'!$AL$42,'Level Engine'!$AA$9:$AA$55,0)),"S")="R",'King Node Model'!$AL$42+5,'King Node Model'!$AL$42-5),'Level Engine'!$AA$9:$AA$55,0)),0))&gt;=ABS(IFERROR(INDEX('Level Engine'!$AE$9:$AE$55,MATCH(IF(IFERROR(INDEX('Level Engine'!$AG$9:$AG$55,MATCH('King Node Model'!$AL$42,'Level Engine'!$AA$9:$AA$55,0)),"S")="R",'King Node Model'!$AL$42+10,'King Node Model'!$AL$42-10),'Level Engine'!$AA$9:$AA$55,0)),0)),IF(IFERROR(INDEX('Level Engine'!$AG$9:$AG$55,MATCH('King Node Model'!$AL$42,'Level Engine'!$AA$9:$AA$55,0)),"S")="R",'King Node Model'!$AL$42+5,'King Node Model'!$AL$42-5),IF(IFERROR(INDEX('Level Engine'!$AG$9:$AG$55,MATCH('King Node Model'!$AL$42,'Level Engine'!$AA$9:$AA$55,0)),"S")="R",'King Node Model'!$AL$42+10,'King Node Model'!$AL$42-10)),"0")&amp;" ("&amp;TEXT((IFERROR(INDEX('Level Engine'!$AE$9:$AE$55,MATCH(IF(ABS(IFERROR(INDEX('Level Engine'!$AE$9:$AE$55,MATCH(IF(IFERROR(INDEX('Level Engine'!$AG$9:$AG$55,MATCH('King Node Model'!$AL$42,'Level Engine'!$AA$9:$AA$55,0)),"S")="R",'King Node Model'!$AL$42+5,'King Node Model'!$AL$42-5),'Level Engine'!$AA$9:$AA$55,0)),0))&gt;=ABS(IFERROR(INDEX('Level Engine'!$AE$9:$AE$55,MATCH(IF(IFERROR(INDEX('Level Engine'!$AG$9:$AG$55,MATCH('King Node Model'!$AL$42,'Level Engine'!$AA$9:$AA$55,0)),"S")="R",'King Node Model'!$AL$42+10,'King Node Model'!$AL$42-10),'Level Engine'!$AA$9:$AA$55,0)),0)),IF(IFERROR(INDEX('Level Engine'!$AG$9:$AG$55,MATCH('King Node Model'!$AL$42,'Level Engine'!$AA$9:$AA$55,0)),"S")="R",'King Node Model'!$AL$42+5,'King Node Model'!$AL$42-5),IF(IFERROR(INDEX('Level Engine'!$AG$9:$AG$55,MATCH('King Node Model'!$AL$42,'Level Engine'!$AA$9:$AA$55,0)),"S")="R",'King Node Model'!$AL$42+10,'King Node Model'!$AL$42-10)),'Level Engine'!$AA$9:$AA$55,0)),0))/1000,"+#,##0;-#,##0")&amp;"K"&amp;")",""))</f>
        <v/>
      </c>
      <c r="DE45" t="str">
        <f>SUBSTITUTE($K45,CHAR(10)&amp;IFERROR(INDEX('Level Engine'!$KE$9:$KE$55,MATCH(--LEFT($E45,4),'Level Engine'!$AA$9:$AA$55,0)),"~"),"")</f>
        <v>7780 ACCEL fading · Neg gamma ↓ (firmer resistance) (r2)</v>
      </c>
      <c r="DF45" t="str">
        <f>IF(AND($E45&lt;&gt;"",N(IFERROR(INDEX('Level Engine'!$KM$9:$KM$55,MATCH('King Node Model'!$AL$42,'Level Engine'!$AA$9:$AA$55,0)),""))=1,N(IFERROR(INDEX('Level Engine'!$KK$9:$KK$55,MATCH('King Node Model'!$AL$42,'Level Engine'!$AA$9:$AA$55,0)),""))&lt;&gt;1),"SAFE·Level safe — call wall + Min Zomma + DOM"&amp;IF(IFERROR(INDEX('Level Engine'!$KI$9:$KI$55,MATCH('King Node Model'!$AL$42,'Level Engine'!$AA$9:$AA$55,0)),"")&lt;&gt;"",CHAR(10)&amp;"• Overridden: "&amp;SUBSTITUTE(SUBSTITUTE(SUBSTITUTE(SUBSTITUTE(SUBSTITUTE(SUBSTITUTE(SUBSTITUTE(SUBSTITUTE(SUBSTITUTE(SUBSTITUTE(SUBSTITUTE(SUBSTITUTE(SUBSTITUTE(SUBSTITUTE(SUBSTITUTE(SUBSTITUTE(SUBSTITUTE(TRIM(IFERROR(INDEX('Level Engine'!$KI$9:$KI$55,MATCH('King Node Model'!$AL$42,'Level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45" t="str">
        <f>IF($E45="","",IF(IFERROR(INDEX('Level Engine'!$KX$9:$KX$55,MATCH('King Node Model'!$AL$42,'Level Engine'!$AA$9:$AA$55,0)),0)=1,"• "&amp;IF(IFERROR(INDEX('Level Engine'!$KW$9:$KW$55,MATCH('King Node Model'!$AL$42,'Level Engine'!$AA$9:$AA$55,0)),0)=1,"DEX falls off above ("&amp;TEXT(IFERROR(INDEX('Level Engine'!$KU$9:$KU$55,MATCH('King Node Model'!$AL$42,'Level Engine'!$AA$9:$AA$55,0)),0),"0%")&amp;") more sharply than below ("&amp;TEXT(IFERROR(INDEX('Level Engine'!$KV$9:$KV$55,MATCH('King Node Model'!$AL$42,'Level Engine'!$AA$9:$AA$55,0)),0),"0%")&amp;"), but "&amp;TEXT('King Node Model'!$AL$42-5,"0")&amp;" below is a reversal level with more DEX","DEX falls off below ("&amp;TEXT(IFERROR(INDEX('Level Engine'!$KV$9:$KV$55,MATCH('King Node Model'!$AL$42,'Level Engine'!$AA$9:$AA$55,0)),0),"0%")&amp;") more sharply than above ("&amp;TEXT(IFERROR(INDEX('Level Engine'!$KU$9:$KU$55,MATCH('King Node Model'!$AL$42,'Level Engine'!$AA$9:$AA$55,0)),0),"0%")&amp;"), but "&amp;TEXT('King Node Model'!$AL$42+5,"0")&amp;" above is a reversal level with more DEX")&amp;" — DEX lean warning not applied",IF(IFERROR(INDEX('Level Engine'!$KZ$9:$KZ$55,MATCH('King Node Model'!$AL$42,'Level Engine'!$AA$9:$AA$55,0)),0)=1,"• DEX falls off more sharply above ("&amp;TEXT(IFERROR(INDEX('Level Engine'!$KU$9:$KU$55,MATCH('King Node Model'!$AL$42,'Level Engine'!$AA$9:$AA$55,0)),0),"0%")&amp;") than below ("&amp;TEXT(IFERROR(INDEX('Level Engine'!$KV$9:$KV$55,MATCH('King Node Model'!$AL$42,'Level Engine'!$AA$9:$AA$55,0)),0),"0%")&amp;") — clean bounces less likely in positive gamma · however DEX supportive","")))</f>
        <v/>
      </c>
      <c r="DH45" t="str">
        <f>IF($DF45&lt;&gt;"",$DF45,(IF(AND($E45&lt;&gt;"",$DB45="",N(IFERROR(INDEX('Level Engine'!$JI$9:$JI$55,MATCH('King Node Model'!$AL$42,'Level Engine'!$AA$9:$AA$55,0)),""))=1),"SAFE·Level safe — all backers confirmed"&amp;CHAR(10)&amp;"• Reversal"&amp;IF(ISNUMBER(SEARCH("chop edge",$E45))," (chop edge)","")&amp;" ✓ · Vanna "&amp;IFERROR(INDEX('Level Engine'!$JV$9:$JV$55,MATCH('King Node Model'!$AL$42,'Level Engine'!$AA$9:$AA$55,0)),"")&amp;" on arrival ✓ · DEX "&amp;TEXT(N(IFERROR(INDEX('Level Engine'!$AE$9:$AE$55,MATCH('King Node Model'!$AL$42,'Level Engine'!$AA$9:$AA$55,0)),""))/1000,"+0;-0")&amp;"K ✓"&amp;IF(IFERROR(INDEX('Level Engine'!$KI$9:$KI$55,MATCH('King Node Model'!$AL$42,'Level Engine'!$AA$9:$AA$55,0)),"")&lt;&gt;"",CHAR(10)&amp;"• Overridden: "&amp;SUBSTITUTE(SUBSTITUTE(SUBSTITUTE(SUBSTITUTE(SUBSTITUTE(SUBSTITUTE(SUBSTITUTE(SUBSTITUTE(SUBSTITUTE(SUBSTITUTE(TRIM(IFERROR(INDEX('Level Engine'!$KI$9:$KI$55,MATCH('King Node Model'!$AL$42,'Level Engine'!$AA$9:$AA$55,0)),""))," "," · "),"HIGHIVFALL","IV High + ATM IV falling (melt-up risk)"),"LOWIVFALL","Low IV + ATM IV falling"),"CHOPEDGEIV","chop-edge IV"),"AMPLIFY","gamma peak"),"TROUGH","trough"),"SANDWICH","sandwich"),"BUMP","speed bump"),"ZACCEL","zomma ACCEL"),"EDGE","γSh edge"),""),IF(AND($E45&lt;&gt;"",$DB45="",IFERROR(INDEX('Level Engine'!$JS$9:$JS$55,MATCH('King Node Model'!$AL$42,'Level Engine'!$AA$9:$AA$55,0)),0)=1),"SAFE·Level is safe"&amp;CHAR(10)&amp;"• Positive gamma · GEX "&amp;TEXT(IFERROR(INDEX('Level Engine'!$AB$9:$AB$55,MATCH('King Node Model'!$AL$42,'Level Engine'!$AA$9:$AA$55,0)),0)/1000000,"+0.00;-0.00")&amp;"M"&amp;IF(IFERROR(INDEX('Level Engine'!$AB$9:$AB$55,MATCH('King Node Model'!$AL$42,'Level Engine'!$AA$9:$AA$55,0)),0)=MAX('Level Engine'!$AB$9:$AB$55),", largest on board","")&amp;CHAR(10)&amp;"• Zomma "&amp;TEXT(IFERROR(INDEX('Level Engine'!$AF$9:$AF$55,MATCH('King Node Model'!$AL$42,'Level Engine'!$AA$9:$AA$55,0)),0)/1000000,"+0.0;-0.0")&amp;"M, largest on board · "&amp;IF(IFERROR(INDEX('Level Engine'!$AF$9:$AF$55,MATCH('King Node Model'!$AL$42,'Level Engine'!$AA$9:$AA$55,0)),0)&lt;0,"falling","rising")&amp;" IV strengthens gamma"&amp;IF(IFERROR(INDEX('Level Engine'!$IY$9:$IY$55,MATCH('King Node Model'!$AL$42,'Level Engine'!$AA$9:$AA$55,0)),"")="BUY",CHAR(10)&amp;"• Vanna BUY "&amp;TEXT(IFERROR(INDEX('Level Engine'!$AD$9:$AD$55,MATCH('King Node Model'!$AL$42,'Level Engine'!$AA$9:$AA$55,0)),0)/1000000,"+0.00;-0.00")&amp;"M outweighed while IV "&amp;IF(IFERROR(INDEX('Level Engine'!$AF$9:$AF$55,MATCH('King Node Model'!$AL$42,'Level Engine'!$AA$9:$AA$55,0)),0)&lt;0,"falls","rises"),"")&amp;IF(N(IFERROR(INDEX('Level Engine'!$JF$9:$JF$55,MATCH('King Node Model'!$AL$42,'Level Engine'!$AA$9:$AA$55,0)),0))&gt;N(IFERROR(INDEX('Level Engine'!$JE$9:$JE$55,MATCH('King Node Model'!$AL$42,'Level Engine'!$AA$9:$AA$55,0)),0)),CHAR(10)&amp;"• Call-heavy · "&amp;TEXT(IFERROR(INDEX('Level Engine'!$JF$9:$JF$55,MATCH('King Node Model'!$AL$42,'Level Engine'!$AA$9:$AA$55,0)),0),"#,##0")&amp;" calls vs "&amp;TEXT(IFERROR(INDEX('Level Engine'!$JE$9:$JE$55,MATCH('King Node Model'!$AL$42,'Level Engine'!$AA$9:$AA$55,0)),0),"#,##0")&amp;" puts",""),$DB45)))&amp;IF(AND($E45&lt;&gt;"",$DB45="",OR('King Node Model'!$A$8&lt;&gt;"Pos",N('Level Engine'!$BG$72)=1),IFERROR(INDEX('Level Engine'!$HM$9:$HM$55,MATCH('King Node Model'!$AL$42,'Level Engine'!$AA$9:$AA$55,0)),0)=1,IFERROR(INDEX('Level Engine'!$JO$9:$JO$55,MATCH('King Node Model'!$AL$42,'Level Engine'!$AA$9:$AA$55,0)),0)&lt;&gt;1),IF(AND($DB45="",N(IFERROR(INDEX('Level Engine'!$JI$9:$JI$55,MATCH('King Node Model'!$AL$42,'Level Engine'!$AA$9:$AA$55,0)),0))&lt;&gt;1),"SAFE·Level safe"&amp;CHAR(10),CHAR(10))&amp;"• Trough · weak bounce — positive-gamma rule, not applied in negative/fragile gamma","")&amp;IF(AND($E45&lt;&gt;"",$DB45="",ISNUMBER('King Node Model'!$AL$42),OR('King Node Model'!$A$8="Neg",N('Level Engine'!$BG$72)=1),ABS(N('King Node Model'!$AL$42)-'Level Engine'!$B$4)&gt;'Level Engine'!$BG$98,OR('King Node Model'!$AL$42='Level Engine'!$BG$105,'King Node Model'!$AL$42='Level Engine'!$BG$87)),IF(AND($DB45="",N(IFERROR(INDEX('Level Engine'!$JI$9:$JI$55,MATCH('King Node Model'!$AL$42,'Level Engine'!$AA$9:$AA$55,0)),0))&lt;&gt;1,NOT(AND($E45&lt;&gt;"",$DB45="",OR('King Node Model'!$A$8&lt;&gt;"Pos",N('Level Engine'!$BG$72)=1),IFERROR(INDEX('Level Engine'!$HM$9:$HM$55,MATCH('King Node Model'!$AL$42,'Level Engine'!$AA$9:$AA$55,0)),0)=1,IFERROR(INDEX('Level Engine'!$JO$9:$JO$55,MATCH('King Node Model'!$AL$42,'Level Engine'!$AA$9:$AA$55,0)),0)&lt;&gt;1))),"SAFE·Level safe"&amp;CHAR(10),CHAR(10))&amp;"• ζ "&amp;IF('King Node Model'!$AL$42='Level Engine'!$BG$105,"Max Zomma: zomma read as IV rising","Min Zomma: zomma read as IV falling")&amp;" on arrival (Max/Min rule)",""))</f>
        <v>UNSAFE·Level at risk
• Vanna BUY on arrival — dealers buy into this ceiling as IV falls</v>
      </c>
      <c r="DI45" t="str">
        <f>IF(AND(AND('King Node Model'!$A$8="Pos",IFERROR(IFERROR(INDEX('Level Engine'!$CZ$9:$CZ$55,MATCH('King Node Model'!$AL$42,'Level Engine'!$AA$9:$AA$55,0)),0)=1,FALSE),N(IFERROR(INDEX('Level Engine'!$AB$9:$AB$55,MATCH('King Node Model'!$AL$42,'Level Engine'!$AA$9:$AA$55,0)),0))&lt;0),NOT(ISNUMBER(SEARCH("REVERSAL",((IF($E45="","",IF(AND(SUM('King Node Model'!$C$29:$C$75)&gt;0,OR(ISNUMBER(SEARCH("PIN",'King Node Model'!Y42)),AND(ISNUMBER('Level Engine'!$BG$28),ISNUMBER(IFERROR(INDEX('Level Engine'!$AT$9:$AT$55,MATCH('King Node Model'!$AL$42,'Level Engine'!$AA$9:$AA$55,0)),"")),ISNUMBER(IFERROR(INDEX('Level Engine'!$AU$9:$AU$55,MATCH('King Node Model'!$AL$42,'Level Engine'!$AA$9:$AA$55,0)),"")),IFERROR(INDEX('Level Engine'!$AT$9:$AT$55,MATCH('King Node Model'!$AL$42,'Level Engine'!$AA$9:$AA$55,0)),"")&lt;&gt;IFERROR(INDEX('Level Engine'!$AU$9:$AU$55,MATCH('King Node Model'!$AL$42,'Level Engine'!$AA$9:$AA$55,0)),""),'Level Engine'!$BG$28&gt;=IFERROR(INDEX('Level Engine'!$AT$9:$AT$55,MATCH('King Node Model'!$AL$42,'Level Engine'!$AA$9:$AA$55,0)),""),'Level Engine'!$BG$28&lt;=IFERROR(INDEX('Level Engine'!$AU$9:$AU$55,MATCH('King Node Model'!$AL$42,'Level Engine'!$AA$9:$AA$55,0)),""))),OR(ISNUMBER(SEARCH("Charm buys",$F$17)),ISNUMBER(SEARCH("pin migrates higher",$F$17))),OR(ISNUMBER(SEARCH("Melt Up",$F$10)),ISNUMBER(SEARCH("Long Gamma Pin",$F$10))),OR(ISNUMBER(SEARCH("WEAKENING",$K45)),ISNUMBER(SEARCH("Pos gamma ↓",$K45)),ISNUMBER(SEARCH("thinning the ceiling",$K45))),IFERROR(ABS($F45)&lt;=25,FALSE())),"UNSAFE · PIN MIGRATION ↑",IF(AND(ISNUMBER(SEARCH("5/5",$E$29)),OR(ISNUMBER(SEARCH("WEAKENING",$K45)),ISNUMBER(SEARCH("Pos gamma ↓",$K45)),ISNUMBER(SEARCH("thinning the ceiling",$K45)))),"UNSAFE · SQUEEZE",'King Node Model'!Y42)))&amp;IF(AND(ISNUMBER('King Node Model'!$AL$42),IFERROR(INDEX('Level Engine'!$IU$9:$IU$55,MATCH('King Node Model'!$AL$42,'Level Engine'!$AA$9:$AA$55,0)),0)=1,UPPER('Level Engine'!$D$5)&lt;&gt;"DOWN"),CHAR(10)&amp;"RETEST · resistance if IV falls",""))&amp;IF(AND($E45&lt;&gt;"",IFERROR(INDEX('Level Engine'!$JR$9:$JR$55,MATCH('King Node Model'!$AL$42,'Level Engine'!$AA$9:$AA$55,0)),0)=1),"  · vanna-latched","")))))),"REVERSAL · ","")&amp;SUBSTITUTE(SUBSTITUTE(SUBSTITUTE(SUBSTITUTE(((IF($E45="","",IF(AND(SUM('King Node Model'!$C$29:$C$75)&gt;0,OR(ISNUMBER(SEARCH("PIN",'King Node Model'!Y42)),AND(ISNUMBER('Level Engine'!$BG$28),ISNUMBER(IFERROR(INDEX('Level Engine'!$AT$9:$AT$55,MATCH('King Node Model'!$AL$42,'Level Engine'!$AA$9:$AA$55,0)),"")),ISNUMBER(IFERROR(INDEX('Level Engine'!$AU$9:$AU$55,MATCH('King Node Model'!$AL$42,'Level Engine'!$AA$9:$AA$55,0)),"")),IFERROR(INDEX('Level Engine'!$AT$9:$AT$55,MATCH('King Node Model'!$AL$42,'Level Engine'!$AA$9:$AA$55,0)),"")&lt;&gt;IFERROR(INDEX('Level Engine'!$AU$9:$AU$55,MATCH('King Node Model'!$AL$42,'Level Engine'!$AA$9:$AA$55,0)),""),'Level Engine'!$BG$28&gt;=IFERROR(INDEX('Level Engine'!$AT$9:$AT$55,MATCH('King Node Model'!$AL$42,'Level Engine'!$AA$9:$AA$55,0)),""),'Level Engine'!$BG$28&lt;=IFERROR(INDEX('Level Engine'!$AU$9:$AU$55,MATCH('King Node Model'!$AL$42,'Level Engine'!$AA$9:$AA$55,0)),""))),OR(ISNUMBER(SEARCH("Charm buys",$F$17)),ISNUMBER(SEARCH("pin migrates higher",$F$17))),OR(ISNUMBER(SEARCH("Melt Up",$F$10)),ISNUMBER(SEARCH("Long Gamma Pin",$F$10))),OR(ISNUMBER(SEARCH("WEAKENING",$K45)),ISNUMBER(SEARCH("Pos gamma ↓",$K45)),ISNUMBER(SEARCH("thinning the ceiling",$K45))),IFERROR(ABS($F45)&lt;=25,FALSE())),"UNSAFE · PIN MIGRATION ↑",IF(AND(ISNUMBER(SEARCH("5/5",$E$29)),OR(ISNUMBER(SEARCH("WEAKENING",$K45)),ISNUMBER(SEARCH("Pos gamma ↓",$K45)),ISNUMBER(SEARCH("thinning the ceiling",$K45)))),"UNSAFE · SQUEEZE",'King Node Model'!Y42)))&amp;IF(AND(ISNUMBER('King Node Model'!$AL$42),IFERROR(INDEX('Level Engine'!$IU$9:$IU$55,MATCH('King Node Model'!$AL$42,'Level Engine'!$AA$9:$AA$55,0)),0)=1,UPPER('Level Engine'!$D$5)&lt;&gt;"DOWN"),CHAR(10)&amp;"RETEST · resistance if IV falls",""))&amp;IF(AND($E45&lt;&gt;"",IFERROR(INDEX('Level Engine'!$JR$9:$JR$55,MATCH('King Node Model'!$AL$42,'Level Engine'!$AA$9:$AA$55,0)),0)=1),"  · vanna-latched","")),"dEdge Cliff",IF(AND('King Node Model'!$A$8="Pos",IFERROR(IFERROR(INDEX('Level Engine'!$CZ$9:$CZ$55,MATCH('King Node Model'!$AL$42,'Level Engine'!$AA$9:$AA$55,0)),0)=1,FALSE),N(IFERROR(INDEX('Level Engine'!$AB$9:$AB$55,MATCH('King Node Model'!$AL$42,'Level Engine'!$AA$9:$AA$55,0)),0))&lt;0),"Put Wall · dEdge Cliff","dEdge Cliff"))," · accelerates",IF(AND('King Node Model'!$A$8="Pos",IFERROR(IFERROR(INDEX('Level Engine'!$CZ$9:$CZ$55,MATCH('King Node Model'!$AL$42,'Level Engine'!$AA$9:$AA$55,0)),0)=1,FALSE),N(IFERROR(INDEX('Level Engine'!$AB$9:$AB$55,MATCH('King Node Model'!$AL$42,'Level Engine'!$AA$9:$AA$55,0)),0))&lt;0),""," · accelerates")),"REVERSAL · ",IF(AND('King Node Model'!$A$8="Pos",IFERROR(IFERROR(INDEX('Level Engine'!$CZ$9:$CZ$55,MATCH('King Node Model'!$AL$42,'Level Engine'!$AA$9:$AA$55,0)),0)=1,FALSE),N(IFERROR(INDEX('Level Engine'!$AB$9:$AB$55,MATCH('King Node Model'!$AL$42,'Level Engine'!$AA$9:$AA$55,0)),0))&gt;0,N('Level Engine'!$BG$109)=1),"","REVERSAL · ")),"REVERSAL",IF(AND('King Node Model'!$A$8="Pos",IFERROR(IFERROR(INDEX('Level Engine'!$CZ$9:$CZ$55,MATCH('King Node Model'!$AL$42,'Level Engine'!$AA$9:$AA$55,0)),0)=1,FALSE),N(IFERROR(INDEX('Level Engine'!$AB$9:$AB$55,MATCH('King Node Model'!$AL$42,'Level Engine'!$AA$9:$AA$55,0)),0))&gt;0,N('Level Engine'!$BG$109)=1),"","REVERSAL"))</f>
        <v>REVERSAL · Cluster · accelerates ‹nearest›</v>
      </c>
      <c r="DJ45" t="str">
        <f>IF(ISNUMBER($AL45),IF($AL45='Level Engine'!$BG$122," ⫪","")&amp;IF($AL45='Level Engine'!$BG$118," S↑"&amp;IFERROR(INDEX('Level Engine'!$MV$9:$MV$55,MATCH($AL45,'Level Engine'!$AA$9:$AA$55,0)),""),"")&amp;IF($AL45='Level Engine'!$BG$119," S↓"&amp;IFERROR(INDEX('Level Engine'!$MV$9:$MV$55,MATCH($AL45,'Level Engine'!$AA$9:$AA$55,0)),""),"")&amp;IF($AL45='Level Engine'!$BG$120," D↑","")&amp;IF($AL45='Level Engine'!$BG$121," D↓","")&amp;IFERROR(INDEX('Level Engine'!$LG$9:$LG$55,MATCH($AL45,'Level Engine'!$AA$9:$AA$55,0)),"")&amp;IF(IFERROR(INDEX('Level Engine'!$MA$9:$MA$55,MATCH($AL45,'Level Engine'!$AA$9:$AA$55,0)),0)=1," SAND","")&amp;IF(IFERROR(INDEX('Level Engine'!$LM$9:$LM$55,MATCH($AL45,'Level Engine'!$AA$9:$AA$55,0)),0)&gt;0," TP","")&amp;IFERROR(" r"&amp;MATCH($AL45,'Level Engine'!$W$9:$W$14,0),IFERROR(" s"&amp;MATCH($AL45,'Level Engine'!$W$18:$W$23,0),""))&amp;IF($AL45='Level Engine'!$BG$165," ◇","")&amp;IF(N($DZ45)=1,IF($AL45&gt;'Level Engine'!$BG$165," ⚠ DOM↓"," ⚠ DOM↑")&amp;'Level Engine'!$BG$165,""),"")</f>
        <v/>
      </c>
      <c r="DK45" t="str">
        <f>IF(AND(ISNUMBER($AL45),OR($AL45='King Node Model'!$AL$42,$AL45='King Node Model'!$AL$43,$AL45='King Node Model'!$AL$44)),IFERROR(MATCH($AL45,'Level Engine'!$W$9:$W$14,0),""),"")</f>
        <v/>
      </c>
      <c r="DL45" t="str">
        <f>IF(AND(ISNUMBER($AL45),OR($AL45='King Node Model'!$AL$49,$AL45='King Node Model'!$AL$50,$AL45='King Node Model'!$AL$51)),IFERROR(MATCH($AL45,'Level Engine'!$W$18:$W$23,0),""),"")</f>
        <v/>
      </c>
      <c r="DM45">
        <f>IF(AND(ISNUMBER($AL45),IFERROR(INDEX('Level Engine'!$LC$9:$LC$55,MATCH($AL45,'Level Engine'!$AA$9:$AA$55,0)),0)=1,OR($AL45=$AN$3,IFERROR(INDEX('Level Engine'!$LB$9:$LB$55,MATCH($AL45,'Level Engine'!$AA$9:$AA$55,0)),0)=1)),1,0)</f>
        <v>0</v>
      </c>
      <c r="DN45" t="str">
        <f>IFERROR(CHOOSE(INDEX('Level Engine'!$LM$9:$LM$55,MATCH('King Node Model'!$AL$42,'Level Engine'!$AA$9:$AA$55,0))+1,"","TAKE PROFIT · DON'T BUY"&amp;INDEX('Level Engine'!$LQ$9:$LQ$55,MATCH('King Node Model'!$AL$42,'Level Engine'!$AA$9:$AA$55,0)),"TAKE PROFIT · DON'T SHORT"&amp;INDEX('Level Engine'!$LQ$9:$LQ$55,MATCH('King Node Model'!$AL$42,'Level Engine'!$AA$9:$AA$55,0))),"")</f>
        <v/>
      </c>
      <c r="DO45" t="str">
        <f>IF(AND($DV45&lt;&gt;"",$DB45=""),IF(LEFT($DX45,4)="SAFE",$DX45&amp;CHAR(10)&amp;$DV45,IF($DX45="","SAFE·Level safe"&amp;CHAR(10)&amp;$DV45,$DX45&amp;CHAR(10)&amp;$DV45)),$DX45)</f>
        <v>UNSAFE·Level at risk
• Vanna BUY on arrival — dealers buy into this ceiling as IV falls</v>
      </c>
      <c r="DP45" t="str">
        <f>IFERROR(IF(AND(INDEX('Level Engine'!$LR$9:$LR$55,MATCH('King Node Model'!$AL$42,'Level Engine'!$AA$9:$AA$55,0))=1,INDEX('Level Engine'!$HP$9:$HP$55,MATCH('King Node Model'!$AL$42,'Level Engine'!$AA$9:$AA$55,0))&lt;&gt;1),"• Next to sandwich "&amp;IF(IFERROR(INDEX('Level Engine'!$EU$9:$EU$55,MATCH('King Node Model'!$AL$42+5,'Level Engine'!$AA$9:$AA$55,0)),0)=1,'King Node Model'!$AL$42+5,'King Node Model'!$AL$42-5)&amp;" · zomma "&amp;TEXT(INDEX('Level Engine'!$AF$9:$AF$55,MATCH('King Node Model'!$AL$42,'Level Engine'!$AA$9:$AA$55,0))/1000000,"+0.0")&amp;"M ✓"&amp;CHAR(10)&amp;"• Sandwich support: no-reversal warning doesn't apply"&amp;IF(IFERROR(INDEX('Level Engine'!$MB$9:$MB$55,MATCH('King Node Model'!$AL$42,'Level Engine'!$AA$9:$AA$55,0)),0)=1,CHAR(10)&amp;"• HELD — SAND✓ lock: keeps its row until a 3-pt break or +5 pts"&amp;IF(IFERROR(INDEX('Level Engine'!$JV$9:$JV$55,MATCH('King Node Model'!$AL$42,'Level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Model'!$AL$42,'Level Engine'!$AA$9:$AA$55,0)),""))),CHAR(10)&amp;"• Zomma ACCEL building (held through the lock)",""),""),""),"")</f>
        <v/>
      </c>
      <c r="DQ45" t="str">
        <f>IF($DN45="",$DP45,IF($DP45="",$DN45,$DN45&amp;CHAR(10)&amp;$DP45))</f>
        <v/>
      </c>
      <c r="DR45" t="str">
        <f>IF(IFERROR(INDEX('Level Engine'!$MS$9:$MS$55,MATCH('King Node Model'!$AL$42,'Level Engine'!$AA$9:$AA$55,0)),"")="",IFERROR(IF(INDEX('Level Engine'!$LS$9:$LS$55,MATCH('King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Engine'!$AA$9:$AA$55,0))/1000000,"+0.00;-0.00")&amp;"M — needs ≥ "&amp;TEXT('Level Engine'!$BG$144/1000000,"0.0")&amp;"M, not a SAND✓ level",IF(AND(INDEX('Level Engine'!$LR$9:$LR$55,MATCH('King Node Model'!$AL$42,'Level Engine'!$AA$9:$AA$55,0))=1,INDEX('Level Engine'!$HP$9:$HP$55,MATCH('King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Engine'!$AA$9:$AA$55,0))/1000000,"+0.0;-0.0")&amp;"M — SAND✓ but overridden by the warnings listed above","")),""),IF((IFERROR(IF(INDEX('Level Engine'!$LS$9:$LS$55,MATCH('King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Engine'!$AA$9:$AA$55,0))/1000000,"+0.00;-0.00")&amp;"M — needs ≥ "&amp;TEXT('Level Engine'!$BG$144/1000000,"0.0")&amp;"M, not a SAND✓ level",IF(AND(INDEX('Level Engine'!$LR$9:$LR$55,MATCH('King Node Model'!$AL$42,'Level Engine'!$AA$9:$AA$55,0))=1,INDEX('Level Engine'!$HP$9:$HP$55,MATCH('King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Engine'!$AA$9:$AA$55,0))/1000000,"+0.0;-0.0")&amp;"M — SAND✓ but overridden by the warnings listed above","")),""))="",IFERROR(INDEX('Level Engine'!$MS$9:$MS$55,MATCH('King Node Model'!$AL$42,'Level Engine'!$AA$9:$AA$55,0)),""),(IFERROR(IF(INDEX('Level Engine'!$LS$9:$LS$55,MATCH('King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Engine'!$AA$9:$AA$55,0))/1000000,"+0.00;-0.00")&amp;"M — needs ≥ "&amp;TEXT('Level Engine'!$BG$144/1000000,"0.0")&amp;"M, not a SAND✓ level",IF(AND(INDEX('Level Engine'!$LR$9:$LR$55,MATCH('King Node Model'!$AL$42,'Level Engine'!$AA$9:$AA$55,0))=1,INDEX('Level Engine'!$HP$9:$HP$55,MATCH('King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Engine'!$AA$9:$AA$55,0))/1000000,"+0.0;-0.0")&amp;"M — SAND✓ but overridden by the warnings listed above","")),""))&amp;CHAR(10)&amp;IFERROR(INDEX('Level Engine'!$MS$9:$MS$55,MATCH('King Node Model'!$AL$42,'Level Engine'!$AA$9:$AA$55,0)),"")))</f>
        <v/>
      </c>
      <c r="DS45" t="str">
        <f>IF($DQ45="",$DO45,IF(LEFT($DO45,4)="SAFE",LEFT($DO45,FIND(CHAR(10),$DO45&amp;CHAR(10))-1)&amp;CHAR(10)&amp;$DQ45&amp;MID($DO45,FIND(CHAR(10),$DO45&amp;CHAR(10)),9999),IF(AND($DO45="",$DP45&lt;&gt;""),"SAFE·Level safe"&amp;CHAR(10)&amp;$DQ45,$DQ45&amp;CHAR(10)&amp;$DO45)))</f>
        <v>UNSAFE·Level at risk
• Vanna BUY on arrival — dealers buy into this ceiling as IV falls</v>
      </c>
      <c r="DU45" t="str">
        <f>IF(AND(N(IFERROR(INDEX('Level Engine'!$EX$9:$EX$55,MATCH('King Node Model'!$AL$42,'Level Engine'!$AA$9:$AA$55,0)),0))&lt;&gt;1,$E45&lt;&gt;"",NOT(AND('King Node Model'!$A$8&lt;&gt;"Neg",N('Level Engine'!$BG$72)&lt;&gt;1)),AND(OR(AND(ISNUMBER(IFERROR(INDEX('Level Engine'!$AC$9:$AC$55,MATCH('King Node Model'!$AL$42,'Level Engine'!$AA$9:$AA$55,0)),"")),IFERROR(INDEX('Level Engine'!$AC$9:$AC$55,MATCH('King Node Model'!$AL$42,'Level Engine'!$AA$9:$AA$55,0)),"")=MAX('Level Engine'!$AC$9:$AC$55)),AND(ISNUMBER(IFERROR(INDEX('Level Engine'!$AB$9:$AB$55,MATCH('King Node Model'!$AL$42,'Level Engine'!$AA$9:$AA$55,0)),"")),IFERROR(INDEX('Level Engine'!$AB$9:$AB$55,MATCH('King Node Model'!$AL$42,'Level Engine'!$AA$9:$AA$55,0)),"")=MIN('Level Engine'!$AB$9:$AB$55))),NOT(AND(AND(ISNUMBER(IFERROR(INDEX('Level Engine'!$AC$9:$AC$55,MATCH('King Node Model'!$AL$42,'Level Engine'!$AA$9:$AA$55,0)),"")),IFERROR(INDEX('Level Engine'!$AC$9:$AC$55,MATCH('King Node Model'!$AL$42,'Level Engine'!$AA$9:$AA$55,0)),"")=MAX('Level Engine'!$AC$9:$AC$55)),AND(ISNUMBER(IFERROR(INDEX('Level Engine'!$AB$9:$AB$55,MATCH('King Node Model'!$AL$42,'Level Engine'!$AA$9:$AA$55,0)),"")),IFERROR(INDEX('Level Engine'!$AB$9:$AB$55,MATCH('King Node Model'!$AL$42,'Level Engine'!$AA$9:$AA$55,0)),"")=MIN('Level Engine'!$AB$9:$AB$55)))),IFERROR(INDEX('Level Engine'!$AG$9:$AG$55,MATCH('King Node Model'!$AL$42,'Level Engine'!$AA$9:$AA$55,0)),"")="S",IFERROR(INDEX('Level Engine'!$AB$9:$AB$55,MATCH('King Node Model'!$AL$42,'Level Engine'!$AA$9:$AA$55,0)),0)&lt;0,NOT(OR('King Node Model'!$AL$42=$AN$16,'King Node Model'!$AL$42=$AN$17,'King Node Model'!$AL$42=$AN$18))),AND(OR('King Node Model'!$A$8="Neg",N('Level Engine'!$BG$72)=1),ISNUMBER(IFERROR(INDEX('Level Engine'!$AB$9:$AB$55,MATCH('King Node Model'!$AL$42,'Level Engine'!$AA$9:$AA$55,0)),"")),IFERROR(INDEX('Level Engine'!$AB$9:$AB$55,MATCH('King Node Model'!$AL$42,'Level Engine'!$AA$9:$AA$55,0)),"")=MIN('Level Engine'!$AB$9:$AB$55),'King Node Model'!$AL$42='Level Engine'!$BG$105)),$DG45,$DG45)</f>
      </c>
      <c r="DV45" t="str">
        <f>IF(IFERROR(INDEX('Level Engine'!$MU$9:$MU$55,MATCH('King Node Model'!$AL$42,'Level Engine'!$AA$9:$AA$55,0)),"")="",$DU45,IFERROR(INDEX('Level Engine'!$MU$9:$MU$55,MATCH('King Node Model'!$AL$42,'Level Engine'!$AA$9:$AA$55,0)),"")&amp;IF($DU45="","",CHAR(10)&amp;$DU45))</f>
      </c>
      <c r="DX45" t="str">
        <f>IF(IFERROR(INDEX('Level Engine'!$MZ$9:$MZ$55,MATCH('King Node Model'!$AL$42,'Level Engine'!$AA$9:$AA$55,0)),"")="",$DH45,IF(OR($DH45="",LEFT($DH45,4)="SAFE"),"UNSAFE·Level at risk"&amp;CHAR(10)&amp;IFERROR(INDEX('Level Engine'!$MZ$9:$MZ$55,MATCH('King Node Model'!$AL$42,'Level Engine'!$AA$9:$AA$55,0)),""),IF(LEFT($DH45,6)="UNSAFE","UNSAFE·Level at risk"&amp;CHAR(10)&amp;IFERROR(INDEX('Level Engine'!$MZ$9:$MZ$55,MATCH('King Node Model'!$AL$42,'Level Engine'!$AA$9:$AA$55,0)),"")&amp;MID($DH45,FIND(CHAR(10),$DH45&amp;CHAR(10)),9999),IFERROR(INDEX('Level Engine'!$MZ$9:$MZ$55,MATCH('King Node Model'!$AL$42,'Level Engine'!$AA$9:$AA$55,0)),"")&amp;CHAR(10)&amp;$DH45)))</f>
      </c>
      <c r="DZ45">
        <f>IF(ISNUMBER($AL45),IF(IFERROR(INDEX('Level Engine'!$NJ$9:$NJ$55,MATCH($AL45,'Level Engine'!$AA$9:$AA$55,0)),0)=1,1,0),0)</f>
      </c>
      <c r="EA45">
        <f>IF($E45="",0,IF(IFERROR(INDEX('Level Engine'!$NJ$9:$NJ$55,MATCH('King Node Model'!$AL$42,'Level Engine'!$AA$9:$AA$55,0)),0)=1,1,0))</f>
      </c>
    </row>
    <row r="46" spans="1:123" ht="120" customHeight="1" x14ac:dyDescent="0.25">
      <c r="A46" s="7" t="str">
        <f t="shared" si="3"/>
        <v/>
      </c>
      <c r="B46" s="8" t="str">
        <f>TEXT(IF(IF('Level Engine'!$GJ$4=1,$AL46='Level Engine'!$GJ$3,AND($AL46-$AM$2&gt;-2.5,$AL46-$AM$2&lt;=2.5)),$AM$2,$AL46),"0")&amp;IF($AL46=$AN$1," ★","")&amp;IF($AL46=$AN$2," ★","")&amp;IF($AL46=$AN$3," ◆","")&amp;IF(AND(ISNUMBER($AN$4),$AL46=$AN$4)," Ⓕ","")&amp;IF(OR(AND(ISNUMBER('Level Engine'!$BG$87),$AL46='Level Engine'!$BG$87),AND(ISNUMBER('Level Engine'!$BG$105),$AL46='Level Engine'!$BG$105))," ζ","")&amp;IF(AND(ISNUMBER($AN$35),$AL46=$AN$35)," ⓏⒼ","")&amp;IF(OR($AL46='Level Engine'!$CP$4,$AL46='Level Engine'!$CP$5,$AL46='Level Engine'!$CP$6,$AL46='Level Engine'!$CP$7)," ☄","")&amp;IF(OR($AL46=$AN$5,$AL46=$AN$8)," ║1","")&amp;IF(OR($AL46=$AN$6,$AL46=$AN$10)," ║2","")&amp;IF(OR($AL46=$AN$7,$AL46=$AN$11)," ║3","")&amp;IF(OR($AL46=$AN$13,$AL46=$AN$16)," ▣1","")&amp;IF(OR($AL46=$AN$14,$AL46=$AN$17)," ▣2","")&amp;IF(OR($AL46=$AN$15,$AL46=$AN$18)," ▣3","")&amp;IF(AND(NOT(OR(AND(ISNUMBER(SEARCH("chop edge",$E$45)),IFERROR(ABS($AL46-'King Node Model'!$AL$42)&lt;=5,FALSE),NOT(ISNUMBER(SEARCH("UNSAFE",$L$45)))),AND(ISNUMBER(SEARCH("chop edge",$E$46)),IFERROR(ABS($AL46-'King Node Model'!$AL$43)&lt;=5,FALSE),NOT(ISNUMBER(SEARCH("UNSAFE",$L$46)))),AND(ISNUMBER(SEARCH("chop edge",$E$52)),IFERROR(ABS($AL46-'King Node Model'!$AL$49)&lt;=5,FALSE),NOT(ISNUMBER(SEARCH("UNSAFE",$L$52)))),AND(ISNUMBER(SEARCH("chop edge",$E$53)),IFERROR(ABS($AL46-'King Node Model'!$AL$50)&lt;=5,FALSE),NOT(ISNUMBER(SEARCH("UNSAFE",$L$53)))))),OR(AND(IFERROR(INDEX('Level Engine'!$IB$9:$IB$55,MATCH('King Node Model'!$AL$49,'Level Engine'!$AA$9:$AA$55,0)),0)&lt;&gt;1,$AL46=IFERROR(INDEX('Level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Engine'!$AA$9:$AA$55,0)),0)&lt;&gt;1,$AL46=IFERROR(INDEX('Level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edge",$E$45)),IFERROR(ABS($AL46-'King Node Model'!$AL$42)&lt;=5,FALSE),NOT(ISNUMBER(SEARCH("UNSAFE",$L$45)))),AND(ISNUMBER(SEARCH("chop edge",$E$46)),IFERROR(ABS($AL46-'King Node Model'!$AL$43)&lt;=5,FALSE),NOT(ISNUMBER(SEARCH("UNSAFE",$L$46)))),AND(ISNUMBER(SEARCH("chop edge",$E$52)),IFERROR(ABS($AL46-'King Node Model'!$AL$49)&lt;=5,FALSE),NOT(ISNUMBER(SEARCH("UNSAFE",$L$52)))),AND(ISNUMBER(SEARCH("chop edge",$E$53)),IFERROR(ABS($AL46-'King Node Model'!$AL$50)&lt;=5,FALSE),NOT(ISNUMBER(SEARCH("UNSAFE",$L$53)))))),OR(AND(IFERROR(INDEX('Level Engine'!$IB$9:$IB$55,MATCH('King Node Model'!$AL$42,'Level Engine'!$AA$9:$AA$55,0)),0)&lt;&gt;1,$AL46=IFERROR(INDEX('Level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Engine'!$AA$9:$AA$55,0)),0)&lt;&gt;1,$AL46=IFERROR(INDEX('Level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ⒷⓁ"),"")&amp;IF(OR(AND($AL46&gt;='King Node Model'!$AM$17,$AL46&lt;='King Node Model'!$AN$17,$AP$45="RASP"),AND($AL46&gt;='King Node Model'!$AM$18,$AL46&lt;='King Node Model'!$AN$18,$AP$46="RASP"),AND($AL46&gt;='King Node Model'!$AM$19,$AL46&lt;='King Node Model'!$AN$19,$AP$47="RASP"),AND($AL46&gt;='King Node Model'!$AM$20,$AL46&lt;='King Node Model'!$AN$20,$AP$52="RASP"),AND($AL46&gt;='King Node Model'!$AM$21,$AL46&lt;='King Node Model'!$AN$21,$AP$53="RASP"),AND($AL46&gt;='King Node Model'!$AM$22,$AL46&lt;='King Node Model'!$AN$22,$AP$54="RASP")),"","")&amp;IF(IF('Level Engine'!$GJ$4=1,$AL46='Level Engine'!$GJ$3,AND($AL46-$AM$2&gt;-2.5,$AL46-$AM$2&lt;=2.5))," ◄","")&amp;IF(IFERROR(INDEX('Level Engine'!$GV$9:$GV$55,MATCH($AL46,'Level Engine'!$AA$9:$AA$55,0)),0)=1," Ⓥ"&amp;IF(IFERROR(INDEX('Level Engine'!$ET$9:$ET$55,MATCH($AL46,'Level Engine'!$AA$9:$AA$55,0)),0)=1,"+",""),"")&amp;IF(OR(AND($AL46=$AN$38,IFERROR(INDEX('Level Engine'!$AN$9:$AN$55,MATCH($AL46,'Level Engine'!$AA$9:$AA$55,0)),0)&lt;&gt;1),$AL46=$AN$39)," ⊙","")&amp;IF(AND(OR('King Node Model'!$A$8="Neg",N('Level Engine'!$BG$72)=1),ABS(MIN($AM$3:$AM$64))&gt;MAX($AM$3:$AM$64),$AN$2&lt;$AM$2,$AL46&lt;$AM$2,ABS($AL46-$AN$2)&lt;=5,IFERROR(VALUE(MID('King Node Model'!$K$26,FIND(":",'King Node Model'!$K$26)-2,2)),0)&gt;=19,IFERROR(INDEX('Level Engine'!$EJ$9:$EJ$55,MATCH($AL46,'Level Engine'!$AA$9:$AA$55,0)),0)=0,$AN$3&gt;$AM$2)," ⟲rev","")&amp;IF($AL46='King Node Model'!$F$24," ⟂","")&amp;$DJ46&amp;IF(IFERROR(INDEX('Level Engine'!$EN$9:$EN$55,MATCH($AL46,'Level Engine'!$AA$9:$AA$55,0)),0)=1," Ⓟ"&amp;IF(AND(OR('King Node Model'!$A$8="Neg",N('Level Engine'!$BG$72)=1),IFERROR(INDEX('Level Engine'!$AN$9:$AN$55,MATCH($AL46,'Level Engine'!$AA$9:$AA$55,0)),0)&lt;&gt;1)," NO-REV",""),"")&amp;IF(AND(ISNUMBER($AL46),OR(AND(ISNUMBER(SEARCH("chop edge",$E$45)),$AL46='King Node Model'!$AL$42),AND(ISNUMBER(SEARCH("chop edge",$E$46)),$AL46='King Node Model'!$AL$43),AND(ISNUMBER(SEARCH("chop edge",$E$52)),$AL46='King Node Model'!$AL$49),AND(ISNUMBER(SEARCH("chop edge",$E$53)),$AL46='King Node Model'!$AL$50)))," ⒸⒺ","")&amp;IF(AND('Level Engine'!$GJ$4=1,OR($AL46='Level Engine'!$GJ$1,$AL46='Level Engine'!$GJ$2)),"","")&amp;IF(ABS(N(IFERROR(INDEX('Level Engine'!$AE$9:$AE$55,MATCH($AL46,'Level Engine'!$AA$9:$AA$55,0)),0)))&gt;='Level Engine'!$BG$85,IF(N(IFERROR(INDEX('Level Engine'!$AE$9:$AE$55,MATCH($AL46,'Level Engine'!$AA$9:$AA$55,0)),0))&gt;0," Δ+"," Δ−"),"")&amp;IFERROR(IF(AND(ISNUMBER(MATCH($AL46,'Level Engine'!$AA$9:$AA$55,0)),ABS(N(IFERROR(INDEX('Level Engine'!$AE$9:$AE$55,MATCH($AL46,'Level Engine'!$AA$9:$AA$55,0)),0)))&lt;'Level Engine'!$BG$85,ABS(N(IFERROR(INDEX('Level Engine'!$AE$9:$AE$55,MATCH($AL46,'Level Engine'!$AA$9:$AA$55,0)),0)))&lt;=ABS(N(IFERROR(INDEX('Level Engine'!$AE$9:$AE$55,MATCH($AL46+5,'Level Engine'!$AA$9:$AA$55,0)),0))),ABS(N(IFERROR(INDEX('Level Engine'!$AE$9:$AE$55,MATCH($AL46,'Level Engine'!$AA$9:$AA$55,0)),0)))&lt;=ABS(N(IFERROR(INDEX('Level Engine'!$AE$9:$AE$55,MATCH($AL46-5,'Level Engine'!$AA$9:$AA$55,0)),0))),OR(AND(ABS(N(IFERROR(INDEX('Level Engine'!$AE$9:$AE$55,MATCH($AL46+5,'Level Engine'!$AA$9:$AA$55,0)),0)))&gt;='Level Engine'!$BG$85,ABS(N(IFERROR(INDEX('Level Engine'!$AE$9:$AE$55,MATCH($AL46,'Level Engine'!$AA$9:$AA$55,0)),0)))&lt;='Level Engine'!$BG$88*ABS(N(IFERROR(INDEX('Level Engine'!$AE$9:$AE$55,MATCH($AL46+5,'Level Engine'!$AA$9:$AA$55,0)),0)))),AND(ABS(N(IFERROR(INDEX('Level Engine'!$AE$9:$AE$55,MATCH($AL46-5,'Level Engine'!$AA$9:$AA$55,0)),0)))&gt;='Level Engine'!$BG$85,ABS(N(IFERROR(INDEX('Level Engine'!$AE$9:$AE$55,MATCH($AL46,'Level Engine'!$AA$9:$AA$55,0)),0)))&lt;='Level Engine'!$BG$88*ABS(N(IFERROR(INDEX('Level Engine'!$AE$9:$AE$55,MATCH($AL46-5,'Level Engine'!$AA$9:$AA$55,0)),0)))))),IF(AND('King Node Model'!$A$8="Pos",N('Level Engine'!$BG$72)&lt;&gt;1),""," ∅"),""),"")&amp;IF(IFERROR(INDEX('Level Engine'!$JD$9:$JD$55,MATCH($AL46,'Level Engine'!$AA$9:$AA$55,0)),"")="P"," P-OI",IF(IFERROR(INDEX('Level Engine'!$JD$9:$JD$55,MATCH($AL46,'Level Engine'!$AA$9:$AA$55,0)),"")="C"," C-OI",""))</f>
        <v>7670</v>
      </c>
      <c r="C46" s="9" t="str">
        <f t="shared" si="0"/>
        <v/>
      </c>
      <c r="D46" t="str">
        <f>IF(NOT(ISNUMBER($AL46)),"",IF(IFERROR(INDEX('Level Engine'!$FS$9:$FS$55,MATCH($AL46,'Level Engine'!$AA$9:$AA$55,0)),0)=1,"⊙",""))</f>
        <v/>
      </c>
      <c r="E46" s="54" t="str">
        <f>(((IF(AND(AND(ISNUMBER('King Node Model'!$AL$42),ISNUMBER('King Node Model'!$AL$43),IFERROR(ABS('King Node Model'!$AL$42-'King Node Model'!$AL$43)&lt;=5,FALSE()),OR(AND(ISNUMBER(SEARCH("box",'King Node Model'!S42)),ISNUMBER(SEARCH("wall",'King Node Model'!S43))),AND(ISNUMBER(SEARCH("wall",'King Node Model'!S42)),ISNUMBER(SEARCH("box",'King Node Model'!S43))))),NOT((IFERROR(MATCH('King Node Model'!$AL$42,'Level Engine'!$W$9:$W$14,0),99)&lt;=IFERROR(MATCH('King Node Model'!$AL$43,'Level Engine'!$W$9:$W$14,0),99)))),TEXT(MIN('King Node Model'!$AL$42,'King Node Model'!$AL$43),"0")&amp;"-"&amp;TEXT(MAX('King Node Model'!$AL$42,'King Node Model'!$AL$43),"0")&amp;" (box + wall @ "&amp;TEXT(IF(ISNUMBER(SEARCH("wall",'King Node Model'!S42)),'King Node Model'!$AL$42,'King Node Model'!$AL$43),"0")&amp;")"&amp;IF(MIN(IFERROR(MATCH('King Node Model'!$AL$42,'Level Engine'!$W$9:$W$14,0),99),IFERROR(MATCH('King Node Model'!$AL$43,'Level Engine'!$W$9:$W$14,0),99))&lt;99," ·r"&amp;MIN(IFERROR(MATCH('King Node Model'!$AL$42,'Level Engine'!$W$9:$W$14,0),99),IFERROR(MATCH('King Node Model'!$AL$43,'Level Engine'!$W$9:$W$14,0),99)),""),IF(AND(ISNUMBER('King Node Model'!$AL$42),ISNUMBER('King Node Model'!$AL$43),IFERROR(ABS('King Node Model'!$AL$42-'King Node Model'!$AL$43)&lt;=5,FALSE()),OR(AND(ISNUMBER(SEARCH("box",'King Node Model'!S42)),ISNUMBER(SEARCH("wall",'King Node Model'!S43))),AND(ISNUMBER(SEARCH("wall",'King Node Model'!S42)),ISNUMBER(SEARCH("box",'King Node Model'!S43))))),"",'King Node Model'!S43&amp;IFERROR(" ·r"&amp;MATCH('King Node Model'!$AL$43,'Level Engine'!$W$9:$W$14,0),""))))&amp;$CM$46)&amp;IFERROR(IF(AND(ISNUMBER('King Node Model'!$AL$43),AND(ISNUMBER(MATCH('King Node Model'!$AL$43+5,'Level Engine'!$AA$9:$AA$55,0)),ABS(N(IFERROR(INDEX('Level Engine'!$AE$9:$AE$55,MATCH('King Node Model'!$AL$43+5,'Level Engine'!$AA$9:$AA$55,0)),0)))&lt;'Level Engine'!$BG$85,ABS(N(IFERROR(INDEX('Level Engine'!$AE$9:$AE$55,MATCH('King Node Model'!$AL$43+5,'Level Engine'!$AA$9:$AA$55,0)),0)))&lt;=ABS(N(IFERROR(INDEX('Level Engine'!$AE$9:$AE$55,MATCH(('King Node Model'!$AL$43+5)+5,'Level Engine'!$AA$9:$AA$55,0)),0))),ABS(N(IFERROR(INDEX('Level Engine'!$AE$9:$AE$55,MATCH('King Node Model'!$AL$43+5,'Level Engine'!$AA$9:$AA$55,0)),0)))&lt;=ABS(N(IFERROR(INDEX('Level Engine'!$AE$9:$AE$55,MATCH(('King Node Model'!$AL$43+5)-5,'Level Engine'!$AA$9:$AA$55,0)),0))),OR(AND(ABS(N(IFERROR(INDEX('Level Engine'!$AE$9:$AE$55,MATCH(('King Node Model'!$AL$43+5)+5,'Level Engine'!$AA$9:$AA$55,0)),0)))&gt;='Level Engine'!$BG$85,ABS(N(IFERROR(INDEX('Level Engine'!$AE$9:$AE$55,MATCH('King Node Model'!$AL$43+5,'Level Engine'!$AA$9:$AA$55,0)),0)))&lt;='Level Engine'!$BG$88*ABS(N(IFERROR(INDEX('Level Engine'!$AE$9:$AE$55,MATCH(('King Node Model'!$AL$43+5)+5,'Level Engine'!$AA$9:$AA$55,0)),0)))),AND(ABS(N(IFERROR(INDEX('Level Engine'!$AE$9:$AE$55,MATCH(('King Node Model'!$AL$43+5)-5,'Level Engine'!$AA$9:$AA$55,0)),0)))&gt;='Level Engine'!$BG$85,ABS(N(IFERROR(INDEX('Level Engine'!$AE$9:$AE$55,MATCH('King Node Model'!$AL$43+5,'Level Engine'!$AA$9:$AA$55,0)),0)))&lt;='Level Engine'!$BG$88*ABS(N(IFERROR(INDEX('Level Engine'!$AE$9:$AE$55,MATCH(('King Node Model'!$AL$43+5)-5,'Level Engine'!$AA$9:$AA$55,0)),0))))))),IF(AND('King Node Model'!$A$8="Pos",N('Level Engine'!$BG$72)&lt;&gt;1),""," → ∅"&amp;TEXT('King Node Model'!$AL$43+5,"0")),""),""))&amp;IF(IFERROR(AND('King Node Model'!$A$8="Pos",ISNUMBER('Level Engine'!$BG$87),ISNUMBER('King Node Model'!$AL$43),'King Node Model'!$AL$43='Level Engine'!$BG$87),FALSE)," ζ","")</f>
        <v>7805 ·r2  [Cluster]</v>
      </c>
      <c r="F46" s="55">
        <f>IF($E46="","",'King Node Model'!T43)</f>
        <v>29.609999999999673</v>
      </c>
      <c r="G46" s="512">
        <f>IF($E46="","",'King Node Model'!U43)</f>
        <v>308525</v>
      </c>
      <c r="H46" s="56" t="str">
        <f>IF($E46="","",'King Node Model'!V43)</f>
        <v>Gxp Gfx oEdge</v>
      </c>
      <c r="I46" s="57">
        <f>IF($E46="","",'King Node Model'!W43)</f>
        <v>3</v>
      </c>
      <c r="J46" s="56" t="str">
        <f>IF($E46="","",IFERROR(IF(OR(INDEX('Level Engine'!$IY$9:$IY$55,MATCH(--LEFT($E46,4),'Level Engine'!$AA$9:$AA$55,0))="SELL",INDEX('Level Engine'!$IY$9:$IY$55,MATCH(--LEFT($E46,4),'Level Engine'!$AA$9:$AA$55,0))="BUY"),IF(AND(N('Level Engine'!$BG$78)=1,IF('Level Engine'!$BG$80&lt;&gt;"",UPPER('Level Engine'!$BG$80),'Level Engine'!$D$5)="UP"),"TURNING",INDEX('Level Engine'!$IY$9:$IY$55,MATCH(--LEFT($E46,4),'Level Engine'!$AA$9:$AA$55,0)))&amp;" "&amp;IF(ABS(INDEX('Level Engine'!$AD$9:$AD$55,MATCH(--LEFT($E46,4),'Level Engine'!$AA$9:$AA$55,0)))&gt;=1000000,TEXT(INDEX('Level Engine'!$AD$9:$AD$55,MATCH(--LEFT($E46,4),'Level Engine'!$AA$9:$AA$55,0))/1000000,"+0.00;-0.00")&amp;"M",TEXT(INDEX('Level Engine'!$AD$9:$AD$55,MATCH(--LEFT($E46,4),'Level Engine'!$AA$9:$AA$55,0))/1000,"+0;-0")&amp;"K"),"—")&amp;IF(OR(INDEX('Level Engine'!$KF$9:$KF$55,MATCH(--LEFT($E46,4),'Level Engine'!$AA$9:$AA$55,0))="BUY",INDEX('Level Engine'!$KF$9:$KF$55,MATCH(--LEFT($E46,4),'Level Engine'!$AA$9:$AA$55,0))="SELL")," → "&amp;INDEX('Level Engine'!$KF$9:$KF$55,MATCH(--LEFT($E46,4),'Level Engine'!$AA$9:$AA$55,0))&amp;IF(ABS(N(INDEX('Level Engine'!$AD$9:$AD$55,MATCH(--LEFT($E46,4),'Level Engine'!$AA$9:$AA$55,0))))&gt;='Level Engine'!$BG$94,IF(OR(AND(INDEX('Level Engine'!$AG$9:$AG$55,MATCH(--LEFT($E46,4),'Level Engine'!$AA$9:$AA$55,0))="R",INDEX('Level Engine'!$KF$9:$KF$55,MATCH(--LEFT($E46,4),'Level Engine'!$AA$9:$AA$55,0))="SELL"),AND(INDEX('Level Engine'!$AG$9:$AG$55,MATCH(--LEFT($E46,4),'Level Engine'!$AA$9:$AA$55,0))="S",INDEX('Level Engine'!$KF$9:$KF$55,MATCH(--LEFT($E46,4),'Level Engine'!$AA$9:$AA$55,0))="BUY"))," ✓"," ✗"),""),""),"—"))</f>
        <v>SELL +796K → BUY ✗</v>
      </c>
      <c r="K46" s="56" t="str">
        <f>(IF(AND($E46&lt;&gt;"",IFERROR(AND('King Node Model'!$A$8="Pos",OR(ISNUMBER('Level Engine'!$BG$87),ISNUMBER('Level Engine'!$BG$105)),ISNUMBER('King Node Model'!$AL$43),OR('King Node Model'!$AL$43='Level Engine'!$BG$87,'King Node Model'!$AL$43='Level Engine'!$BG$105)),FALSE)),IF('King Node Model'!$AL$43='Level Engine'!$BG$105,"ζ MAX ZOMMA ","ζ MIN ZOMMA ")&amp;TEXT(IFERROR(INDEX('Level Engine'!$AF$9:$AF$55,MATCH('King Node Model'!$AL$43,'Level Engine'!$AA$9:$AA$55,0)),0)/1000000,"+0.0;-0.0")&amp;"M"&amp;CHAR(10),"")&amp;(IF(AND($E46&lt;&gt;"",IFERROR(INDEX('Level Engine'!$JS$9:$JS$55,MATCH('King Node Model'!$AL$43,'Level Engine'!$AA$9:$AA$55,0)),0)=1),IF(IFERROR(INDEX('Level Engine'!$AF$9:$AF$55,MATCH('King Node Model'!$AL$43,'Level Engine'!$AA$9:$AA$55,0)),0)&lt;0,"IV FALL","IV RISE")&amp;" REINFORCED · largest zomma on board"&amp;CHAR(10),""))&amp;(IF(OR($E46="",NOT(ISNUMBER('King Node Model'!$AL$43))),"",TEXT('King Node Model'!$AL$43,"0")&amp;" "&amp;(IF($E46="","",IF(NOT(ISNUMBER('King Node Model'!$AL$43)),"",SUBSTITUTE(IFERROR(INDEX('Level Engine'!$EQ$9:$EQ$55,MATCH('King Node Model'!$AL$43,'Level Engine'!$AA$9:$AA$55,0)),"")," (sub-threshold)","")&amp;IF(COUNTIF('Level Engine'!$ES$9:$ES$55,"&gt;"&amp;IFERROR(INDEX('Level Engine'!$ES$9:$ES$55,MATCH('King Node Model'!$AL$43,'Level Engine'!$AA$9:$AA$55,0)),0))+1&lt;=8," ("&amp;IF(IFERROR(INDEX('Level Engine'!$ES$9:$ES$55,MATCH('King Node Model'!$AL$43,'Level Engine'!$AA$9:$AA$55,0)),0)&gt;='Level Engine'!$S$10,"","sub-threshold, ")&amp;"r"&amp;TEXT(COUNTIF('Level Engine'!$ES$9:$ES$55,"&gt;"&amp;IFERROR(INDEX('Level Engine'!$ES$9:$ES$55,MATCH('King Node Model'!$AL$43,'Level Engine'!$AA$9:$AA$55,0)),0))+1,"0")&amp;")","")&amp;IF(AND(IFERROR(INDEX('Level Engine'!$AT$9:$AT$55,MATCH('King Node Model'!$AL$43,'Level Engine'!$AA$9:$AA$55,0)),'King Node Model'!$AL$43)&lt;&gt;IFERROR(INDEX('Level Engine'!$AU$9:$AU$55,MATCH('King Node Model'!$AL$43,'Level Engine'!$AA$9:$AA$55,0)),'King Node Model'!$AL$43),IF(IF(IFERROR(INDEX('Level Engine'!$KC$9:$KC$55,MATCH('King Node Model'!$AL$43,'Level Engine'!$AA$9:$AA$55,0)),IF('Level Engine'!$BG$80&lt;&gt;"",UPPER('Level Engine'!$BG$80),UPPER('Level Engine'!$D$5)))="UP",SIGN(IFERROR(INDEX('Level Engine'!$AF$9:$AF$55,MATCH('King Node Model'!$AL$43,'Level Engine'!$AA$9:$AA$55,0)),0)),IF(IFERROR(INDEX('Level Engine'!$KC$9:$KC$55,MATCH('King Node Model'!$AL$43,'Level Engine'!$AA$9:$AA$55,0)),IF('Level Engine'!$BG$80&lt;&gt;"",UPPER('Level Engine'!$BG$80),UPPER('Level Engine'!$D$5)))="DOWN",-SIGN(IFERROR(INDEX('Level Engine'!$AF$9:$AF$55,MATCH('King Node Model'!$AL$43,'Level Engine'!$AA$9:$AA$55,0)),0)),0))=1,"firming","thinning")&lt;&gt;IF(IF(IFERROR(INDEX('Level Engine'!$KC$9:$KC$55,MATCH('King Node Model'!$AL$43,'Level Engine'!$AA$9:$AA$55,0)),IF('Level Engine'!$BG$80&lt;&gt;"",UPPER('Level Engine'!$BG$80),UPPER('Level Engine'!$D$5)))="UP",SIGN(IFERROR(INDEX('Level Engine'!$AF$9:$AF$55,MATCH(IF('King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Engine'!$AA$9:$AA$55,0)),0)),IF(IFERROR(INDEX('Level Engine'!$KC$9:$KC$55,MATCH('King Node Model'!$AL$43,'Level Engine'!$AA$9:$AA$55,0)),IF('Level Engine'!$BG$80&lt;&gt;"",UPPER('Level Engine'!$BG$80),UPPER('Level Engine'!$D$5)))="DOWN",-SIGN(IFERROR(INDEX('Level Engine'!$AF$9:$AF$55,MATCH(IF('King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Engine'!$AA$9:$AA$55,0)),0)),0))=1,"firming","thinning"))," / "&amp;TEXT(IF('King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Model'!$AL$43)),"0")&amp;" "&amp;IF(IF(IFERROR(INDEX('Level Engine'!$KC$9:$KC$55,MATCH('King Node Model'!$AL$43,'Level Engine'!$AA$9:$AA$55,0)),IF('Level Engine'!$BG$80&lt;&gt;"",UPPER('Level Engine'!$BG$80),UPPER('Level Engine'!$D$5)))="UP",SIGN(IFERROR(INDEX('Level Engine'!$AF$9:$AF$55,MATCH(IF('King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Engine'!$AA$9:$AA$55,0)),0)),IF(IFERROR(INDEX('Level Engine'!$KC$9:$KC$55,MATCH('King Node Model'!$AL$43,'Level Engine'!$AA$9:$AA$55,0)),IF('Level Engine'!$BG$80&lt;&gt;"",UPPER('Level Engine'!$BG$80),UPPER('Level Engine'!$D$5)))="DOWN",-SIGN(IFERROR(INDEX('Level Engine'!$AF$9:$AF$55,MATCH(IF('King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Engine'!$AA$9:$AA$55,0)),0)),0))=1,"firming","thinning")&amp;" the ceiling ("&amp;IF(IFERROR(INDEX('Level Engine'!$ES$9:$ES$55,MATCH(IF('King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Engine'!$AA$9:$AA$55,0)),0)&gt;='Level Engine'!$S$10,"",IF(IFERROR(INDEX('Level Engine'!$ES$9:$ES$55,MATCH(IF('King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Engine'!$AA$9:$AA$55,0)),0)&gt;='Level Engine'!$S$16,"sub-threshold, ","magnitude weak, "))&amp;"r"&amp;TEXT(COUNTIF('Level Engine'!$ES$9:$ES$55,"&gt;"&amp;IFERROR(INDEX('Level Engine'!$ES$9:$ES$55,MATCH(IF('King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Engine'!$AA$9:$AA$55,0)),0))+1,"0")&amp;")","")))))))&amp;IF(AND($E46&lt;&gt;"",ISNUMBER('King Node Model'!$AL$43)),CHAR(10)&amp;IFERROR(INDEX('Level Engine'!$KE$9:$KE$55,MATCH('King Node Model'!$AL$43,'Level Engine'!$AA$9:$AA$55,0)),""),"")</f>
        <v>7805 thinning the ceiling (magnitude weak)
Now: strengthening the ceiling (IV rising) · if IV falls: weakens the ceiling · expected on arrival: WEAKENS ✗</v>
      </c>
      <c r="L46" s="56" t="str">
        <f>IF($DR46="",$DS46,IF($DS46="",$DR46,$DS46&amp;CHAR(10)&amp;$DR46))</f>
        <v>UNSAFE·Level at risk
• Low IV with ATM IV falling
• Zomma: thinning the ceiling (magnitude weak)
• Vanna BUY on arrival — dealers buy into this ceiling as IV falls</v>
      </c>
      <c r="M46" s="58" t="str">
        <f>IF(AND($E46&lt;&gt;"",ISNUMBER('King Node Model'!$AL$43),IFERROR(INDEX('Level Engine'!$AN$9:$AN$55,MATCH('King Node Model'!$AL$43,'Level Engine'!$AA$9:$AA$55,0)),0)&lt;&gt;1),"NO REV · "&amp;$DI46,IF(AND($E46&lt;&gt;"",IFERROR(INDEX('Level Engine'!$AN$9:$AN$55,MATCH('King Node Model'!$AL$43,'Level Engine'!$AA$9:$AA$55,0)),0)=1,ISNUMBER(SEARCH("⊙ PIN",$DI46))),IF(ISNUMBER(SEARCH("REVERSAL",TRIM(SUBSTITUTE(SUBSTITUTE($DI46,"⚡ ⊙ PIN",""),"⊙ PIN","")))),TRIM(SUBSTITUTE(SUBSTITUTE($DI46,"⚡ ⊙ PIN",""),"⊙ PIN","")),"REVERSAL"&amp;IF(TRIM(SUBSTITUTE(SUBSTITUTE($DI46,"⚡ ⊙ PIN",""),"⊙ PIN",""))&lt;&gt;""," · "&amp;TRIM(SUBSTITUTE(SUBSTITUTE($DI46,"⚡ ⊙ PIN",""),"⊙ PIN","")),"")),IF(AND($E46&lt;&gt;"",IFERROR(INDEX('Level Engine'!$AN$9:$AN$55,MATCH('King Node Model'!$AL$43,'Level Engine'!$AA$9:$AA$55,0)),0)=1,NOT(ISNUMBER(SEARCH("REVERSAL",$DI46)))),"REVERSAL · ","")&amp;$DI46))</f>
        <v>REVERSAL · Cluster</v>
      </c>
      <c r="N46" s="58" t="str">
        <f>IF($E46="","",IF('King Node Model'!$AL$43="","",IF(IFERROR(INDEX('Level Engine'!$AX$9:$AX$55,MATCH('King Node Model'!$AL$43,'Level Engine'!$AA$9:$AA$55,0)),0)=1,"VOMMA CAP","—")))</f>
        <v>—</v>
      </c>
      <c r="O46" s="464" t="str">
        <f>IFERROR(IF(AND($N46="VOMMA CAP",ABS($F46)&lt;=10,ISNUMBER(SEARCH("SHORT trigger",'GEX Depth'!$C$54))),"⚡ SHORT",""),"")</f>
        <v/>
      </c>
      <c r="P46" s="475"/>
      <c r="Q46" s="452" t="str">
        <f t="shared" si="21"/>
        <v xml:space="preserve">7780   78% </v>
      </c>
      <c r="R46" s="447" t="str">
        <f t="shared" si="22"/>
        <v>739 ▉▉</v>
      </c>
      <c r="S46" s="484" t="str">
        <f t="shared" si="23"/>
        <v>▉▉▉▉▉▉ 2.7k</v>
      </c>
      <c r="T46" s="484" t="str">
        <f t="shared" si="24"/>
        <v>g3</v>
      </c>
      <c r="U46" s="453" t="str">
        <f t="shared" si="25"/>
        <v/>
      </c>
      <c r="V46" s="39"/>
      <c r="W46" s="1"/>
      <c r="X46" s="10"/>
      <c r="Y46" s="10"/>
      <c r="Z46" s="1"/>
      <c r="AA46" s="52"/>
      <c r="AB46" s="53"/>
      <c r="AC46" s="49"/>
      <c r="AE46" s="1">
        <f>'King Node Model'!AW43</f>
        <v>0</v>
      </c>
      <c r="AL46" s="1">
        <f>'King Node Model'!A72</f>
        <v>7670</v>
      </c>
      <c r="AM46" s="10">
        <f>'King Node Model'!C72</f>
        <v>-56259</v>
      </c>
      <c r="AO46" s="10">
        <f>'King Node Model'!B72</f>
        <v>69522</v>
      </c>
      <c r="AP46" s="1" t="str">
        <f>IF($E46="","",IF($CJ46=1,"RASP",IF(AND(LEFT($L46,4)="SAFE",NOT(AND($DH46="",$DG46&lt;&gt;""))),"GREEN","")))</f>
        <v>RASP</v>
      </c>
      <c r="AT46" s="1" t="str">
        <f>IF($E46="","",IF(AND(OR(ISNUMBER(SEARCH("SPOT UP / VOL UP —",$E$28)),ISNUMBER(SEARCH("SPOT UP / TERM VOL UP —",$E$28))),NOT(ISNUMBER(SEARCH("SPOT DOWN / TERM VOL UP",$E$28)))),"UNSAFE·Level at risk"&amp;CHAR(10)&amp;"• Spot Up / Vol Up"&amp;CHAR(10)&amp;"• Rally on a front-end vol bid, not a calm advance",""))</f>
        <v/>
      </c>
      <c r="AU46" s="56" t="str">
        <f>IF($E46="","",IF(AND(SUM('King Node Model'!$C$29:$C$75)&gt;0,OR(ISNUMBER(SEARCH("PIN",'King Node Model'!Y43)),AND(ISNUMBER('Level Engine'!$BG$28),ISNUMBER(IFERROR(INDEX('Level Engine'!$AT$9:$AT$55,MATCH('King Node Model'!$AL$43,'Level Engine'!$AA$9:$AA$55,0)),"")),ISNUMBER(IFERROR(INDEX('Level Engine'!$AU$9:$AU$55,MATCH('King Node Model'!$AL$43,'Level Engine'!$AA$9:$AA$55,0)),"")),IFERROR(INDEX('Level Engine'!$AT$9:$AT$55,MATCH('King Node Model'!$AL$43,'Level Engine'!$AA$9:$AA$55,0)),"")&lt;&gt;IFERROR(INDEX('Level Engine'!$AU$9:$AU$55,MATCH('King Node Model'!$AL$43,'Level Engine'!$AA$9:$AA$55,0)),""),'Level Engine'!$BG$28&gt;=IFERROR(INDEX('Level Engine'!$AT$9:$AT$55,MATCH('King Node Model'!$AL$43,'Level Engine'!$AA$9:$AA$55,0)),""),'Level Engine'!$BG$28&lt;=IFERROR(INDEX('Level Engine'!$AU$9:$AU$55,MATCH('King Node Model'!$AL$43,'Level Engine'!$AA$9:$AA$55,0)),""))),OR(ISNUMBER(SEARCH("Charm buys",$F$17)),ISNUMBER(SEARCH("pin migrates higher",$F$17))),OR(ISNUMBER(SEARCH("Melt Up",$F$10)),ISNUMBER(SEARCH("Long Gamma Pin",$F$10))),OR(ISNUMBER(SEARCH("WEAKENING",$K46)),ISNUMBER(SEARCH("Pos gamma ↓",$K46)),ISNUMBER(SEARCH("thinning the ceiling",$K46))),IFERROR(ABS($F46)&lt;=25,FALSE())),"UNSAFE·Level at risk"&amp;CHAR(10)&amp;"• Charm · PIN MIGRATION ↑",IF(AND(ISNUMBER(SEARCH("5/5",$E$29)),OR(ISNUMBER(SEARCH("WEAKENING",$K46)),ISNUMBER(SEARCH("Pos gamma ↓",$K46)),ISNUMBER(SEARCH("thinning the ceiling",$K46)))),"UNSAFE·Level at risk"&amp;CHAR(10)&amp;"• SQUEEZE",IF(AND(NOT(OR('King Node Model'!$A$8="Neg",N('Level Engine'!$BG$72)=1)),ISNUMBER(SEARCH("Melt Up",$F$10)),ISNUMBER(SEARCH("Charm IS the melt-up",$F$17)),ISNUMBER(SEARCH("PIN",$M46))),"UNSAFE·Level at risk"&amp;CHAR(10)&amp;"• Charm",IF(NOT(OR('King Node Model'!$A$8="Neg",N('Level Engine'!$BG$72)=1)),"",IF(AND(SUMPRODUCT((ABS('Level Engine'!$AF$9:$AF$55)&lt;=ABS(IFERROR(INDEX('Level Engine'!$AF$9:$AF$55,MATCH('King Node Model'!$AL43,'Level Engine'!$AA$9:$AA$55,0)),0)))*1)/COUNT('Level Engine'!$AF$9:$AF$55)&gt;=0.66,OR(ISNUMBER(SEARCH("firmer resistance",IFERROR(INDEX('Level Engine'!$CG$9:$CG$55,MATCH('King Node Model'!$AL$43,'Level Engine'!$AA$9:$AA$55,0)),""))),ISNUMBER(SEARCH("STRENGTHENING",IFERROR(INDEX('Level Engine'!$CG$9:$CG$55,MATCH('King Node Model'!$AL$43,'Level Engine'!$AA$9:$AA$55,0)),""))),ISNUMBER(SEARCH("firmer support",IFERROR(INDEX('Level Engine'!$CG$9:$CG$55,MATCH('King Node Model'!$AL$43,'Level Engine'!$AA$9:$AA$55,0)),""))))),"",IF(AND(IFERROR(INDEX('Level Engine'!$AB$9:$AB$55,MATCH('King Node Model'!$AL43,'Level Engine'!$AA$9:$AA$55,0)),0)&gt;0,SUMPRODUCT((ABS('Level Engine'!$AB$9:$AB$55)&lt;=ABS(IFERROR(INDEX('Level Engine'!$AB$9:$AB$55,MATCH('King Node Model'!$AL43,'Level Engine'!$AA$9:$AA$55,0)),0)))*1)/COUNT('Level Engine'!$AB$9:$AB$55)&gt;=0.66),"",IF(AND(AND(ISNUMBER('King Node Model'!$AL$42),ISNUMBER('King Node Model'!$AL$43),IFERROR(ABS('King Node Model'!$AL$42-'King Node Model'!$AL$43)&lt;=5,FALSE()),OR(AND(ISNUMBER(SEARCH("box",'King Node Model'!S42)),ISNUMBER(SEARCH("wall",'King Node Model'!S43))),AND(ISNUMBER(SEARCH("wall",'King Node Model'!S42)),ISNUMBER(SEARCH("box",'King Node Model'!S43))))),OR(OR(ISNUMBER(SEARCH("firmer resistance",IFERROR(INDEX('Level Engine'!$CG$9:$CG$55,MATCH('King Node Model'!$AL$42,'Level Engine'!$AA$9:$AA$55,0)),""))),ISNUMBER(SEARCH("STRENGTHENING",IFERROR(INDEX('Level Engine'!$CG$9:$CG$55,MATCH('King Node Model'!$AL$42,'Level Engine'!$AA$9:$AA$55,0)),""))),ISNUMBER(SEARCH("firmer support",IFERROR(INDEX('Level Engine'!$CG$9:$CG$55,MATCH('King Node Model'!$AL$42,'Level Engine'!$AA$9:$AA$55,0)),"")))),OR(ISNUMBER(SEARCH("firmer resistance",IFERROR(INDEX('Level Engine'!$CG$9:$CG$55,MATCH('King Node Model'!$AL$43,'Level Engine'!$AA$9:$AA$55,0)),""))),ISNUMBER(SEARCH("STRENGTHENING",IFERROR(INDEX('Level Engine'!$CG$9:$CG$55,MATCH('King Node Model'!$AL$43,'Level Engine'!$AA$9:$AA$55,0)),""))),ISNUMBER(SEARCH("firmer support",IFERROR(INDEX('Level Engine'!$CG$9:$CG$55,MATCH('King Node Model'!$AL$43,'Level Engine'!$AA$9:$AA$55,0)),"")))))),"",""))))))))</f>
        <v/>
      </c>
      <c r="AV46" s="56" t="str">
        <f>IF(IFERROR(INDEX('Level Engine'!$JI$9:$JI$55,MATCH('King Node Model'!$AL$43,'Level Engine'!$AA$9:$AA$55,0)),0)=1,"",IF($E46="","",IF(AND(NOT(AND(IFERROR(INDEX('Level Engine'!$AC$9:$AC$55,MATCH('King Node Model'!$AL$43,'Level Engine'!$AA$9:$AA$55,0)),0)=MAX('Level Engine'!$AC$9:$AC$55),IFERROR(INDEX('Level Engine'!$AB$9:$AB$55,MATCH('King Node Model'!$AL$43,'Level Engine'!$AA$9:$AA$55,0)),0)=MIN('Level Engine'!$AB$9:$AB$55))),UPPER('King Node Model'!$L$5)="HIGH",IFERROR(INDEX('Level Engine'!$KC$9:$KC$55,MATCH(--LEFT($E46,4),'Level Engine'!$AA$9:$AA$55,0)),"")="DOWN",N(INDEX('Level Engine'!$AF$9:$AF$55,MATCH(--LEFT($E46,4),'Level Engine'!$AA$9:$AA$55,0)))&gt;0,ISNUMBER(SEARCH("chop edge",$E$46))),"UNSAFE·Level at risk"&amp;CHAR(10)&amp;"• IV High + ATM IV falling (melt-up risk)","")))</f>
        <v/>
      </c>
      <c r="AW46" s="56" t="str">
        <f>IF($E46="","",IF(AND(IFERROR(INDEX('Level Engine'!$JI$9:$JI$55,MATCH('King Node Model'!$AL$43,'Level Engine'!$AA$9:$AA$55,0)),0)&lt;&gt;1,NOT(AND(IFERROR(INDEX('Level Engine'!$AC$9:$AC$55,MATCH('King Node Model'!$AL$43,'Level Engine'!$AA$9:$AA$55,0)),0)=MAX('Level Engine'!$AC$9:$AC$55),IFERROR(INDEX('Level Engine'!$AB$9:$AB$55,MATCH('King Node Model'!$AL$43,'Level Engine'!$AA$9:$AA$55,0)),0)=MIN('Level Engine'!$AB$9:$AB$55))),UPPER('King Node Model'!$L$5)="LOW",IFERROR(INDEX('Level Engine'!$KC$9:$KC$55,MATCH(--LEFT($E46,4),'Level Engine'!$AA$9:$AA$55,0)),"")="DOWN",N(INDEX('Level Engine'!$AF$9:$AF$55,MATCH(--LEFT($E46,4),'Level Engine'!$AA$9:$AA$55,0)))&gt;0),"UNSAFE·Level at risk"&amp;CHAR(10)&amp;"• Low IV with ATM IV falling",""))</f>
        <v>UNSAFE·Level at risk
• Low IV with ATM IV falling</v>
      </c>
      <c r="AX46" s="56" t="str">
        <f>IF($E46="","",IF(AND(IFERROR(INDEX('Level Engine'!$JI$9:$JI$55,MATCH('King Node Model'!$AL$43,'Level Engine'!$AA$9:$AA$55,0)),0)&lt;&gt;1,NOT(AND(IFERROR(INDEX('Level Engine'!$AC$9:$AC$55,MATCH('King Node Model'!$AL$43,'Level Engine'!$AA$9:$AA$55,0)),0)=MAX('Level Engine'!$AC$9:$AC$55),IFERROR(INDEX('Level Engine'!$AB$9:$AB$55,MATCH('King Node Model'!$AL$43,'Level Engine'!$AA$9:$AA$55,0)),0)=MIN('Level Engine'!$AB$9:$AB$55))),UPPER('King Node Model'!$L$5)="HIGH",IFERROR(INDEX('Level Engine'!$KC$9:$KC$55,MATCH(--LEFT($E46,4),'Level Engine'!$AA$9:$AA$55,0)),"")="DOWN",N(INDEX('Level Engine'!$AF$9:$AF$55,MATCH(--LEFT($E46,4),'Level Engine'!$AA$9:$AA$55,0)))&gt;0,OR(ISNUMBER(SEARCH("·r4",$E46)),ISNUMBER(SEARCH("·r5",$E46)),ISNUMBER(SEARCH("·r6",$E46)))),"UNSAFE·Level at risk"&amp;CHAR(10)&amp;"• High IV with ATM IV falling",""))</f>
        <v/>
      </c>
      <c r="AY46" s="1">
        <f>IF(AND($B$2="Hide unsafe",$BB46=1),0,IF(AND(OR(AND(AND(ISNUMBER($AL46),OR(AND($AL46&gt;=$AQ$22,$AL46&lt;=$AR$22,$AS$22=1),$AL46=$AQ$22,$AL46=$AR$22,$AL46=$AQ$23,$AL46=$AR$23,$AL46=$AQ$24,$AL46=$AR$24),NOT(OR($AL46=$AN$5,$AL46=$AN$6,$AL46=$AN$7,$AL46=$AN$8,$AL46=$AN$10,$AL46=$AN$11))),NOT(OR(AND('King Node Model'!$P$13="Up",OR($AL46=$AQ$22,$AL46=$AQ$23,$AL46=$AQ$24,$AL46='King Node Model'!$AM$20,$AL46='King Node Model'!$AM$21,$AL46='King Node Model'!$AM$22),OR(AND('King Node Model'!$B$23-$AL46&gt;=0,'King Node Model'!$B$23-$AL46&lt;=5),AND('King Node Model'!$C$23-$AL46&gt;=0,'King Node Model'!$C$23-$AL46&lt;=5))),AND('King Node Model'!$P$13="Down",OR($AL46=$AR$22,$AL46=$AR$23,$AL46=$AR$24,$AL46='King Node Model'!$AN$20,$AL46='King Node Model'!$AN$21,$AL46='King Node Model'!$AN$22),OR(AND($AL46-'King Node Model'!$B$23&gt;=0,$AL46-'King Node Model'!$B$23&lt;=5),AND($AL46-'King Node Model'!$C$24&gt;=0,$AL46-'King Node Model'!$C$24&lt;=5)))))),AND(AND(ISNUMBER($AL46),OR(AND($AL46&gt;=$AQ$22,$AL46&lt;=$AR$22,$AS$22=1),$AL46=$AQ$22,$AL46=$AR$22,$AL46=$AQ$23,$AL46=$AR$23,$AL46=$AQ$24,$AL46=$AR$24,$AL46='King Node Model'!$AL$42,$AL46='King Node Model'!$AL$43),OR($AL46=$AN$5,$AL46=$AN$6,$AL46=$AN$7,$AL46=$AN$8,$AL46=$AN$10,$AL46=$AN$11)),NOT(OR(AND('King Node Model'!$P$13="Up",OR($AL46=$AQ$22,$AL46=$AQ$23,$AL46=$AQ$24,$AL46='King Node Model'!$AM$20,$AL46='King Node Model'!$AM$21,$AL46='King Node Model'!$AM$22),OR(AND('King Node Model'!$B$23-$AL46&gt;=0,'King Node Model'!$B$23-$AL46&lt;=5),AND('King Node Model'!$C$23-$AL46&gt;=0,'King Node Model'!$C$23-$AL46&lt;=5))),AND('King Node Model'!$P$13="Down",OR($AL46=$AR$22,$AL46=$AR$23,$AL46=$AR$24,$AL46='King Node Model'!$AN$20,$AL46='King Node Model'!$AN$21,$AL46='King Node Model'!$AN$22),OR(AND($AL46-'King Node Model'!$B$23&gt;=0,$AL46-'King Node Model'!$B$23&lt;=5),AND($AL46-'King Node Model'!$C$24&gt;=0,$AL46-'King Node Model'!$C$24&lt;=5)))))),AND(AND(ISNUMBER($AL46),OR(AND($AL46&gt;='King Node Model'!$AM$20,$AL46&lt;='King Node Model'!$AN$20,$AS$23=1),$AL46='King Node Model'!$AM$20,$AL46='King Node Model'!$AN$20,$AL46='King Node Model'!$AM$21,$AL46='King Node Model'!$AN$21,$AL46='King Node Model'!$AM$22,$AL46='King Node Model'!$AN$22),NOT(OR($AL46=$AN$5,$AL46=$AN$6,$AL46=$AN$7,$AL46=$AN$8,$AL46=$AN$10,$AL46=$AN$11))),NOT(AND(ISNUMBER('King Node Model'!$F$24),$AL46='King Node Model'!$F$24,IFERROR(INDEX('Level Engine'!$JN$9:$JN$55,MATCH($AL46,'Level Engine'!$AA$9:$AA$55,0)),0)&lt;&gt;1))),AND(AND(ISNUMBER($AL46),OR(AND($AL46&gt;='King Node Model'!$AM$20,$AL46&lt;='King Node Model'!$AN$20,$AS$23=1),$AL46='King Node Model'!$AM$20,$AL46='King Node Model'!$AN$20,$AL46='King Node Model'!$AM$21,$AL46='King Node Model'!$AN$21,$AL46='King Node Model'!$AM$22,$AL46='King Node Model'!$AN$22,$AL46='King Node Model'!$AL$49,$AL46='King Node Model'!$AL$50),OR($AL46=$AN$5,$AL46=$AN$6,$AL46=$AN$7,$AL46=$AN$8,$AL46=$AN$10,$AL46=$AN$11)),NOT(OR(AND('King Node Model'!$P$13="Up",OR($AL46=$AQ$22,$AL46=$AQ$23,$AL46=$AQ$24,$AL46='King Node Model'!$AM$20,$AL46='King Node Model'!$AM$21,$AL46='King Node Model'!$AM$22),OR(AND('King Node Model'!$B$23-$AL46&gt;=0,'King Node Model'!$B$23-$AL46&lt;=5),AND('King Node Model'!$C$23-$AL46&gt;=0,'King Node Model'!$C$23-$AL46&lt;=5))),AND('King Node Model'!$P$13="Down",OR($AL46=$AR$22,$AL46=$AR$23,$AL46=$AR$24,$AL46='King Node Model'!$AN$20,$AL46='King Node Model'!$AN$21,$AL46='King Node Model'!$AN$22),OR(AND($AL46-'King Node Model'!$B$23&gt;=0,$AL46-'King Node Model'!$B$23&lt;=5),AND($AL46-'King Node Model'!$C$24&gt;=0,$AL46-'King Node Model'!$C$24&lt;=5))))))),OR(COUNTIF('Level Engine'!$W$9:$W$14,$AL46)&gt;0,COUNTIF('Level Engine'!$W$18:$W$23,$AL46)&gt;0)),1,0))</f>
        <v>0</v>
      </c>
      <c r="AZ46" s="1">
        <f t="shared" si="1"/>
        <v>0</v>
      </c>
      <c r="BA46" s="56" t="str">
        <f>IF(IFERROR(INDEX('Level Engine'!$JZ$9:$JZ$55,MATCH('King Node Model'!$AL$43,'Level Engine'!$AA$9:$AA$55,0)),0)=1,"",IF(IFERROR(INDEX('Level Engine'!$JI$9:$JI$55,MATCH('King Node Model'!$AL$43,'Level Engine'!$AA$9:$AA$55,0)),0)=1,"",IF(IFERROR(INDEX('Level Engine'!$JO$9:$JO$55,MATCH('King Node Model'!$AL$43,'Level Engine'!$AA$9:$AA$55,0)),0)=1,"",IF($E46="","",IFERROR(IF(INDEX('Level Engine'!$EU$9:$EU$55,MATCH('King Node Model'!$AL$43,'Level Engine'!$AA$9:$AA$55,0))=1,"UNSAFE·Level at risk"&amp;CHAR(10)&amp;"• Positive node acts as a thin speed bump"&amp;CHAR(10)&amp;"• Negative Zomma thins it further",IF(AND(IFERROR(INDEX('Level Engine'!$GT$9:$GT$55,MATCH('King Node Model'!$AL$43,'Level Engine'!$AA$9:$AA$55,0)),0)=1,IFERROR(INDEX('Level Engine'!$JI$9:$JI$55,MATCH('King Node Model'!$AL$43,'Level Engine'!$AA$9:$AA$55,0)),0)&lt;&gt;1),"UNSAFE·Level at risk"&amp;CHAR(10)&amp;"• Sandwich — thin strike above"&amp;CHAR(10)&amp;"• Approaching the lower wall of a sandwich"&amp;CHAR(10)&amp;"• Zomma weakening here; likely path to "&amp;IFERROR(INDEX('Level Engine'!$GU$9:$GU$55,MATCH('King Node Model'!$AL$43,'Level Engine'!$AA$9:$AA$55,0)),"the upper wall"),"")),"")))))</f>
        <v/>
      </c>
      <c r="BB46" s="1">
        <f>IF(OR(AND($AL46='King Node Model'!$AL$42,$AP$45&lt;&gt;"RASP"),AND($AL46='King Node Model'!$AL$43,$AP$46&lt;&gt;"RASP"),AND($AL46='King Node Model'!$AL$49,$AP$52&lt;&gt;"RASP"),AND($AL46='King Node Model'!$AL$50,$AP$53&lt;&gt;"RASP"),AND($AL46='King Node Model'!$AL$44,$AP$47&lt;&gt;"RASP"),AND($AL46='King Node Model'!$AL$51,$AP$54&lt;&gt;"RASP")),0,IF(AND(AND(ISNUMBER($AL46),OR(AND($AL46&gt;=$AQ$22,$AL46&lt;=$AR$22,$AP$45="RASP"),AND($AL46&gt;=$AQ$23,$AL46&lt;=$AR$23,$AP$46="RASP"),AND($AL46&gt;=$AQ$24,$AL46&lt;=$AR$24,$AP$47="RASP"),AND($AL46&gt;='King Node Model'!$AM$20,$AL46&lt;='King Node Model'!$AN$20,$AP$52="RASP",NOT($L$52=$AW$52)),AND($AL46='King Node Model'!$B$23,$AP$52="RASP",$L$52=$AW$52),AND($AL46&gt;='King Node Model'!$AM$21,$AL46&lt;='King Node Model'!$AN$21,$AP$53="RASP",NOT($L$53=$AW$53)),AND($AL46='King Node Model'!$B$23,$AP$53="RASP",$L$53=$AW$53),AND($AL46&gt;='King Node Model'!$AM$22,$AL46&lt;='King Node Model'!$AN$22,$AP$54="RASP"),AND($AL46&gt;=IFERROR(INDEX('Level Engine'!$AT$9:$AT$55,MATCH('King Node Model'!$AL$42,'Level Engine'!$AA$9:$AA$55,0)),""),$AL46&lt;=IFERROR(INDEX('Level Engine'!$AU$9:$AU$55,MATCH('King Node Model'!$AL$42,'Level Engine'!$AA$9:$AA$55,0)),""),$AP$45="RASP"),AND($AL46&gt;=IFERROR(INDEX('Level Engine'!$AT$9:$AT$55,MATCH('King Node Model'!$AL$43,'Level Engine'!$AA$9:$AA$55,0)),""),$AL46&lt;=IFERROR(INDEX('Level Engine'!$AU$9:$AU$55,MATCH('King Node Model'!$AL$43,'Level Engine'!$AA$9:$AA$55,0)),""),$AP$46="RASP"),AND($AL46&gt;=IFERROR(INDEX('Level Engine'!$AT$9:$AT$55,MATCH('King Node Model'!$AL$44,'Level Engine'!$AA$9:$AA$55,0)),""),$AL46&lt;=IFERROR(INDEX('Level Engine'!$AU$9:$AU$55,MATCH('King Node Model'!$AL$44,'Level Engine'!$AA$9:$AA$55,0)),""),$AP$47="RASP"),AND($AL46&gt;=IFERROR(INDEX('Level Engine'!$AT$9:$AT$55,MATCH('King Node Model'!$AL$49,'Level Engine'!$AA$9:$AA$55,0)),""),$AL46&lt;=IFERROR(INDEX('Level Engine'!$AU$9:$AU$55,MATCH('King Node Model'!$AL$49,'Level Engine'!$AA$9:$AA$55,0)),""),$AP$52="RASP",NOT($L$52=$AW$52)),AND($AL46&gt;=IFERROR(INDEX('Level Engine'!$AT$9:$AT$55,MATCH('King Node Model'!$AL$50,'Level Engine'!$AA$9:$AA$55,0)),""),$AL46&lt;=IFERROR(INDEX('Level Engine'!$AU$9:$AU$55,MATCH('King Node Model'!$AL$50,'Level Engine'!$AA$9:$AA$55,0)),""),$AP$53="RASP",NOT($L$53=$AW$53)),AND($AL46&gt;=IFERROR(INDEX('Level Engine'!$AT$9:$AT$55,MATCH('King Node Model'!$AL$51,'Level Engine'!$AA$9:$AA$55,0)),""),$AL46&lt;=IFERROR(INDEX('Level Engine'!$AU$9:$AU$55,MATCH('King Node Model'!$AL$51,'Level Engine'!$AA$9:$AA$55,0)),""),$AP$54="RASP"))),NOT(AND(ISNUMBER('King Node Model'!$F$24),$AL46='King Node Model'!$F$24,IFERROR(INDEX('Level Engine'!$JN$9:$JN$55,MATCH($AL46,'Level Engine'!$AA$9:$AA$55,0)),0)&lt;&gt;1,$AL46&lt;&gt;'King Node Model'!$AL$42,$AL46&lt;&gt;'King Node Model'!$AL$43,$AL46&lt;&gt;'King Node Model'!$AL$44,$AL46&lt;&gt;'King Node Model'!$AL$49,$AL46&lt;&gt;'King Node Model'!$AL$50,$AL46&lt;&gt;'King Node Model'!$AL$51))),1,0))</f>
        <v>0</v>
      </c>
      <c r="BK46">
        <f>IFERROR(LARGE($CH$43:$CH$51,4),"")</f>
        <v>7780</v>
      </c>
      <c r="BL46">
        <f>IFERROR(INDEX('King Node Model'!$K$29:$K$75,MATCH($BK46,'King Node Model'!$A$29:$A$75,0)),"")</f>
        <v>739</v>
      </c>
      <c r="BM46">
        <f>IFERROR(INDEX('King Node Model'!$L$29:$L$75,MATCH($BK46,'King Node Model'!$A$29:$A$75,0)),"")</f>
        <v>2693</v>
      </c>
      <c r="BN46">
        <f t="shared" si="26"/>
        <v>0.5693473193473193</v>
      </c>
      <c r="BO46">
        <f>IFERROR(INDEX('Level Engine'!$AC$9:$AC$55,MATCH($BK46,'Level Engine'!$AA$9:$AA$55,0))/MAX('Level Engine'!$AC$9:$AC$55),"")</f>
        <v>0.9032886064840886</v>
      </c>
      <c r="BP46">
        <f>IF(NOT(ISNUMBER($BK46)),"",IF($BK46&gt;'King Node Model'!$B$4,1,-1))</f>
        <v>1</v>
      </c>
      <c r="BQ46" t="str">
        <f>IF(OR(NOT(ISNUMBER($BN46)),NOT(ISNUMBER($BO46))),"",IF($BO46&lt;0.15,"thin",IF(OR('King Node Model'!$A$8="Neg",N('Level Engine'!$BG$72)=1),"",IF($BP46=1,IF($BN46&lt;=-0.4,"HARD ceil",IF($BN46&lt;=-0.15,"ceil",IF($BN46&lt;0.15,"neutral","soft ceil"))),IF($BN46&gt;=0.4,"FIRM floor",IF($BN46&gt;=0.15,"floor",IF($BN46&gt;-0.15,"neutral","WEAK floor"))))&amp;IF($BO46&lt;0.25," ·marginal",""))))</f>
        <v/>
      </c>
      <c r="BR46" t="str">
        <f>IF(NOT(ISNUMBER($BN46)),"",IF(OR('King Node Model'!$A$8="Neg",N('Level Engine'!$BG$72)=1),"",IF(AND($BP46=1,$BN46&gt;0.15),"⚠",IF(AND($BP46=-1,$BN46&lt;-0.15),"⚠",""))))</f>
        <v/>
      </c>
      <c r="BW46">
        <f t="shared" si="27"/>
        <v>3</v>
      </c>
      <c r="BX46">
        <f t="shared" si="28"/>
        <v>3</v>
      </c>
      <c r="BY46" t="str">
        <f t="shared" si="29"/>
        <v/>
      </c>
      <c r="BZ46">
        <f t="shared" si="30"/>
        <v>3432</v>
      </c>
      <c r="CH46">
        <f>IF($CI46&lt;=0,"",IFERROR(SUMPRODUCT(MAX((('King Node Model'!$A$29:$A$75&gt;='King Node Model'!$B$4-25)*('King Node Model'!$A$29:$A$75&lt;='King Node Model'!$B$4+25)*('King Node Model'!$A$29:$A$75&gt;0)*((626-('King Node Model'!$A$29:$A$75-'King Node Model'!$B$4)^2)*1000000+'King Node Model'!$A$29:$A$75)=$CI46)*'King Node Model'!$A$29:$A$75)),""))</f>
        <v>7785</v>
      </c>
      <c r="CI46">
        <f>IFERROR(SUMPRODUCT(LARGE(('King Node Model'!$A$29:$A$75&gt;='King Node Model'!$B$4-25)*('King Node Model'!$A$29:$A$75&lt;='King Node Model'!$B$4+25)*('King Node Model'!$A$29:$A$75&gt;0)*((626-('King Node Model'!$A$29:$A$75-'King Node Model'!$B$4)^2)*1000000+'King Node Model'!$A$29:$A$75),4)),0)</f>
        <v>533655685.00000632</v>
      </c>
      <c r="CJ46">
        <f>IF($DF46&lt;&gt;"",0,IF(AND($E46&lt;&gt;"",IFERROR(INDEX('Level Engine'!$HP$9:$HP$55,MATCH('King Node Model'!$AL$43,'Level Engine'!$AA$9:$AA$55,0)),0)=1),1,IF(OR(AND(IFERROR(INDEX('Level Engine'!$GV$9:$GV$55,MATCH('King Node Model'!$AL$43,'Level Engine'!$AA$9:$AA$55,0)),0)=1,IFERROR(INDEX('Level Engine'!$JK$9:$JK$55,MATCH('King Node Model'!$AL$43,'Level Engine'!$AA$9:$AA$55,0)),0)&lt;&gt;1,IFERROR(INDEX('Level Engine'!$IW$9:$IW$55,MATCH('King Node Model'!$AL$43,'Level Engine'!$AA$9:$AA$55,0)),0)&lt;&gt;1),AND(ISNUMBER('King Node Model'!$AL$43),'King Node Model'!$AL$43='King Node Model'!$F$24,IFERROR(INDEX('Level Engine'!$JN$9:$JN$55,MATCH('King Node Model'!$AL$43,'Level Engine'!$AA$9:$AA$55,0)),0)&lt;&gt;1)),0,IF($E46="",0,IF(OR($CR46&lt;&gt;"",AND('King Node Model'!$A$8="Pos",N('Level Engine'!$BG$72)&lt;&gt;1,IFERROR(INDEX('Level Engine'!$HM$9:$HM$55,MATCH('King Node Model'!$AL$43,'Level Engine'!$AA$9:$AA$55,0)),0)=1,IFERROR(INDEX('Level Engine'!$JO$9:$JO$55,MATCH('King Node Model'!$AL$43,'Level Engine'!$AA$9:$AA$55,0)),0)&lt;&gt;1,IFERROR(INDEX('Level Engine'!$JI$9:$JI$55,MATCH('King Node Model'!$AL$43,'Level Engine'!$AA$9:$AA$55,0)),0)&lt;&gt;1),IFERROR(INDEX('Level Engine'!$IS$9:$IS$55,MATCH('King Node Model'!$AL$43,'Level Engine'!$AA$9:$AA$55,0)),0)=1,AND(ISNUMBER(SEARCH("UNSAFE",$L46)),NOT(AND(IFERROR(INDEX('Level Engine'!$EW$9:$EW$55,MATCH('King Node Model'!$AL$43,'Level Engine'!$AA$9:$AA$55,0)),0)=1,IFERROR(INDEX('Level Engine'!$CI$9:$CI$55,MATCH('King Node Model'!$AL$43,'Level Engine'!$AA$9:$AA$55,0)),0)=0)))),1,0)))))</f>
        <v>1</v>
      </c>
      <c r="CK46" t="str">
        <f>IF(IFERROR(INDEX('Level Engine'!$EX$9:$EX$55,MATCH('King Node Model'!$AL$43,'Level Engine'!$AA$9:$AA$55,0)),0)=1,"",IF($E46="","",IF(AND('King Node Model'!$A$8&lt;&gt;"Neg",N('Level Engine'!$BG$72)&lt;&gt;1),"",IF(AND(OR(AND(ISNUMBER(IFERROR(INDEX('Level Engine'!$AC$9:$AC$55,MATCH('King Node Model'!$AL$43,'Level Engine'!$AA$9:$AA$55,0)),"")),IFERROR(INDEX('Level Engine'!$AC$9:$AC$55,MATCH('King Node Model'!$AL$43,'Level Engine'!$AA$9:$AA$55,0)),"")=MAX('Level Engine'!$AC$9:$AC$55)),AND(ISNUMBER(IFERROR(INDEX('Level Engine'!$AB$9:$AB$55,MATCH('King Node Model'!$AL$43,'Level Engine'!$AA$9:$AA$55,0)),"")),IFERROR(INDEX('Level Engine'!$AB$9:$AB$55,MATCH('King Node Model'!$AL$43,'Level Engine'!$AA$9:$AA$55,0)),"")=MIN('Level Engine'!$AB$9:$AB$55))),NOT(AND(AND(ISNUMBER(IFERROR(INDEX('Level Engine'!$AC$9:$AC$55,MATCH('King Node Model'!$AL$43,'Level Engine'!$AA$9:$AA$55,0)),"")),IFERROR(INDEX('Level Engine'!$AC$9:$AC$55,MATCH('King Node Model'!$AL$43,'Level Engine'!$AA$9:$AA$55,0)),"")=MAX('Level Engine'!$AC$9:$AC$55)),AND(ISNUMBER(IFERROR(INDEX('Level Engine'!$AB$9:$AB$55,MATCH('King Node Model'!$AL$43,'Level Engine'!$AA$9:$AA$55,0)),"")),IFERROR(INDEX('Level Engine'!$AB$9:$AB$55,MATCH('King Node Model'!$AL$43,'Level Engine'!$AA$9:$AA$55,0)),"")=MIN('Level Engine'!$AB$9:$AB$55)))),IFERROR(INDEX('Level Engine'!$AG$9:$AG$55,MATCH('King Node Model'!$AL$43,'Level Engine'!$AA$9:$AA$55,0)),"")="S",IFERROR(INDEX('Level Engine'!$AB$9:$AB$55,MATCH('King Node Model'!$AL$43,'Level Engine'!$AA$9:$AA$55,0)),0)&lt;0,NOT(OR('King Node Model'!$AL$43=$AN$16,'King Node Model'!$AL$43=$AN$17,'King Node Model'!$AL$43=$AN$18)),NOT(AND(OR('King Node Model'!$A$8="Neg",N('Level Engine'!$BG$72)=1),ISNUMBER(IFERROR(INDEX('Level Engine'!$AB$9:$AB$55,MATCH('King Node Model'!$AL$43,'Level Engine'!$AA$9:$AA$55,0)),"")),IFERROR(INDEX('Level Engine'!$AB$9:$AB$55,MATCH('King Node Model'!$AL$43,'Level Engine'!$AA$9:$AA$55,0)),"")=MIN('Level Engine'!$AB$9:$AB$55),'King Node Model'!$AL$43='Level Engine'!$BG$105))),CHAR(10)&amp;"UNSAFE·Level at risk"&amp;CHAR(10)&amp;"• Accelerant — "&amp;IF(AND(ISNUMBER(IFERROR(INDEX('Level Engine'!$AC$9:$AC$55,MATCH('King Node Model'!$AL$43,'Level Engine'!$AA$9:$AA$55,0)),"")),IFERROR(INDEX('Level Engine'!$AC$9:$AC$55,MATCH('King Node Model'!$AL$43,'Level Engine'!$AA$9:$AA$55,0)),"")=MAX('Level Engine'!$AC$9:$AC$55)),"max gamma","min GEX")&amp;" alone, not a "&amp;IF(IFERROR(INDEX('Level Engine'!$AG$9:$AG$55,MATCH('King Node Model'!$AL$43,'Level Engine'!$AA$9:$AA$55,0)),"")="S","floor","ceiling"),""))))</f>
        <v/>
      </c>
      <c r="CM46" t="str">
        <f>(IF(NOT(ISNUMBER('King Node Model'!$AL$43)),"","  ["&amp;IF(IFERROR(INDEX('Level Engine'!$ID$9:$ID$55,MATCH('King Node Model'!$AL$43,'Level Engine'!$AA$9:$AA$55,0)),"")="",IF(IFERROR(INDEX('Level Engine'!$DC$9:$DC$55,MATCH('King Node Model'!$AL$43,'Level Engine'!$AA$9:$AA$55,0)),0)=1,"γSh",IFERROR(INDEX('Level Engine'!$JJ$9:$JJ$55,MATCH('King Node Model'!$AL$43,'Level Engine'!$AA$9:$AA$55,0)),"no geometry")),IFERROR(INDEX('Level Engine'!$ID$9:$ID$55,MATCH('King Node Model'!$AL$43,'Level Engine'!$AA$9:$AA$55,0)),""))&amp;IF(AND(ISNUMBER(IFERROR(INDEX('Level Engine'!$FB$9:$FB$55,MATCH('King Node Model'!$AL$43,'Level Engine'!$AA$9:$AA$55,0)),"")),ISNUMBER(IFERROR(INDEX('Level Engine'!$FC$9:$FC$55,MATCH('King Node Model'!$AL$43,'Level Engine'!$AA$9:$AA$55,0)),"")),IFERROR(INDEX('Level Engine'!$FB$9:$FB$55,MATCH('King Node Model'!$AL$43,'Level Engine'!$AA$9:$AA$55,0)),"")&lt;&gt;IFERROR(INDEX('Level Engine'!$FC$9:$FC$55,MATCH('King Node Model'!$AL$43,'Level Engine'!$AA$9:$AA$55,0)),""))," "&amp;TEXT(IFERROR(INDEX('Level Engine'!$FB$9:$FB$55,MATCH('King Node Model'!$AL$43,'Level Engine'!$AA$9:$AA$55,0)),""),"0")&amp;"-"&amp;TEXT(IFERROR(INDEX('Level Engine'!$FC$9:$FC$55,MATCH('King Node Model'!$AL$43,'Level Engine'!$AA$9:$AA$55,0)),""),"0"),"")&amp;"]"))&amp;IF(N(IFERROR(INDEX('Level Engine'!$KB$9:$KB$55,MATCH('King Node Model'!$AL$43,'Level Engine'!$AA$9:$AA$55,0)),0))&lt;&gt;0,"  ▲ accelerant "&amp;TEXT(IFERROR(INDEX('Level Engine'!$KB$9:$KB$55,MATCH('King Node Model'!$AL$43,'Level Engine'!$AA$9:$AA$55,0)),0),"0")&amp;" below","")</f>
        <v xml:space="preserve">  [Cluster]</v>
      </c>
      <c r="CN46" t="str">
        <f>IF(IFERROR(INDEX('Level Engine'!$JI$9:$JI$55,MATCH('King Node Model'!$AL$43,'Level Engine'!$AA$9:$AA$55,0)),0)=1,"",IF(IFERROR(INDEX('Level Engine'!$JO$9:$JO$55,MATCH('King Node Model'!$AL$43,'Level Engine'!$AA$9:$AA$55,0)),0)=1,"",IF(IFERROR(INDEX('Level Engine'!$EX$9:$EX$55,MATCH('King Node Model'!$AL$43,'Level Engine'!$AA$9:$AA$55,0)),0)=1,"",IF(NOT(ISNUMBER('King Node Model'!$AL$43)),"",IF(AND('King Node Model'!$A$8&lt;&gt;"Neg",N('Level Engine'!$BG$72)&lt;&gt;1),"",IF(IFERROR(INDEX('Level Engine'!$EY$9:$EY$55,MATCH('King Node Model'!$AL$43,'Level Engine'!$AA$9:$AA$55,0)),0)&lt;&gt;1,"",IF(AND('King Node Model'!$AL$43='King Node Model'!$B$23,OR('King Node Model'!$AL$43='King Node Model'!$C$23,'King Node Model'!$AL$43=$AN$13,'King Node Model'!$AL$43=$AN$14,'King Node Model'!$AL$43=$AN$15)),"",IF(AND(IFERROR(INDEX('Level Engine'!$EW$9:$EW$55,MATCH('King Node Model'!$AL$43,'Level Engine'!$AA$9:$AA$55,0)),0)=1,IFERROR(INDEX('Level Engine'!$CI$9:$CI$55,MATCH('King Node Model'!$AL$43,'Level Engine'!$AA$9:$AA$55,0)),0)=0),"",IF($CK46&lt;&gt;"","",CHAR(10)&amp;"UNSAFE·Level at risk"&amp;CHAR(10)&amp;"• Gamma peak — hedging amplifies through it rather than absorbing")))))))))</f>
        <v/>
      </c>
      <c r="CO46">
        <f>IF(NOT(ISNUMBER($AL46)),"",IF(NOT(ISNUMBER(IFERROR(INDEX('Level Engine'!$FT$9:$FT$55,MATCH($AL46,'Level Engine'!$AA$9:$AA$55,0)),""))),"",IF(IFERROR(INDEX('Level Engine'!$FT$9:$FT$55,MATCH($AL46,'Level Engine'!$AA$9:$AA$55,0)),"")&lt;0,0,2)+IF(ABS(IFERROR(INDEX('Level Engine'!$FT$9:$FT$55,MATCH($AL46,'Level Engine'!$AA$9:$AA$55,0)),""))&gt;='Level Engine'!$FT$2,2,1)))</f>
        <v>2</v>
      </c>
      <c r="CP46" t="str">
        <f>IF(IFERROR(INDEX('Level Engine'!$JO$9:$JO$55,MATCH('King Node Model'!$AL$43,'Level Engine'!$AA$9:$AA$55,0)),0)=1,"",IF($E46="","",IF(AND('King Node Model'!$A$8="Pos",N('Level Engine'!$BG$72)&lt;&gt;1,IFERROR(INDEX('Level Engine'!$HM$9:$HM$55,MATCH('King Node Model'!$AL$43,'Level Engine'!$AA$9:$AA$55,0)),0)=1,IFERROR(INDEX('Level Engine'!$JI$9:$JI$55,MATCH('King Node Model'!$AL$43,'Level Engine'!$AA$9:$AA$55,0)),0)&lt;&gt;1),"UNSAFE·Level at risk"&amp;CHAR(10)&amp;IF(OR('King Node Model'!$A$8&lt;&gt;"Pos",'Level Engine'!$BG$72=1),"• Trough · weak bounce","• Trough weakest shape on the ladder")&amp;"","")))</f>
        <v/>
      </c>
      <c r="CQ46" t="str">
        <f>(((IF($E46="","",((((((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lt;&gt;"",$BA46&lt;&gt;""),CHAR(10),"")&amp;$BA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lt;&gt;"",$BA46&lt;&gt;""),CHAR(10),"")&amp;$BA46)&lt;&gt;"",($AV46&amp;$AW46&amp;$AX46)&lt;&gt;""),CHAR(10)&amp;"• Zomma: "&amp;IFERROR(MID($DE46,FIND(" ",$DE46)+1,999),$DE46),""))&amp;IF(AND(IFERROR(INDEX('Level Engine'!$EW$9:$EW$55,MATCH('King Node Model'!$AL$43,'Level Engine'!$AA$9:$AA$55,0)),0)=1,IFERROR(INDEX('Level Engine'!$CI$9:$CI$55,MATCH('King Node Model'!$AL$43,'Level Engine'!$AA$9:$AA$55,0)),0)=0),IF(((((((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lt;&gt;"",$BA46&lt;&gt;""),CHAR(10),"")&amp;$BA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lt;&gt;"",$BA46&lt;&gt;""),CHAR(10),"")&amp;$BA46)&lt;&gt;"",($AV46&amp;$AW46&amp;$AX46)&lt;&gt;""),CHAR(10)&amp;"• Zomma: "&amp;IFERROR(MID($DE46,FIND(" ",$DE46)+1,999),$DE46),""))&lt;&gt;"",CHAR(10),"")&amp;"EXEMPT·buy-lean max node — border suppressed","")))&amp;$CK$46))&amp;$CN$46</f>
        <v>UNSAFE·Level at risk
• Low IV with ATM IV falling
• Zomma: thinning the ceiling (magnitude weak)</v>
      </c>
      <c r="CR46" t="str">
        <f>IF($E46="","",IF(IFERROR(INDEX('Level Engine'!$HW$9:$HW$55,MATCH('King Node Model'!$AL$43,'Level Engine'!$AA$9:$AA$55,0)),0)=-1,"UNSAFE·Level at risk"&amp;CHAR(10)&amp;"• DEX falls off below ("&amp;TEXT(IFERROR(INDEX('Level Engine'!$KV$9:$KV$55,MATCH('King Node Model'!$AL$43,'Level Engine'!$AA$9:$AA$55,0)),0),"0%")&amp;") more sharply than above ("&amp;TEXT(IFERROR(INDEX('Level Engine'!$KU$9:$KU$55,MATCH('King Node Model'!$AL$43,'Level Engine'!$AA$9:$AA$55,0)),0),"0%")&amp;") — path of least resistance is up"&amp;IF(AND(ISNUMBER('King Node Model'!$T$22),'King Node Model'!$T$22&gt;'King Node Model'!$AL$43,'King Node Model'!$T$22-'King Node Model'!$AL$43&lt;=50),CHAR(10)&amp;"• Toward Max GEX "&amp;TEXT('King Node Model'!$T$22,"0"),""),""))</f>
        <v/>
      </c>
      <c r="CS46" t="str">
        <f>IF(IFERROR(INDEX('Level Engine'!$JO$9:$JO$55,MATCH('King Node Model'!$AL$43,'Level Engine'!$AA$9:$AA$55,0)),0)=1,"",IF($E46="","",IF(IFERROR(INDEX('Level Engine'!$HX$9:$HX$55,MATCH('King Node Model'!$AL$43,'Level Engine'!$AA$9:$AA$55,0)),0)=1,"UNSAFE·Level at risk"&amp;CHAR(10)&amp;"• Peak · gamma bump, not a ceiling","")))</f>
        <v/>
      </c>
      <c r="CT46" t="str">
        <f>IF($E46="","",IF(IFERROR(INDEX('Level Engine'!$IF$9:$IF$55,MATCH('King Node Model'!$AL$43,'Level Engine'!$AA$9:$AA$55,0)),0)=1,"UNSAFE·Level at risk"&amp;CHAR(10)&amp;"• Chop zone · inside a stack of heavy gamma/zomma strikes",""))</f>
        <v/>
      </c>
      <c r="CU46" t="str">
        <f>IF($E46="","",IF(IFERROR(INDEX('Level Engine'!$IQ$9:$IQ$55,MATCH('King Node Model'!$AL$43,'Level Engine'!$AA$9:$AA$55,0)),0)=1,"UNSAFE·Level at risk"&amp;CHAR(10)&amp;"• Contested level · claimed by both sides",""))</f>
        <v/>
      </c>
      <c r="CV46" t="str">
        <f>IF($E46="","",IFERROR(INDEX('Level Engine'!$IV$9:$IV$55,MATCH('King Node Model'!$AL$43,'Level Engine'!$AA$9:$AA$55,0))&amp;"",""))</f>
        <v/>
      </c>
      <c r="CW46" t="str">
        <f>IF($E46="","",IF(IFERROR(INDEX('Level Engine'!$JL$9:$JL$55,MATCH('King Node Model'!$AL$43,'Level Engine'!$AA$9:$AA$55,0)),0)=1,"UNSAFE·Level at risk"&amp;CHAR(10)&amp;"• DOM wall · vanna not supporting it — flat or too small (needs vanna SELL ≥ "&amp;TEXT('Level Engine'!$BG$92/1000,"0")&amp;"K)",IFERROR(IF(INDEX('Level Engine'!$JK$9:$JK$55,MATCH('King Node Model'!$AL$43,'Level Engine'!$AA$9:$AA$55,0))=1,"UNSAFE·Level at risk"&amp;CHAR(10)&amp;"• Vanna BUY on arrival — dealers buy into this ceiling as IV falls",""),"")))</f>
        <v>UNSAFE·Level at risk
• Vanna BUY on arrival — dealers buy into this ceiling as IV falls</v>
      </c>
      <c r="CX46" t="str">
        <f>IF($E46="","",IFERROR(IF(INDEX('Level Engine'!$IZ$9:$IZ$55,MATCH('King Node Model'!$AL$43,'Level Engine'!$AA$9:$AA$55,0))=1,"UNSAFE·Level at risk"&amp;CHAR(10)&amp;"• DEX wall "&amp;TEXT('King Node Model'!$AL$43-'Level Engine'!$BG$84,"0")&amp;" ("&amp;TEXT(INDEX('Level Engine'!$AE$9:$AE$55,MATCH('King Node Model'!$AL$43-'Level Engine'!$BG$84,'Level Engine'!$AA$9:$AA$55,0))/1000000,"+0.00;-0.00")&amp;"M) directly below caps the drop",""),""))</f>
        <v/>
      </c>
      <c r="CY46" t="str">
        <f>IF($E46="","",IFERROR(IF(INDEX('Level Engine'!$JM$9:$JM$55,MATCH('King Node Model'!$AL$43,'Level Engine'!$AA$9:$AA$55,0))=1,"UNSAFE·Level at risk"&amp;CHAR(10)&amp;"• Within "&amp;TEXT('Level Engine'!$BG$93,"0")&amp;" pts of the DOM "&amp;TEXT(INDEX('Level Engine'!$AA$9:$AA$55,MATCH("DOM",'Level Engine'!$FA$9:$FA$55,0)),"0")&amp;" — price tends to be pulled to the node",""),""))</f>
        <v/>
      </c>
      <c r="DA46" t="str">
        <f>IF($E46="","",IF(OR(IFERROR(INDEX('Level Engine'!$JP$9:$JP$55,MATCH('King Node Model'!$AL$43,'Level Engine'!$AA$9:$AA$55,0)),0)=1,AND(IFERROR(INDEX('Level Engine'!$JQ$9:$JQ$55,MATCH('King Node Model'!$AL$43,'Level Engine'!$AA$9:$AA$55,0)),0)=1,IFERROR(INDEX('Level Engine'!$JZ$9:$JZ$55,MATCH('King Node Model'!$AL$43,'Level Engine'!$AA$9:$AA$55,0)),0)&lt;&gt;1)),"UNSAFE·Level at risk"&amp;IF(AND(IFERROR(INDEX('Level Engine'!$JQ$9:$JQ$55,MATCH('King Node Model'!$AL$43,'Level Engine'!$AA$9:$AA$55,0)),0)=1,IFERROR(INDEX('Level Engine'!$JZ$9:$JZ$55,MATCH('King Node Model'!$AL$43,'Level Engine'!$AA$9:$AA$55,0)),0)&lt;&gt;1),CHAR(10)&amp;"• Dex not aligned (OI resistance needs Dex ≤ −"&amp;TEXT('Level Engine'!$BG$95/1000,"0")&amp;"K)","")&amp;IF(IFERROR(INDEX('Level Engine'!$JP$9:$JP$55,MATCH('King Node Model'!$AL$43,'Level Engine'!$AA$9:$AA$55,0)),0)=1,CHAR(10)&amp;"• Zomma not firming (OI resistance needs the zomma reading to firm the level)",""),""))</f>
        <v/>
      </c>
      <c r="DB46" t="str">
        <f>IF(AND(IFERROR(INDEX('Level Engine'!$KK$9:$KK$55,MATCH('King Node Model'!$AL$43,'Level Engine'!$AA$9:$AA$55,0)),0)=0,IFERROR(INDEX('Level Engine'!$JY$9:$JY$55,MATCH('King Node Model'!$AL$43,'Level Engine'!$AA$9:$AA$55,0)),0)&lt;&gt;1,IFERROR(INDEX('Level Engine'!$KR$9:$KR$55,MATCH('King Node Model'!$AL$43,'Level Engine'!$AA$9:$AA$55,0)),0)=0,IFERROR(INDEX('Level Engine'!$LD$9:$LD$55,MATCH('King Node Model'!$AL$43,'Level Engine'!$AA$9:$AA$55,0)),0)=0,IFERROR(INDEX('Level Engine'!$LE$9:$LE$55,MATCH('King Node Model'!$AL$43,'Level Engine'!$AA$9:$AA$55,0)),0)=0,IFERROR(INDEX('Level Engine'!$MH$9:$MH$55,MATCH('King Node Model'!$AL$43,'Level Engine'!$AA$9:$AA$55,0)),0)=0,IFERROR(INDEX('Level Engine'!$KA$9:$KA$55,MATCH('King Node Model'!$AL$43,'Level Engine'!$AA$9:$AA$55,0)),0)=0,OR(AND(IFERROR(INDEX('Level Engine'!$GV$9:$GV$55,MATCH('King Node Model'!$AL$43,'Level Engine'!$AA$9:$AA$55,0)),0)=1,IFERROR(INDEX('Level Engine'!$JK$9:$JK$55,MATCH('King Node Model'!$AL$43,'Level Engine'!$AA$9:$AA$55,0)),0)&lt;&gt;1,IFERROR(INDEX('Level Engine'!$IW$9:$IW$55,MATCH('King Node Model'!$AL$43,'Level Engine'!$AA$9:$AA$55,0)),0)&lt;&gt;1),AND(ISNUMBER('King Node Model'!$AL$43),'King Node Model'!$AL$43='King Node Model'!$F$24,IFERROR(INDEX('Level Engine'!$JN$9:$JN$55,MATCH('King Node Model'!$AL$43,'Level Engine'!$AA$9:$AA$55,0)),0)&lt;&gt;1))),"",IF(ISNUMBER(SEARCH("UNSAFE·Level at risk",IF(IFERROR(INDEX('Level Engine'!$IS$9:$IS$55,MATCH('King Node Model'!$AL$43,'Level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Model'!$AL$43,'Level Engine'!$AA$9:$AA$55,0)),0)=1,CHAR(10)&amp;"UNSAFE·Level at risk"&amp;CHAR(10)&amp;"• Vanna flat at the level — IV not moving, no dealer flow behind it","")&amp;IF(OR(AND(IFERROR(INDEX('Level Engine'!$KR$9:$KR$55,MATCH('King Node Model'!$AL$43,'Level Engine'!$AA$9:$AA$55,0)),0)=1,$CZ46=""),IFERROR(INDEX('Level Engine'!$KS$9:$KS$55,MATCH('King Node Model'!$AL$43,'Level Engine'!$AA$9:$AA$55,0)),0)=1),CHAR(10)&amp;"UNSAFE·Level at risk"&amp;CHAR(10)&amp;"• Vanna not aligned (gDex rule)","")&amp;IF(AND(IFERROR(INDEX('Level Engine'!$LD$9:$LD$55,MATCH('King Node Model'!$AL$43,'Level Engine'!$AA$9:$AA$55,0)),0)=1,$CZ46=""),CHAR(10)&amp;"UNSAFE·Level at risk"&amp;CHAR(10)&amp;"• Max Gamma support, not Max/Min GEX — fails ~66% of the time in positive gamma","")&amp;IF(AND(IFERROR(INDEX('Level Engine'!$LE$9:$LE$55,MATCH('King Node Model'!$AL$43,'Level Engine'!$AA$9:$AA$55,0)),0)=1,$CZ46=""),CHAR(10)&amp;"UNSAFE·Level at risk"&amp;CHAR(10)&amp;"• Resistance leaks · Max Gamma fails as resistance ~50% of the time","")&amp;IF(AND(IFERROR(INDEX('Level Engine'!$MH$9:$MH$55,MATCH('King Node Model'!$AL$43,'Level Engine'!$AA$9:$AA$55,0)),0)=1,$CZ46=""),CHAR(10)&amp;"UNSAFE·Level at risk"&amp;CHAR(10)&amp;IFERROR(INDEX('Level Engine'!$MI$9:$MI$55,MATCH('King Node Model'!$AL$43,'Level Engine'!$AA$9:$AA$55,0)),""),"")&amp;IF(IFERROR(INDEX('Level Engine'!$KK$9:$KK$55,MATCH('King Node Model'!$AL$43,'Level Engine'!$AA$9:$AA$55,0)),0)=1,CHAR(10)&amp;"UNSAFE·Level at risk"&amp;CHAR(10)&amp;"• Data incomplete — option chain not fully loaded at or next to this strike","")&amp;IF(N(IFERROR(INDEX('Level Engine'!$KA$9:$KA$55,MATCH('King Node Model'!$AL$43,'Level Engine'!$AA$9:$AA$55,0)),0))&lt;&gt;0,CHAR(10)&amp;"UNSAFE·Level at risk"&amp;CHAR(10)&amp;"• Accelerant under call wall "&amp;TEXT(IFERROR(INDEX('Level Engine'!$KA$9:$KA$55,MATCH('King Node Model'!$AL$43,'Level Engine'!$AA$9:$AA$55,0)),0),"0")&amp;" — price runs through to it","")&amp;IF($CQ46&lt;&gt;"",CHAR(10)&amp;$CQ46,"")&amp;IF($CP46&lt;&gt;"",CHAR(10)&amp;$CP46,"")&amp;IF($CR46&lt;&gt;"",CHAR(10)&amp;$CR46,"")&amp;IF($CS46&lt;&gt;"",CHAR(10)&amp;$CS46,"")&amp;IF($CT46&lt;&gt;"",CHAR(10)&amp;$CT46,"")&amp;IF($CU46&lt;&gt;"",CHAR(10)&amp;$CU46,"")&amp;IF($CV46&lt;&gt;"",CHAR(10)&amp;$CV46,"")&amp;IF($CW46&lt;&gt;"",CHAR(10)&amp;$CW46,"")&amp;IF($CX46&lt;&gt;"",CHAR(10)&amp;$CX46,"")&amp;IF($CY46&lt;&gt;"",CHAR(10)&amp;$CY46,"")&amp;IF($DA46&lt;&gt;"",CHAR(10)&amp;$DA46,"")&amp;IF($DC46&lt;&gt;"",CHAR(10)&amp;$DC46,"")&amp;IF($DD46&lt;&gt;"",CHAR(10)&amp;$DD46,""))),"UNSAFE·Level at risk"&amp;CHAR(10),"")&amp;MID(SUBSTITUTE(SUBSTITUTE(IF(IFERROR(INDEX('Level Engine'!$IS$9:$IS$55,MATCH('King Node Model'!$AL$43,'Level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Model'!$AL$43,'Level Engine'!$AA$9:$AA$55,0)),0)=1,CHAR(10)&amp;"UNSAFE·Level at risk"&amp;CHAR(10)&amp;"• Vanna flat at the level — IV not moving, no dealer flow behind it","")&amp;IF(OR(AND(IFERROR(INDEX('Level Engine'!$KR$9:$KR$55,MATCH('King Node Model'!$AL$43,'Level Engine'!$AA$9:$AA$55,0)),0)=1,$CZ46=""),IFERROR(INDEX('Level Engine'!$KS$9:$KS$55,MATCH('King Node Model'!$AL$43,'Level Engine'!$AA$9:$AA$55,0)),0)=1),CHAR(10)&amp;"UNSAFE·Level at risk"&amp;CHAR(10)&amp;"• Vanna not aligned (gDex rule)","")&amp;IF(AND(IFERROR(INDEX('Level Engine'!$LD$9:$LD$55,MATCH('King Node Model'!$AL$43,'Level Engine'!$AA$9:$AA$55,0)),0)=1,$CZ46=""),CHAR(10)&amp;"UNSAFE·Level at risk"&amp;CHAR(10)&amp;"• Max Gamma support, not Max/Min GEX — fails ~66% of the time in positive gamma","")&amp;IF(AND(IFERROR(INDEX('Level Engine'!$LE$9:$LE$55,MATCH('King Node Model'!$AL$43,'Level Engine'!$AA$9:$AA$55,0)),0)=1,$CZ46=""),CHAR(10)&amp;"UNSAFE·Level at risk"&amp;CHAR(10)&amp;"• Resistance leaks · Max Gamma fails as resistance ~50% of the time","")&amp;IF(AND(IFERROR(INDEX('Level Engine'!$MH$9:$MH$55,MATCH('King Node Model'!$AL$43,'Level Engine'!$AA$9:$AA$55,0)),0)=1,$CZ46=""),CHAR(10)&amp;"UNSAFE·Level at risk"&amp;CHAR(10)&amp;IFERROR(INDEX('Level Engine'!$MI$9:$MI$55,MATCH('King Node Model'!$AL$43,'Level Engine'!$AA$9:$AA$55,0)),""),"")&amp;IF(IFERROR(INDEX('Level Engine'!$KK$9:$KK$55,MATCH('King Node Model'!$AL$43,'Level Engine'!$AA$9:$AA$55,0)),0)=1,CHAR(10)&amp;"UNSAFE·Level at risk"&amp;CHAR(10)&amp;"• Data incomplete — option chain not fully loaded at or next to this strike","")&amp;IF(N(IFERROR(INDEX('Level Engine'!$KA$9:$KA$55,MATCH('King Node Model'!$AL$43,'Level Engine'!$AA$9:$AA$55,0)),0))&lt;&gt;0,CHAR(10)&amp;"UNSAFE·Level at risk"&amp;CHAR(10)&amp;"• Accelerant under call wall "&amp;TEXT(IFERROR(INDEX('Level Engine'!$KA$9:$KA$55,MATCH('King Node Model'!$AL$43,'Level Engine'!$AA$9:$AA$55,0)),0),"0")&amp;" — price runs through to it","")&amp;IF($CQ46&lt;&gt;"",CHAR(10)&amp;$CQ46,"")&amp;IF($CP46&lt;&gt;"",CHAR(10)&amp;$CP46,"")&amp;IF($CR46&lt;&gt;"",CHAR(10)&amp;$CR46,"")&amp;IF($CS46&lt;&gt;"",CHAR(10)&amp;$CS46,"")&amp;IF($CT46&lt;&gt;"",CHAR(10)&amp;$CT46,"")&amp;IF($CU46&lt;&gt;"",CHAR(10)&amp;$CU46,"")&amp;IF($CV46&lt;&gt;"",CHAR(10)&amp;$CV46,"")&amp;IF($CW46&lt;&gt;"",CHAR(10)&amp;$CW46,"")&amp;IF($CX46&lt;&gt;"",CHAR(10)&amp;$CX46,"")&amp;IF($CY46&lt;&gt;"",CHAR(10)&amp;$CY46,"")&amp;IF($DA46&lt;&gt;"",CHAR(10)&amp;$DA46,"")&amp;IF($DC46&lt;&gt;"",CHAR(10)&amp;$DC46,"")&amp;IF($DD46&lt;&gt;"",CHAR(10)&amp;$DD46,""),"UNSAFE·Level at risk"&amp;CHAR(10),""),CHAR(10)&amp;CHAR(10),CHAR(10)),2,32000))</f>
        <v>UNSAFE·Level at risk
• Low IV with ATM IV falling
• Zomma: thinning the ceiling (magnitude weak)
• Vanna BUY on arrival — dealers buy into this ceiling as IV falls</v>
      </c>
      <c r="DC46" t="str">
        <f>IF($E46="","",IF(IFERROR(INDEX('Level Engine'!$KT$9:$KT$55,MATCH('King Node Model'!$AL$43,'Level Engine'!$AA$9:$AA$55,0)),0)=1,"UNSAFE·Level at risk"&amp;CHAR(10)&amp;"• DEX draining · "&amp;TEXT(IFERROR(INDEX('Level Engine'!$AE$9:$AE$55,MATCH('King Node Model'!$AL$43,'Level Engine'!$AA$9:$AA$55,0)),0)/1000,"+#,##0;-#,##0")&amp;"K, down 50%+ in the last few minutes"&amp;CHAR(10)&amp;"• VEX weak · "&amp;TEXT(IFERROR(INDEX('Level Engine'!$AD$9:$AD$55,MATCH('King Node Model'!$AL$43,'Level Engine'!$AA$9:$AA$55,0)),0)/1000,"+#,##0;-#,##0")&amp;"K"&amp;CHAR(10)&amp;"• The level's cushion is going",""))</f>
        <v/>
      </c>
      <c r="DD46" t="str">
        <f>IF($E46="","",IF(IFERROR(INDEX('Level Engine'!$JU$9:$JU$55,MATCH('King Node Model'!$AL$43,'Level Engine'!$AA$9:$AA$55,0)),0)=1,"UNSAFE·Level at risk"&amp;CHAR(10)&amp;"• dEdge Cliff: DEX falls off at "&amp;TEXT('King Node Model'!$AL$43,"0")&amp;" ("&amp;TEXT((IFERROR(INDEX('Level Engine'!$AE$9:$AE$55,MATCH('King Node Model'!$AL$43,'Level Engine'!$AA$9:$AA$55,0)),0))/1000,"+#,##0;-#,##0")&amp;"K"&amp;", vs "&amp;TEXT((IFERROR(INDEX('Level Engine'!$AE$9:$AE$55,MATCH(IF(IFERROR(INDEX('Level Engine'!$AG$9:$AG$55,MATCH('King Node Model'!$AL$43,'Level Engine'!$AA$9:$AA$55,0)),"S")="R",'King Node Model'!$AL$43-5,'King Node Model'!$AL$43+5),'Level Engine'!$AA$9:$AA$55,0)),0))/1000,"+#,##0;-#,##0")&amp;"K"&amp;" at "&amp;TEXT(IF(IFERROR(INDEX('Level Engine'!$AG$9:$AG$55,MATCH('King Node Model'!$AL$43,'Level Engine'!$AA$9:$AA$55,0)),"S")="R",'King Node Model'!$AL$43-5,'King Node Model'!$AL$43+5),"0")&amp;")"&amp;CHAR(10)&amp;"• Positive gamma, positive GEX at the strike: cliffs break more than they hold"&amp;CHAR(10)&amp;"• Next DEX cushion "&amp;TEXT(IF(ABS(IFERROR(INDEX('Level Engine'!$AE$9:$AE$55,MATCH(IF(IFERROR(INDEX('Level Engine'!$AG$9:$AG$55,MATCH('King Node Model'!$AL$43,'Level Engine'!$AA$9:$AA$55,0)),"S")="R",'King Node Model'!$AL$43+5,'King Node Model'!$AL$43-5),'Level Engine'!$AA$9:$AA$55,0)),0))&gt;=ABS(IFERROR(INDEX('Level Engine'!$AE$9:$AE$55,MATCH(IF(IFERROR(INDEX('Level Engine'!$AG$9:$AG$55,MATCH('King Node Model'!$AL$43,'Level Engine'!$AA$9:$AA$55,0)),"S")="R",'King Node Model'!$AL$43+10,'King Node Model'!$AL$43-10),'Level Engine'!$AA$9:$AA$55,0)),0)),IF(IFERROR(INDEX('Level Engine'!$AG$9:$AG$55,MATCH('King Node Model'!$AL$43,'Level Engine'!$AA$9:$AA$55,0)),"S")="R",'King Node Model'!$AL$43+5,'King Node Model'!$AL$43-5),IF(IFERROR(INDEX('Level Engine'!$AG$9:$AG$55,MATCH('King Node Model'!$AL$43,'Level Engine'!$AA$9:$AA$55,0)),"S")="R",'King Node Model'!$AL$43+10,'King Node Model'!$AL$43-10)),"0")&amp;" ("&amp;TEXT((IFERROR(INDEX('Level Engine'!$AE$9:$AE$55,MATCH(IF(ABS(IFERROR(INDEX('Level Engine'!$AE$9:$AE$55,MATCH(IF(IFERROR(INDEX('Level Engine'!$AG$9:$AG$55,MATCH('King Node Model'!$AL$43,'Level Engine'!$AA$9:$AA$55,0)),"S")="R",'King Node Model'!$AL$43+5,'King Node Model'!$AL$43-5),'Level Engine'!$AA$9:$AA$55,0)),0))&gt;=ABS(IFERROR(INDEX('Level Engine'!$AE$9:$AE$55,MATCH(IF(IFERROR(INDEX('Level Engine'!$AG$9:$AG$55,MATCH('King Node Model'!$AL$43,'Level Engine'!$AA$9:$AA$55,0)),"S")="R",'King Node Model'!$AL$43+10,'King Node Model'!$AL$43-10),'Level Engine'!$AA$9:$AA$55,0)),0)),IF(IFERROR(INDEX('Level Engine'!$AG$9:$AG$55,MATCH('King Node Model'!$AL$43,'Level Engine'!$AA$9:$AA$55,0)),"S")="R",'King Node Model'!$AL$43+5,'King Node Model'!$AL$43-5),IF(IFERROR(INDEX('Level Engine'!$AG$9:$AG$55,MATCH('King Node Model'!$AL$43,'Level Engine'!$AA$9:$AA$55,0)),"S")="R",'King Node Model'!$AL$43+10,'King Node Model'!$AL$43-10)),'Level Engine'!$AA$9:$AA$55,0)),0))/1000,"+#,##0;-#,##0")&amp;"K"&amp;")",""))</f>
        <v/>
      </c>
      <c r="DE46" t="str">
        <f>SUBSTITUTE($K46,CHAR(10)&amp;IFERROR(INDEX('Level Engine'!$KE$9:$KE$55,MATCH(--LEFT($E46,4),'Level Engine'!$AA$9:$AA$55,0)),"~"),"")</f>
        <v>7805 thinning the ceiling (magnitude weak)</v>
      </c>
      <c r="DF46" t="str">
        <f>IF(AND($E46&lt;&gt;"",N(IFERROR(INDEX('Level Engine'!$KM$9:$KM$55,MATCH('King Node Model'!$AL$43,'Level Engine'!$AA$9:$AA$55,0)),""))=1,N(IFERROR(INDEX('Level Engine'!$KK$9:$KK$55,MATCH('King Node Model'!$AL$43,'Level Engine'!$AA$9:$AA$55,0)),""))&lt;&gt;1),"SAFE·Level safe — call wall + Min Zomma + DOM"&amp;IF(IFERROR(INDEX('Level Engine'!$KI$9:$KI$55,MATCH('King Node Model'!$AL$43,'Level Engine'!$AA$9:$AA$55,0)),"")&lt;&gt;"",CHAR(10)&amp;"• Overridden: "&amp;SUBSTITUTE(SUBSTITUTE(SUBSTITUTE(SUBSTITUTE(SUBSTITUTE(SUBSTITUTE(SUBSTITUTE(SUBSTITUTE(SUBSTITUTE(SUBSTITUTE(SUBSTITUTE(SUBSTITUTE(SUBSTITUTE(SUBSTITUTE(SUBSTITUTE(SUBSTITUTE(SUBSTITUTE(TRIM(IFERROR(INDEX('Level Engine'!$KI$9:$KI$55,MATCH('King Node Model'!$AL$43,'Level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46" t="str">
        <f>IF($E46="","",IF(IFERROR(INDEX('Level Engine'!$KX$9:$KX$55,MATCH('King Node Model'!$AL$43,'Level Engine'!$AA$9:$AA$55,0)),0)=1,"• "&amp;IF(IFERROR(INDEX('Level Engine'!$KW$9:$KW$55,MATCH('King Node Model'!$AL$43,'Level Engine'!$AA$9:$AA$55,0)),0)=1,"DEX falls off above ("&amp;TEXT(IFERROR(INDEX('Level Engine'!$KU$9:$KU$55,MATCH('King Node Model'!$AL$43,'Level Engine'!$AA$9:$AA$55,0)),0),"0%")&amp;") more sharply than below ("&amp;TEXT(IFERROR(INDEX('Level Engine'!$KV$9:$KV$55,MATCH('King Node Model'!$AL$43,'Level Engine'!$AA$9:$AA$55,0)),0),"0%")&amp;"), but "&amp;TEXT('King Node Model'!$AL$43-5,"0")&amp;" below is a reversal level with more DEX","DEX falls off below ("&amp;TEXT(IFERROR(INDEX('Level Engine'!$KV$9:$KV$55,MATCH('King Node Model'!$AL$43,'Level Engine'!$AA$9:$AA$55,0)),0),"0%")&amp;") more sharply than above ("&amp;TEXT(IFERROR(INDEX('Level Engine'!$KU$9:$KU$55,MATCH('King Node Model'!$AL$43,'Level Engine'!$AA$9:$AA$55,0)),0),"0%")&amp;"), but "&amp;TEXT('King Node Model'!$AL$43+5,"0")&amp;" above is a reversal level with more DEX")&amp;" — DEX lean warning not applied",IF(IFERROR(INDEX('Level Engine'!$KZ$9:$KZ$55,MATCH('King Node Model'!$AL$43,'Level Engine'!$AA$9:$AA$55,0)),0)=1,"• DEX falls off more sharply above ("&amp;TEXT(IFERROR(INDEX('Level Engine'!$KU$9:$KU$55,MATCH('King Node Model'!$AL$43,'Level Engine'!$AA$9:$AA$55,0)),0),"0%")&amp;") than below ("&amp;TEXT(IFERROR(INDEX('Level Engine'!$KV$9:$KV$55,MATCH('King Node Model'!$AL$43,'Level Engine'!$AA$9:$AA$55,0)),0),"0%")&amp;") — clean bounces less likely in positive gamma · however DEX supportive","")))</f>
        <v/>
      </c>
      <c r="DH46" t="str">
        <f>IF($DF46&lt;&gt;"",$DF46,(IF(AND($E46&lt;&gt;"",$DB46="",N(IFERROR(INDEX('Level Engine'!$JI$9:$JI$55,MATCH('King Node Model'!$AL$43,'Level Engine'!$AA$9:$AA$55,0)),""))=1),"SAFE·Level safe — all backers confirmed"&amp;CHAR(10)&amp;"• Reversal"&amp;IF(ISNUMBER(SEARCH("chop edge",$E46))," (chop edge)","")&amp;" ✓ · Vanna "&amp;IFERROR(INDEX('Level Engine'!$JV$9:$JV$55,MATCH('King Node Model'!$AL$43,'Level Engine'!$AA$9:$AA$55,0)),"")&amp;" on arrival ✓ · DEX "&amp;TEXT(N(IFERROR(INDEX('Level Engine'!$AE$9:$AE$55,MATCH('King Node Model'!$AL$43,'Level Engine'!$AA$9:$AA$55,0)),""))/1000,"+0;-0")&amp;"K ✓"&amp;IF(IFERROR(INDEX('Level Engine'!$KI$9:$KI$55,MATCH('King Node Model'!$AL$43,'Level Engine'!$AA$9:$AA$55,0)),"")&lt;&gt;"",CHAR(10)&amp;"• Overridden: "&amp;SUBSTITUTE(SUBSTITUTE(SUBSTITUTE(SUBSTITUTE(SUBSTITUTE(SUBSTITUTE(SUBSTITUTE(SUBSTITUTE(SUBSTITUTE(SUBSTITUTE(TRIM(IFERROR(INDEX('Level Engine'!$KI$9:$KI$55,MATCH('King Node Model'!$AL$43,'Level Engine'!$AA$9:$AA$55,0)),""))," "," · "),"HIGHIVFALL","IV High + ATM IV falling (melt-up risk)"),"LOWIVFALL","Low IV + ATM IV falling"),"CHOPEDGEIV","chop-edge IV"),"AMPLIFY","gamma peak"),"TROUGH","trough"),"SANDWICH","sandwich"),"BUMP","speed bump"),"ZACCEL","zomma ACCEL"),"EDGE","γSh edge"),""),IF(AND($E46&lt;&gt;"",$DB46="",IFERROR(INDEX('Level Engine'!$JS$9:$JS$55,MATCH('King Node Model'!$AL$43,'Level Engine'!$AA$9:$AA$55,0)),0)=1),"SAFE·Level is safe"&amp;CHAR(10)&amp;"• Positive gamma · GEX "&amp;TEXT(IFERROR(INDEX('Level Engine'!$AB$9:$AB$55,MATCH('King Node Model'!$AL$43,'Level Engine'!$AA$9:$AA$55,0)),0)/1000000,"+0.00;-0.00")&amp;"M"&amp;IF(IFERROR(INDEX('Level Engine'!$AB$9:$AB$55,MATCH('King Node Model'!$AL$43,'Level Engine'!$AA$9:$AA$55,0)),0)=MAX('Level Engine'!$AB$9:$AB$55),", largest on board","")&amp;CHAR(10)&amp;"• Zomma "&amp;TEXT(IFERROR(INDEX('Level Engine'!$AF$9:$AF$55,MATCH('King Node Model'!$AL$43,'Level Engine'!$AA$9:$AA$55,0)),0)/1000000,"+0.0;-0.0")&amp;"M, largest on board · "&amp;IF(IFERROR(INDEX('Level Engine'!$AF$9:$AF$55,MATCH('King Node Model'!$AL$43,'Level Engine'!$AA$9:$AA$55,0)),0)&lt;0,"falling","rising")&amp;" IV strengthens gamma"&amp;IF(IFERROR(INDEX('Level Engine'!$IY$9:$IY$55,MATCH('King Node Model'!$AL$43,'Level Engine'!$AA$9:$AA$55,0)),"")="BUY",CHAR(10)&amp;"• Vanna BUY "&amp;TEXT(IFERROR(INDEX('Level Engine'!$AD$9:$AD$55,MATCH('King Node Model'!$AL$43,'Level Engine'!$AA$9:$AA$55,0)),0)/1000000,"+0.00;-0.00")&amp;"M outweighed while IV "&amp;IF(IFERROR(INDEX('Level Engine'!$AF$9:$AF$55,MATCH('King Node Model'!$AL$43,'Level Engine'!$AA$9:$AA$55,0)),0)&lt;0,"falls","rises"),"")&amp;IF(N(IFERROR(INDEX('Level Engine'!$JF$9:$JF$55,MATCH('King Node Model'!$AL$43,'Level Engine'!$AA$9:$AA$55,0)),0))&gt;N(IFERROR(INDEX('Level Engine'!$JE$9:$JE$55,MATCH('King Node Model'!$AL$43,'Level Engine'!$AA$9:$AA$55,0)),0)),CHAR(10)&amp;"• Call-heavy · "&amp;TEXT(IFERROR(INDEX('Level Engine'!$JF$9:$JF$55,MATCH('King Node Model'!$AL$43,'Level Engine'!$AA$9:$AA$55,0)),0),"#,##0")&amp;" calls vs "&amp;TEXT(IFERROR(INDEX('Level Engine'!$JE$9:$JE$55,MATCH('King Node Model'!$AL$43,'Level Engine'!$AA$9:$AA$55,0)),0),"#,##0")&amp;" puts",""),$DB46)))&amp;IF(AND($E46&lt;&gt;"",$DB46="",OR('King Node Model'!$A$8&lt;&gt;"Pos",N('Level Engine'!$BG$72)=1),IFERROR(INDEX('Level Engine'!$HM$9:$HM$55,MATCH('King Node Model'!$AL$43,'Level Engine'!$AA$9:$AA$55,0)),0)=1,IFERROR(INDEX('Level Engine'!$JO$9:$JO$55,MATCH('King Node Model'!$AL$43,'Level Engine'!$AA$9:$AA$55,0)),0)&lt;&gt;1),IF(AND($DB46="",N(IFERROR(INDEX('Level Engine'!$JI$9:$JI$55,MATCH('King Node Model'!$AL$43,'Level Engine'!$AA$9:$AA$55,0)),0))&lt;&gt;1),"SAFE·Level safe"&amp;CHAR(10),CHAR(10))&amp;"• Trough · weak bounce — positive-gamma rule, not applied in negative/fragile gamma","")&amp;IF(AND($E46&lt;&gt;"",$DB46="",ISNUMBER('King Node Model'!$AL$43),OR('King Node Model'!$A$8="Neg",N('Level Engine'!$BG$72)=1),ABS(N('King Node Model'!$AL$43)-'Level Engine'!$B$4)&gt;'Level Engine'!$BG$98,OR('King Node Model'!$AL$43='Level Engine'!$BG$105,'King Node Model'!$AL$43='Level Engine'!$BG$87)),IF(AND($DB46="",N(IFERROR(INDEX('Level Engine'!$JI$9:$JI$55,MATCH('King Node Model'!$AL$43,'Level Engine'!$AA$9:$AA$55,0)),0))&lt;&gt;1,NOT(AND($E46&lt;&gt;"",$DB46="",OR('King Node Model'!$A$8&lt;&gt;"Pos",N('Level Engine'!$BG$72)=1),IFERROR(INDEX('Level Engine'!$HM$9:$HM$55,MATCH('King Node Model'!$AL$43,'Level Engine'!$AA$9:$AA$55,0)),0)=1,IFERROR(INDEX('Level Engine'!$JO$9:$JO$55,MATCH('King Node Model'!$AL$43,'Level Engine'!$AA$9:$AA$55,0)),0)&lt;&gt;1))),"SAFE·Level safe"&amp;CHAR(10),CHAR(10))&amp;"• ζ "&amp;IF('King Node Model'!$AL$43='Level Engine'!$BG$105,"Max Zomma: zomma read as IV rising","Min Zomma: zomma read as IV falling")&amp;" on arrival (Max/Min rule)",""))</f>
        <v>UNSAFE·Level at risk
• Low IV with ATM IV falling
• Zomma: thinning the ceiling (magnitude weak)
• Vanna BUY on arrival — dealers buy into this ceiling as IV falls</v>
      </c>
      <c r="DI46" t="str">
        <f>IF(AND(AND('King Node Model'!$A$8="Pos",IFERROR(IFERROR(INDEX('Level Engine'!$CZ$9:$CZ$55,MATCH('King Node Model'!$AL$43,'Level Engine'!$AA$9:$AA$55,0)),0)=1,FALSE),N(IFERROR(INDEX('Level Engine'!$AB$9:$AB$55,MATCH('King Node Model'!$AL$43,'Level Engine'!$AA$9:$AA$55,0)),0))&lt;0),NOT(ISNUMBER(SEARCH("REVERSAL",((IF($E46="","",IF(AND(SUM('King Node Model'!$C$29:$C$75)&gt;0,OR(ISNUMBER(SEARCH("PIN",'King Node Model'!Y43)),AND(ISNUMBER('Level Engine'!$BG$28),ISNUMBER(IFERROR(INDEX('Level Engine'!$AT$9:$AT$55,MATCH('King Node Model'!$AL$43,'Level Engine'!$AA$9:$AA$55,0)),"")),ISNUMBER(IFERROR(INDEX('Level Engine'!$AU$9:$AU$55,MATCH('King Node Model'!$AL$43,'Level Engine'!$AA$9:$AA$55,0)),"")),IFERROR(INDEX('Level Engine'!$AT$9:$AT$55,MATCH('King Node Model'!$AL$43,'Level Engine'!$AA$9:$AA$55,0)),"")&lt;&gt;IFERROR(INDEX('Level Engine'!$AU$9:$AU$55,MATCH('King Node Model'!$AL$43,'Level Engine'!$AA$9:$AA$55,0)),""),'Level Engine'!$BG$28&gt;=IFERROR(INDEX('Level Engine'!$AT$9:$AT$55,MATCH('King Node Model'!$AL$43,'Level Engine'!$AA$9:$AA$55,0)),""),'Level Engine'!$BG$28&lt;=IFERROR(INDEX('Level Engine'!$AU$9:$AU$55,MATCH('King Node Model'!$AL$43,'Level Engine'!$AA$9:$AA$55,0)),""))),OR(ISNUMBER(SEARCH("Charm buys",$F$17)),ISNUMBER(SEARCH("pin migrates higher",$F$17))),OR(ISNUMBER(SEARCH("Melt Up",$F$10)),ISNUMBER(SEARCH("Long Gamma Pin",$F$10))),OR(ISNUMBER(SEARCH("WEAKENING",$K46)),ISNUMBER(SEARCH("Pos gamma ↓",$K46)),ISNUMBER(SEARCH("thinning the ceiling",$K46))),IFERROR(ABS($F46)&lt;=25,FALSE())),"UNSAFE · PIN MIGRATION ↑",IF(AND(ISNUMBER(SEARCH("5/5",$E$29)),OR(ISNUMBER(SEARCH("WEAKENING",$K46)),ISNUMBER(SEARCH("Pos gamma ↓",$K46)),ISNUMBER(SEARCH("thinning the ceiling",$K46)))),"UNSAFE · SQUEEZE",'King Node Model'!Y43)))&amp;IF(AND(ISNUMBER('King Node Model'!$AL$43),IFERROR(INDEX('Level Engine'!$IU$9:$IU$55,MATCH('King Node Model'!$AL$43,'Level Engine'!$AA$9:$AA$55,0)),0)=1,UPPER('Level Engine'!$D$5)&lt;&gt;"DOWN"),CHAR(10)&amp;"RETEST · resistance if IV falls",""))&amp;IF(AND($E46&lt;&gt;"",IFERROR(INDEX('Level Engine'!$JR$9:$JR$55,MATCH('King Node Model'!$AL$43,'Level Engine'!$AA$9:$AA$55,0)),0)=1),"  · vanna-latched","")))))),"REVERSAL · ","")&amp;SUBSTITUTE(SUBSTITUTE(SUBSTITUTE(SUBSTITUTE(((IF($E46="","",IF(AND(SUM('King Node Model'!$C$29:$C$75)&gt;0,OR(ISNUMBER(SEARCH("PIN",'King Node Model'!Y43)),AND(ISNUMBER('Level Engine'!$BG$28),ISNUMBER(IFERROR(INDEX('Level Engine'!$AT$9:$AT$55,MATCH('King Node Model'!$AL$43,'Level Engine'!$AA$9:$AA$55,0)),"")),ISNUMBER(IFERROR(INDEX('Level Engine'!$AU$9:$AU$55,MATCH('King Node Model'!$AL$43,'Level Engine'!$AA$9:$AA$55,0)),"")),IFERROR(INDEX('Level Engine'!$AT$9:$AT$55,MATCH('King Node Model'!$AL$43,'Level Engine'!$AA$9:$AA$55,0)),"")&lt;&gt;IFERROR(INDEX('Level Engine'!$AU$9:$AU$55,MATCH('King Node Model'!$AL$43,'Level Engine'!$AA$9:$AA$55,0)),""),'Level Engine'!$BG$28&gt;=IFERROR(INDEX('Level Engine'!$AT$9:$AT$55,MATCH('King Node Model'!$AL$43,'Level Engine'!$AA$9:$AA$55,0)),""),'Level Engine'!$BG$28&lt;=IFERROR(INDEX('Level Engine'!$AU$9:$AU$55,MATCH('King Node Model'!$AL$43,'Level Engine'!$AA$9:$AA$55,0)),""))),OR(ISNUMBER(SEARCH("Charm buys",$F$17)),ISNUMBER(SEARCH("pin migrates higher",$F$17))),OR(ISNUMBER(SEARCH("Melt Up",$F$10)),ISNUMBER(SEARCH("Long Gamma Pin",$F$10))),OR(ISNUMBER(SEARCH("WEAKENING",$K46)),ISNUMBER(SEARCH("Pos gamma ↓",$K46)),ISNUMBER(SEARCH("thinning the ceiling",$K46))),IFERROR(ABS($F46)&lt;=25,FALSE())),"UNSAFE · PIN MIGRATION ↑",IF(AND(ISNUMBER(SEARCH("5/5",$E$29)),OR(ISNUMBER(SEARCH("WEAKENING",$K46)),ISNUMBER(SEARCH("Pos gamma ↓",$K46)),ISNUMBER(SEARCH("thinning the ceiling",$K46)))),"UNSAFE · SQUEEZE",'King Node Model'!Y43)))&amp;IF(AND(ISNUMBER('King Node Model'!$AL$43),IFERROR(INDEX('Level Engine'!$IU$9:$IU$55,MATCH('King Node Model'!$AL$43,'Level Engine'!$AA$9:$AA$55,0)),0)=1,UPPER('Level Engine'!$D$5)&lt;&gt;"DOWN"),CHAR(10)&amp;"RETEST · resistance if IV falls",""))&amp;IF(AND($E46&lt;&gt;"",IFERROR(INDEX('Level Engine'!$JR$9:$JR$55,MATCH('King Node Model'!$AL$43,'Level Engine'!$AA$9:$AA$55,0)),0)=1),"  · vanna-latched","")),"dEdge Cliff",IF(AND('King Node Model'!$A$8="Pos",IFERROR(IFERROR(INDEX('Level Engine'!$CZ$9:$CZ$55,MATCH('King Node Model'!$AL$43,'Level Engine'!$AA$9:$AA$55,0)),0)=1,FALSE),N(IFERROR(INDEX('Level Engine'!$AB$9:$AB$55,MATCH('King Node Model'!$AL$43,'Level Engine'!$AA$9:$AA$55,0)),0))&lt;0),"Put Wall · dEdge Cliff","dEdge Cliff"))," · accelerates",IF(AND('King Node Model'!$A$8="Pos",IFERROR(IFERROR(INDEX('Level Engine'!$CZ$9:$CZ$55,MATCH('King Node Model'!$AL$43,'Level Engine'!$AA$9:$AA$55,0)),0)=1,FALSE),N(IFERROR(INDEX('Level Engine'!$AB$9:$AB$55,MATCH('King Node Model'!$AL$43,'Level Engine'!$AA$9:$AA$55,0)),0))&lt;0),""," · accelerates")),"REVERSAL · ",IF(AND('King Node Model'!$A$8="Pos",IFERROR(IFERROR(INDEX('Level Engine'!$CZ$9:$CZ$55,MATCH('King Node Model'!$AL$43,'Level Engine'!$AA$9:$AA$55,0)),0)=1,FALSE),N(IFERROR(INDEX('Level Engine'!$AB$9:$AB$55,MATCH('King Node Model'!$AL$43,'Level Engine'!$AA$9:$AA$55,0)),0))&gt;0,N('Level Engine'!$BG$109)=1),"","REVERSAL · ")),"REVERSAL",IF(AND('King Node Model'!$A$8="Pos",IFERROR(IFERROR(INDEX('Level Engine'!$CZ$9:$CZ$55,MATCH('King Node Model'!$AL$43,'Level Engine'!$AA$9:$AA$55,0)),0)=1,FALSE),N(IFERROR(INDEX('Level Engine'!$AB$9:$AB$55,MATCH('King Node Model'!$AL$43,'Level Engine'!$AA$9:$AA$55,0)),0))&gt;0,N('Level Engine'!$BG$109)=1),"","REVERSAL"))</f>
        <v>REVERSAL · Cluster</v>
      </c>
      <c r="DJ46" t="str">
        <f>IF(ISNUMBER($AL46),IF($AL46='Level Engine'!$BG$122," ⫪","")&amp;IF($AL46='Level Engine'!$BG$118," S↑"&amp;IFERROR(INDEX('Level Engine'!$MV$9:$MV$55,MATCH($AL46,'Level Engine'!$AA$9:$AA$55,0)),""),"")&amp;IF($AL46='Level Engine'!$BG$119," S↓"&amp;IFERROR(INDEX('Level Engine'!$MV$9:$MV$55,MATCH($AL46,'Level Engine'!$AA$9:$AA$55,0)),""),"")&amp;IF($AL46='Level Engine'!$BG$120," D↑","")&amp;IF($AL46='Level Engine'!$BG$121," D↓","")&amp;IFERROR(INDEX('Level Engine'!$LG$9:$LG$55,MATCH($AL46,'Level Engine'!$AA$9:$AA$55,0)),"")&amp;IF(IFERROR(INDEX('Level Engine'!$MA$9:$MA$55,MATCH($AL46,'Level Engine'!$AA$9:$AA$55,0)),0)=1," SAND","")&amp;IF(IFERROR(INDEX('Level Engine'!$LM$9:$LM$55,MATCH($AL46,'Level Engine'!$AA$9:$AA$55,0)),0)&gt;0," TP","")&amp;IFERROR(" r"&amp;MATCH($AL46,'Level Engine'!$W$9:$W$14,0),IFERROR(" s"&amp;MATCH($AL46,'Level Engine'!$W$18:$W$23,0),""))&amp;IF($AL46='Level Engine'!$BG$165," ◇","")&amp;IF(N($DZ46)=1,IF($AL46&gt;'Level Engine'!$BG$165," ⚠ DOM↓"," ⚠ DOM↑")&amp;'Level Engine'!$BG$165,""),"")</f>
        <v/>
      </c>
      <c r="DK46" t="str">
        <f>IF(AND(ISNUMBER($AL46),OR($AL46='King Node Model'!$AL$42,$AL46='King Node Model'!$AL$43,$AL46='King Node Model'!$AL$44)),IFERROR(MATCH($AL46,'Level Engine'!$W$9:$W$14,0),""),"")</f>
        <v/>
      </c>
      <c r="DL46" t="str">
        <f>IF(AND(ISNUMBER($AL46),OR($AL46='King Node Model'!$AL$49,$AL46='King Node Model'!$AL$50,$AL46='King Node Model'!$AL$51)),IFERROR(MATCH($AL46,'Level Engine'!$W$18:$W$23,0),""),"")</f>
        <v/>
      </c>
      <c r="DM46">
        <f>IF(AND(ISNUMBER($AL46),IFERROR(INDEX('Level Engine'!$LC$9:$LC$55,MATCH($AL46,'Level Engine'!$AA$9:$AA$55,0)),0)=1,OR($AL46=$AN$3,IFERROR(INDEX('Level Engine'!$LB$9:$LB$55,MATCH($AL46,'Level Engine'!$AA$9:$AA$55,0)),0)=1)),1,0)</f>
        <v>0</v>
      </c>
      <c r="DN46" t="str">
        <f>IFERROR(CHOOSE(INDEX('Level Engine'!$LM$9:$LM$55,MATCH('King Node Model'!$AL$43,'Level Engine'!$AA$9:$AA$55,0))+1,"","TAKE PROFIT · DON'T BUY"&amp;INDEX('Level Engine'!$LQ$9:$LQ$55,MATCH('King Node Model'!$AL$43,'Level Engine'!$AA$9:$AA$55,0)),"TAKE PROFIT · DON'T SHORT"&amp;INDEX('Level Engine'!$LQ$9:$LQ$55,MATCH('King Node Model'!$AL$43,'Level Engine'!$AA$9:$AA$55,0))),"")</f>
        <v/>
      </c>
      <c r="DO46" t="str">
        <f>IF(AND($DV46&lt;&gt;"",$DB46=""),IF(LEFT($DX46,4)="SAFE",$DX46&amp;CHAR(10)&amp;$DV46,IF($DX46="","SAFE·Level safe"&amp;CHAR(10)&amp;$DV46,$DX46&amp;CHAR(10)&amp;$DV46)),$DX46)</f>
        <v>UNSAFE·Level at risk
• Low IV with ATM IV falling
• Zomma: thinning the ceiling (magnitude weak)
• Vanna BUY on arrival — dealers buy into this ceiling as IV falls</v>
      </c>
      <c r="DP46" t="str">
        <f>IFERROR(IF(AND(INDEX('Level Engine'!$LR$9:$LR$55,MATCH('King Node Model'!$AL$43,'Level Engine'!$AA$9:$AA$55,0))=1,INDEX('Level Engine'!$HP$9:$HP$55,MATCH('King Node Model'!$AL$43,'Level Engine'!$AA$9:$AA$55,0))&lt;&gt;1),"• Next to sandwich "&amp;IF(IFERROR(INDEX('Level Engine'!$EU$9:$EU$55,MATCH('King Node Model'!$AL$43+5,'Level Engine'!$AA$9:$AA$55,0)),0)=1,'King Node Model'!$AL$43+5,'King Node Model'!$AL$43-5)&amp;" · zomma "&amp;TEXT(INDEX('Level Engine'!$AF$9:$AF$55,MATCH('King Node Model'!$AL$43,'Level Engine'!$AA$9:$AA$55,0))/1000000,"+0.0")&amp;"M ✓"&amp;CHAR(10)&amp;"• Sandwich support: no-reversal warning doesn't apply"&amp;IF(IFERROR(INDEX('Level Engine'!$MB$9:$MB$55,MATCH('King Node Model'!$AL$43,'Level Engine'!$AA$9:$AA$55,0)),0)=1,CHAR(10)&amp;"• HELD — SAND✓ lock: keeps its row until a 3-pt break or +5 pts"&amp;IF(IFERROR(INDEX('Level Engine'!$JV$9:$JV$55,MATCH('King Node Model'!$AL$43,'Level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Model'!$AL$43,'Level Engine'!$AA$9:$AA$55,0)),""))),CHAR(10)&amp;"• Zomma ACCEL building (held through the lock)",""),""),""),"")</f>
        <v/>
      </c>
      <c r="DQ46" t="str">
        <f>IF($DN46="",$DP46,IF($DP46="",$DN46,$DN46&amp;CHAR(10)&amp;$DP46))</f>
        <v/>
      </c>
      <c r="DR46" t="str">
        <f>IF(IFERROR(INDEX('Level Engine'!$MS$9:$MS$55,MATCH('King Node Model'!$AL$43,'Level Engine'!$AA$9:$AA$55,0)),"")="",IFERROR(IF(INDEX('Level Engine'!$LS$9:$LS$55,MATCH('King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Engine'!$AA$9:$AA$55,0))/1000000,"+0.00;-0.00")&amp;"M — needs ≥ "&amp;TEXT('Level Engine'!$BG$144/1000000,"0.0")&amp;"M, not a SAND✓ level",IF(AND(INDEX('Level Engine'!$LR$9:$LR$55,MATCH('King Node Model'!$AL$43,'Level Engine'!$AA$9:$AA$55,0))=1,INDEX('Level Engine'!$HP$9:$HP$55,MATCH('King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Engine'!$AA$9:$AA$55,0))/1000000,"+0.0;-0.0")&amp;"M — SAND✓ but overridden by the warnings listed above","")),""),IF((IFERROR(IF(INDEX('Level Engine'!$LS$9:$LS$55,MATCH('King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Engine'!$AA$9:$AA$55,0))/1000000,"+0.00;-0.00")&amp;"M — needs ≥ "&amp;TEXT('Level Engine'!$BG$144/1000000,"0.0")&amp;"M, not a SAND✓ level",IF(AND(INDEX('Level Engine'!$LR$9:$LR$55,MATCH('King Node Model'!$AL$43,'Level Engine'!$AA$9:$AA$55,0))=1,INDEX('Level Engine'!$HP$9:$HP$55,MATCH('King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Engine'!$AA$9:$AA$55,0))/1000000,"+0.0;-0.0")&amp;"M — SAND✓ but overridden by the warnings listed above","")),""))="",IFERROR(INDEX('Level Engine'!$MS$9:$MS$55,MATCH('King Node Model'!$AL$43,'Level Engine'!$AA$9:$AA$55,0)),""),(IFERROR(IF(INDEX('Level Engine'!$LS$9:$LS$55,MATCH('King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Engine'!$AA$9:$AA$55,0))/1000000,"+0.00;-0.00")&amp;"M — needs ≥ "&amp;TEXT('Level Engine'!$BG$144/1000000,"0.0")&amp;"M, not a SAND✓ level",IF(AND(INDEX('Level Engine'!$LR$9:$LR$55,MATCH('King Node Model'!$AL$43,'Level Engine'!$AA$9:$AA$55,0))=1,INDEX('Level Engine'!$HP$9:$HP$55,MATCH('King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Engine'!$AA$9:$AA$55,0))/1000000,"+0.0;-0.0")&amp;"M — SAND✓ but overridden by the warnings listed above","")),""))&amp;CHAR(10)&amp;IFERROR(INDEX('Level Engine'!$MS$9:$MS$55,MATCH('King Node Model'!$AL$43,'Level Engine'!$AA$9:$AA$55,0)),"")))</f>
        <v/>
      </c>
      <c r="DS46" t="str">
        <f>IF($DQ46="",$DO46,IF(LEFT($DO46,4)="SAFE",LEFT($DO46,FIND(CHAR(10),$DO46&amp;CHAR(10))-1)&amp;CHAR(10)&amp;$DQ46&amp;MID($DO46,FIND(CHAR(10),$DO46&amp;CHAR(10)),9999),IF(AND($DO46="",$DP46&lt;&gt;""),"SAFE·Level safe"&amp;CHAR(10)&amp;$DQ46,$DQ46&amp;CHAR(10)&amp;$DO46)))</f>
        <v>UNSAFE·Level at risk
• Low IV with ATM IV falling
• Zomma: thinning the ceiling (magnitude weak)
• Vanna BUY on arrival — dealers buy into this ceiling as IV falls</v>
      </c>
      <c r="DU46" t="str">
        <f>IF(AND(N(IFERROR(INDEX('Level Engine'!$EX$9:$EX$55,MATCH('King Node Model'!$AL$43,'Level Engine'!$AA$9:$AA$55,0)),0))&lt;&gt;1,$E46&lt;&gt;"",NOT(AND('King Node Model'!$A$8&lt;&gt;"Neg",N('Level Engine'!$BG$72)&lt;&gt;1)),AND(OR(AND(ISNUMBER(IFERROR(INDEX('Level Engine'!$AC$9:$AC$55,MATCH('King Node Model'!$AL$43,'Level Engine'!$AA$9:$AA$55,0)),"")),IFERROR(INDEX('Level Engine'!$AC$9:$AC$55,MATCH('King Node Model'!$AL$43,'Level Engine'!$AA$9:$AA$55,0)),"")=MAX('Level Engine'!$AC$9:$AC$55)),AND(ISNUMBER(IFERROR(INDEX('Level Engine'!$AB$9:$AB$55,MATCH('King Node Model'!$AL$43,'Level Engine'!$AA$9:$AA$55,0)),"")),IFERROR(INDEX('Level Engine'!$AB$9:$AB$55,MATCH('King Node Model'!$AL$43,'Level Engine'!$AA$9:$AA$55,0)),"")=MIN('Level Engine'!$AB$9:$AB$55))),NOT(AND(AND(ISNUMBER(IFERROR(INDEX('Level Engine'!$AC$9:$AC$55,MATCH('King Node Model'!$AL$43,'Level Engine'!$AA$9:$AA$55,0)),"")),IFERROR(INDEX('Level Engine'!$AC$9:$AC$55,MATCH('King Node Model'!$AL$43,'Level Engine'!$AA$9:$AA$55,0)),"")=MAX('Level Engine'!$AC$9:$AC$55)),AND(ISNUMBER(IFERROR(INDEX('Level Engine'!$AB$9:$AB$55,MATCH('King Node Model'!$AL$43,'Level Engine'!$AA$9:$AA$55,0)),"")),IFERROR(INDEX('Level Engine'!$AB$9:$AB$55,MATCH('King Node Model'!$AL$43,'Level Engine'!$AA$9:$AA$55,0)),"")=MIN('Level Engine'!$AB$9:$AB$55)))),IFERROR(INDEX('Level Engine'!$AG$9:$AG$55,MATCH('King Node Model'!$AL$43,'Level Engine'!$AA$9:$AA$55,0)),"")="S",IFERROR(INDEX('Level Engine'!$AB$9:$AB$55,MATCH('King Node Model'!$AL$43,'Level Engine'!$AA$9:$AA$55,0)),0)&lt;0,NOT(OR('King Node Model'!$AL$43=$AN$16,'King Node Model'!$AL$43=$AN$17,'King Node Model'!$AL$43=$AN$18))),AND(OR('King Node Model'!$A$8="Neg",N('Level Engine'!$BG$72)=1),ISNUMBER(IFERROR(INDEX('Level Engine'!$AB$9:$AB$55,MATCH('King Node Model'!$AL$43,'Level Engine'!$AA$9:$AA$55,0)),"")),IFERROR(INDEX('Level Engine'!$AB$9:$AB$55,MATCH('King Node Model'!$AL$43,'Level Engine'!$AA$9:$AA$55,0)),"")=MIN('Level Engine'!$AB$9:$AB$55),'King Node Model'!$AL$43='Level Engine'!$BG$105)),$DG46,$DG46)</f>
      </c>
      <c r="DV46" t="str">
        <f>IF(IFERROR(INDEX('Level Engine'!$MU$9:$MU$55,MATCH('King Node Model'!$AL$43,'Level Engine'!$AA$9:$AA$55,0)),"")="",$DU46,IFERROR(INDEX('Level Engine'!$MU$9:$MU$55,MATCH('King Node Model'!$AL$43,'Level Engine'!$AA$9:$AA$55,0)),"")&amp;IF($DU46="","",CHAR(10)&amp;$DU46))</f>
      </c>
      <c r="DX46" t="str">
        <f>IF(IFERROR(INDEX('Level Engine'!$MZ$9:$MZ$55,MATCH('King Node Model'!$AL$43,'Level Engine'!$AA$9:$AA$55,0)),"")="",$DH46,IF(OR($DH46="",LEFT($DH46,4)="SAFE"),"UNSAFE·Level at risk"&amp;CHAR(10)&amp;IFERROR(INDEX('Level Engine'!$MZ$9:$MZ$55,MATCH('King Node Model'!$AL$43,'Level Engine'!$AA$9:$AA$55,0)),""),IF(LEFT($DH46,6)="UNSAFE","UNSAFE·Level at risk"&amp;CHAR(10)&amp;IFERROR(INDEX('Level Engine'!$MZ$9:$MZ$55,MATCH('King Node Model'!$AL$43,'Level Engine'!$AA$9:$AA$55,0)),"")&amp;MID($DH46,FIND(CHAR(10),$DH46&amp;CHAR(10)),9999),IFERROR(INDEX('Level Engine'!$MZ$9:$MZ$55,MATCH('King Node Model'!$AL$43,'Level Engine'!$AA$9:$AA$55,0)),"")&amp;CHAR(10)&amp;$DH46)))</f>
      </c>
      <c r="DZ46">
        <f>IF(ISNUMBER($AL46),IF(IFERROR(INDEX('Level Engine'!$NJ$9:$NJ$55,MATCH($AL46,'Level Engine'!$AA$9:$AA$55,0)),0)=1,1,0),0)</f>
      </c>
      <c r="EA46">
        <f>IF($E46="",0,IF(IFERROR(INDEX('Level Engine'!$NJ$9:$NJ$55,MATCH('King Node Model'!$AL$43,'Level Engine'!$AA$9:$AA$55,0)),0)=1,1,0))</f>
      </c>
    </row>
    <row r="47" spans="1:123" ht="120" customHeight="1" x14ac:dyDescent="0.25">
      <c r="A47" s="7" t="str">
        <f t="shared" si="3"/>
        <v/>
      </c>
      <c r="B47" s="8" t="str">
        <f>TEXT(IF(IF('Level Engine'!$GJ$4=1,$AL47='Level Engine'!$GJ$3,AND($AL47-$AM$2&gt;-2.5,$AL47-$AM$2&lt;=2.5)),$AM$2,$AL47),"0")&amp;IF($AL47=$AN$1," ★","")&amp;IF($AL47=$AN$2," ★","")&amp;IF($AL47=$AN$3," ◆","")&amp;IF(AND(ISNUMBER($AN$4),$AL47=$AN$4)," Ⓕ","")&amp;IF(OR(AND(ISNUMBER('Level Engine'!$BG$87),$AL47='Level Engine'!$BG$87),AND(ISNUMBER('Level Engine'!$BG$105),$AL47='Level Engine'!$BG$105))," ζ","")&amp;IF(AND(ISNUMBER($AN$35),$AL47=$AN$35)," ⓏⒼ","")&amp;IF(OR($AL47='Level Engine'!$CP$4,$AL47='Level Engine'!$CP$5,$AL47='Level Engine'!$CP$6,$AL47='Level Engine'!$CP$7)," ☄","")&amp;IF(OR($AL47=$AN$5,$AL47=$AN$8)," ║1","")&amp;IF(OR($AL47=$AN$6,$AL47=$AN$10)," ║2","")&amp;IF(OR($AL47=$AN$7,$AL47=$AN$11)," ║3","")&amp;IF(OR($AL47=$AN$13,$AL47=$AN$16)," ▣1","")&amp;IF(OR($AL47=$AN$14,$AL47=$AN$17)," ▣2","")&amp;IF(OR($AL47=$AN$15,$AL47=$AN$18)," ▣3","")&amp;IF(AND(NOT(OR(AND(ISNUMBER(SEARCH("chop edge",$E$45)),IFERROR(ABS($AL47-'King Node Model'!$AL$42)&lt;=5,FALSE),NOT(ISNUMBER(SEARCH("UNSAFE",$L$45)))),AND(ISNUMBER(SEARCH("chop edge",$E$46)),IFERROR(ABS($AL47-'King Node Model'!$AL$43)&lt;=5,FALSE),NOT(ISNUMBER(SEARCH("UNSAFE",$L$46)))),AND(ISNUMBER(SEARCH("chop edge",$E$52)),IFERROR(ABS($AL47-'King Node Model'!$AL$49)&lt;=5,FALSE),NOT(ISNUMBER(SEARCH("UNSAFE",$L$52)))),AND(ISNUMBER(SEARCH("chop edge",$E$53)),IFERROR(ABS($AL47-'King Node Model'!$AL$50)&lt;=5,FALSE),NOT(ISNUMBER(SEARCH("UNSAFE",$L$53)))))),OR(AND(IFERROR(INDEX('Level Engine'!$IB$9:$IB$55,MATCH('King Node Model'!$AL$49,'Level Engine'!$AA$9:$AA$55,0)),0)&lt;&gt;1,$AL47=IFERROR(INDEX('Level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Engine'!$AA$9:$AA$55,0)),0)&lt;&gt;1,$AL47=IFERROR(INDEX('Level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edge",$E$45)),IFERROR(ABS($AL47-'King Node Model'!$AL$42)&lt;=5,FALSE),NOT(ISNUMBER(SEARCH("UNSAFE",$L$45)))),AND(ISNUMBER(SEARCH("chop edge",$E$46)),IFERROR(ABS($AL47-'King Node Model'!$AL$43)&lt;=5,FALSE),NOT(ISNUMBER(SEARCH("UNSAFE",$L$46)))),AND(ISNUMBER(SEARCH("chop edge",$E$52)),IFERROR(ABS($AL47-'King Node Model'!$AL$49)&lt;=5,FALSE),NOT(ISNUMBER(SEARCH("UNSAFE",$L$52)))),AND(ISNUMBER(SEARCH("chop edge",$E$53)),IFERROR(ABS($AL47-'King Node Model'!$AL$50)&lt;=5,FALSE),NOT(ISNUMBER(SEARCH("UNSAFE",$L$53)))))),OR(AND(IFERROR(INDEX('Level Engine'!$IB$9:$IB$55,MATCH('King Node Model'!$AL$42,'Level Engine'!$AA$9:$AA$55,0)),0)&lt;&gt;1,$AL47=IFERROR(INDEX('Level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Engine'!$AA$9:$AA$55,0)),0)&lt;&gt;1,$AL47=IFERROR(INDEX('Level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ⒷⓁ"),"")&amp;IF(OR(AND($AL47&gt;='King Node Model'!$AM$17,$AL47&lt;='King Node Model'!$AN$17,$AP$45="RASP"),AND($AL47&gt;='King Node Model'!$AM$18,$AL47&lt;='King Node Model'!$AN$18,$AP$46="RASP"),AND($AL47&gt;='King Node Model'!$AM$19,$AL47&lt;='King Node Model'!$AN$19,$AP$47="RASP"),AND($AL47&gt;='King Node Model'!$AM$20,$AL47&lt;='King Node Model'!$AN$20,$AP$52="RASP"),AND($AL47&gt;='King Node Model'!$AM$21,$AL47&lt;='King Node Model'!$AN$21,$AP$53="RASP"),AND($AL47&gt;='King Node Model'!$AM$22,$AL47&lt;='King Node Model'!$AN$22,$AP$54="RASP")),"","")&amp;IF(IF('Level Engine'!$GJ$4=1,$AL47='Level Engine'!$GJ$3,AND($AL47-$AM$2&gt;-2.5,$AL47-$AM$2&lt;=2.5))," ◄","")&amp;IF(IFERROR(INDEX('Level Engine'!$GV$9:$GV$55,MATCH($AL47,'Level Engine'!$AA$9:$AA$55,0)),0)=1," Ⓥ"&amp;IF(IFERROR(INDEX('Level Engine'!$ET$9:$ET$55,MATCH($AL47,'Level Engine'!$AA$9:$AA$55,0)),0)=1,"+",""),"")&amp;IF(OR(AND($AL47=$AN$38,IFERROR(INDEX('Level Engine'!$AN$9:$AN$55,MATCH($AL47,'Level Engine'!$AA$9:$AA$55,0)),0)&lt;&gt;1),$AL47=$AN$39)," ⊙","")&amp;IF(AND(OR('King Node Model'!$A$8="Neg",N('Level Engine'!$BG$72)=1),ABS(MIN($AM$3:$AM$64))&gt;MAX($AM$3:$AM$64),$AN$2&lt;$AM$2,$AL47&lt;$AM$2,ABS($AL47-$AN$2)&lt;=5,IFERROR(VALUE(MID('King Node Model'!$K$26,FIND(":",'King Node Model'!$K$26)-2,2)),0)&gt;=19,IFERROR(INDEX('Level Engine'!$EJ$9:$EJ$55,MATCH($AL47,'Level Engine'!$AA$9:$AA$55,0)),0)=0,$AN$3&gt;$AM$2)," ⟲rev","")&amp;IF($AL47='King Node Model'!$F$24," ⟂","")&amp;$DJ47&amp;IF(IFERROR(INDEX('Level Engine'!$EN$9:$EN$55,MATCH($AL47,'Level Engine'!$AA$9:$AA$55,0)),0)=1," Ⓟ"&amp;IF(AND(OR('King Node Model'!$A$8="Neg",N('Level Engine'!$BG$72)=1),IFERROR(INDEX('Level Engine'!$AN$9:$AN$55,MATCH($AL47,'Level Engine'!$AA$9:$AA$55,0)),0)&lt;&gt;1)," NO-REV",""),"")&amp;IF(AND(ISNUMBER($AL47),OR(AND(ISNUMBER(SEARCH("chop edge",$E$45)),$AL47='King Node Model'!$AL$42),AND(ISNUMBER(SEARCH("chop edge",$E$46)),$AL47='King Node Model'!$AL$43),AND(ISNUMBER(SEARCH("chop edge",$E$52)),$AL47='King Node Model'!$AL$49),AND(ISNUMBER(SEARCH("chop edge",$E$53)),$AL47='King Node Model'!$AL$50)))," ⒸⒺ","")&amp;IF(AND('Level Engine'!$GJ$4=1,OR($AL47='Level Engine'!$GJ$1,$AL47='Level Engine'!$GJ$2)),"","")&amp;IF(ABS(N(IFERROR(INDEX('Level Engine'!$AE$9:$AE$55,MATCH($AL47,'Level Engine'!$AA$9:$AA$55,0)),0)))&gt;='Level Engine'!$BG$85,IF(N(IFERROR(INDEX('Level Engine'!$AE$9:$AE$55,MATCH($AL47,'Level Engine'!$AA$9:$AA$55,0)),0))&gt;0," Δ+"," Δ−"),"")&amp;IFERROR(IF(AND(ISNUMBER(MATCH($AL47,'Level Engine'!$AA$9:$AA$55,0)),ABS(N(IFERROR(INDEX('Level Engine'!$AE$9:$AE$55,MATCH($AL47,'Level Engine'!$AA$9:$AA$55,0)),0)))&lt;'Level Engine'!$BG$85,ABS(N(IFERROR(INDEX('Level Engine'!$AE$9:$AE$55,MATCH($AL47,'Level Engine'!$AA$9:$AA$55,0)),0)))&lt;=ABS(N(IFERROR(INDEX('Level Engine'!$AE$9:$AE$55,MATCH($AL47+5,'Level Engine'!$AA$9:$AA$55,0)),0))),ABS(N(IFERROR(INDEX('Level Engine'!$AE$9:$AE$55,MATCH($AL47,'Level Engine'!$AA$9:$AA$55,0)),0)))&lt;=ABS(N(IFERROR(INDEX('Level Engine'!$AE$9:$AE$55,MATCH($AL47-5,'Level Engine'!$AA$9:$AA$55,0)),0))),OR(AND(ABS(N(IFERROR(INDEX('Level Engine'!$AE$9:$AE$55,MATCH($AL47+5,'Level Engine'!$AA$9:$AA$55,0)),0)))&gt;='Level Engine'!$BG$85,ABS(N(IFERROR(INDEX('Level Engine'!$AE$9:$AE$55,MATCH($AL47,'Level Engine'!$AA$9:$AA$55,0)),0)))&lt;='Level Engine'!$BG$88*ABS(N(IFERROR(INDEX('Level Engine'!$AE$9:$AE$55,MATCH($AL47+5,'Level Engine'!$AA$9:$AA$55,0)),0)))),AND(ABS(N(IFERROR(INDEX('Level Engine'!$AE$9:$AE$55,MATCH($AL47-5,'Level Engine'!$AA$9:$AA$55,0)),0)))&gt;='Level Engine'!$BG$85,ABS(N(IFERROR(INDEX('Level Engine'!$AE$9:$AE$55,MATCH($AL47,'Level Engine'!$AA$9:$AA$55,0)),0)))&lt;='Level Engine'!$BG$88*ABS(N(IFERROR(INDEX('Level Engine'!$AE$9:$AE$55,MATCH($AL47-5,'Level Engine'!$AA$9:$AA$55,0)),0)))))),IF(AND('King Node Model'!$A$8="Pos",N('Level Engine'!$BG$72)&lt;&gt;1),""," ∅"),""),"")&amp;IF(IFERROR(INDEX('Level Engine'!$JD$9:$JD$55,MATCH($AL47,'Level Engine'!$AA$9:$AA$55,0)),"")="P"," P-OI",IF(IFERROR(INDEX('Level Engine'!$JD$9:$JD$55,MATCH($AL47,'Level Engine'!$AA$9:$AA$55,0)),"")="C"," C-OI",""))</f>
        <v>7665</v>
      </c>
      <c r="C47" s="9" t="str">
        <f t="shared" si="0"/>
        <v/>
      </c>
      <c r="D47" t="str">
        <f>IF(NOT(ISNUMBER($AL47)),"",IF(IFERROR(INDEX('Level Engine'!$FS$9:$FS$55,MATCH($AL47,'Level Engine'!$AA$9:$AA$55,0)),0)=1,"⊙",""))</f>
        <v/>
      </c>
      <c r="E47" s="48" t="str">
        <f>((('King Node Model'!S44&amp;IFERROR(" ·r"&amp;MATCH('King Node Model'!$AL$44,'Level Engine'!$W$9:$W$14,0),""))&amp;$CM$47)&amp;IFERROR(IF(AND(ISNUMBER('King Node Model'!$AL$44),AND(ISNUMBER(MATCH('King Node Model'!$AL$44+5,'Level Engine'!$AA$9:$AA$55,0)),ABS(N(IFERROR(INDEX('Level Engine'!$AE$9:$AE$55,MATCH('King Node Model'!$AL$44+5,'Level Engine'!$AA$9:$AA$55,0)),0)))&lt;'Level Engine'!$BG$85,ABS(N(IFERROR(INDEX('Level Engine'!$AE$9:$AE$55,MATCH('King Node Model'!$AL$44+5,'Level Engine'!$AA$9:$AA$55,0)),0)))&lt;=ABS(N(IFERROR(INDEX('Level Engine'!$AE$9:$AE$55,MATCH(('King Node Model'!$AL$44+5)+5,'Level Engine'!$AA$9:$AA$55,0)),0))),ABS(N(IFERROR(INDEX('Level Engine'!$AE$9:$AE$55,MATCH('King Node Model'!$AL$44+5,'Level Engine'!$AA$9:$AA$55,0)),0)))&lt;=ABS(N(IFERROR(INDEX('Level Engine'!$AE$9:$AE$55,MATCH(('King Node Model'!$AL$44+5)-5,'Level Engine'!$AA$9:$AA$55,0)),0))),OR(AND(ABS(N(IFERROR(INDEX('Level Engine'!$AE$9:$AE$55,MATCH(('King Node Model'!$AL$44+5)+5,'Level Engine'!$AA$9:$AA$55,0)),0)))&gt;='Level Engine'!$BG$85,ABS(N(IFERROR(INDEX('Level Engine'!$AE$9:$AE$55,MATCH('King Node Model'!$AL$44+5,'Level Engine'!$AA$9:$AA$55,0)),0)))&lt;='Level Engine'!$BG$88*ABS(N(IFERROR(INDEX('Level Engine'!$AE$9:$AE$55,MATCH(('King Node Model'!$AL$44+5)+5,'Level Engine'!$AA$9:$AA$55,0)),0)))),AND(ABS(N(IFERROR(INDEX('Level Engine'!$AE$9:$AE$55,MATCH(('King Node Model'!$AL$44+5)-5,'Level Engine'!$AA$9:$AA$55,0)),0)))&gt;='Level Engine'!$BG$85,ABS(N(IFERROR(INDEX('Level Engine'!$AE$9:$AE$55,MATCH('King Node Model'!$AL$44+5,'Level Engine'!$AA$9:$AA$55,0)),0)))&lt;='Level Engine'!$BG$88*ABS(N(IFERROR(INDEX('Level Engine'!$AE$9:$AE$55,MATCH(('King Node Model'!$AL$44+5)-5,'Level Engine'!$AA$9:$AA$55,0)),0))))))),IF(AND('King Node Model'!$A$8="Pos",N('Level Engine'!$BG$72)&lt;&gt;1),""," → ∅"&amp;TEXT('King Node Model'!$AL$44+5,"0")),""),""))&amp;IF(IFERROR(AND('King Node Model'!$A$8="Pos",ISNUMBER('Level Engine'!$BG$87),ISNUMBER('King Node Model'!$AL$44),'King Node Model'!$AL$44='Level Engine'!$BG$87),FALSE)," ζ","")</f>
        <v>7800 ·r1  [γWall] → ∅7805</v>
      </c>
      <c r="F47" s="60">
        <f>'King Node Model'!T44</f>
        <v>24.609999999999673</v>
      </c>
      <c r="G47" s="61">
        <f>'King Node Model'!U44</f>
        <v>-80182</v>
      </c>
      <c r="H47" s="49" t="str">
        <f>'King Node Model'!V44</f>
        <v>Vex Dex Dex↓ Spi Gfx</v>
      </c>
      <c r="I47" s="62">
        <f>'King Node Model'!W44</f>
        <v>5</v>
      </c>
      <c r="J47" s="56" t="str">
        <f>IF($E47="","",IFERROR(IF(OR(INDEX('Level Engine'!$IY$9:$IY$55,MATCH(--LEFT($E47,4),'Level Engine'!$AA$9:$AA$55,0))="SELL",INDEX('Level Engine'!$IY$9:$IY$55,MATCH(--LEFT($E47,4),'Level Engine'!$AA$9:$AA$55,0))="BUY"),IF(AND(N('Level Engine'!$BG$78)=1,IF('Level Engine'!$BG$80&lt;&gt;"",UPPER('Level Engine'!$BG$80),'Level Engine'!$D$5)="UP"),"TURNING",INDEX('Level Engine'!$IY$9:$IY$55,MATCH(--LEFT($E47,4),'Level Engine'!$AA$9:$AA$55,0)))&amp;" "&amp;IF(ABS(INDEX('Level Engine'!$AD$9:$AD$55,MATCH(--LEFT($E47,4),'Level Engine'!$AA$9:$AA$55,0)))&gt;=1000000,TEXT(INDEX('Level Engine'!$AD$9:$AD$55,MATCH(--LEFT($E47,4),'Level Engine'!$AA$9:$AA$55,0))/1000000,"+0.00;-0.00")&amp;"M",TEXT(INDEX('Level Engine'!$AD$9:$AD$55,MATCH(--LEFT($E47,4),'Level Engine'!$AA$9:$AA$55,0))/1000,"+0;-0")&amp;"K"),"—")&amp;IF(OR(INDEX('Level Engine'!$KF$9:$KF$55,MATCH(--LEFT($E47,4),'Level Engine'!$AA$9:$AA$55,0))="BUY",INDEX('Level Engine'!$KF$9:$KF$55,MATCH(--LEFT($E47,4),'Level Engine'!$AA$9:$AA$55,0))="SELL")," → "&amp;INDEX('Level Engine'!$KF$9:$KF$55,MATCH(--LEFT($E47,4),'Level Engine'!$AA$9:$AA$55,0))&amp;IF(ABS(N(INDEX('Level Engine'!$AD$9:$AD$55,MATCH(--LEFT($E47,4),'Level Engine'!$AA$9:$AA$55,0))))&gt;='Level Engine'!$BG$94,IF(OR(AND(INDEX('Level Engine'!$AG$9:$AG$55,MATCH(--LEFT($E47,4),'Level Engine'!$AA$9:$AA$55,0))="R",INDEX('Level Engine'!$KF$9:$KF$55,MATCH(--LEFT($E47,4),'Level Engine'!$AA$9:$AA$55,0))="SELL"),AND(INDEX('Level Engine'!$AG$9:$AG$55,MATCH(--LEFT($E47,4),'Level Engine'!$AA$9:$AA$55,0))="S",INDEX('Level Engine'!$KF$9:$KF$55,MATCH(--LEFT($E47,4),'Level Engine'!$AA$9:$AA$55,0))="BUY"))," ✓"," ✗"),""),""),"—"))</f>
        <v>BUY -174K → SELL ✓</v>
      </c>
      <c r="K47" s="56" t="str">
        <f>(IF(AND($E47&lt;&gt;"",IFERROR(AND('King Node Model'!$A$8="Pos",OR(ISNUMBER('Level Engine'!$BG$87),ISNUMBER('Level Engine'!$BG$105)),ISNUMBER('King Node Model'!$AL$44),OR('King Node Model'!$AL$44='Level Engine'!$BG$87,'King Node Model'!$AL$44='Level Engine'!$BG$105)),FALSE)),IF('King Node Model'!$AL$44='Level Engine'!$BG$105,"ζ MAX ZOMMA ","ζ MIN ZOMMA ")&amp;TEXT(IFERROR(INDEX('Level Engine'!$AF$9:$AF$55,MATCH('King Node Model'!$AL$44,'Level Engine'!$AA$9:$AA$55,0)),0)/1000000,"+0.0;-0.0")&amp;"M"&amp;CHAR(10),"")&amp;(IF(AND($E47&lt;&gt;"",IFERROR(INDEX('Level Engine'!$JS$9:$JS$55,MATCH('King Node Model'!$AL$44,'Level Engine'!$AA$9:$AA$55,0)),0)=1),IF(IFERROR(INDEX('Level Engine'!$AF$9:$AF$55,MATCH('King Node Model'!$AL$44,'Level Engine'!$AA$9:$AA$55,0)),0)&lt;0,"IV FALL","IV RISE")&amp;" REINFORCED · largest zomma on board"&amp;CHAR(10),""))&amp;(IF(OR($E47="",NOT(ISNUMBER('King Node Model'!$AL$44))),"",TEXT('King Node Model'!$AL$44,"0")&amp;" "&amp;(IF($E47="","",IF(NOT(ISNUMBER('King Node Model'!$AL$44)),"",SUBSTITUTE(IFERROR(INDEX('Level Engine'!$EQ$9:$EQ$55,MATCH('King Node Model'!$AL$44,'Level Engine'!$AA$9:$AA$55,0)),"")," (sub-threshold)","")&amp;IF(COUNTIF('Level Engine'!$ES$9:$ES$55,"&gt;"&amp;IFERROR(INDEX('Level Engine'!$ES$9:$ES$55,MATCH('King Node Model'!$AL$44,'Level Engine'!$AA$9:$AA$55,0)),0))+1&lt;=8," ("&amp;IF(IFERROR(INDEX('Level Engine'!$ES$9:$ES$55,MATCH('King Node Model'!$AL$44,'Level Engine'!$AA$9:$AA$55,0)),0)&gt;='Level Engine'!$S$10,"","sub-threshold, ")&amp;"r"&amp;TEXT(COUNTIF('Level Engine'!$ES$9:$ES$55,"&gt;"&amp;IFERROR(INDEX('Level Engine'!$ES$9:$ES$55,MATCH('King Node Model'!$AL$44,'Level Engine'!$AA$9:$AA$55,0)),0))+1,"0")&amp;")","")&amp;IF(AND(IFERROR(INDEX('Level Engine'!$AT$9:$AT$55,MATCH('King Node Model'!$AL$44,'Level Engine'!$AA$9:$AA$55,0)),'King Node Model'!$AL$44)&lt;&gt;IFERROR(INDEX('Level Engine'!$AU$9:$AU$55,MATCH('King Node Model'!$AL$44,'Level Engine'!$AA$9:$AA$55,0)),'King Node Model'!$AL$44),IF(IF(IFERROR(INDEX('Level Engine'!$KC$9:$KC$55,MATCH('King Node Model'!$AL$44,'Level Engine'!$AA$9:$AA$55,0)),IF('Level Engine'!$BG$80&lt;&gt;"",UPPER('Level Engine'!$BG$80),UPPER('Level Engine'!$D$5)))="UP",SIGN(IFERROR(INDEX('Level Engine'!$AF$9:$AF$55,MATCH('King Node Model'!$AL$44,'Level Engine'!$AA$9:$AA$55,0)),0)),IF(IFERROR(INDEX('Level Engine'!$KC$9:$KC$55,MATCH('King Node Model'!$AL$44,'Level Engine'!$AA$9:$AA$55,0)),IF('Level Engine'!$BG$80&lt;&gt;"",UPPER('Level Engine'!$BG$80),UPPER('Level Engine'!$D$5)))="DOWN",-SIGN(IFERROR(INDEX('Level Engine'!$AF$9:$AF$55,MATCH('King Node Model'!$AL$44,'Level Engine'!$AA$9:$AA$55,0)),0)),0))=1,"firming","thinning")&lt;&gt;IF(IF(IFERROR(INDEX('Level Engine'!$KC$9:$KC$55,MATCH('King Node Model'!$AL$44,'Level Engine'!$AA$9:$AA$55,0)),IF('Level Engine'!$BG$80&lt;&gt;"",UPPER('Level Engine'!$BG$80),UPPER('Level Engine'!$D$5)))="UP",SIGN(IFERROR(INDEX('Level Engine'!$AF$9:$AF$55,MATCH(IF('King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Engine'!$AA$9:$AA$55,0)),0)),IF(IFERROR(INDEX('Level Engine'!$KC$9:$KC$55,MATCH('King Node Model'!$AL$44,'Level Engine'!$AA$9:$AA$55,0)),IF('Level Engine'!$BG$80&lt;&gt;"",UPPER('Level Engine'!$BG$80),UPPER('Level Engine'!$D$5)))="DOWN",-SIGN(IFERROR(INDEX('Level Engine'!$AF$9:$AF$55,MATCH(IF('King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Engine'!$AA$9:$AA$55,0)),0)),0))=1,"firming","thinning"))," / "&amp;TEXT(IF('King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Model'!$AL$44)),"0")&amp;" "&amp;IF(IF(IFERROR(INDEX('Level Engine'!$KC$9:$KC$55,MATCH('King Node Model'!$AL$44,'Level Engine'!$AA$9:$AA$55,0)),IF('Level Engine'!$BG$80&lt;&gt;"",UPPER('Level Engine'!$BG$80),UPPER('Level Engine'!$D$5)))="UP",SIGN(IFERROR(INDEX('Level Engine'!$AF$9:$AF$55,MATCH(IF('King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Engine'!$AA$9:$AA$55,0)),0)),IF(IFERROR(INDEX('Level Engine'!$KC$9:$KC$55,MATCH('King Node Model'!$AL$44,'Level Engine'!$AA$9:$AA$55,0)),IF('Level Engine'!$BG$80&lt;&gt;"",UPPER('Level Engine'!$BG$80),UPPER('Level Engine'!$D$5)))="DOWN",-SIGN(IFERROR(INDEX('Level Engine'!$AF$9:$AF$55,MATCH(IF('King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Engine'!$AA$9:$AA$55,0)),0)),0))=1,"firming","thinning")&amp;" the ceiling ("&amp;IF(IFERROR(INDEX('Level Engine'!$ES$9:$ES$55,MATCH(IF('King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Engine'!$AA$9:$AA$55,0)),0)&gt;='Level Engine'!$S$10,"",IF(IFERROR(INDEX('Level Engine'!$ES$9:$ES$55,MATCH(IF('King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Engine'!$AA$9:$AA$55,0)),0)&gt;='Level Engine'!$S$16,"sub-threshold, ","magnitude weak, "))&amp;"r"&amp;TEXT(COUNTIF('Level Engine'!$ES$9:$ES$55,"&gt;"&amp;IFERROR(INDEX('Level Engine'!$ES$9:$ES$55,MATCH(IF('King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Engine'!$AA$9:$AA$55,0)),0))+1,"0")&amp;")","")))))))&amp;IF(AND($E47&lt;&gt;"",ISNUMBER('King Node Model'!$AL$44)),CHAR(10)&amp;IFERROR(INDEX('Level Engine'!$KE$9:$KE$55,MATCH('King Node Model'!$AL$44,'Level Engine'!$AA$9:$AA$55,0)),""),"")</f>
        <v>7800 firming the ceiling (magnitude weak)
Now: weakening the ceiling (IV rising) · if IV falls: strengthens the ceiling · expected on arrival: STRENGTHENS ✓</v>
      </c>
      <c r="L47" s="56" t="str">
        <f>IF($DR47="",$DS47,IF($DS47="",$DR47,$DS47&amp;CHAR(10)&amp;$DR47))</f>
        <v>UNSAFE·Level at risk
VOMMA CAP
UNSAFE·Level at risk</v>
      </c>
      <c r="M47" s="58" t="str">
        <f>IF(AND($E47&lt;&gt;"",ISNUMBER('King Node Model'!$AL$44),IFERROR(INDEX('Level Engine'!$AN$9:$AN$55,MATCH('King Node Model'!$AL$44,'Level Engine'!$AA$9:$AA$55,0)),0)&lt;&gt;1),"NO REV · "&amp;$DI47,IF(AND($E47&lt;&gt;"",IFERROR(INDEX('Level Engine'!$AN$9:$AN$55,MATCH('King Node Model'!$AL$44,'Level Engine'!$AA$9:$AA$55,0)),0)=1,ISNUMBER(SEARCH("⊙ PIN",$DI47))),IF(ISNUMBER(SEARCH("REVERSAL",TRIM(SUBSTITUTE(SUBSTITUTE($DI47,"⚡ ⊙ PIN",""),"⊙ PIN","")))),TRIM(SUBSTITUTE(SUBSTITUTE($DI47,"⚡ ⊙ PIN",""),"⊙ PIN","")),"REVERSAL"&amp;IF(TRIM(SUBSTITUTE(SUBSTITUTE($DI47,"⚡ ⊙ PIN",""),"⊙ PIN",""))&lt;&gt;""," · "&amp;TRIM(SUBSTITUTE(SUBSTITUTE($DI47,"⚡ ⊙ PIN",""),"⊙ PIN","")),"")),IF(AND($E47&lt;&gt;"",IFERROR(INDEX('Level Engine'!$AN$9:$AN$55,MATCH('King Node Model'!$AL$44,'Level Engine'!$AA$9:$AA$55,0)),0)=1,NOT(ISNUMBER(SEARCH("REVERSAL",$DI47)))),"REVERSAL · ","")&amp;$DI47))</f>
        <v>REVERSAL · · vanna-latched</v>
      </c>
      <c r="N47" s="63" t="str">
        <f>IF('King Node Model'!$AL$44="","",IF(IFERROR(INDEX('Level Engine'!$AX$9:$AX$55,MATCH('King Node Model'!$AL$44,'Level Engine'!$AA$9:$AA$55,0)),0)=1,"VOMMA CAP","—"))</f>
        <v>VOMMA CAP</v>
      </c>
      <c r="O47" s="466" t="str">
        <f>IFERROR(IF(AND($N47="VOMMA CAP",ABS($F47)&lt;=10,ISNUMBER(SEARCH("SHORT trigger",'GEX Depth'!$C$54))),"⚡ SHORT",""),"")</f>
        <v/>
      </c>
      <c r="P47" s="476"/>
      <c r="Q47" s="452" t="str">
        <f t="shared" si="21"/>
        <v xml:space="preserve">7775   51% </v>
      </c>
      <c r="R47" s="447" t="str">
        <f t="shared" si="22"/>
        <v>1.7k ▉▉▉▉</v>
      </c>
      <c r="S47" s="484" t="str">
        <f t="shared" si="23"/>
        <v>▉▉▉▉ 1.8k</v>
      </c>
      <c r="T47" s="484" t="str">
        <f t="shared" si="24"/>
        <v>g2</v>
      </c>
      <c r="U47" s="453" t="str">
        <f t="shared" si="25"/>
        <v/>
      </c>
      <c r="V47" s="39"/>
      <c r="W47" s="1"/>
      <c r="X47" s="10"/>
      <c r="Y47" s="10"/>
      <c r="Z47" s="1"/>
      <c r="AE47" s="1">
        <f>'King Node Model'!AW44</f>
        <v>0</v>
      </c>
      <c r="AL47" s="1">
        <f>'King Node Model'!A73</f>
        <v>7665</v>
      </c>
      <c r="AM47" s="10">
        <f>'King Node Model'!C73</f>
        <v>-58278</v>
      </c>
      <c r="AO47" s="10">
        <f>'King Node Model'!B73</f>
        <v>64859</v>
      </c>
      <c r="AP47" s="1" t="str">
        <f>IF($E47="","",IF($CJ47=1,"RASP",IF(AND(LEFT($L47,4)="SAFE",NOT(AND($DH47="",$DG47&lt;&gt;""))),"GREEN","")))</f>
        <v>RASP</v>
      </c>
      <c r="AY47" s="1">
        <f>IF(AND($B$2="Hide unsafe",$BB47=1),0,IF(AND(OR(AND(AND(ISNUMBER($AL47),OR(AND($AL47&gt;=$AQ$22,$AL47&lt;=$AR$22,$AS$22=1),$AL47=$AQ$22,$AL47=$AR$22,$AL47=$AQ$23,$AL47=$AR$23,$AL47=$AQ$24,$AL47=$AR$24),NOT(OR($AL47=$AN$5,$AL47=$AN$6,$AL47=$AN$7,$AL47=$AN$8,$AL47=$AN$10,$AL47=$AN$11))),NOT(OR(AND('King Node Model'!$P$13="Up",OR($AL47=$AQ$22,$AL47=$AQ$23,$AL47=$AQ$24,$AL47='King Node Model'!$AM$20,$AL47='King Node Model'!$AM$21,$AL47='King Node Model'!$AM$22),OR(AND('King Node Model'!$B$23-$AL47&gt;=0,'King Node Model'!$B$23-$AL47&lt;=5),AND('King Node Model'!$C$23-$AL47&gt;=0,'King Node Model'!$C$23-$AL47&lt;=5))),AND('King Node Model'!$P$13="Down",OR($AL47=$AR$22,$AL47=$AR$23,$AL47=$AR$24,$AL47='King Node Model'!$AN$20,$AL47='King Node Model'!$AN$21,$AL47='King Node Model'!$AN$22),OR(AND($AL47-'King Node Model'!$B$23&gt;=0,$AL47-'King Node Model'!$B$23&lt;=5),AND($AL47-'King Node Model'!$C$24&gt;=0,$AL47-'King Node Model'!$C$24&lt;=5)))))),AND(AND(ISNUMBER($AL47),OR(AND($AL47&gt;=$AQ$22,$AL47&lt;=$AR$22,$AS$22=1),$AL47=$AQ$22,$AL47=$AR$22,$AL47=$AQ$23,$AL47=$AR$23,$AL47=$AQ$24,$AL47=$AR$24,$AL47='King Node Model'!$AL$42,$AL47='King Node Model'!$AL$43),OR($AL47=$AN$5,$AL47=$AN$6,$AL47=$AN$7,$AL47=$AN$8,$AL47=$AN$10,$AL47=$AN$11)),NOT(OR(AND('King Node Model'!$P$13="Up",OR($AL47=$AQ$22,$AL47=$AQ$23,$AL47=$AQ$24,$AL47='King Node Model'!$AM$20,$AL47='King Node Model'!$AM$21,$AL47='King Node Model'!$AM$22),OR(AND('King Node Model'!$B$23-$AL47&gt;=0,'King Node Model'!$B$23-$AL47&lt;=5),AND('King Node Model'!$C$23-$AL47&gt;=0,'King Node Model'!$C$23-$AL47&lt;=5))),AND('King Node Model'!$P$13="Down",OR($AL47=$AR$22,$AL47=$AR$23,$AL47=$AR$24,$AL47='King Node Model'!$AN$20,$AL47='King Node Model'!$AN$21,$AL47='King Node Model'!$AN$22),OR(AND($AL47-'King Node Model'!$B$23&gt;=0,$AL47-'King Node Model'!$B$23&lt;=5),AND($AL47-'King Node Model'!$C$24&gt;=0,$AL47-'King Node Model'!$C$24&lt;=5)))))),AND(AND(ISNUMBER($AL47),OR(AND($AL47&gt;='King Node Model'!$AM$20,$AL47&lt;='King Node Model'!$AN$20,$AS$23=1),$AL47='King Node Model'!$AM$20,$AL47='King Node Model'!$AN$20,$AL47='King Node Model'!$AM$21,$AL47='King Node Model'!$AN$21,$AL47='King Node Model'!$AM$22,$AL47='King Node Model'!$AN$22),NOT(OR($AL47=$AN$5,$AL47=$AN$6,$AL47=$AN$7,$AL47=$AN$8,$AL47=$AN$10,$AL47=$AN$11))),NOT(AND(ISNUMBER('King Node Model'!$F$24),$AL47='King Node Model'!$F$24,IFERROR(INDEX('Level Engine'!$JN$9:$JN$55,MATCH($AL47,'Level Engine'!$AA$9:$AA$55,0)),0)&lt;&gt;1))),AND(AND(ISNUMBER($AL47),OR(AND($AL47&gt;='King Node Model'!$AM$20,$AL47&lt;='King Node Model'!$AN$20,$AS$23=1),$AL47='King Node Model'!$AM$20,$AL47='King Node Model'!$AN$20,$AL47='King Node Model'!$AM$21,$AL47='King Node Model'!$AN$21,$AL47='King Node Model'!$AM$22,$AL47='King Node Model'!$AN$22,$AL47='King Node Model'!$AL$49,$AL47='King Node Model'!$AL$50),OR($AL47=$AN$5,$AL47=$AN$6,$AL47=$AN$7,$AL47=$AN$8,$AL47=$AN$10,$AL47=$AN$11)),NOT(OR(AND('King Node Model'!$P$13="Up",OR($AL47=$AQ$22,$AL47=$AQ$23,$AL47=$AQ$24,$AL47='King Node Model'!$AM$20,$AL47='King Node Model'!$AM$21,$AL47='King Node Model'!$AM$22),OR(AND('King Node Model'!$B$23-$AL47&gt;=0,'King Node Model'!$B$23-$AL47&lt;=5),AND('King Node Model'!$C$23-$AL47&gt;=0,'King Node Model'!$C$23-$AL47&lt;=5))),AND('King Node Model'!$P$13="Down",OR($AL47=$AR$22,$AL47=$AR$23,$AL47=$AR$24,$AL47='King Node Model'!$AN$20,$AL47='King Node Model'!$AN$21,$AL47='King Node Model'!$AN$22),OR(AND($AL47-'King Node Model'!$B$23&gt;=0,$AL47-'King Node Model'!$B$23&lt;=5),AND($AL47-'King Node Model'!$C$24&gt;=0,$AL47-'King Node Model'!$C$24&lt;=5))))))),OR(COUNTIF('Level Engine'!$W$9:$W$14,$AL47)&gt;0,COUNTIF('Level Engine'!$W$18:$W$23,$AL47)&gt;0)),1,0))</f>
        <v>0</v>
      </c>
      <c r="AZ47" s="1">
        <f t="shared" si="1"/>
        <v>0</v>
      </c>
      <c r="BB47" s="1">
        <f>IF(OR(AND($AL47='King Node Model'!$AL$42,$AP$45&lt;&gt;"RASP"),AND($AL47='King Node Model'!$AL$43,$AP$46&lt;&gt;"RASP"),AND($AL47='King Node Model'!$AL$49,$AP$52&lt;&gt;"RASP"),AND($AL47='King Node Model'!$AL$50,$AP$53&lt;&gt;"RASP"),AND($AL47='King Node Model'!$AL$44,$AP$47&lt;&gt;"RASP"),AND($AL47='King Node Model'!$AL$51,$AP$54&lt;&gt;"RASP")),0,IF(AND(AND(ISNUMBER($AL47),OR(AND($AL47&gt;=$AQ$22,$AL47&lt;=$AR$22,$AP$45="RASP"),AND($AL47&gt;=$AQ$23,$AL47&lt;=$AR$23,$AP$46="RASP"),AND($AL47&gt;=$AQ$24,$AL47&lt;=$AR$24,$AP$47="RASP"),AND($AL47&gt;='King Node Model'!$AM$20,$AL47&lt;='King Node Model'!$AN$20,$AP$52="RASP",NOT($L$52=$AW$52)),AND($AL47='King Node Model'!$B$23,$AP$52="RASP",$L$52=$AW$52),AND($AL47&gt;='King Node Model'!$AM$21,$AL47&lt;='King Node Model'!$AN$21,$AP$53="RASP",NOT($L$53=$AW$53)),AND($AL47='King Node Model'!$B$23,$AP$53="RASP",$L$53=$AW$53),AND($AL47&gt;='King Node Model'!$AM$22,$AL47&lt;='King Node Model'!$AN$22,$AP$54="RASP"),AND($AL47&gt;=IFERROR(INDEX('Level Engine'!$AT$9:$AT$55,MATCH('King Node Model'!$AL$42,'Level Engine'!$AA$9:$AA$55,0)),""),$AL47&lt;=IFERROR(INDEX('Level Engine'!$AU$9:$AU$55,MATCH('King Node Model'!$AL$42,'Level Engine'!$AA$9:$AA$55,0)),""),$AP$45="RASP"),AND($AL47&gt;=IFERROR(INDEX('Level Engine'!$AT$9:$AT$55,MATCH('King Node Model'!$AL$43,'Level Engine'!$AA$9:$AA$55,0)),""),$AL47&lt;=IFERROR(INDEX('Level Engine'!$AU$9:$AU$55,MATCH('King Node Model'!$AL$43,'Level Engine'!$AA$9:$AA$55,0)),""),$AP$46="RASP"),AND($AL47&gt;=IFERROR(INDEX('Level Engine'!$AT$9:$AT$55,MATCH('King Node Model'!$AL$44,'Level Engine'!$AA$9:$AA$55,0)),""),$AL47&lt;=IFERROR(INDEX('Level Engine'!$AU$9:$AU$55,MATCH('King Node Model'!$AL$44,'Level Engine'!$AA$9:$AA$55,0)),""),$AP$47="RASP"),AND($AL47&gt;=IFERROR(INDEX('Level Engine'!$AT$9:$AT$55,MATCH('King Node Model'!$AL$49,'Level Engine'!$AA$9:$AA$55,0)),""),$AL47&lt;=IFERROR(INDEX('Level Engine'!$AU$9:$AU$55,MATCH('King Node Model'!$AL$49,'Level Engine'!$AA$9:$AA$55,0)),""),$AP$52="RASP",NOT($L$52=$AW$52)),AND($AL47&gt;=IFERROR(INDEX('Level Engine'!$AT$9:$AT$55,MATCH('King Node Model'!$AL$50,'Level Engine'!$AA$9:$AA$55,0)),""),$AL47&lt;=IFERROR(INDEX('Level Engine'!$AU$9:$AU$55,MATCH('King Node Model'!$AL$50,'Level Engine'!$AA$9:$AA$55,0)),""),$AP$53="RASP",NOT($L$53=$AW$53)),AND($AL47&gt;=IFERROR(INDEX('Level Engine'!$AT$9:$AT$55,MATCH('King Node Model'!$AL$51,'Level Engine'!$AA$9:$AA$55,0)),""),$AL47&lt;=IFERROR(INDEX('Level Engine'!$AU$9:$AU$55,MATCH('King Node Model'!$AL$51,'Level Engine'!$AA$9:$AA$55,0)),""),$AP$54="RASP"))),NOT(AND(ISNUMBER('King Node Model'!$F$24),$AL47='King Node Model'!$F$24,IFERROR(INDEX('Level Engine'!$JN$9:$JN$55,MATCH($AL47,'Level Engine'!$AA$9:$AA$55,0)),0)&lt;&gt;1,$AL47&lt;&gt;'King Node Model'!$AL$42,$AL47&lt;&gt;'King Node Model'!$AL$43,$AL47&lt;&gt;'King Node Model'!$AL$44,$AL47&lt;&gt;'King Node Model'!$AL$49,$AL47&lt;&gt;'King Node Model'!$AL$50,$AL47&lt;&gt;'King Node Model'!$AL$51))),1,0))</f>
        <v>0</v>
      </c>
      <c r="BK47">
        <f>IFERROR(LARGE($CH$43:$CH$51,5),"")</f>
        <v>7775</v>
      </c>
      <c r="BL47">
        <f>IFERROR(INDEX('King Node Model'!$K$29:$K$75,MATCH($BK47,'King Node Model'!$A$29:$A$75,0)),"")</f>
        <v>1710</v>
      </c>
      <c r="BM47">
        <f>IFERROR(INDEX('King Node Model'!$L$29:$L$75,MATCH($BK47,'King Node Model'!$A$29:$A$75,0)),"")</f>
        <v>1752</v>
      </c>
      <c r="BN47">
        <f t="shared" si="26"/>
        <v>1.2131715771230503E-2</v>
      </c>
      <c r="BO47">
        <f>IFERROR(INDEX('Level Engine'!$AC$9:$AC$55,MATCH($BK47,'Level Engine'!$AA$9:$AA$55,0))/MAX('Level Engine'!$AC$9:$AC$55),"")</f>
        <v>0.90710035563503288</v>
      </c>
      <c r="BP47">
        <f>IF(NOT(ISNUMBER($BK47)),"",IF($BK47&gt;'King Node Model'!$B$4,1,-1))</f>
        <v>-1</v>
      </c>
      <c r="BQ47" t="str">
        <f>IF(OR(NOT(ISNUMBER($BN47)),NOT(ISNUMBER($BO47))),"",IF($BO47&lt;0.15,"thin",IF(OR('King Node Model'!$A$8="Neg",N('Level Engine'!$BG$72)=1),"",IF($BP47=1,IF($BN47&lt;=-0.4,"HARD ceil",IF($BN47&lt;=-0.15,"ceil",IF($BN47&lt;0.15,"neutral","soft ceil"))),IF($BN47&gt;=0.4,"FIRM floor",IF($BN47&gt;=0.15,"floor",IF($BN47&gt;-0.15,"neutral","WEAK floor"))))&amp;IF($BO47&lt;0.25," ·marginal",""))))</f>
        <v/>
      </c>
      <c r="BR47" t="str">
        <f>IF(NOT(ISNUMBER($BN47)),"",IF(OR('King Node Model'!$A$8="Neg",N('Level Engine'!$BG$72)=1),"",IF(AND($BP47=1,$BN47&gt;0.15),"⚠",IF(AND($BP47=-1,$BN47&lt;-0.15),"⚠",""))))</f>
        <v/>
      </c>
      <c r="BW47">
        <f t="shared" si="27"/>
        <v>2</v>
      </c>
      <c r="BX47">
        <f t="shared" si="28"/>
        <v>2</v>
      </c>
      <c r="BY47" t="str">
        <f t="shared" si="29"/>
        <v/>
      </c>
      <c r="BZ47">
        <f t="shared" si="30"/>
        <v>3462</v>
      </c>
      <c r="CH47">
        <f>IF($CI47&lt;=0,"",IFERROR(SUMPRODUCT(MAX((('King Node Model'!$A$29:$A$75&gt;='King Node Model'!$B$4-25)*('King Node Model'!$A$29:$A$75&lt;='King Node Model'!$B$4+25)*('King Node Model'!$A$29:$A$75&gt;0)*((626-('King Node Model'!$A$29:$A$75-'King Node Model'!$B$4)^2)*1000000+'King Node Model'!$A$29:$A$75)=$CI47)*'King Node Model'!$A$29:$A$75)),""))</f>
        <v>7765</v>
      </c>
      <c r="CI47">
        <f>IFERROR(SUMPRODUCT(LARGE(('King Node Model'!$A$29:$A$75&gt;='King Node Model'!$B$4-25)*('King Node Model'!$A$29:$A$75&lt;='King Node Model'!$B$4+25)*('King Node Model'!$A$29:$A$75&gt;0)*((626-('King Node Model'!$A$29:$A$75-'King Node Model'!$B$4)^2)*1000000+'King Node Model'!$A$29:$A$75),5)),0)</f>
        <v>518055664.99999321</v>
      </c>
      <c r="CJ47">
        <f>IF($DF47&lt;&gt;"",0,IF(AND($E47&lt;&gt;"",IFERROR(INDEX('Level Engine'!$HP$9:$HP$55,MATCH('King Node Model'!$AL$44,'Level Engine'!$AA$9:$AA$55,0)),0)=1),1,IF(OR(AND(IFERROR(INDEX('Level Engine'!$GV$9:$GV$55,MATCH('King Node Model'!$AL$44,'Level Engine'!$AA$9:$AA$55,0)),0)=1,IFERROR(INDEX('Level Engine'!$JK$9:$JK$55,MATCH('King Node Model'!$AL$44,'Level Engine'!$AA$9:$AA$55,0)),0)&lt;&gt;1,IFERROR(INDEX('Level Engine'!$IW$9:$IW$55,MATCH('King Node Model'!$AL$44,'Level Engine'!$AA$9:$AA$55,0)),0)&lt;&gt;1),AND(ISNUMBER('King Node Model'!$AL$44),'King Node Model'!$AL$44='King Node Model'!$F$24,IFERROR(INDEX('Level Engine'!$JN$9:$JN$55,MATCH('King Node Model'!$AL$44,'Level Engine'!$AA$9:$AA$55,0)),0)&lt;&gt;1)),0,IF($E47="",0,IF(OR($CR47&lt;&gt;"",AND('King Node Model'!$A$8="Pos",N('Level Engine'!$BG$72)&lt;&gt;1,IFERROR(INDEX('Level Engine'!$HM$9:$HM$55,MATCH('King Node Model'!$AL$44,'Level Engine'!$AA$9:$AA$55,0)),0)=1,IFERROR(INDEX('Level Engine'!$JO$9:$JO$55,MATCH('King Node Model'!$AL$44,'Level Engine'!$AA$9:$AA$55,0)),0)&lt;&gt;1,IFERROR(INDEX('Level Engine'!$JI$9:$JI$55,MATCH('King Node Model'!$AL$44,'Level Engine'!$AA$9:$AA$55,0)),0)&lt;&gt;1),IFERROR(INDEX('Level Engine'!$IS$9:$IS$55,MATCH('King Node Model'!$AL$44,'Level Engine'!$AA$9:$AA$55,0)),0)=1,AND(ISNUMBER(SEARCH("UNSAFE",$L47)),NOT(AND(IFERROR(INDEX('Level Engine'!$EW$9:$EW$55,MATCH('King Node Model'!$AL$44,'Level Engine'!$AA$9:$AA$55,0)),0)=1,IFERROR(INDEX('Level Engine'!$CI$9:$CI$55,MATCH('King Node Model'!$AL$44,'Level Engine'!$AA$9:$AA$55,0)),0)=0)))),1,0)))))</f>
        <v>1</v>
      </c>
      <c r="CK47" t="str">
        <f>IF(IFERROR(INDEX('Level Engine'!$EX$9:$EX$55,MATCH('King Node Model'!$AL$44,'Level Engine'!$AA$9:$AA$55,0)),0)=1,"",IF($E47="","",IF(AND('King Node Model'!$A$8&lt;&gt;"Neg",N('Level Engine'!$BG$72)&lt;&gt;1),"",IF(AND(OR(AND(ISNUMBER(IFERROR(INDEX('Level Engine'!$AC$9:$AC$55,MATCH('King Node Model'!$AL$44,'Level Engine'!$AA$9:$AA$55,0)),"")),IFERROR(INDEX('Level Engine'!$AC$9:$AC$55,MATCH('King Node Model'!$AL$44,'Level Engine'!$AA$9:$AA$55,0)),"")=MAX('Level Engine'!$AC$9:$AC$55)),AND(ISNUMBER(IFERROR(INDEX('Level Engine'!$AB$9:$AB$55,MATCH('King Node Model'!$AL$44,'Level Engine'!$AA$9:$AA$55,0)),"")),IFERROR(INDEX('Level Engine'!$AB$9:$AB$55,MATCH('King Node Model'!$AL$44,'Level Engine'!$AA$9:$AA$55,0)),"")=MIN('Level Engine'!$AB$9:$AB$55))),NOT(AND(AND(ISNUMBER(IFERROR(INDEX('Level Engine'!$AC$9:$AC$55,MATCH('King Node Model'!$AL$44,'Level Engine'!$AA$9:$AA$55,0)),"")),IFERROR(INDEX('Level Engine'!$AC$9:$AC$55,MATCH('King Node Model'!$AL$44,'Level Engine'!$AA$9:$AA$55,0)),"")=MAX('Level Engine'!$AC$9:$AC$55)),AND(ISNUMBER(IFERROR(INDEX('Level Engine'!$AB$9:$AB$55,MATCH('King Node Model'!$AL$44,'Level Engine'!$AA$9:$AA$55,0)),"")),IFERROR(INDEX('Level Engine'!$AB$9:$AB$55,MATCH('King Node Model'!$AL$44,'Level Engine'!$AA$9:$AA$55,0)),"")=MIN('Level Engine'!$AB$9:$AB$55)))),IFERROR(INDEX('Level Engine'!$AG$9:$AG$55,MATCH('King Node Model'!$AL$44,'Level Engine'!$AA$9:$AA$55,0)),"")="S",IFERROR(INDEX('Level Engine'!$AB$9:$AB$55,MATCH('King Node Model'!$AL$44,'Level Engine'!$AA$9:$AA$55,0)),0)&lt;0,NOT(OR('King Node Model'!$AL$44=$AN$16,'King Node Model'!$AL$44=$AN$17,'King Node Model'!$AL$44=$AN$18)),NOT(AND(OR('King Node Model'!$A$8="Neg",N('Level Engine'!$BG$72)=1),ISNUMBER(IFERROR(INDEX('Level Engine'!$AB$9:$AB$55,MATCH('King Node Model'!$AL$44,'Level Engine'!$AA$9:$AA$55,0)),"")),IFERROR(INDEX('Level Engine'!$AB$9:$AB$55,MATCH('King Node Model'!$AL$44,'Level Engine'!$AA$9:$AA$55,0)),"")=MIN('Level Engine'!$AB$9:$AB$55),'King Node Model'!$AL$44='Level Engine'!$BG$105))),CHAR(10)&amp;"UNSAFE·Level at risk"&amp;CHAR(10)&amp;"• Accelerant — "&amp;IF(AND(ISNUMBER(IFERROR(INDEX('Level Engine'!$AC$9:$AC$55,MATCH('King Node Model'!$AL$44,'Level Engine'!$AA$9:$AA$55,0)),"")),IFERROR(INDEX('Level Engine'!$AC$9:$AC$55,MATCH('King Node Model'!$AL$44,'Level Engine'!$AA$9:$AA$55,0)),"")=MAX('Level Engine'!$AC$9:$AC$55)),"max gamma","min GEX")&amp;" alone, not a "&amp;IF(IFERROR(INDEX('Level Engine'!$AG$9:$AG$55,MATCH('King Node Model'!$AL$44,'Level Engine'!$AA$9:$AA$55,0)),"")="S","floor","ceiling"),""))))</f>
        <v/>
      </c>
      <c r="CM47" t="str">
        <f>(IF(NOT(ISNUMBER('King Node Model'!$AL$44)),"","  ["&amp;IF(IFERROR(INDEX('Level Engine'!$ID$9:$ID$55,MATCH('King Node Model'!$AL$44,'Level Engine'!$AA$9:$AA$55,0)),"")="",IF(IFERROR(INDEX('Level Engine'!$DC$9:$DC$55,MATCH('King Node Model'!$AL$44,'Level Engine'!$AA$9:$AA$55,0)),0)=1,"γSh",IFERROR(INDEX('Level Engine'!$JJ$9:$JJ$55,MATCH('King Node Model'!$AL$44,'Level Engine'!$AA$9:$AA$55,0)),"no geometry")),IFERROR(INDEX('Level Engine'!$ID$9:$ID$55,MATCH('King Node Model'!$AL$44,'Level Engine'!$AA$9:$AA$55,0)),""))&amp;IF(AND(ISNUMBER(IFERROR(INDEX('Level Engine'!$FB$9:$FB$55,MATCH('King Node Model'!$AL$44,'Level Engine'!$AA$9:$AA$55,0)),"")),ISNUMBER(IFERROR(INDEX('Level Engine'!$FC$9:$FC$55,MATCH('King Node Model'!$AL$44,'Level Engine'!$AA$9:$AA$55,0)),"")),IFERROR(INDEX('Level Engine'!$FB$9:$FB$55,MATCH('King Node Model'!$AL$44,'Level Engine'!$AA$9:$AA$55,0)),"")&lt;&gt;IFERROR(INDEX('Level Engine'!$FC$9:$FC$55,MATCH('King Node Model'!$AL$44,'Level Engine'!$AA$9:$AA$55,0)),""))," "&amp;TEXT(IFERROR(INDEX('Level Engine'!$FB$9:$FB$55,MATCH('King Node Model'!$AL$44,'Level Engine'!$AA$9:$AA$55,0)),""),"0")&amp;"-"&amp;TEXT(IFERROR(INDEX('Level Engine'!$FC$9:$FC$55,MATCH('King Node Model'!$AL$44,'Level Engine'!$AA$9:$AA$55,0)),""),"0"),"")&amp;"]"))&amp;IF(N(IFERROR(INDEX('Level Engine'!$KB$9:$KB$55,MATCH('King Node Model'!$AL$44,'Level Engine'!$AA$9:$AA$55,0)),0))&lt;&gt;0,"  ▲ accelerant "&amp;TEXT(IFERROR(INDEX('Level Engine'!$KB$9:$KB$55,MATCH('King Node Model'!$AL$44,'Level Engine'!$AA$9:$AA$55,0)),0),"0")&amp;" below","")</f>
        <v xml:space="preserve">  [γWall]</v>
      </c>
      <c r="CN47" t="str">
        <f>IF(IFERROR(INDEX('Level Engine'!$JI$9:$JI$55,MATCH('King Node Model'!$AL$44,'Level Engine'!$AA$9:$AA$55,0)),0)=1,"",IF(IFERROR(INDEX('Level Engine'!$JO$9:$JO$55,MATCH('King Node Model'!$AL$44,'Level Engine'!$AA$9:$AA$55,0)),0)=1,"",IF(IFERROR(INDEX('Level Engine'!$EX$9:$EX$55,MATCH('King Node Model'!$AL$44,'Level Engine'!$AA$9:$AA$55,0)),0)=1,"",IF(NOT(ISNUMBER('King Node Model'!$AL$44)),"",IF(AND('King Node Model'!$A$8&lt;&gt;"Neg",N('Level Engine'!$BG$72)&lt;&gt;1),"",IF(IFERROR(INDEX('Level Engine'!$EY$9:$EY$55,MATCH('King Node Model'!$AL$44,'Level Engine'!$AA$9:$AA$55,0)),0)&lt;&gt;1,"",IF(AND('King Node Model'!$AL$44='King Node Model'!$B$23,OR('King Node Model'!$AL$44='King Node Model'!$C$23,'King Node Model'!$AL$44=$AN$13,'King Node Model'!$AL$44=$AN$14,'King Node Model'!$AL$44=$AN$15)),"",IF(AND(IFERROR(INDEX('Level Engine'!$EW$9:$EW$55,MATCH('King Node Model'!$AL$44,'Level Engine'!$AA$9:$AA$55,0)),0)=1,IFERROR(INDEX('Level Engine'!$CI$9:$CI$55,MATCH('King Node Model'!$AL$44,'Level Engine'!$AA$9:$AA$55,0)),0)=0),"",IF($CK47&lt;&gt;"","",CHAR(10)&amp;"UNSAFE·Level at risk"&amp;CHAR(10)&amp;"• Gamma peak — hedging amplifies through it rather than absorbing")))))))))</f>
        <v/>
      </c>
      <c r="CO47">
        <f>IF(NOT(ISNUMBER($AL47)),"",IF(NOT(ISNUMBER(IFERROR(INDEX('Level Engine'!$FT$9:$FT$55,MATCH($AL47,'Level Engine'!$AA$9:$AA$55,0)),""))),"",IF(IFERROR(INDEX('Level Engine'!$FT$9:$FT$55,MATCH($AL47,'Level Engine'!$AA$9:$AA$55,0)),"")&lt;0,0,2)+IF(ABS(IFERROR(INDEX('Level Engine'!$FT$9:$FT$55,MATCH($AL47,'Level Engine'!$AA$9:$AA$55,0)),""))&gt;='Level Engine'!$FT$2,2,1)))</f>
        <v>2</v>
      </c>
      <c r="CP47" t="str">
        <f>IF(IFERROR(INDEX('Level Engine'!$JO$9:$JO$55,MATCH('King Node Model'!$AL$44,'Level Engine'!$AA$9:$AA$55,0)),0)=1,"",IF($E47="","",IF(AND('King Node Model'!$A$8="Pos",N('Level Engine'!$BG$72)&lt;&gt;1,IFERROR(INDEX('Level Engine'!$HM$9:$HM$55,MATCH('King Node Model'!$AL$44,'Level Engine'!$AA$9:$AA$55,0)),0)=1,IFERROR(INDEX('Level Engine'!$JI$9:$JI$55,MATCH('King Node Model'!$AL$44,'Level Engine'!$AA$9:$AA$55,0)),0)&lt;&gt;1),"UNSAFE·Level at risk"&amp;CHAR(10)&amp;IF(OR('King Node Model'!$A$8&lt;&gt;"Pos",'Level Engine'!$BG$72=1),"• Trough · weak bounce","• Trough weakest shape on the ladder")&amp;"","")))</f>
        <v/>
      </c>
      <c r="CQ47" t="str">
        <f>(((IF($E47="","",(IF($E47="","",IF(NOT(OR('King Node Model'!$A$8="Neg",N('Level Engine'!$BG$72)=1)),"",IF(ISNUMBER(SEARCH("VOMMA",$N47)),$N47,IF(SUMPRODUCT((ABS('Level Engine'!$AF$9:$AF$55)&lt;=ABS(IFERROR(INDEX('Level Engine'!$AF$9:$AF$55,MATCH('King Node Model'!$AL44,'Level Engine'!$AA$9:$AA$55,0)),0)))*1)/COUNT('Level Engine'!$AF$9:$AF$55)&gt;=0.66,"",IF(AND(IFERROR(INDEX('Level Engine'!$AB$9:$AB$55,MATCH('King Node Model'!$AL44,'Level Engine'!$AA$9:$AA$55,0)),0)&gt;0,SUMPRODUCT((ABS('Level Engine'!$AB$9:$AB$55)&lt;=ABS(IFERROR(INDEX('Level Engine'!$AB$9:$AB$55,MATCH('King Node Model'!$AL44,'Level Engine'!$AA$9:$AA$55,0)),0)))*1)/COUNT('Level Engine'!$AB$9:$AB$55)&gt;=0.66),"",""))))))&amp;IF(AND(IFERROR(INDEX('Level Engine'!$EW$9:$EW$55,MATCH('King Node Model'!$AL$44,'Level Engine'!$AA$9:$AA$55,0)),0)=1,IFERROR(INDEX('Level Engine'!$CI$9:$CI$55,MATCH('King Node Model'!$AL$44,'Level Engine'!$AA$9:$AA$55,0)),0)=0),IF((IF($E47="","",IF(NOT(OR('King Node Model'!$A$8="Neg",N('Level Engine'!$BG$72)=1)),"",IF(ISNUMBER(SEARCH("VOMMA",$N47)),$N47,IF(SUMPRODUCT((ABS('Level Engine'!$AF$9:$AF$55)&lt;=ABS(IFERROR(INDEX('Level Engine'!$AF$9:$AF$55,MATCH('King Node Model'!$AL44,'Level Engine'!$AA$9:$AA$55,0)),0)))*1)/COUNT('Level Engine'!$AF$9:$AF$55)&gt;=0.66,"",IF(AND(IFERROR(INDEX('Level Engine'!$AB$9:$AB$55,MATCH('King Node Model'!$AL44,'Level Engine'!$AA$9:$AA$55,0)),0)&gt;0,SUMPRODUCT((ABS('Level Engine'!$AB$9:$AB$55)&lt;=ABS(IFERROR(INDEX('Level Engine'!$AB$9:$AB$55,MATCH('King Node Model'!$AL44,'Level Engine'!$AA$9:$AA$55,0)),0)))*1)/COUNT('Level Engine'!$AB$9:$AB$55)&gt;=0.66),"",""))))))&lt;&gt;"",CHAR(10),"")&amp;"EXEMPT·buy-lean max node — border suppressed","")))&amp;$CK$47))&amp;$CN$47</f>
        <v>VOMMA CAP</v>
      </c>
      <c r="CR47" t="str">
        <f>IF($E47="","",IF(IFERROR(INDEX('Level Engine'!$HW$9:$HW$55,MATCH('King Node Model'!$AL$44,'Level Engine'!$AA$9:$AA$55,0)),0)=-1,"UNSAFE·Level at risk"&amp;CHAR(10)&amp;"• DEX falls off below ("&amp;TEXT(IFERROR(INDEX('Level Engine'!$KV$9:$KV$55,MATCH('King Node Model'!$AL$44,'Level Engine'!$AA$9:$AA$55,0)),0),"0%")&amp;") more sharply than above ("&amp;TEXT(IFERROR(INDEX('Level Engine'!$KU$9:$KU$55,MATCH('King Node Model'!$AL$44,'Level Engine'!$AA$9:$AA$55,0)),0),"0%")&amp;") — path of least resistance is up"&amp;IF(AND(ISNUMBER('King Node Model'!$T$22),'King Node Model'!$T$22&gt;'King Node Model'!$AL$44,'King Node Model'!$T$22-'King Node Model'!$AL$44&lt;=50),CHAR(10)&amp;"• Toward Max GEX "&amp;TEXT('King Node Model'!$T$22,"0"),""),""))</f>
        <v/>
      </c>
      <c r="CS47" t="str">
        <f>IF(IFERROR(INDEX('Level Engine'!$JO$9:$JO$55,MATCH('King Node Model'!$AL$44,'Level Engine'!$AA$9:$AA$55,0)),0)=1,"",IF($E47="","",IF(IFERROR(INDEX('Level Engine'!$HX$9:$HX$55,MATCH('King Node Model'!$AL$44,'Level Engine'!$AA$9:$AA$55,0)),0)=1,"UNSAFE·Level at risk"&amp;CHAR(10)&amp;"• Peak · gamma bump, not a ceiling","")))</f>
        <v/>
      </c>
      <c r="CT47" t="str">
        <f>IF($E47="","",IF(IFERROR(INDEX('Level Engine'!$IF$9:$IF$55,MATCH('King Node Model'!$AL$44,'Level Engine'!$AA$9:$AA$55,0)),0)=1,"UNSAFE·Level at risk"&amp;CHAR(10)&amp;"• Chop zone · inside a stack of heavy gamma/zomma strikes",""))</f>
        <v/>
      </c>
      <c r="CU47" t="str">
        <f>IF($E47="","",IF(IFERROR(INDEX('Level Engine'!$IQ$9:$IQ$55,MATCH('King Node Model'!$AL$44,'Level Engine'!$AA$9:$AA$55,0)),0)=1,"UNSAFE·Level at risk"&amp;CHAR(10)&amp;"• Contested level · claimed by both sides",""))</f>
        <v/>
      </c>
      <c r="CV47" t="str">
        <f>IF($E47="","",IFERROR(INDEX('Level Engine'!$IV$9:$IV$55,MATCH('King Node Model'!$AL$44,'Level Engine'!$AA$9:$AA$55,0))&amp;"",""))</f>
        <v/>
      </c>
      <c r="CW47" t="str">
        <f>IF($E47="","",IF(IFERROR(INDEX('Level Engine'!$JL$9:$JL$55,MATCH('King Node Model'!$AL$44,'Level Engine'!$AA$9:$AA$55,0)),0)=1,"UNSAFE·Level at risk"&amp;CHAR(10)&amp;"• DOM wall · vanna not supporting it — flat or too small (needs vanna SELL ≥ "&amp;TEXT('Level Engine'!$BG$92/1000,"0")&amp;"K)",IFERROR(IF(INDEX('Level Engine'!$JK$9:$JK$55,MATCH('King Node Model'!$AL$44,'Level Engine'!$AA$9:$AA$55,0))=1,"UNSAFE·Level at risk"&amp;CHAR(10)&amp;"• Vanna BUY on arrival — dealers buy into this ceiling as IV falls",""),"")))</f>
        <v/>
      </c>
      <c r="CX47" t="str">
        <f>IF($E47="","",IFERROR(IF(INDEX('Level Engine'!$IZ$9:$IZ$55,MATCH('King Node Model'!$AL$44,'Level Engine'!$AA$9:$AA$55,0))=1,"UNSAFE·Level at risk"&amp;CHAR(10)&amp;"• DEX wall "&amp;TEXT('King Node Model'!$AL$44-'Level Engine'!$BG$84,"0")&amp;" ("&amp;TEXT(INDEX('Level Engine'!$AE$9:$AE$55,MATCH('King Node Model'!$AL$44-'Level Engine'!$BG$84,'Level Engine'!$AA$9:$AA$55,0))/1000000,"+0.00;-0.00")&amp;"M) directly below caps the drop",""),""))</f>
        <v/>
      </c>
      <c r="CY47" t="str">
        <f>IF($E47="","",IFERROR(IF(INDEX('Level Engine'!$JM$9:$JM$55,MATCH('King Node Model'!$AL$44,'Level Engine'!$AA$9:$AA$55,0))=1,"UNSAFE·Level at risk"&amp;CHAR(10)&amp;"• Within "&amp;TEXT('Level Engine'!$BG$93,"0")&amp;" pts of the DOM "&amp;TEXT(INDEX('Level Engine'!$AA$9:$AA$55,MATCH("DOM",'Level Engine'!$FA$9:$FA$55,0)),"0")&amp;" — price tends to be pulled to the node",""),""))</f>
        <v/>
      </c>
      <c r="CZ47" t="str">
        <f>IF($E47="","",IF(AND(IFERROR(INDEX('Level Engine'!$HP$9:$HP$55,MATCH('King Node Model'!$AL$44,'Level Engine'!$AA$9:$AA$55,0)),0)=1,N(IFERROR(INDEX('Level Engine'!$IS$9:$IS$55,MATCH('King Node Model'!$AL$44,'Level Engine'!$AA$9:$AA$55,0)),0))&lt;&gt;1,NOT(ISNUMBER(SEARCH("UNSAFE",$CQ47&amp;$CP47&amp;$CR47&amp;$CS47&amp;$CT47&amp;$CU47&amp;$CV47&amp;$CW47&amp;$CX47&amp;$CY47&amp;$DA47)))),"UNSAFE·Level at risk"&amp;IF(ISNUMBER(SEARCH(" DEXCAP "," "&amp;IFERROR(INDEX('Level Engine'!$HQ$9:$HQ$55,MATCH('King Node Model'!$AL$44,'Level Engine'!$AA$9:$AA$55,0)),"")&amp;" ")),CHAR(10)&amp;"• DEX wall cap","")&amp;IF(AND(NOT(IFERROR(INDEX('Level Engine'!$JI$9:$JI$55,MATCH('King Node Model'!$AL$44,'Level Engine'!$AA$9:$AA$55,0)),0)=1),ISNUMBER(SEARCH(" CHOPEDGEIV "," "&amp;IFERROR(INDEX('Level Engine'!$HQ$9:$HQ$55,MATCH('King Node Model'!$AL$44,'Level Engine'!$AA$9:$AA$55,0)),"")&amp;" "))),CHAR(10)&amp;"• Chop edge — IV High but ATM IV falling","")&amp;IF(AND(NOT(IFERROR(INDEX('Level Engine'!$JI$9:$JI$55,MATCH('King Node Model'!$AL$44,'Level Engine'!$AA$9:$AA$55,0)),0)=1),ISNUMBER(SEARCH(" EDGE "," "&amp;IFERROR(INDEX('Level Engine'!$HQ$9:$HQ$55,MATCH('King Node Model'!$AL$44,'Level Engine'!$AA$9:$AA$55,0)),"")&amp;" "))),CHAR(10)&amp;"• γSh edge","")&amp;IF(AND(NOT(IFERROR(INDEX('Level Engine'!$JI$9:$JI$55,MATCH('King Node Model'!$AL$44,'Level Engine'!$AA$9:$AA$55,0)),0)=1),ISNUMBER(SEARCH(" TROUGH "," "&amp;IFERROR(INDEX('Level Engine'!$HQ$9:$HQ$55,MATCH('King Node Model'!$AL$44,'Level Engine'!$AA$9:$AA$55,0)),"")&amp;" "))),CHAR(10)&amp;"• Trough · weak bounce","")&amp;IF(AND(NOT(IFERROR(INDEX('Level Engine'!$JI$9:$JI$55,MATCH('King Node Model'!$AL$44,'Level Engine'!$AA$9:$AA$55,0)),0)=1),ISNUMBER(SEARCH(" BUMP "," "&amp;IFERROR(INDEX('Level Engine'!$HQ$9:$HQ$55,MATCH('King Node Model'!$AL$44,'Level Engine'!$AA$9:$AA$55,0)),"")&amp;" "))),CHAR(10)&amp;"• Positive node — thin speed bump","")&amp;IF(AND(NOT(IFERROR(INDEX('Level Engine'!$JI$9:$JI$55,MATCH('King Node Model'!$AL$44,'Level Engine'!$AA$9:$AA$55,0)),0)=1),ISNUMBER(SEARCH(" SANDWICH "," "&amp;IFERROR(INDEX('Level Engine'!$HQ$9:$HQ$55,MATCH('King Node Model'!$AL$44,'Level Engine'!$AA$9:$AA$55,0)),"")&amp;" "))),CHAR(10)&amp;"• Sandwich — thin strike beyond","")&amp;IF(ISNUMBER(SEARCH(" ACCEL "," "&amp;IFERROR(INDEX('Level Engine'!$HQ$9:$HQ$55,MATCH('King Node Model'!$AL$44,'Level Engine'!$AA$9:$AA$55,0)),"")&amp;" ")),CHAR(10)&amp;"• Accelerant","")&amp;IF(AND(NOT(IFERROR(INDEX('Level Engine'!$JI$9:$JI$55,MATCH('King Node Model'!$AL$44,'Level Engine'!$AA$9:$AA$55,0)),0)=1),ISNUMBER(SEARCH(" AMPLIFY "," "&amp;IFERROR(INDEX('Level Engine'!$HQ$9:$HQ$55,MATCH('King Node Model'!$AL$44,'Level Engine'!$AA$9:$AA$55,0)),"")&amp;" "))),CHAR(10)&amp;"• Gamma peak — hedging amplifies through it rather than absorbing","")&amp;IF(AND(NOT(IFERROR(INDEX('Level Engine'!$JI$9:$JI$55,MATCH('King Node Model'!$AL$44,'Level Engine'!$AA$9:$AA$55,0)),0)=1),ISNUMBER(SEARCH(" ZACCEL "," "&amp;IFERROR(INDEX('Level Engine'!$HQ$9:$HQ$55,MATCH('King Node Model'!$AL$44,'Level Engine'!$AA$9:$AA$55,0)),"")&amp;" "))),CHAR(10)&amp;"• Zomma ACCEL building","")&amp;IF(ISNUMBER(SEARCH(" KINGACC "," "&amp;IFERROR(INDEX('Level Engine'!$HQ$9:$HQ$55,MATCH('King Node Model'!$AL$44,'Level Engine'!$AA$9:$AA$55,0)),"")&amp;" ")),CHAR(10)&amp;"• Neg gamma: the king node is an accelerant, not a floor","")&amp;IF(ISNUMBER(SEARCH(" KINGNODE "," "&amp;IFERROR(INDEX('Level Engine'!$HQ$9:$HQ$55,MATCH('King Node Model'!$AL$44,'Level Engine'!$AA$9:$AA$55,0)),"")&amp;" ")),CHAR(10)&amp;"• Near the king node — neg gamma accelerates, does not floor","")&amp;IF(AND(NOT(IFERROR(INDEX('Level Engine'!$JI$9:$JI$55,MATCH('King Node Model'!$AL$44,'Level Engine'!$AA$9:$AA$55,0)),0)=1),ISNUMBER(SEARCH(" LOWIVFALL "," "&amp;IFERROR(INDEX('Level Engine'!$HQ$9:$HQ$55,MATCH('King Node Model'!$AL$44,'Level Engine'!$AA$9:$AA$55,0)),"")&amp;" "))),CHAR(10)&amp;"• Low IV with ATM IV falling","")&amp;IF(AND(NOT(IFERROR(INDEX('Level Engine'!$JI$9:$JI$55,MATCH('King Node Model'!$AL$44,'Level Engine'!$AA$9:$AA$55,0)),0)=1),ISNUMBER(SEARCH(" HIGHIVFALL "," "&amp;IFERROR(INDEX('Level Engine'!$HQ$9:$HQ$55,MATCH('King Node Model'!$AL$44,'Level Engine'!$AA$9:$AA$55,0)),"")&amp;" "))),CHAR(10)&amp;"• High IV with ATM IV falling","")&amp;IF(ISNUMBER(SEARCH(" SPOTUPVOLUP "," "&amp;IFERROR(INDEX('Level Engine'!$HQ$9:$HQ$55,MATCH('King Node Model'!$AL$44,'Level Engine'!$AA$9:$AA$55,0)),"")&amp;" ")),CHAR(10)&amp;"• Spot Up / Vol Up","")&amp;IF(ISNUMBER(SEARCH(" SQUEEZE "," "&amp;IFERROR(INDEX('Level Engine'!$HQ$9:$HQ$55,MATCH('King Node Model'!$AL$44,'Level Engine'!$AA$9:$AA$55,0)),"")&amp;" ")),CHAR(10)&amp;"• Squeeze / charm","")&amp;IF(ISNUMBER(SEARCH(" DEXDROP "," "&amp;IFERROR(INDEX('Level Engine'!$HQ$9:$HQ$55,MATCH('King Node Model'!$AL$44,'Level Engine'!$AA$9:$AA$55,0)),"")&amp;" ")),CHAR(10)&amp;"• DEX drop-off beyond the level","")&amp;IF(ISNUMBER(SEARCH(" PEAK+ "," "&amp;IFERROR(INDEX('Level Engine'!$HQ$9:$HQ$55,MATCH('King Node Model'!$AL$44,'Level Engine'!$AA$9:$AA$55,0)),"")&amp;" ")),CHAR(10)&amp;"• Positive-GEX peak","")&amp;IF(ISNUMBER(SEARCH(" CHOP "," "&amp;IFERROR(INDEX('Level Engine'!$HQ$9:$HQ$55,MATCH('King Node Model'!$AL$44,'Level Engine'!$AA$9:$AA$55,0)),"")&amp;" ")),CHAR(10)&amp;"• Chop zone","")&amp;IF(ISNUMBER(SEARCH(" CONTESTED "," "&amp;IFERROR(INDEX('Level Engine'!$HQ$9:$HQ$55,MATCH('King Node Model'!$AL$44,'Level Engine'!$AA$9:$AA$55,0)),"")&amp;" ")),CHAR(10)&amp;"• Contested level","")&amp;IF(ISNUMBER(SEARCH(" VSELL "," "&amp;IFERROR(INDEX('Level Engine'!$HQ$9:$HQ$55,MATCH('King Node Model'!$AL$44,'Level Engine'!$AA$9:$AA$55,0)),"")&amp;" ")),CHAR(10)&amp;"• Vanna SELL on arrival — dealers sell into this floor as IV rises","")&amp;IF(ISNUMBER(SEARCH(" VBUYRES "," "&amp;IFERROR(INDEX('Level Engine'!$HQ$9:$HQ$55,MATCH('King Node Model'!$AL$44,'Level Engine'!$AA$9:$AA$55,0)),"")&amp;" ")),CHAR(10)&amp;"• Vanna BUY on arrival — dealers buy into this ceiling as IV falls","")&amp;IF(ISNUMBER(SEARCH(" DOMFLAT "," "&amp;IFERROR(INDEX('Level Engine'!$HQ$9:$HQ$55,MATCH('King Node Model'!$AL$44,'Level Engine'!$AA$9:$AA$55,0)),"")&amp;" ")),CHAR(10)&amp;"• DOM wall · vanna not supporting it","")&amp;IF(ISNUMBER(SEARCH(" DOMPULL "," "&amp;IFERROR(INDEX('Level Engine'!$HQ$9:$HQ$55,MATCH('King Node Model'!$AL$44,'Level Engine'!$AA$9:$AA$55,0)),"")&amp;" ")),CHAR(10)&amp;"• Within the DOM pull — price tends to be pulled to the node","")&amp;IF(ISNUMBER(SEARCH(" GDEXVANNA "," "&amp;IFERROR(INDEX('Level Engine'!$HQ$9:$HQ$55,MATCH('King Node Model'!$AL$44,'Level Engine'!$AA$9:$AA$55,0)),"")&amp;" ")),CHAR(10)&amp;"• Vanna not aligned (gDex rule)","")&amp;IF(ISNUMBER(SEARCH(" KGSUPFAIL "," "&amp;IFERROR(INDEX('Level Engine'!$HQ$9:$HQ$55,MATCH('King Node Model'!$AL$44,'Level Engine'!$AA$9:$AA$55,0)),"")&amp;" ")),CHAR(10)&amp;"• Max Gamma support, not Max/Min GEX — fails ~66% of the time in positive gamma","")&amp;IF(ISNUMBER(SEARCH(" KGRESLEAK "," "&amp;IFERROR(INDEX('Level Engine'!$HQ$9:$HQ$55,MATCH('King Node Model'!$AL$44,'Level Engine'!$AA$9:$AA$55,0)),"")&amp;" ")),CHAR(10)&amp;"• Resistance leaks · Max Gamma fails as resistance ~50% of the time",""),""))</f>
        <v>UNSAFE·Level at risk</v>
      </c>
      <c r="DA47" t="str">
        <f>IF($E47="","",IF(OR(IFERROR(INDEX('Level Engine'!$JP$9:$JP$55,MATCH('King Node Model'!$AL$44,'Level Engine'!$AA$9:$AA$55,0)),0)=1,AND(IFERROR(INDEX('Level Engine'!$JQ$9:$JQ$55,MATCH('King Node Model'!$AL$44,'Level Engine'!$AA$9:$AA$55,0)),0)=1,IFERROR(INDEX('Level Engine'!$JZ$9:$JZ$55,MATCH('King Node Model'!$AL$44,'Level Engine'!$AA$9:$AA$55,0)),0)&lt;&gt;1)),"UNSAFE·Level at risk"&amp;IF(AND(IFERROR(INDEX('Level Engine'!$JQ$9:$JQ$55,MATCH('King Node Model'!$AL$44,'Level Engine'!$AA$9:$AA$55,0)),0)=1,IFERROR(INDEX('Level Engine'!$JZ$9:$JZ$55,MATCH('King Node Model'!$AL$44,'Level Engine'!$AA$9:$AA$55,0)),0)&lt;&gt;1),CHAR(10)&amp;"• Dex not aligned (OI resistance needs Dex ≤ −"&amp;TEXT('Level Engine'!$BG$95/1000,"0")&amp;"K)","")&amp;IF(IFERROR(INDEX('Level Engine'!$JP$9:$JP$55,MATCH('King Node Model'!$AL$44,'Level Engine'!$AA$9:$AA$55,0)),0)=1,CHAR(10)&amp;"• Zomma not firming (OI resistance needs the zomma reading to firm the level)",""),""))</f>
        <v/>
      </c>
      <c r="DB47" t="str">
        <f>IF(AND(IFERROR(INDEX('Level Engine'!$KK$9:$KK$55,MATCH('King Node Model'!$AL$44,'Level Engine'!$AA$9:$AA$55,0)),0)=0,IFERROR(INDEX('Level Engine'!$JY$9:$JY$55,MATCH('King Node Model'!$AL$44,'Level Engine'!$AA$9:$AA$55,0)),0)&lt;&gt;1,IFERROR(INDEX('Level Engine'!$KR$9:$KR$55,MATCH('King Node Model'!$AL$44,'Level Engine'!$AA$9:$AA$55,0)),0)=0,IFERROR(INDEX('Level Engine'!$LD$9:$LD$55,MATCH('King Node Model'!$AL$44,'Level Engine'!$AA$9:$AA$55,0)),0)=0,IFERROR(INDEX('Level Engine'!$LE$9:$LE$55,MATCH('King Node Model'!$AL$44,'Level Engine'!$AA$9:$AA$55,0)),0)=0,IFERROR(INDEX('Level Engine'!$MH$9:$MH$55,MATCH('King Node Model'!$AL$44,'Level Engine'!$AA$9:$AA$55,0)),0)=0,IFERROR(INDEX('Level Engine'!$KA$9:$KA$55,MATCH('King Node Model'!$AL$44,'Level Engine'!$AA$9:$AA$55,0)),0)=0,OR(AND(IFERROR(INDEX('Level Engine'!$GV$9:$GV$55,MATCH('King Node Model'!$AL$44,'Level Engine'!$AA$9:$AA$55,0)),0)=1,IFERROR(INDEX('Level Engine'!$JK$9:$JK$55,MATCH('King Node Model'!$AL$44,'Level Engine'!$AA$9:$AA$55,0)),0)&lt;&gt;1,IFERROR(INDEX('Level Engine'!$IW$9:$IW$55,MATCH('King Node Model'!$AL$44,'Level Engine'!$AA$9:$AA$55,0)),0)&lt;&gt;1),AND(ISNUMBER('King Node Model'!$AL$44),'King Node Model'!$AL$44='King Node Model'!$F$24,IFERROR(INDEX('Level Engine'!$JN$9:$JN$55,MATCH('King Node Model'!$AL$44,'Level Engine'!$AA$9:$AA$55,0)),0)&lt;&gt;1))),"",IF(ISNUMBER(SEARCH("UNSAFE·Level at risk",IF(IFERROR(INDEX('Level Engine'!$IS$9:$IS$55,MATCH('King Node Model'!$AL$44,'Level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Model'!$AL$44,'Level Engine'!$AA$9:$AA$55,0)),0)=1,CHAR(10)&amp;"UNSAFE·Level at risk"&amp;CHAR(10)&amp;"• Vanna flat at the level — IV not moving, no dealer flow behind it","")&amp;IF(OR(AND(IFERROR(INDEX('Level Engine'!$KR$9:$KR$55,MATCH('King Node Model'!$AL$44,'Level Engine'!$AA$9:$AA$55,0)),0)=1,$CZ47=""),IFERROR(INDEX('Level Engine'!$KS$9:$KS$55,MATCH('King Node Model'!$AL$44,'Level Engine'!$AA$9:$AA$55,0)),0)=1),CHAR(10)&amp;"UNSAFE·Level at risk"&amp;CHAR(10)&amp;"• Vanna not aligned (gDex rule)","")&amp;IF(AND(IFERROR(INDEX('Level Engine'!$LD$9:$LD$55,MATCH('King Node Model'!$AL$44,'Level Engine'!$AA$9:$AA$55,0)),0)=1,$CZ47=""),CHAR(10)&amp;"UNSAFE·Level at risk"&amp;CHAR(10)&amp;"• Max Gamma support, not Max/Min GEX — fails ~66% of the time in positive gamma","")&amp;IF(AND(IFERROR(INDEX('Level Engine'!$LE$9:$LE$55,MATCH('King Node Model'!$AL$44,'Level Engine'!$AA$9:$AA$55,0)),0)=1,$CZ47=""),CHAR(10)&amp;"UNSAFE·Level at risk"&amp;CHAR(10)&amp;"• Resistance leaks · Max Gamma fails as resistance ~50% of the time","")&amp;IF(AND(IFERROR(INDEX('Level Engine'!$MH$9:$MH$55,MATCH('King Node Model'!$AL$44,'Level Engine'!$AA$9:$AA$55,0)),0)=1,$CZ47=""),CHAR(10)&amp;"UNSAFE·Level at risk"&amp;CHAR(10)&amp;IFERROR(INDEX('Level Engine'!$MI$9:$MI$55,MATCH('King Node Model'!$AL$44,'Level Engine'!$AA$9:$AA$55,0)),""),"")&amp;IF(IFERROR(INDEX('Level Engine'!$KK$9:$KK$55,MATCH('King Node Model'!$AL$44,'Level Engine'!$AA$9:$AA$55,0)),0)=1,CHAR(10)&amp;"UNSAFE·Level at risk"&amp;CHAR(10)&amp;"• Data incomplete — option chain not fully loaded at or next to this strike","")&amp;IF(N(IFERROR(INDEX('Level Engine'!$KA$9:$KA$55,MATCH('King Node Model'!$AL$44,'Level Engine'!$AA$9:$AA$55,0)),0))&lt;&gt;0,CHAR(10)&amp;"UNSAFE·Level at risk"&amp;CHAR(10)&amp;"• Accelerant under call wall "&amp;TEXT(IFERROR(INDEX('Level Engine'!$KA$9:$KA$55,MATCH('King Node Model'!$AL$44,'Level Engine'!$AA$9:$AA$55,0)),0),"0")&amp;" — price runs through to it","")&amp;IF($CQ47&lt;&gt;"",CHAR(10)&amp;$CQ47,"")&amp;IF($CP47&lt;&gt;"",CHAR(10)&amp;$CP47,"")&amp;IF($CR47&lt;&gt;"",CHAR(10)&amp;$CR47,"")&amp;IF($CS47&lt;&gt;"",CHAR(10)&amp;$CS47,"")&amp;IF($CT47&lt;&gt;"",CHAR(10)&amp;$CT47,"")&amp;IF($CU47&lt;&gt;"",CHAR(10)&amp;$CU47,"")&amp;IF($CV47&lt;&gt;"",CHAR(10)&amp;$CV47,"")&amp;IF($CW47&lt;&gt;"",CHAR(10)&amp;$CW47,"")&amp;IF($CX47&lt;&gt;"",CHAR(10)&amp;$CX47,"")&amp;IF($CY47&lt;&gt;"",CHAR(10)&amp;$CY47,"")&amp;IF($CZ47&lt;&gt;"",CHAR(10)&amp;$CZ47,"")&amp;IF($DA47&lt;&gt;"",CHAR(10)&amp;$DA47,"")&amp;IF($DC47&lt;&gt;"",CHAR(10)&amp;$DC47,"")&amp;IF($DD47&lt;&gt;"",CHAR(10)&amp;$DD47,""))),"UNSAFE·Level at risk"&amp;CHAR(10),"")&amp;MID(SUBSTITUTE(SUBSTITUTE(IF(IFERROR(INDEX('Level Engine'!$IS$9:$IS$55,MATCH('King Node Model'!$AL$44,'Level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Model'!$AL$44,'Level Engine'!$AA$9:$AA$55,0)),0)=1,CHAR(10)&amp;"UNSAFE·Level at risk"&amp;CHAR(10)&amp;"• Vanna flat at the level — IV not moving, no dealer flow behind it","")&amp;IF(OR(AND(IFERROR(INDEX('Level Engine'!$KR$9:$KR$55,MATCH('King Node Model'!$AL$44,'Level Engine'!$AA$9:$AA$55,0)),0)=1,$CZ47=""),IFERROR(INDEX('Level Engine'!$KS$9:$KS$55,MATCH('King Node Model'!$AL$44,'Level Engine'!$AA$9:$AA$55,0)),0)=1),CHAR(10)&amp;"UNSAFE·Level at risk"&amp;CHAR(10)&amp;"• Vanna not aligned (gDex rule)","")&amp;IF(AND(IFERROR(INDEX('Level Engine'!$LD$9:$LD$55,MATCH('King Node Model'!$AL$44,'Level Engine'!$AA$9:$AA$55,0)),0)=1,$CZ47=""),CHAR(10)&amp;"UNSAFE·Level at risk"&amp;CHAR(10)&amp;"• Max Gamma support, not Max/Min GEX — fails ~66% of the time in positive gamma","")&amp;IF(AND(IFERROR(INDEX('Level Engine'!$LE$9:$LE$55,MATCH('King Node Model'!$AL$44,'Level Engine'!$AA$9:$AA$55,0)),0)=1,$CZ47=""),CHAR(10)&amp;"UNSAFE·Level at risk"&amp;CHAR(10)&amp;"• Resistance leaks · Max Gamma fails as resistance ~50% of the time","")&amp;IF(AND(IFERROR(INDEX('Level Engine'!$MH$9:$MH$55,MATCH('King Node Model'!$AL$44,'Level Engine'!$AA$9:$AA$55,0)),0)=1,$CZ47=""),CHAR(10)&amp;"UNSAFE·Level at risk"&amp;CHAR(10)&amp;IFERROR(INDEX('Level Engine'!$MI$9:$MI$55,MATCH('King Node Model'!$AL$44,'Level Engine'!$AA$9:$AA$55,0)),""),"")&amp;IF(IFERROR(INDEX('Level Engine'!$KK$9:$KK$55,MATCH('King Node Model'!$AL$44,'Level Engine'!$AA$9:$AA$55,0)),0)=1,CHAR(10)&amp;"UNSAFE·Level at risk"&amp;CHAR(10)&amp;"• Data incomplete — option chain not fully loaded at or next to this strike","")&amp;IF(N(IFERROR(INDEX('Level Engine'!$KA$9:$KA$55,MATCH('King Node Model'!$AL$44,'Level Engine'!$AA$9:$AA$55,0)),0))&lt;&gt;0,CHAR(10)&amp;"UNSAFE·Level at risk"&amp;CHAR(10)&amp;"• Accelerant under call wall "&amp;TEXT(IFERROR(INDEX('Level Engine'!$KA$9:$KA$55,MATCH('King Node Model'!$AL$44,'Level Engine'!$AA$9:$AA$55,0)),0),"0")&amp;" — price runs through to it","")&amp;IF($CQ47&lt;&gt;"",CHAR(10)&amp;$CQ47,"")&amp;IF($CP47&lt;&gt;"",CHAR(10)&amp;$CP47,"")&amp;IF($CR47&lt;&gt;"",CHAR(10)&amp;$CR47,"")&amp;IF($CS47&lt;&gt;"",CHAR(10)&amp;$CS47,"")&amp;IF($CT47&lt;&gt;"",CHAR(10)&amp;$CT47,"")&amp;IF($CU47&lt;&gt;"",CHAR(10)&amp;$CU47,"")&amp;IF($CV47&lt;&gt;"",CHAR(10)&amp;$CV47,"")&amp;IF($CW47&lt;&gt;"",CHAR(10)&amp;$CW47,"")&amp;IF($CX47&lt;&gt;"",CHAR(10)&amp;$CX47,"")&amp;IF($CY47&lt;&gt;"",CHAR(10)&amp;$CY47,"")&amp;IF($CZ47&lt;&gt;"",CHAR(10)&amp;$CZ47,"")&amp;IF($DA47&lt;&gt;"",CHAR(10)&amp;$DA47,"")&amp;IF($DC47&lt;&gt;"",CHAR(10)&amp;$DC47,"")&amp;IF($DD47&lt;&gt;"",CHAR(10)&amp;$DD47,""),"UNSAFE·Level at risk"&amp;CHAR(10),""),CHAR(10)&amp;CHAR(10),CHAR(10)),2,32000))</f>
        <v>UNSAFE·Level at risk
VOMMA CAP
UNSAFE·Level at risk</v>
      </c>
      <c r="DC47" t="str">
        <f>IF($E47="","",IF(IFERROR(INDEX('Level Engine'!$KT$9:$KT$55,MATCH('King Node Model'!$AL$44,'Level Engine'!$AA$9:$AA$55,0)),0)=1,"UNSAFE·Level at risk"&amp;CHAR(10)&amp;"• DEX draining · "&amp;TEXT(IFERROR(INDEX('Level Engine'!$AE$9:$AE$55,MATCH('King Node Model'!$AL$44,'Level Engine'!$AA$9:$AA$55,0)),0)/1000,"+#,##0;-#,##0")&amp;"K, down 50%+ in the last few minutes"&amp;CHAR(10)&amp;"• VEX weak · "&amp;TEXT(IFERROR(INDEX('Level Engine'!$AD$9:$AD$55,MATCH('King Node Model'!$AL$44,'Level Engine'!$AA$9:$AA$55,0)),0)/1000,"+#,##0;-#,##0")&amp;"K"&amp;CHAR(10)&amp;"• The level's cushion is going",""))</f>
        <v/>
      </c>
      <c r="DD47" t="str">
        <f>IF($E47="","",IF(IFERROR(INDEX('Level Engine'!$JU$9:$JU$55,MATCH('King Node Model'!$AL$44,'Level Engine'!$AA$9:$AA$55,0)),0)=1,"UNSAFE·Level at risk"&amp;CHAR(10)&amp;"• dEdge Cliff: DEX falls off at "&amp;TEXT('King Node Model'!$AL$44,"0")&amp;" ("&amp;TEXT((IFERROR(INDEX('Level Engine'!$AE$9:$AE$55,MATCH('King Node Model'!$AL$44,'Level Engine'!$AA$9:$AA$55,0)),0))/1000,"+#,##0;-#,##0")&amp;"K"&amp;", vs "&amp;TEXT((IFERROR(INDEX('Level Engine'!$AE$9:$AE$55,MATCH(IF(IFERROR(INDEX('Level Engine'!$AG$9:$AG$55,MATCH('King Node Model'!$AL$44,'Level Engine'!$AA$9:$AA$55,0)),"S")="R",'King Node Model'!$AL$44-5,'King Node Model'!$AL$44+5),'Level Engine'!$AA$9:$AA$55,0)),0))/1000,"+#,##0;-#,##0")&amp;"K"&amp;" at "&amp;TEXT(IF(IFERROR(INDEX('Level Engine'!$AG$9:$AG$55,MATCH('King Node Model'!$AL$44,'Level Engine'!$AA$9:$AA$55,0)),"S")="R",'King Node Model'!$AL$44-5,'King Node Model'!$AL$44+5),"0")&amp;")"&amp;CHAR(10)&amp;"• Positive gamma, positive GEX at the strike: cliffs break more than they hold"&amp;CHAR(10)&amp;"• Next DEX cushion "&amp;TEXT(IF(ABS(IFERROR(INDEX('Level Engine'!$AE$9:$AE$55,MATCH(IF(IFERROR(INDEX('Level Engine'!$AG$9:$AG$55,MATCH('King Node Model'!$AL$44,'Level Engine'!$AA$9:$AA$55,0)),"S")="R",'King Node Model'!$AL$44+5,'King Node Model'!$AL$44-5),'Level Engine'!$AA$9:$AA$55,0)),0))&gt;=ABS(IFERROR(INDEX('Level Engine'!$AE$9:$AE$55,MATCH(IF(IFERROR(INDEX('Level Engine'!$AG$9:$AG$55,MATCH('King Node Model'!$AL$44,'Level Engine'!$AA$9:$AA$55,0)),"S")="R",'King Node Model'!$AL$44+10,'King Node Model'!$AL$44-10),'Level Engine'!$AA$9:$AA$55,0)),0)),IF(IFERROR(INDEX('Level Engine'!$AG$9:$AG$55,MATCH('King Node Model'!$AL$44,'Level Engine'!$AA$9:$AA$55,0)),"S")="R",'King Node Model'!$AL$44+5,'King Node Model'!$AL$44-5),IF(IFERROR(INDEX('Level Engine'!$AG$9:$AG$55,MATCH('King Node Model'!$AL$44,'Level Engine'!$AA$9:$AA$55,0)),"S")="R",'King Node Model'!$AL$44+10,'King Node Model'!$AL$44-10)),"0")&amp;" ("&amp;TEXT((IFERROR(INDEX('Level Engine'!$AE$9:$AE$55,MATCH(IF(ABS(IFERROR(INDEX('Level Engine'!$AE$9:$AE$55,MATCH(IF(IFERROR(INDEX('Level Engine'!$AG$9:$AG$55,MATCH('King Node Model'!$AL$44,'Level Engine'!$AA$9:$AA$55,0)),"S")="R",'King Node Model'!$AL$44+5,'King Node Model'!$AL$44-5),'Level Engine'!$AA$9:$AA$55,0)),0))&gt;=ABS(IFERROR(INDEX('Level Engine'!$AE$9:$AE$55,MATCH(IF(IFERROR(INDEX('Level Engine'!$AG$9:$AG$55,MATCH('King Node Model'!$AL$44,'Level Engine'!$AA$9:$AA$55,0)),"S")="R",'King Node Model'!$AL$44+10,'King Node Model'!$AL$44-10),'Level Engine'!$AA$9:$AA$55,0)),0)),IF(IFERROR(INDEX('Level Engine'!$AG$9:$AG$55,MATCH('King Node Model'!$AL$44,'Level Engine'!$AA$9:$AA$55,0)),"S")="R",'King Node Model'!$AL$44+5,'King Node Model'!$AL$44-5),IF(IFERROR(INDEX('Level Engine'!$AG$9:$AG$55,MATCH('King Node Model'!$AL$44,'Level Engine'!$AA$9:$AA$55,0)),"S")="R",'King Node Model'!$AL$44+10,'King Node Model'!$AL$44-10)),'Level Engine'!$AA$9:$AA$55,0)),0))/1000,"+#,##0;-#,##0")&amp;"K"&amp;")",""))</f>
        <v/>
      </c>
      <c r="DF47" t="str">
        <f>IF(AND($E47&lt;&gt;"",N(IFERROR(INDEX('Level Engine'!$KM$9:$KM$55,MATCH('King Node Model'!$AL$44,'Level Engine'!$AA$9:$AA$55,0)),""))=1,N(IFERROR(INDEX('Level Engine'!$KK$9:$KK$55,MATCH('King Node Model'!$AL$44,'Level Engine'!$AA$9:$AA$55,0)),""))&lt;&gt;1),"SAFE·Level safe — call wall + Min Zomma + DOM"&amp;IF(IFERROR(INDEX('Level Engine'!$KI$9:$KI$55,MATCH('King Node Model'!$AL$44,'Level Engine'!$AA$9:$AA$55,0)),"")&lt;&gt;"",CHAR(10)&amp;"• Overridden: "&amp;SUBSTITUTE(SUBSTITUTE(SUBSTITUTE(SUBSTITUTE(SUBSTITUTE(SUBSTITUTE(SUBSTITUTE(SUBSTITUTE(SUBSTITUTE(SUBSTITUTE(SUBSTITUTE(SUBSTITUTE(SUBSTITUTE(SUBSTITUTE(SUBSTITUTE(SUBSTITUTE(SUBSTITUTE(TRIM(IFERROR(INDEX('Level Engine'!$KI$9:$KI$55,MATCH('King Node Model'!$AL$44,'Level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47" t="str">
        <f>IF($E47="","",IF(IFERROR(INDEX('Level Engine'!$KX$9:$KX$55,MATCH('King Node Model'!$AL$44,'Level Engine'!$AA$9:$AA$55,0)),0)=1,"• "&amp;IF(IFERROR(INDEX('Level Engine'!$KW$9:$KW$55,MATCH('King Node Model'!$AL$44,'Level Engine'!$AA$9:$AA$55,0)),0)=1,"DEX falls off above ("&amp;TEXT(IFERROR(INDEX('Level Engine'!$KU$9:$KU$55,MATCH('King Node Model'!$AL$44,'Level Engine'!$AA$9:$AA$55,0)),0),"0%")&amp;") more sharply than below ("&amp;TEXT(IFERROR(INDEX('Level Engine'!$KV$9:$KV$55,MATCH('King Node Model'!$AL$44,'Level Engine'!$AA$9:$AA$55,0)),0),"0%")&amp;"), but "&amp;TEXT('King Node Model'!$AL$44-5,"0")&amp;" below is a reversal level with more DEX","DEX falls off below ("&amp;TEXT(IFERROR(INDEX('Level Engine'!$KV$9:$KV$55,MATCH('King Node Model'!$AL$44,'Level Engine'!$AA$9:$AA$55,0)),0),"0%")&amp;") more sharply than above ("&amp;TEXT(IFERROR(INDEX('Level Engine'!$KU$9:$KU$55,MATCH('King Node Model'!$AL$44,'Level Engine'!$AA$9:$AA$55,0)),0),"0%")&amp;"), but "&amp;TEXT('King Node Model'!$AL$44+5,"0")&amp;" above is a reversal level with more DEX")&amp;" — DEX lean warning not applied",IF(IFERROR(INDEX('Level Engine'!$KZ$9:$KZ$55,MATCH('King Node Model'!$AL$44,'Level Engine'!$AA$9:$AA$55,0)),0)=1,"• DEX falls off more sharply above ("&amp;TEXT(IFERROR(INDEX('Level Engine'!$KU$9:$KU$55,MATCH('King Node Model'!$AL$44,'Level Engine'!$AA$9:$AA$55,0)),0),"0%")&amp;") than below ("&amp;TEXT(IFERROR(INDEX('Level Engine'!$KV$9:$KV$55,MATCH('King Node Model'!$AL$44,'Level Engine'!$AA$9:$AA$55,0)),0),"0%")&amp;") — clean bounces less likely in positive gamma · however DEX supportive","")))</f>
        <v/>
      </c>
      <c r="DH47" t="str">
        <f>IF($DF47&lt;&gt;"",$DF47,(IF(AND($E47&lt;&gt;"",$DB47="",N(IFERROR(INDEX('Level Engine'!$JI$9:$JI$55,MATCH('King Node Model'!$AL$44,'Level Engine'!$AA$9:$AA$55,0)),""))=1),"SAFE·Level safe — all backers confirmed"&amp;CHAR(10)&amp;"• Reversal"&amp;IF(ISNUMBER(SEARCH("chop edge",$E47))," (chop edge)","")&amp;" ✓ · Vanna "&amp;IFERROR(INDEX('Level Engine'!$JV$9:$JV$55,MATCH('King Node Model'!$AL$44,'Level Engine'!$AA$9:$AA$55,0)),"")&amp;" on arrival ✓ · DEX "&amp;TEXT(N(IFERROR(INDEX('Level Engine'!$AE$9:$AE$55,MATCH('King Node Model'!$AL$44,'Level Engine'!$AA$9:$AA$55,0)),""))/1000,"+0;-0")&amp;"K ✓"&amp;IF(IFERROR(INDEX('Level Engine'!$KI$9:$KI$55,MATCH('King Node Model'!$AL$44,'Level Engine'!$AA$9:$AA$55,0)),"")&lt;&gt;"",CHAR(10)&amp;"• Overridden: "&amp;SUBSTITUTE(SUBSTITUTE(SUBSTITUTE(SUBSTITUTE(SUBSTITUTE(SUBSTITUTE(SUBSTITUTE(SUBSTITUTE(SUBSTITUTE(SUBSTITUTE(TRIM(IFERROR(INDEX('Level Engine'!$KI$9:$KI$55,MATCH('King Node Model'!$AL$44,'Level Engine'!$AA$9:$AA$55,0)),""))," "," · "),"HIGHIVFALL","IV High + ATM IV falling (melt-up risk)"),"LOWIVFALL","Low IV + ATM IV falling"),"CHOPEDGEIV","chop-edge IV"),"AMPLIFY","gamma peak"),"TROUGH","trough"),"SANDWICH","sandwich"),"BUMP","speed bump"),"ZACCEL","zomma ACCEL"),"EDGE","γSh edge"),""),IF(AND($E47&lt;&gt;"",$DB47="",IFERROR(INDEX('Level Engine'!$JS$9:$JS$55,MATCH('King Node Model'!$AL$44,'Level Engine'!$AA$9:$AA$55,0)),0)=1),"SAFE·Level is safe"&amp;CHAR(10)&amp;"• Positive gamma · GEX "&amp;TEXT(IFERROR(INDEX('Level Engine'!$AB$9:$AB$55,MATCH('King Node Model'!$AL$44,'Level Engine'!$AA$9:$AA$55,0)),0)/1000000,"+0.00;-0.00")&amp;"M"&amp;IF(IFERROR(INDEX('Level Engine'!$AB$9:$AB$55,MATCH('King Node Model'!$AL$44,'Level Engine'!$AA$9:$AA$55,0)),0)=MAX('Level Engine'!$AB$9:$AB$55),", largest on board","")&amp;CHAR(10)&amp;"• Zomma "&amp;TEXT(IFERROR(INDEX('Level Engine'!$AF$9:$AF$55,MATCH('King Node Model'!$AL$44,'Level Engine'!$AA$9:$AA$55,0)),0)/1000000,"+0.0;-0.0")&amp;"M, largest on board · "&amp;IF(IFERROR(INDEX('Level Engine'!$AF$9:$AF$55,MATCH('King Node Model'!$AL$44,'Level Engine'!$AA$9:$AA$55,0)),0)&lt;0,"falling","rising")&amp;" IV strengthens gamma"&amp;IF(IFERROR(INDEX('Level Engine'!$IY$9:$IY$55,MATCH('King Node Model'!$AL$44,'Level Engine'!$AA$9:$AA$55,0)),"")="BUY",CHAR(10)&amp;"• Vanna BUY "&amp;TEXT(IFERROR(INDEX('Level Engine'!$AD$9:$AD$55,MATCH('King Node Model'!$AL$44,'Level Engine'!$AA$9:$AA$55,0)),0)/1000000,"+0.00;-0.00")&amp;"M outweighed while IV "&amp;IF(IFERROR(INDEX('Level Engine'!$AF$9:$AF$55,MATCH('King Node Model'!$AL$44,'Level Engine'!$AA$9:$AA$55,0)),0)&lt;0,"falls","rises"),"")&amp;IF(N(IFERROR(INDEX('Level Engine'!$JF$9:$JF$55,MATCH('King Node Model'!$AL$44,'Level Engine'!$AA$9:$AA$55,0)),0))&gt;N(IFERROR(INDEX('Level Engine'!$JE$9:$JE$55,MATCH('King Node Model'!$AL$44,'Level Engine'!$AA$9:$AA$55,0)),0)),CHAR(10)&amp;"• Call-heavy · "&amp;TEXT(IFERROR(INDEX('Level Engine'!$JF$9:$JF$55,MATCH('King Node Model'!$AL$44,'Level Engine'!$AA$9:$AA$55,0)),0),"#,##0")&amp;" calls vs "&amp;TEXT(IFERROR(INDEX('Level Engine'!$JE$9:$JE$55,MATCH('King Node Model'!$AL$44,'Level Engine'!$AA$9:$AA$55,0)),0),"#,##0")&amp;" puts",""),$DB47)))&amp;IF(AND($E47&lt;&gt;"",$DB47="",OR('King Node Model'!$A$8&lt;&gt;"Pos",N('Level Engine'!$BG$72)=1),IFERROR(INDEX('Level Engine'!$HM$9:$HM$55,MATCH('King Node Model'!$AL$44,'Level Engine'!$AA$9:$AA$55,0)),0)=1,IFERROR(INDEX('Level Engine'!$JO$9:$JO$55,MATCH('King Node Model'!$AL$44,'Level Engine'!$AA$9:$AA$55,0)),0)&lt;&gt;1),IF(AND($DB47="",N(IFERROR(INDEX('Level Engine'!$JI$9:$JI$55,MATCH('King Node Model'!$AL$44,'Level Engine'!$AA$9:$AA$55,0)),0))&lt;&gt;1),"SAFE·Level safe"&amp;CHAR(10),CHAR(10))&amp;"• Trough · weak bounce — positive-gamma rule, not applied in negative/fragile gamma","")&amp;IF(AND($E47&lt;&gt;"",$DB47="",ISNUMBER('King Node Model'!$AL$44),OR('King Node Model'!$A$8="Neg",N('Level Engine'!$BG$72)=1),ABS(N('King Node Model'!$AL$44)-'Level Engine'!$B$4)&gt;'Level Engine'!$BG$98,OR('King Node Model'!$AL$44='Level Engine'!$BG$105,'King Node Model'!$AL$44='Level Engine'!$BG$87)),IF(AND($DB47="",N(IFERROR(INDEX('Level Engine'!$JI$9:$JI$55,MATCH('King Node Model'!$AL$44,'Level Engine'!$AA$9:$AA$55,0)),0))&lt;&gt;1,NOT(AND($E47&lt;&gt;"",$DB47="",OR('King Node Model'!$A$8&lt;&gt;"Pos",N('Level Engine'!$BG$72)=1),IFERROR(INDEX('Level Engine'!$HM$9:$HM$55,MATCH('King Node Model'!$AL$44,'Level Engine'!$AA$9:$AA$55,0)),0)=1,IFERROR(INDEX('Level Engine'!$JO$9:$JO$55,MATCH('King Node Model'!$AL$44,'Level Engine'!$AA$9:$AA$55,0)),0)&lt;&gt;1))),"SAFE·Level safe"&amp;CHAR(10),CHAR(10))&amp;"• ζ "&amp;IF('King Node Model'!$AL$44='Level Engine'!$BG$105,"Max Zomma: zomma read as IV rising","Min Zomma: zomma read as IV falling")&amp;" on arrival (Max/Min rule)",""))</f>
        <v>UNSAFE·Level at risk
VOMMA CAP
UNSAFE·Level at risk</v>
      </c>
      <c r="DI47" t="str">
        <f>IF(AND(AND('King Node Model'!$A$8="Pos",IFERROR(IFERROR(INDEX('Level Engine'!$CZ$9:$CZ$55,MATCH('King Node Model'!$AL$44,'Level Engine'!$AA$9:$AA$55,0)),0)=1,FALSE),N(IFERROR(INDEX('Level Engine'!$AB$9:$AB$55,MATCH('King Node Model'!$AL$44,'Level Engine'!$AA$9:$AA$55,0)),0))&lt;0),NOT(ISNUMBER(SEARCH("REVERSAL",(('King Node Model'!Y44&amp;IF(AND(ISNUMBER('King Node Model'!$AL$44),IFERROR(INDEX('Level Engine'!$IU$9:$IU$55,MATCH('King Node Model'!$AL$44,'Level Engine'!$AA$9:$AA$55,0)),0)=1,UPPER('Level Engine'!$D$5)&lt;&gt;"DOWN"),CHAR(10)&amp;"RETEST · resistance if IV falls",""))&amp;IF(AND($E47&lt;&gt;"",IFERROR(INDEX('Level Engine'!$JR$9:$JR$55,MATCH('King Node Model'!$AL$44,'Level Engine'!$AA$9:$AA$55,0)),0)=1),"  · vanna-latched","")))))),"REVERSAL · ","")&amp;SUBSTITUTE(SUBSTITUTE(SUBSTITUTE(SUBSTITUTE((('King Node Model'!Y44&amp;IF(AND(ISNUMBER('King Node Model'!$AL$44),IFERROR(INDEX('Level Engine'!$IU$9:$IU$55,MATCH('King Node Model'!$AL$44,'Level Engine'!$AA$9:$AA$55,0)),0)=1,UPPER('Level Engine'!$D$5)&lt;&gt;"DOWN"),CHAR(10)&amp;"RETEST · resistance if IV falls",""))&amp;IF(AND($E47&lt;&gt;"",IFERROR(INDEX('Level Engine'!$JR$9:$JR$55,MATCH('King Node Model'!$AL$44,'Level Engine'!$AA$9:$AA$55,0)),0)=1),"  · vanna-latched","")),"dEdge Cliff",IF(AND('King Node Model'!$A$8="Pos",IFERROR(IFERROR(INDEX('Level Engine'!$CZ$9:$CZ$55,MATCH('King Node Model'!$AL$44,'Level Engine'!$AA$9:$AA$55,0)),0)=1,FALSE),N(IFERROR(INDEX('Level Engine'!$AB$9:$AB$55,MATCH('King Node Model'!$AL$44,'Level Engine'!$AA$9:$AA$55,0)),0))&lt;0),"Put Wall · dEdge Cliff","dEdge Cliff"))," · accelerates",IF(AND('King Node Model'!$A$8="Pos",IFERROR(IFERROR(INDEX('Level Engine'!$CZ$9:$CZ$55,MATCH('King Node Model'!$AL$44,'Level Engine'!$AA$9:$AA$55,0)),0)=1,FALSE),N(IFERROR(INDEX('Level Engine'!$AB$9:$AB$55,MATCH('King Node Model'!$AL$44,'Level Engine'!$AA$9:$AA$55,0)),0))&lt;0),""," · accelerates")),"REVERSAL · ",IF(AND('King Node Model'!$A$8="Pos",IFERROR(IFERROR(INDEX('Level Engine'!$CZ$9:$CZ$55,MATCH('King Node Model'!$AL$44,'Level Engine'!$AA$9:$AA$55,0)),0)=1,FALSE),N(IFERROR(INDEX('Level Engine'!$AB$9:$AB$55,MATCH('King Node Model'!$AL$44,'Level Engine'!$AA$9:$AA$55,0)),0))&gt;0,N('Level Engine'!$BG$109)=1),"","REVERSAL · ")),"REVERSAL",IF(AND('King Node Model'!$A$8="Pos",IFERROR(IFERROR(INDEX('Level Engine'!$CZ$9:$CZ$55,MATCH('King Node Model'!$AL$44,'Level Engine'!$AA$9:$AA$55,0)),0)=1,FALSE),N(IFERROR(INDEX('Level Engine'!$AB$9:$AB$55,MATCH('King Node Model'!$AL$44,'Level Engine'!$AA$9:$AA$55,0)),0))&gt;0,N('Level Engine'!$BG$109)=1),"","REVERSAL"))</f>
        <v>⚡ ⊙ PIN  · vanna-latched</v>
      </c>
      <c r="DJ47" t="str">
        <f>IF(ISNUMBER($AL47),IF($AL47='Level Engine'!$BG$122," ⫪","")&amp;IF($AL47='Level Engine'!$BG$118," S↑"&amp;IFERROR(INDEX('Level Engine'!$MV$9:$MV$55,MATCH($AL47,'Level Engine'!$AA$9:$AA$55,0)),""),"")&amp;IF($AL47='Level Engine'!$BG$119," S↓"&amp;IFERROR(INDEX('Level Engine'!$MV$9:$MV$55,MATCH($AL47,'Level Engine'!$AA$9:$AA$55,0)),""),"")&amp;IF($AL47='Level Engine'!$BG$120," D↑","")&amp;IF($AL47='Level Engine'!$BG$121," D↓","")&amp;IFERROR(INDEX('Level Engine'!$LG$9:$LG$55,MATCH($AL47,'Level Engine'!$AA$9:$AA$55,0)),"")&amp;IF(IFERROR(INDEX('Level Engine'!$MA$9:$MA$55,MATCH($AL47,'Level Engine'!$AA$9:$AA$55,0)),0)=1," SAND","")&amp;IF(IFERROR(INDEX('Level Engine'!$LM$9:$LM$55,MATCH($AL47,'Level Engine'!$AA$9:$AA$55,0)),0)&gt;0," TP","")&amp;IFERROR(" r"&amp;MATCH($AL47,'Level Engine'!$W$9:$W$14,0),IFERROR(" s"&amp;MATCH($AL47,'Level Engine'!$W$18:$W$23,0),""))&amp;IF($AL47='Level Engine'!$BG$165," ◇","")&amp;IF(N($DZ47)=1,IF($AL47&gt;'Level Engine'!$BG$165," ⚠ DOM↓"," ⚠ DOM↑")&amp;'Level Engine'!$BG$165,""),"")</f>
        <v/>
      </c>
      <c r="DK47" t="str">
        <f>IF(AND(ISNUMBER($AL47),OR($AL47='King Node Model'!$AL$42,$AL47='King Node Model'!$AL$43,$AL47='King Node Model'!$AL$44)),IFERROR(MATCH($AL47,'Level Engine'!$W$9:$W$14,0),""),"")</f>
        <v/>
      </c>
      <c r="DL47" t="str">
        <f>IF(AND(ISNUMBER($AL47),OR($AL47='King Node Model'!$AL$49,$AL47='King Node Model'!$AL$50,$AL47='King Node Model'!$AL$51)),IFERROR(MATCH($AL47,'Level Engine'!$W$18:$W$23,0),""),"")</f>
        <v/>
      </c>
      <c r="DM47">
        <f>IF(AND(ISNUMBER($AL47),IFERROR(INDEX('Level Engine'!$LC$9:$LC$55,MATCH($AL47,'Level Engine'!$AA$9:$AA$55,0)),0)=1,OR($AL47=$AN$3,IFERROR(INDEX('Level Engine'!$LB$9:$LB$55,MATCH($AL47,'Level Engine'!$AA$9:$AA$55,0)),0)=1)),1,0)</f>
        <v>0</v>
      </c>
      <c r="DN47" t="str">
        <f>IFERROR(CHOOSE(INDEX('Level Engine'!$LM$9:$LM$55,MATCH('King Node Model'!$AL$44,'Level Engine'!$AA$9:$AA$55,0))+1,"","TAKE PROFIT · DON'T BUY"&amp;INDEX('Level Engine'!$LQ$9:$LQ$55,MATCH('King Node Model'!$AL$44,'Level Engine'!$AA$9:$AA$55,0)),"TAKE PROFIT · DON'T SHORT"&amp;INDEX('Level Engine'!$LQ$9:$LQ$55,MATCH('King Node Model'!$AL$44,'Level Engine'!$AA$9:$AA$55,0))),"")</f>
        <v/>
      </c>
      <c r="DO47" t="str">
        <f>IF(AND($DV47&lt;&gt;"",$DB47=""),IF(LEFT($DX47,4)="SAFE",$DX47&amp;CHAR(10)&amp;$DV47,IF($DX47="","SAFE·Level safe"&amp;CHAR(10)&amp;$DV47,$DX47&amp;CHAR(10)&amp;$DV47)),$DX47)</f>
        <v>UNSAFE·Level at risk
VOMMA CAP
UNSAFE·Level at risk</v>
      </c>
      <c r="DP47" t="str">
        <f>IFERROR(IF(AND(INDEX('Level Engine'!$LR$9:$LR$55,MATCH('King Node Model'!$AL$44,'Level Engine'!$AA$9:$AA$55,0))=1,INDEX('Level Engine'!$HP$9:$HP$55,MATCH('King Node Model'!$AL$44,'Level Engine'!$AA$9:$AA$55,0))&lt;&gt;1),"• Next to sandwich "&amp;IF(IFERROR(INDEX('Level Engine'!$EU$9:$EU$55,MATCH('King Node Model'!$AL$44+5,'Level Engine'!$AA$9:$AA$55,0)),0)=1,'King Node Model'!$AL$44+5,'King Node Model'!$AL$44-5)&amp;" · zomma "&amp;TEXT(INDEX('Level Engine'!$AF$9:$AF$55,MATCH('King Node Model'!$AL$44,'Level Engine'!$AA$9:$AA$55,0))/1000000,"+0.0")&amp;"M ✓"&amp;CHAR(10)&amp;"• Sandwich support: no-reversal warning doesn't apply"&amp;IF(IFERROR(INDEX('Level Engine'!$MB$9:$MB$55,MATCH('King Node Model'!$AL$44,'Level Engine'!$AA$9:$AA$55,0)),0)=1,CHAR(10)&amp;"• HELD — SAND✓ lock: keeps its row until a 3-pt break or +5 pts"&amp;IF(IFERROR(INDEX('Level Engine'!$JV$9:$JV$55,MATCH('King Node Model'!$AL$44,'Level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Model'!$AL$44,'Level Engine'!$AA$9:$AA$55,0)),""))),CHAR(10)&amp;"• Zomma ACCEL building (held through the lock)",""),""),""),"")</f>
        <v/>
      </c>
      <c r="DQ47" t="str">
        <f>IF($DN47="",$DP47,IF($DP47="",$DN47,$DN47&amp;CHAR(10)&amp;$DP47))</f>
        <v/>
      </c>
      <c r="DR47" t="str">
        <f>IF(IFERROR(INDEX('Level Engine'!$MS$9:$MS$55,MATCH('King Node Model'!$AL$44,'Level Engine'!$AA$9:$AA$55,0)),"")="",IFERROR(IF(INDEX('Level Engine'!$LS$9:$LS$55,MATCH('King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Engine'!$AA$9:$AA$55,0))/1000000,"+0.00;-0.00")&amp;"M — needs ≥ "&amp;TEXT('Level Engine'!$BG$144/1000000,"0.0")&amp;"M, not a SAND✓ level",IF(AND(INDEX('Level Engine'!$LR$9:$LR$55,MATCH('King Node Model'!$AL$44,'Level Engine'!$AA$9:$AA$55,0))=1,INDEX('Level Engine'!$HP$9:$HP$55,MATCH('King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Engine'!$AA$9:$AA$55,0))/1000000,"+0.0;-0.0")&amp;"M — SAND✓ but overridden by the warnings listed above","")),""),IF((IFERROR(IF(INDEX('Level Engine'!$LS$9:$LS$55,MATCH('King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Engine'!$AA$9:$AA$55,0))/1000000,"+0.00;-0.00")&amp;"M — needs ≥ "&amp;TEXT('Level Engine'!$BG$144/1000000,"0.0")&amp;"M, not a SAND✓ level",IF(AND(INDEX('Level Engine'!$LR$9:$LR$55,MATCH('King Node Model'!$AL$44,'Level Engine'!$AA$9:$AA$55,0))=1,INDEX('Level Engine'!$HP$9:$HP$55,MATCH('King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Engine'!$AA$9:$AA$55,0))/1000000,"+0.0;-0.0")&amp;"M — SAND✓ but overridden by the warnings listed above","")),""))="",IFERROR(INDEX('Level Engine'!$MS$9:$MS$55,MATCH('King Node Model'!$AL$44,'Level Engine'!$AA$9:$AA$55,0)),""),(IFERROR(IF(INDEX('Level Engine'!$LS$9:$LS$55,MATCH('King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Engine'!$AA$9:$AA$55,0))/1000000,"+0.00;-0.00")&amp;"M — needs ≥ "&amp;TEXT('Level Engine'!$BG$144/1000000,"0.0")&amp;"M, not a SAND✓ level",IF(AND(INDEX('Level Engine'!$LR$9:$LR$55,MATCH('King Node Model'!$AL$44,'Level Engine'!$AA$9:$AA$55,0))=1,INDEX('Level Engine'!$HP$9:$HP$55,MATCH('King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Engine'!$AA$9:$AA$55,0))/1000000,"+0.0;-0.0")&amp;"M — SAND✓ but overridden by the warnings listed above","")),""))&amp;CHAR(10)&amp;IFERROR(INDEX('Level Engine'!$MS$9:$MS$55,MATCH('King Node Model'!$AL$44,'Level Engine'!$AA$9:$AA$55,0)),"")))</f>
        <v/>
      </c>
      <c r="DS47" t="str">
        <f>IF($DQ47="",$DO47,IF(LEFT($DO47,4)="SAFE",LEFT($DO47,FIND(CHAR(10),$DO47&amp;CHAR(10))-1)&amp;CHAR(10)&amp;$DQ47&amp;MID($DO47,FIND(CHAR(10),$DO47&amp;CHAR(10)),9999),IF(AND($DO47="",$DP47&lt;&gt;""),"SAFE·Level safe"&amp;CHAR(10)&amp;$DQ47,$DQ47&amp;CHAR(10)&amp;$DO47)))</f>
        <v>UNSAFE·Level at risk
VOMMA CAP
UNSAFE·Level at risk</v>
      </c>
      <c r="DU47" t="str">
        <f>IF(AND(N(IFERROR(INDEX('Level Engine'!$EX$9:$EX$55,MATCH('King Node Model'!$AL$44,'Level Engine'!$AA$9:$AA$55,0)),0))&lt;&gt;1,$E47&lt;&gt;"",NOT(AND('King Node Model'!$A$8&lt;&gt;"Neg",N('Level Engine'!$BG$72)&lt;&gt;1)),AND(OR(AND(ISNUMBER(IFERROR(INDEX('Level Engine'!$AC$9:$AC$55,MATCH('King Node Model'!$AL$44,'Level Engine'!$AA$9:$AA$55,0)),"")),IFERROR(INDEX('Level Engine'!$AC$9:$AC$55,MATCH('King Node Model'!$AL$44,'Level Engine'!$AA$9:$AA$55,0)),"")=MAX('Level Engine'!$AC$9:$AC$55)),AND(ISNUMBER(IFERROR(INDEX('Level Engine'!$AB$9:$AB$55,MATCH('King Node Model'!$AL$44,'Level Engine'!$AA$9:$AA$55,0)),"")),IFERROR(INDEX('Level Engine'!$AB$9:$AB$55,MATCH('King Node Model'!$AL$44,'Level Engine'!$AA$9:$AA$55,0)),"")=MIN('Level Engine'!$AB$9:$AB$55))),NOT(AND(AND(ISNUMBER(IFERROR(INDEX('Level Engine'!$AC$9:$AC$55,MATCH('King Node Model'!$AL$44,'Level Engine'!$AA$9:$AA$55,0)),"")),IFERROR(INDEX('Level Engine'!$AC$9:$AC$55,MATCH('King Node Model'!$AL$44,'Level Engine'!$AA$9:$AA$55,0)),"")=MAX('Level Engine'!$AC$9:$AC$55)),AND(ISNUMBER(IFERROR(INDEX('Level Engine'!$AB$9:$AB$55,MATCH('King Node Model'!$AL$44,'Level Engine'!$AA$9:$AA$55,0)),"")),IFERROR(INDEX('Level Engine'!$AB$9:$AB$55,MATCH('King Node Model'!$AL$44,'Level Engine'!$AA$9:$AA$55,0)),"")=MIN('Level Engine'!$AB$9:$AB$55)))),IFERROR(INDEX('Level Engine'!$AG$9:$AG$55,MATCH('King Node Model'!$AL$44,'Level Engine'!$AA$9:$AA$55,0)),"")="S",IFERROR(INDEX('Level Engine'!$AB$9:$AB$55,MATCH('King Node Model'!$AL$44,'Level Engine'!$AA$9:$AA$55,0)),0)&lt;0,NOT(OR('King Node Model'!$AL$44=$AN$16,'King Node Model'!$AL$44=$AN$17,'King Node Model'!$AL$44=$AN$18))),AND(OR('King Node Model'!$A$8="Neg",N('Level Engine'!$BG$72)=1),ISNUMBER(IFERROR(INDEX('Level Engine'!$AB$9:$AB$55,MATCH('King Node Model'!$AL$44,'Level Engine'!$AA$9:$AA$55,0)),"")),IFERROR(INDEX('Level Engine'!$AB$9:$AB$55,MATCH('King Node Model'!$AL$44,'Level Engine'!$AA$9:$AA$55,0)),"")=MIN('Level Engine'!$AB$9:$AB$55),'King Node Model'!$AL$44='Level Engine'!$BG$105)),$DG47,$DG47)</f>
      </c>
      <c r="DV47" t="str">
        <f>IF(IFERROR(INDEX('Level Engine'!$MU$9:$MU$55,MATCH('King Node Model'!$AL$44,'Level Engine'!$AA$9:$AA$55,0)),"")="",$DU47,IFERROR(INDEX('Level Engine'!$MU$9:$MU$55,MATCH('King Node Model'!$AL$44,'Level Engine'!$AA$9:$AA$55,0)),"")&amp;IF($DU47="","",CHAR(10)&amp;$DU47))</f>
      </c>
      <c r="DX47" t="str">
        <f>IF(IFERROR(INDEX('Level Engine'!$MZ$9:$MZ$55,MATCH('King Node Model'!$AL$44,'Level Engine'!$AA$9:$AA$55,0)),"")="",$DH47,IF(OR($DH47="",LEFT($DH47,4)="SAFE"),"UNSAFE·Level at risk"&amp;CHAR(10)&amp;IFERROR(INDEX('Level Engine'!$MZ$9:$MZ$55,MATCH('King Node Model'!$AL$44,'Level Engine'!$AA$9:$AA$55,0)),""),IF(LEFT($DH47,6)="UNSAFE","UNSAFE·Level at risk"&amp;CHAR(10)&amp;IFERROR(INDEX('Level Engine'!$MZ$9:$MZ$55,MATCH('King Node Model'!$AL$44,'Level Engine'!$AA$9:$AA$55,0)),"")&amp;MID($DH47,FIND(CHAR(10),$DH47&amp;CHAR(10)),9999),IFERROR(INDEX('Level Engine'!$MZ$9:$MZ$55,MATCH('King Node Model'!$AL$44,'Level Engine'!$AA$9:$AA$55,0)),"")&amp;CHAR(10)&amp;$DH47)))</f>
      </c>
      <c r="DZ47">
        <f>IF(ISNUMBER($AL47),IF(IFERROR(INDEX('Level Engine'!$NJ$9:$NJ$55,MATCH($AL47,'Level Engine'!$AA$9:$AA$55,0)),0)=1,1,0),0)</f>
      </c>
      <c r="EA47">
        <f>IF($E47="",0,IF(IFERROR(INDEX('Level Engine'!$NJ$9:$NJ$55,MATCH('King Node Model'!$AL$44,'Level Engine'!$AA$9:$AA$55,0)),0)=1,1,0))</f>
      </c>
    </row>
    <row r="48" spans="1:123" ht="33.950000000000003" customHeight="1" x14ac:dyDescent="0.25">
      <c r="A48" s="7" t="str">
        <f t="shared" si="3"/>
        <v/>
      </c>
      <c r="B48" s="8" t="str">
        <f>TEXT(IF(IF('Level Engine'!$GJ$4=1,$AL48='Level Engine'!$GJ$3,AND($AL48-$AM$2&gt;-2.5,$AL48-$AM$2&lt;=2.5)),$AM$2,$AL48),"0")&amp;IF($AL48=$AN$1," ★","")&amp;IF($AL48=$AN$2," ★","")&amp;IF($AL48=$AN$3," ◆","")&amp;IF(AND(ISNUMBER($AN$4),$AL48=$AN$4)," Ⓕ","")&amp;IF(OR(AND(ISNUMBER('Level Engine'!$BG$87),$AL48='Level Engine'!$BG$87),AND(ISNUMBER('Level Engine'!$BG$105),$AL48='Level Engine'!$BG$105))," ζ","")&amp;IF(AND(ISNUMBER($AN$35),$AL48=$AN$35)," ⓏⒼ","")&amp;IF(OR($AL48='Level Engine'!$CP$4,$AL48='Level Engine'!$CP$5,$AL48='Level Engine'!$CP$6,$AL48='Level Engine'!$CP$7)," ☄","")&amp;IF(OR($AL48=$AN$5,$AL48=$AN$8)," ║1","")&amp;IF(OR($AL48=$AN$6,$AL48=$AN$10)," ║2","")&amp;IF(OR($AL48=$AN$7,$AL48=$AN$11)," ║3","")&amp;IF(OR($AL48=$AN$13,$AL48=$AN$16)," ▣1","")&amp;IF(OR($AL48=$AN$14,$AL48=$AN$17)," ▣2","")&amp;IF(OR($AL48=$AN$15,$AL48=$AN$18)," ▣3","")&amp;IF(AND(NOT(OR(AND(ISNUMBER(SEARCH("chop edge",$E$45)),IFERROR(ABS($AL48-'King Node Model'!$AL$42)&lt;=5,FALSE),NOT(ISNUMBER(SEARCH("UNSAFE",$L$45)))),AND(ISNUMBER(SEARCH("chop edge",$E$46)),IFERROR(ABS($AL48-'King Node Model'!$AL$43)&lt;=5,FALSE),NOT(ISNUMBER(SEARCH("UNSAFE",$L$46)))),AND(ISNUMBER(SEARCH("chop edge",$E$52)),IFERROR(ABS($AL48-'King Node Model'!$AL$49)&lt;=5,FALSE),NOT(ISNUMBER(SEARCH("UNSAFE",$L$52)))),AND(ISNUMBER(SEARCH("chop edge",$E$53)),IFERROR(ABS($AL48-'King Node Model'!$AL$50)&lt;=5,FALSE),NOT(ISNUMBER(SEARCH("UNSAFE",$L$53)))))),OR(AND(IFERROR(INDEX('Level Engine'!$IB$9:$IB$55,MATCH('King Node Model'!$AL$49,'Level Engine'!$AA$9:$AA$55,0)),0)&lt;&gt;1,$AL48=IFERROR(INDEX('Level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Engine'!$AA$9:$AA$55,0)),0)&lt;&gt;1,$AL48=IFERROR(INDEX('Level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edge",$E$45)),IFERROR(ABS($AL48-'King Node Model'!$AL$42)&lt;=5,FALSE),NOT(ISNUMBER(SEARCH("UNSAFE",$L$45)))),AND(ISNUMBER(SEARCH("chop edge",$E$46)),IFERROR(ABS($AL48-'King Node Model'!$AL$43)&lt;=5,FALSE),NOT(ISNUMBER(SEARCH("UNSAFE",$L$46)))),AND(ISNUMBER(SEARCH("chop edge",$E$52)),IFERROR(ABS($AL48-'King Node Model'!$AL$49)&lt;=5,FALSE),NOT(ISNUMBER(SEARCH("UNSAFE",$L$52)))),AND(ISNUMBER(SEARCH("chop edge",$E$53)),IFERROR(ABS($AL48-'King Node Model'!$AL$50)&lt;=5,FALSE),NOT(ISNUMBER(SEARCH("UNSAFE",$L$53)))))),OR(AND(IFERROR(INDEX('Level Engine'!$IB$9:$IB$55,MATCH('King Node Model'!$AL$42,'Level Engine'!$AA$9:$AA$55,0)),0)&lt;&gt;1,$AL48=IFERROR(INDEX('Level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Engine'!$AA$9:$AA$55,0)),0)&lt;&gt;1,$AL48=IFERROR(INDEX('Level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ⒷⓁ"),"")&amp;IF(OR(AND($AL48&gt;='King Node Model'!$AM$17,$AL48&lt;='King Node Model'!$AN$17,$AP$45="RASP"),AND($AL48&gt;='King Node Model'!$AM$18,$AL48&lt;='King Node Model'!$AN$18,$AP$46="RASP"),AND($AL48&gt;='King Node Model'!$AM$19,$AL48&lt;='King Node Model'!$AN$19,$AP$47="RASP"),AND($AL48&gt;='King Node Model'!$AM$20,$AL48&lt;='King Node Model'!$AN$20,$AP$52="RASP"),AND($AL48&gt;='King Node Model'!$AM$21,$AL48&lt;='King Node Model'!$AN$21,$AP$53="RASP"),AND($AL48&gt;='King Node Model'!$AM$22,$AL48&lt;='King Node Model'!$AN$22,$AP$54="RASP")),"","")&amp;IF(IF('Level Engine'!$GJ$4=1,$AL48='Level Engine'!$GJ$3,AND($AL48-$AM$2&gt;-2.5,$AL48-$AM$2&lt;=2.5))," ◄","")&amp;IF(IFERROR(INDEX('Level Engine'!$GV$9:$GV$55,MATCH($AL48,'Level Engine'!$AA$9:$AA$55,0)),0)=1," Ⓥ"&amp;IF(IFERROR(INDEX('Level Engine'!$ET$9:$ET$55,MATCH($AL48,'Level Engine'!$AA$9:$AA$55,0)),0)=1,"+",""),"")&amp;IF(OR(AND($AL48=$AN$38,IFERROR(INDEX('Level Engine'!$AN$9:$AN$55,MATCH($AL48,'Level Engine'!$AA$9:$AA$55,0)),0)&lt;&gt;1),$AL48=$AN$39)," ⊙","")&amp;IF(AND(OR('King Node Model'!$A$8="Neg",N('Level Engine'!$BG$72)=1),ABS(MIN($AM$3:$AM$64))&gt;MAX($AM$3:$AM$64),$AN$2&lt;$AM$2,$AL48&lt;$AM$2,ABS($AL48-$AN$2)&lt;=5,IFERROR(VALUE(MID('King Node Model'!$K$26,FIND(":",'King Node Model'!$K$26)-2,2)),0)&gt;=19,IFERROR(INDEX('Level Engine'!$EJ$9:$EJ$55,MATCH($AL48,'Level Engine'!$AA$9:$AA$55,0)),0)=0,$AN$3&gt;$AM$2)," ⟲rev","")&amp;IF($AL48='King Node Model'!$F$24," ⟂","")&amp;$DJ48&amp;IF(IFERROR(INDEX('Level Engine'!$EN$9:$EN$55,MATCH($AL48,'Level Engine'!$AA$9:$AA$55,0)),0)=1," Ⓟ"&amp;IF(AND(OR('King Node Model'!$A$8="Neg",N('Level Engine'!$BG$72)=1),IFERROR(INDEX('Level Engine'!$AN$9:$AN$55,MATCH($AL48,'Level Engine'!$AA$9:$AA$55,0)),0)&lt;&gt;1)," NO-REV",""),"")&amp;IF(AND(ISNUMBER($AL48),OR(AND(ISNUMBER(SEARCH("chop edge",$E$45)),$AL48='King Node Model'!$AL$42),AND(ISNUMBER(SEARCH("chop edge",$E$46)),$AL48='King Node Model'!$AL$43),AND(ISNUMBER(SEARCH("chop edge",$E$52)),$AL48='King Node Model'!$AL$49),AND(ISNUMBER(SEARCH("chop edge",$E$53)),$AL48='King Node Model'!$AL$50)))," ⒸⒺ","")&amp;IF(AND('Level Engine'!$GJ$4=1,OR($AL48='Level Engine'!$GJ$1,$AL48='Level Engine'!$GJ$2)),"","")&amp;IF(ABS(N(IFERROR(INDEX('Level Engine'!$AE$9:$AE$55,MATCH($AL48,'Level Engine'!$AA$9:$AA$55,0)),0)))&gt;='Level Engine'!$BG$85,IF(N(IFERROR(INDEX('Level Engine'!$AE$9:$AE$55,MATCH($AL48,'Level Engine'!$AA$9:$AA$55,0)),0))&gt;0," Δ+"," Δ−"),"")&amp;IFERROR(IF(AND(ISNUMBER(MATCH($AL48,'Level Engine'!$AA$9:$AA$55,0)),ABS(N(IFERROR(INDEX('Level Engine'!$AE$9:$AE$55,MATCH($AL48,'Level Engine'!$AA$9:$AA$55,0)),0)))&lt;'Level Engine'!$BG$85,ABS(N(IFERROR(INDEX('Level Engine'!$AE$9:$AE$55,MATCH($AL48,'Level Engine'!$AA$9:$AA$55,0)),0)))&lt;=ABS(N(IFERROR(INDEX('Level Engine'!$AE$9:$AE$55,MATCH($AL48+5,'Level Engine'!$AA$9:$AA$55,0)),0))),ABS(N(IFERROR(INDEX('Level Engine'!$AE$9:$AE$55,MATCH($AL48,'Level Engine'!$AA$9:$AA$55,0)),0)))&lt;=ABS(N(IFERROR(INDEX('Level Engine'!$AE$9:$AE$55,MATCH($AL48-5,'Level Engine'!$AA$9:$AA$55,0)),0))),OR(AND(ABS(N(IFERROR(INDEX('Level Engine'!$AE$9:$AE$55,MATCH($AL48+5,'Level Engine'!$AA$9:$AA$55,0)),0)))&gt;='Level Engine'!$BG$85,ABS(N(IFERROR(INDEX('Level Engine'!$AE$9:$AE$55,MATCH($AL48,'Level Engine'!$AA$9:$AA$55,0)),0)))&lt;='Level Engine'!$BG$88*ABS(N(IFERROR(INDEX('Level Engine'!$AE$9:$AE$55,MATCH($AL48+5,'Level Engine'!$AA$9:$AA$55,0)),0)))),AND(ABS(N(IFERROR(INDEX('Level Engine'!$AE$9:$AE$55,MATCH($AL48-5,'Level Engine'!$AA$9:$AA$55,0)),0)))&gt;='Level Engine'!$BG$85,ABS(N(IFERROR(INDEX('Level Engine'!$AE$9:$AE$55,MATCH($AL48,'Level Engine'!$AA$9:$AA$55,0)),0)))&lt;='Level Engine'!$BG$88*ABS(N(IFERROR(INDEX('Level Engine'!$AE$9:$AE$55,MATCH($AL48-5,'Level Engine'!$AA$9:$AA$55,0)),0)))))),IF(AND('King Node Model'!$A$8="Pos",N('Level Engine'!$BG$72)&lt;&gt;1),""," ∅"),""),"")&amp;IF(IFERROR(INDEX('Level Engine'!$JD$9:$JD$55,MATCH($AL48,'Level Engine'!$AA$9:$AA$55,0)),"")="P"," P-OI",IF(IFERROR(INDEX('Level Engine'!$JD$9:$JD$55,MATCH($AL48,'Level Engine'!$AA$9:$AA$55,0)),"")="C"," C-OI",""))</f>
        <v>7660</v>
      </c>
      <c r="C48" s="9" t="str">
        <f t="shared" si="0"/>
        <v/>
      </c>
      <c r="D48" t="str">
        <f>IF(NOT(ISNUMBER($AL48)),"",IF(IFERROR(INDEX('Level Engine'!$FS$9:$FS$55,MATCH($AL48,'Level Engine'!$AA$9:$AA$55,0)),0)=1,"⊙",""))</f>
        <v/>
      </c>
      <c r="E48" s="619" t="s">
        <v>43</v>
      </c>
      <c r="F48" s="619"/>
      <c r="G48" s="619"/>
      <c r="H48" s="619"/>
      <c r="I48" s="619"/>
      <c r="J48" s="619"/>
      <c r="K48" s="619"/>
      <c r="L48" s="619"/>
      <c r="M48" s="619"/>
      <c r="N48" s="619"/>
      <c r="O48" s="619"/>
      <c r="P48" s="473"/>
      <c r="Q48" s="452" t="str">
        <f t="shared" si="21"/>
        <v xml:space="preserve">7770   85% </v>
      </c>
      <c r="R48" s="447" t="str">
        <f t="shared" si="22"/>
        <v>605 ▉</v>
      </c>
      <c r="S48" s="484" t="str">
        <f t="shared" si="23"/>
        <v>▉▉▉▉▉▉▉ 3.5k</v>
      </c>
      <c r="T48" s="484" t="str">
        <f t="shared" si="24"/>
        <v>g1</v>
      </c>
      <c r="U48" s="453" t="str">
        <f t="shared" si="25"/>
        <v>biggest gamma in band</v>
      </c>
      <c r="V48" s="39"/>
      <c r="W48" s="1"/>
      <c r="X48" s="10"/>
      <c r="Y48" s="10"/>
      <c r="Z48" s="41"/>
      <c r="AA48" s="41"/>
      <c r="AL48" s="1">
        <f>'King Node Model'!A74</f>
        <v>7660</v>
      </c>
      <c r="AM48" s="10">
        <f>'King Node Model'!C74</f>
        <v>-25233</v>
      </c>
      <c r="AO48" s="10">
        <f>'King Node Model'!B74</f>
        <v>29797</v>
      </c>
      <c r="AY48" s="1">
        <f>IF(AND($B$2="Hide unsafe",$BB48=1),0,IF(AND(OR(AND(AND(ISNUMBER($AL48),OR(AND($AL48&gt;=$AQ$22,$AL48&lt;=$AR$22,$AS$22=1),$AL48=$AQ$22,$AL48=$AR$22,$AL48=$AQ$23,$AL48=$AR$23,$AL48=$AQ$24,$AL48=$AR$24),NOT(OR($AL48=$AN$5,$AL48=$AN$6,$AL48=$AN$7,$AL48=$AN$8,$AL48=$AN$10,$AL48=$AN$11))),NOT(OR(AND('King Node Model'!$P$13="Up",OR($AL48=$AQ$22,$AL48=$AQ$23,$AL48=$AQ$24,$AL48='King Node Model'!$AM$20,$AL48='King Node Model'!$AM$21,$AL48='King Node Model'!$AM$22),OR(AND('King Node Model'!$B$23-$AL48&gt;=0,'King Node Model'!$B$23-$AL48&lt;=5),AND('King Node Model'!$C$23-$AL48&gt;=0,'King Node Model'!$C$23-$AL48&lt;=5))),AND('King Node Model'!$P$13="Down",OR($AL48=$AR$22,$AL48=$AR$23,$AL48=$AR$24,$AL48='King Node Model'!$AN$20,$AL48='King Node Model'!$AN$21,$AL48='King Node Model'!$AN$22),OR(AND($AL48-'King Node Model'!$B$23&gt;=0,$AL48-'King Node Model'!$B$23&lt;=5),AND($AL48-'King Node Model'!$C$24&gt;=0,$AL48-'King Node Model'!$C$24&lt;=5)))))),AND(AND(ISNUMBER($AL48),OR(AND($AL48&gt;=$AQ$22,$AL48&lt;=$AR$22,$AS$22=1),$AL48=$AQ$22,$AL48=$AR$22,$AL48=$AQ$23,$AL48=$AR$23,$AL48=$AQ$24,$AL48=$AR$24,$AL48='King Node Model'!$AL$42,$AL48='King Node Model'!$AL$43),OR($AL48=$AN$5,$AL48=$AN$6,$AL48=$AN$7,$AL48=$AN$8,$AL48=$AN$10,$AL48=$AN$11)),NOT(OR(AND('King Node Model'!$P$13="Up",OR($AL48=$AQ$22,$AL48=$AQ$23,$AL48=$AQ$24,$AL48='King Node Model'!$AM$20,$AL48='King Node Model'!$AM$21,$AL48='King Node Model'!$AM$22),OR(AND('King Node Model'!$B$23-$AL48&gt;=0,'King Node Model'!$B$23-$AL48&lt;=5),AND('King Node Model'!$C$23-$AL48&gt;=0,'King Node Model'!$C$23-$AL48&lt;=5))),AND('King Node Model'!$P$13="Down",OR($AL48=$AR$22,$AL48=$AR$23,$AL48=$AR$24,$AL48='King Node Model'!$AN$20,$AL48='King Node Model'!$AN$21,$AL48='King Node Model'!$AN$22),OR(AND($AL48-'King Node Model'!$B$23&gt;=0,$AL48-'King Node Model'!$B$23&lt;=5),AND($AL48-'King Node Model'!$C$24&gt;=0,$AL48-'King Node Model'!$C$24&lt;=5)))))),AND(AND(ISNUMBER($AL48),OR(AND($AL48&gt;='King Node Model'!$AM$20,$AL48&lt;='King Node Model'!$AN$20,$AS$23=1),$AL48='King Node Model'!$AM$20,$AL48='King Node Model'!$AN$20,$AL48='King Node Model'!$AM$21,$AL48='King Node Model'!$AN$21,$AL48='King Node Model'!$AM$22,$AL48='King Node Model'!$AN$22),NOT(OR($AL48=$AN$5,$AL48=$AN$6,$AL48=$AN$7,$AL48=$AN$8,$AL48=$AN$10,$AL48=$AN$11))),NOT(AND(ISNUMBER('King Node Model'!$F$24),$AL48='King Node Model'!$F$24,IFERROR(INDEX('Level Engine'!$JN$9:$JN$55,MATCH($AL48,'Level Engine'!$AA$9:$AA$55,0)),0)&lt;&gt;1))),AND(AND(ISNUMBER($AL48),OR(AND($AL48&gt;='King Node Model'!$AM$20,$AL48&lt;='King Node Model'!$AN$20,$AS$23=1),$AL48='King Node Model'!$AM$20,$AL48='King Node Model'!$AN$20,$AL48='King Node Model'!$AM$21,$AL48='King Node Model'!$AN$21,$AL48='King Node Model'!$AM$22,$AL48='King Node Model'!$AN$22,$AL48='King Node Model'!$AL$49,$AL48='King Node Model'!$AL$50),OR($AL48=$AN$5,$AL48=$AN$6,$AL48=$AN$7,$AL48=$AN$8,$AL48=$AN$10,$AL48=$AN$11)),NOT(OR(AND('King Node Model'!$P$13="Up",OR($AL48=$AQ$22,$AL48=$AQ$23,$AL48=$AQ$24,$AL48='King Node Model'!$AM$20,$AL48='King Node Model'!$AM$21,$AL48='King Node Model'!$AM$22),OR(AND('King Node Model'!$B$23-$AL48&gt;=0,'King Node Model'!$B$23-$AL48&lt;=5),AND('King Node Model'!$C$23-$AL48&gt;=0,'King Node Model'!$C$23-$AL48&lt;=5))),AND('King Node Model'!$P$13="Down",OR($AL48=$AR$22,$AL48=$AR$23,$AL48=$AR$24,$AL48='King Node Model'!$AN$20,$AL48='King Node Model'!$AN$21,$AL48='King Node Model'!$AN$22),OR(AND($AL48-'King Node Model'!$B$23&gt;=0,$AL48-'King Node Model'!$B$23&lt;=5),AND($AL48-'King Node Model'!$C$24&gt;=0,$AL48-'King Node Model'!$C$24&lt;=5))))))),OR(COUNTIF('Level Engine'!$W$9:$W$14,$AL48)&gt;0,COUNTIF('Level Engine'!$W$18:$W$23,$AL48)&gt;0)),1,0))</f>
        <v>0</v>
      </c>
      <c r="AZ48" s="1">
        <f t="shared" si="1"/>
        <v>0</v>
      </c>
      <c r="BB48" s="1">
        <f>IF(OR(AND($AL48='King Node Model'!$AL$42,$AP$45&lt;&gt;"RASP"),AND($AL48='King Node Model'!$AL$43,$AP$46&lt;&gt;"RASP"),AND($AL48='King Node Model'!$AL$49,$AP$52&lt;&gt;"RASP"),AND($AL48='King Node Model'!$AL$50,$AP$53&lt;&gt;"RASP"),AND($AL48='King Node Model'!$AL$44,$AP$47&lt;&gt;"RASP"),AND($AL48='King Node Model'!$AL$51,$AP$54&lt;&gt;"RASP")),0,IF(AND(AND(ISNUMBER($AL48),OR(AND($AL48&gt;=$AQ$22,$AL48&lt;=$AR$22,$AP$45="RASP"),AND($AL48&gt;=$AQ$23,$AL48&lt;=$AR$23,$AP$46="RASP"),AND($AL48&gt;=$AQ$24,$AL48&lt;=$AR$24,$AP$47="RASP"),AND($AL48&gt;='King Node Model'!$AM$20,$AL48&lt;='King Node Model'!$AN$20,$AP$52="RASP",NOT($L$52=$AW$52)),AND($AL48='King Node Model'!$B$23,$AP$52="RASP",$L$52=$AW$52),AND($AL48&gt;='King Node Model'!$AM$21,$AL48&lt;='King Node Model'!$AN$21,$AP$53="RASP",NOT($L$53=$AW$53)),AND($AL48='King Node Model'!$B$23,$AP$53="RASP",$L$53=$AW$53),AND($AL48&gt;='King Node Model'!$AM$22,$AL48&lt;='King Node Model'!$AN$22,$AP$54="RASP"),AND($AL48&gt;=IFERROR(INDEX('Level Engine'!$AT$9:$AT$55,MATCH('King Node Model'!$AL$42,'Level Engine'!$AA$9:$AA$55,0)),""),$AL48&lt;=IFERROR(INDEX('Level Engine'!$AU$9:$AU$55,MATCH('King Node Model'!$AL$42,'Level Engine'!$AA$9:$AA$55,0)),""),$AP$45="RASP"),AND($AL48&gt;=IFERROR(INDEX('Level Engine'!$AT$9:$AT$55,MATCH('King Node Model'!$AL$43,'Level Engine'!$AA$9:$AA$55,0)),""),$AL48&lt;=IFERROR(INDEX('Level Engine'!$AU$9:$AU$55,MATCH('King Node Model'!$AL$43,'Level Engine'!$AA$9:$AA$55,0)),""),$AP$46="RASP"),AND($AL48&gt;=IFERROR(INDEX('Level Engine'!$AT$9:$AT$55,MATCH('King Node Model'!$AL$44,'Level Engine'!$AA$9:$AA$55,0)),""),$AL48&lt;=IFERROR(INDEX('Level Engine'!$AU$9:$AU$55,MATCH('King Node Model'!$AL$44,'Level Engine'!$AA$9:$AA$55,0)),""),$AP$47="RASP"),AND($AL48&gt;=IFERROR(INDEX('Level Engine'!$AT$9:$AT$55,MATCH('King Node Model'!$AL$49,'Level Engine'!$AA$9:$AA$55,0)),""),$AL48&lt;=IFERROR(INDEX('Level Engine'!$AU$9:$AU$55,MATCH('King Node Model'!$AL$49,'Level Engine'!$AA$9:$AA$55,0)),""),$AP$52="RASP",NOT($L$52=$AW$52)),AND($AL48&gt;=IFERROR(INDEX('Level Engine'!$AT$9:$AT$55,MATCH('King Node Model'!$AL$50,'Level Engine'!$AA$9:$AA$55,0)),""),$AL48&lt;=IFERROR(INDEX('Level Engine'!$AU$9:$AU$55,MATCH('King Node Model'!$AL$50,'Level Engine'!$AA$9:$AA$55,0)),""),$AP$53="RASP",NOT($L$53=$AW$53)),AND($AL48&gt;=IFERROR(INDEX('Level Engine'!$AT$9:$AT$55,MATCH('King Node Model'!$AL$51,'Level Engine'!$AA$9:$AA$55,0)),""),$AL48&lt;=IFERROR(INDEX('Level Engine'!$AU$9:$AU$55,MATCH('King Node Model'!$AL$51,'Level Engine'!$AA$9:$AA$55,0)),""),$AP$54="RASP"))),NOT(AND(ISNUMBER('King Node Model'!$F$24),$AL48='King Node Model'!$F$24,IFERROR(INDEX('Level Engine'!$JN$9:$JN$55,MATCH($AL48,'Level Engine'!$AA$9:$AA$55,0)),0)&lt;&gt;1,$AL48&lt;&gt;'King Node Model'!$AL$42,$AL48&lt;&gt;'King Node Model'!$AL$43,$AL48&lt;&gt;'King Node Model'!$AL$44,$AL48&lt;&gt;'King Node Model'!$AL$49,$AL48&lt;&gt;'King Node Model'!$AL$50,$AL48&lt;&gt;'King Node Model'!$AL$51))),1,0))</f>
        <v>0</v>
      </c>
      <c r="BK48">
        <f>IFERROR(LARGE($CH$43:$CH$51,6),"")</f>
        <v>7770</v>
      </c>
      <c r="BL48">
        <f>IFERROR(INDEX('King Node Model'!$K$29:$K$75,MATCH($BK48,'King Node Model'!$A$29:$A$75,0)),"")</f>
        <v>605</v>
      </c>
      <c r="BM48">
        <f>IFERROR(INDEX('King Node Model'!$L$29:$L$75,MATCH($BK48,'King Node Model'!$A$29:$A$75,0)),"")</f>
        <v>3450</v>
      </c>
      <c r="BN48">
        <f t="shared" si="26"/>
        <v>0.70160295930949446</v>
      </c>
      <c r="BO48">
        <f>IFERROR(INDEX('Level Engine'!$AC$9:$AC$55,MATCH($BK48,'Level Engine'!$AA$9:$AA$55,0))/MAX('Level Engine'!$AC$9:$AC$55),"")</f>
        <v>1</v>
      </c>
      <c r="BP48">
        <f>IF(NOT(ISNUMBER($BK48)),"",IF($BK48&gt;'King Node Model'!$B$4,1,-1))</f>
        <v>-1</v>
      </c>
      <c r="BQ48" t="str">
        <f>IF(OR(NOT(ISNUMBER($BN48)),NOT(ISNUMBER($BO48))),"",IF($BO48&lt;0.15,"thin",IF(OR('King Node Model'!$A$8="Neg",N('Level Engine'!$BG$72)=1),"",IF($BP48=1,IF($BN48&lt;=-0.4,"HARD ceil",IF($BN48&lt;=-0.15,"ceil",IF($BN48&lt;0.15,"neutral","soft ceil"))),IF($BN48&gt;=0.4,"FIRM floor",IF($BN48&gt;=0.15,"floor",IF($BN48&gt;-0.15,"neutral","WEAK floor"))))&amp;IF($BO48&lt;0.25," ·marginal",""))))</f>
        <v/>
      </c>
      <c r="BR48" t="str">
        <f>IF(NOT(ISNUMBER($BN48)),"",IF(OR('King Node Model'!$A$8="Neg",N('Level Engine'!$BG$72)=1),"",IF(AND($BP48=1,$BN48&gt;0.15),"⚠",IF(AND($BP48=-1,$BN48&lt;-0.15),"⚠",""))))</f>
        <v/>
      </c>
      <c r="BW48">
        <f t="shared" si="27"/>
        <v>1</v>
      </c>
      <c r="BX48">
        <f t="shared" si="28"/>
        <v>1</v>
      </c>
      <c r="BY48" t="str">
        <f t="shared" si="29"/>
        <v>biggest gamma in band</v>
      </c>
      <c r="BZ48">
        <f t="shared" si="30"/>
        <v>4055</v>
      </c>
      <c r="CH48">
        <f>IF($CI48&lt;=0,"",IFERROR(SUMPRODUCT(MAX((('King Node Model'!$A$29:$A$75&gt;='King Node Model'!$B$4-25)*('King Node Model'!$A$29:$A$75&lt;='King Node Model'!$B$4+25)*('King Node Model'!$A$29:$A$75&gt;0)*((626-('King Node Model'!$A$29:$A$75-'King Node Model'!$B$4)^2)*1000000+'King Node Model'!$A$29:$A$75)=$CI48)*'King Node Model'!$A$29:$A$75)),""))</f>
        <v>7790</v>
      </c>
      <c r="CI48">
        <f>IFERROR(SUMPRODUCT(LARGE(('King Node Model'!$A$29:$A$75&gt;='King Node Model'!$B$4-25)*('King Node Model'!$A$29:$A$75&lt;='King Node Model'!$B$4+25)*('King Node Model'!$A$29:$A$75&gt;0)*((626-('King Node Model'!$A$29:$A$75-'King Node Model'!$B$4)^2)*1000000+'King Node Model'!$A$29:$A$75),6)),0)</f>
        <v>412555690.0000096</v>
      </c>
      <c r="CO48">
        <f>IF(NOT(ISNUMBER($AL48)),"",IF(NOT(ISNUMBER(IFERROR(INDEX('Level Engine'!$FT$9:$FT$55,MATCH($AL48,'Level Engine'!$AA$9:$AA$55,0)),""))),"",IF(IFERROR(INDEX('Level Engine'!$FT$9:$FT$55,MATCH($AL48,'Level Engine'!$AA$9:$AA$55,0)),"")&lt;0,0,2)+IF(ABS(IFERROR(INDEX('Level Engine'!$FT$9:$FT$55,MATCH($AL48,'Level Engine'!$AA$9:$AA$55,0)),""))&gt;='Level Engine'!$FT$2,2,1)))</f>
        <v>2</v>
      </c>
      <c r="DJ48" t="str">
        <f>IF(ISNUMBER($AL48),IF($AL48='Level Engine'!$BG$122," ⫪","")&amp;IF($AL48='Level Engine'!$BG$118," S↑"&amp;IFERROR(INDEX('Level Engine'!$MV$9:$MV$55,MATCH($AL48,'Level Engine'!$AA$9:$AA$55,0)),""),"")&amp;IF($AL48='Level Engine'!$BG$119," S↓"&amp;IFERROR(INDEX('Level Engine'!$MV$9:$MV$55,MATCH($AL48,'Level Engine'!$AA$9:$AA$55,0)),""),"")&amp;IF($AL48='Level Engine'!$BG$120," D↑","")&amp;IF($AL48='Level Engine'!$BG$121," D↓","")&amp;IFERROR(INDEX('Level Engine'!$LG$9:$LG$55,MATCH($AL48,'Level Engine'!$AA$9:$AA$55,0)),"")&amp;IF(IFERROR(INDEX('Level Engine'!$MA$9:$MA$55,MATCH($AL48,'Level Engine'!$AA$9:$AA$55,0)),0)=1," SAND","")&amp;IF(IFERROR(INDEX('Level Engine'!$LM$9:$LM$55,MATCH($AL48,'Level Engine'!$AA$9:$AA$55,0)),0)&gt;0," TP","")&amp;IFERROR(" r"&amp;MATCH($AL48,'Level Engine'!$W$9:$W$14,0),IFERROR(" s"&amp;MATCH($AL48,'Level Engine'!$W$18:$W$23,0),""))&amp;IF($AL48='Level Engine'!$BG$165," ◇","")&amp;IF(N($DZ48)=1,IF($AL48&gt;'Level Engine'!$BG$165," ⚠ DOM↓"," ⚠ DOM↑")&amp;'Level Engine'!$BG$165,""),"")</f>
        <v/>
      </c>
      <c r="DK48" t="str">
        <f>IF(AND(ISNUMBER($AL48),OR($AL48='King Node Model'!$AL$42,$AL48='King Node Model'!$AL$43,$AL48='King Node Model'!$AL$44)),IFERROR(MATCH($AL48,'Level Engine'!$W$9:$W$14,0),""),"")</f>
        <v/>
      </c>
      <c r="DL48" t="str">
        <f>IF(AND(ISNUMBER($AL48),OR($AL48='King Node Model'!$AL$49,$AL48='King Node Model'!$AL$50,$AL48='King Node Model'!$AL$51)),IFERROR(MATCH($AL48,'Level Engine'!$W$18:$W$23,0),""),"")</f>
        <v/>
      </c>
      <c r="DM48">
        <f>IF(AND(ISNUMBER($AL48),IFERROR(INDEX('Level Engine'!$LC$9:$LC$55,MATCH($AL48,'Level Engine'!$AA$9:$AA$55,0)),0)=1,OR($AL48=$AN$3,IFERROR(INDEX('Level Engine'!$LB$9:$LB$55,MATCH($AL48,'Level Engine'!$AA$9:$AA$55,0)),0)=1)),1,0)</f>
        <v>0</v>
      </c>
      <c r="DZ48">
        <f>IF(ISNUMBER($AL48),IF(IFERROR(INDEX('Level Engine'!$NJ$9:$NJ$55,MATCH($AL48,'Level Engine'!$AA$9:$AA$55,0)),0)=1,1,0),0)</f>
      </c>
    </row>
    <row r="49" spans="1:123" ht="39.75" customHeight="1" x14ac:dyDescent="0.25">
      <c r="A49" s="7" t="str">
        <f t="shared" si="3"/>
        <v/>
      </c>
      <c r="B49" s="8" t="str">
        <f>TEXT(IF(IF('Level Engine'!$GJ$4=1,$AL49='Level Engine'!$GJ$3,AND($AL49-$AM$2&gt;-2.5,$AL49-$AM$2&lt;=2.5)),$AM$2,$AL49),"0")&amp;IF($AL49=$AN$1," ★","")&amp;IF($AL49=$AN$2," ★","")&amp;IF($AL49=$AN$3," ◆","")&amp;IF(AND(ISNUMBER($AN$4),$AL49=$AN$4)," Ⓕ","")&amp;IF(OR(AND(ISNUMBER('Level Engine'!$BG$87),$AL49='Level Engine'!$BG$87),AND(ISNUMBER('Level Engine'!$BG$105),$AL49='Level Engine'!$BG$105))," ζ","")&amp;IF(AND(ISNUMBER($AN$35),$AL49=$AN$35)," ⓏⒼ","")&amp;IF(OR($AL49='Level Engine'!$CP$4,$AL49='Level Engine'!$CP$5,$AL49='Level Engine'!$CP$6,$AL49='Level Engine'!$CP$7)," ☄","")&amp;IF(OR($AL49=$AN$5,$AL49=$AN$8)," ║1","")&amp;IF(OR($AL49=$AN$6,$AL49=$AN$10)," ║2","")&amp;IF(OR($AL49=$AN$7,$AL49=$AN$11)," ║3","")&amp;IF(OR($AL49=$AN$13,$AL49=$AN$16)," ▣1","")&amp;IF(OR($AL49=$AN$14,$AL49=$AN$17)," ▣2","")&amp;IF(OR($AL49=$AN$15,$AL49=$AN$18)," ▣3","")&amp;IF(AND(NOT(OR(AND(ISNUMBER(SEARCH("chop edge",$E$45)),IFERROR(ABS($AL49-'King Node Model'!$AL$42)&lt;=5,FALSE),NOT(ISNUMBER(SEARCH("UNSAFE",$L$45)))),AND(ISNUMBER(SEARCH("chop edge",$E$46)),IFERROR(ABS($AL49-'King Node Model'!$AL$43)&lt;=5,FALSE),NOT(ISNUMBER(SEARCH("UNSAFE",$L$46)))),AND(ISNUMBER(SEARCH("chop edge",$E$52)),IFERROR(ABS($AL49-'King Node Model'!$AL$49)&lt;=5,FALSE),NOT(ISNUMBER(SEARCH("UNSAFE",$L$52)))),AND(ISNUMBER(SEARCH("chop edge",$E$53)),IFERROR(ABS($AL49-'King Node Model'!$AL$50)&lt;=5,FALSE),NOT(ISNUMBER(SEARCH("UNSAFE",$L$53)))))),OR(AND(IFERROR(INDEX('Level Engine'!$IB$9:$IB$55,MATCH('King Node Model'!$AL$49,'Level Engine'!$AA$9:$AA$55,0)),0)&lt;&gt;1,$AL49=IFERROR(INDEX('Level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Engine'!$AA$9:$AA$55,0)),0)&lt;&gt;1,$AL49=IFERROR(INDEX('Level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edge",$E$45)),IFERROR(ABS($AL49-'King Node Model'!$AL$42)&lt;=5,FALSE),NOT(ISNUMBER(SEARCH("UNSAFE",$L$45)))),AND(ISNUMBER(SEARCH("chop edge",$E$46)),IFERROR(ABS($AL49-'King Node Model'!$AL$43)&lt;=5,FALSE),NOT(ISNUMBER(SEARCH("UNSAFE",$L$46)))),AND(ISNUMBER(SEARCH("chop edge",$E$52)),IFERROR(ABS($AL49-'King Node Model'!$AL$49)&lt;=5,FALSE),NOT(ISNUMBER(SEARCH("UNSAFE",$L$52)))),AND(ISNUMBER(SEARCH("chop edge",$E$53)),IFERROR(ABS($AL49-'King Node Model'!$AL$50)&lt;=5,FALSE),NOT(ISNUMBER(SEARCH("UNSAFE",$L$53)))))),OR(AND(IFERROR(INDEX('Level Engine'!$IB$9:$IB$55,MATCH('King Node Model'!$AL$42,'Level Engine'!$AA$9:$AA$55,0)),0)&lt;&gt;1,$AL49=IFERROR(INDEX('Level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Engine'!$AA$9:$AA$55,0)),0)&lt;&gt;1,$AL49=IFERROR(INDEX('Level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ⒷⓁ"),"")&amp;IF(OR(AND($AL49&gt;='King Node Model'!$AM$17,$AL49&lt;='King Node Model'!$AN$17,$AP$45="RASP"),AND($AL49&gt;='King Node Model'!$AM$18,$AL49&lt;='King Node Model'!$AN$18,$AP$46="RASP"),AND($AL49&gt;='King Node Model'!$AM$19,$AL49&lt;='King Node Model'!$AN$19,$AP$47="RASP"),AND($AL49&gt;='King Node Model'!$AM$20,$AL49&lt;='King Node Model'!$AN$20,$AP$52="RASP"),AND($AL49&gt;='King Node Model'!$AM$21,$AL49&lt;='King Node Model'!$AN$21,$AP$53="RASP"),AND($AL49&gt;='King Node Model'!$AM$22,$AL49&lt;='King Node Model'!$AN$22,$AP$54="RASP")),"","")&amp;IF(IF('Level Engine'!$GJ$4=1,$AL49='Level Engine'!$GJ$3,AND($AL49-$AM$2&gt;-2.5,$AL49-$AM$2&lt;=2.5))," ◄","")&amp;IF(IFERROR(INDEX('Level Engine'!$GV$9:$GV$55,MATCH($AL49,'Level Engine'!$AA$9:$AA$55,0)),0)=1," Ⓥ"&amp;IF(IFERROR(INDEX('Level Engine'!$ET$9:$ET$55,MATCH($AL49,'Level Engine'!$AA$9:$AA$55,0)),0)=1,"+",""),"")&amp;IF(OR(AND($AL49=$AN$38,IFERROR(INDEX('Level Engine'!$AN$9:$AN$55,MATCH($AL49,'Level Engine'!$AA$9:$AA$55,0)),0)&lt;&gt;1),$AL49=$AN$39)," ⊙","")&amp;IF(AND(OR('King Node Model'!$A$8="Neg",N('Level Engine'!$BG$72)=1),ABS(MIN($AM$3:$AM$64))&gt;MAX($AM$3:$AM$64),$AN$2&lt;$AM$2,$AL49&lt;$AM$2,ABS($AL49-$AN$2)&lt;=5,IFERROR(VALUE(MID('King Node Model'!$K$26,FIND(":",'King Node Model'!$K$26)-2,2)),0)&gt;=19,IFERROR(INDEX('Level Engine'!$EJ$9:$EJ$55,MATCH($AL49,'Level Engine'!$AA$9:$AA$55,0)),0)=0,$AN$3&gt;$AM$2)," ⟲rev","")&amp;IF($AL49='King Node Model'!$F$24," ⟂","")&amp;$DJ49&amp;IF(IFERROR(INDEX('Level Engine'!$EN$9:$EN$55,MATCH($AL49,'Level Engine'!$AA$9:$AA$55,0)),0)=1," Ⓟ"&amp;IF(AND(OR('King Node Model'!$A$8="Neg",N('Level Engine'!$BG$72)=1),IFERROR(INDEX('Level Engine'!$AN$9:$AN$55,MATCH($AL49,'Level Engine'!$AA$9:$AA$55,0)),0)&lt;&gt;1)," NO-REV",""),"")&amp;IF(AND(ISNUMBER($AL49),OR(AND(ISNUMBER(SEARCH("chop edge",$E$45)),$AL49='King Node Model'!$AL$42),AND(ISNUMBER(SEARCH("chop edge",$E$46)),$AL49='King Node Model'!$AL$43),AND(ISNUMBER(SEARCH("chop edge",$E$52)),$AL49='King Node Model'!$AL$49),AND(ISNUMBER(SEARCH("chop edge",$E$53)),$AL49='King Node Model'!$AL$50)))," ⒸⒺ","")&amp;IF(AND('Level Engine'!$GJ$4=1,OR($AL49='Level Engine'!$GJ$1,$AL49='Level Engine'!$GJ$2)),"","")&amp;IF(ABS(N(IFERROR(INDEX('Level Engine'!$AE$9:$AE$55,MATCH($AL49,'Level Engine'!$AA$9:$AA$55,0)),0)))&gt;='Level Engine'!$BG$85,IF(N(IFERROR(INDEX('Level Engine'!$AE$9:$AE$55,MATCH($AL49,'Level Engine'!$AA$9:$AA$55,0)),0))&gt;0," Δ+"," Δ−"),"")&amp;IFERROR(IF(AND(ISNUMBER(MATCH($AL49,'Level Engine'!$AA$9:$AA$55,0)),ABS(N(IFERROR(INDEX('Level Engine'!$AE$9:$AE$55,MATCH($AL49,'Level Engine'!$AA$9:$AA$55,0)),0)))&lt;'Level Engine'!$BG$85,ABS(N(IFERROR(INDEX('Level Engine'!$AE$9:$AE$55,MATCH($AL49,'Level Engine'!$AA$9:$AA$55,0)),0)))&lt;=ABS(N(IFERROR(INDEX('Level Engine'!$AE$9:$AE$55,MATCH($AL49+5,'Level Engine'!$AA$9:$AA$55,0)),0))),ABS(N(IFERROR(INDEX('Level Engine'!$AE$9:$AE$55,MATCH($AL49,'Level Engine'!$AA$9:$AA$55,0)),0)))&lt;=ABS(N(IFERROR(INDEX('Level Engine'!$AE$9:$AE$55,MATCH($AL49-5,'Level Engine'!$AA$9:$AA$55,0)),0))),OR(AND(ABS(N(IFERROR(INDEX('Level Engine'!$AE$9:$AE$55,MATCH($AL49+5,'Level Engine'!$AA$9:$AA$55,0)),0)))&gt;='Level Engine'!$BG$85,ABS(N(IFERROR(INDEX('Level Engine'!$AE$9:$AE$55,MATCH($AL49,'Level Engine'!$AA$9:$AA$55,0)),0)))&lt;='Level Engine'!$BG$88*ABS(N(IFERROR(INDEX('Level Engine'!$AE$9:$AE$55,MATCH($AL49+5,'Level Engine'!$AA$9:$AA$55,0)),0)))),AND(ABS(N(IFERROR(INDEX('Level Engine'!$AE$9:$AE$55,MATCH($AL49-5,'Level Engine'!$AA$9:$AA$55,0)),0)))&gt;='Level Engine'!$BG$85,ABS(N(IFERROR(INDEX('Level Engine'!$AE$9:$AE$55,MATCH($AL49,'Level Engine'!$AA$9:$AA$55,0)),0)))&lt;='Level Engine'!$BG$88*ABS(N(IFERROR(INDEX('Level Engine'!$AE$9:$AE$55,MATCH($AL49-5,'Level Engine'!$AA$9:$AA$55,0)),0)))))),IF(AND('King Node Model'!$A$8="Pos",N('Level Engine'!$BG$72)&lt;&gt;1),""," ∅"),""),"")&amp;IF(IFERROR(INDEX('Level Engine'!$JD$9:$JD$55,MATCH($AL49,'Level Engine'!$AA$9:$AA$55,0)),"")="P"," P-OI",IF(IFERROR(INDEX('Level Engine'!$JD$9:$JD$55,MATCH($AL49,'Level Engine'!$AA$9:$AA$55,0)),"")="C"," C-OI",""))</f>
        <v>7655</v>
      </c>
      <c r="C49" s="9" t="str">
        <f t="shared" si="0"/>
        <v/>
      </c>
      <c r="D49" t="str">
        <f>IF(NOT(ISNUMBER($AL49)),"",IF(IFERROR(INDEX('Level Engine'!$FS$9:$FS$55,MATCH($AL49,'Level Engine'!$AA$9:$AA$55,0)),0)=1,"⊙",""))</f>
        <v/>
      </c>
      <c r="E49" s="43" t="s">
        <v>33</v>
      </c>
      <c r="F49" s="44" t="s">
        <v>34</v>
      </c>
      <c r="G49" s="44" t="s">
        <v>35</v>
      </c>
      <c r="H49" s="44" t="s">
        <v>36</v>
      </c>
      <c r="I49" s="44" t="s">
        <v>37</v>
      </c>
      <c r="J49" s="44" t="str">
        <f>"Vanna  now → arrival"</f>
        <v>Vanna  now → arrival</v>
      </c>
      <c r="K49" s="44" t="s">
        <v>2142</v>
      </c>
      <c r="L49" s="44" t="s">
        <v>39</v>
      </c>
      <c r="M49" s="44" t="s">
        <v>40</v>
      </c>
      <c r="N49" s="44" t="s">
        <v>19</v>
      </c>
      <c r="O49" s="45" t="s">
        <v>41</v>
      </c>
      <c r="P49" s="474"/>
      <c r="Q49" s="452" t="str">
        <f t="shared" si="21"/>
        <v xml:space="preserve">7765   89% </v>
      </c>
      <c r="R49" s="447" t="str">
        <f t="shared" si="22"/>
        <v>214 ▉</v>
      </c>
      <c r="S49" s="484" t="str">
        <f t="shared" si="23"/>
        <v>▉▉▉▉▉▉▉ 1.7k</v>
      </c>
      <c r="T49" s="484" t="str">
        <f t="shared" si="24"/>
        <v>g6</v>
      </c>
      <c r="U49" s="453" t="str">
        <f t="shared" si="25"/>
        <v/>
      </c>
      <c r="W49" s="1" t="str">
        <f>"Why not on 43/44"</f>
        <v>Why not on 43/44</v>
      </c>
      <c r="X49" s="10"/>
      <c r="Y49" s="10"/>
      <c r="Z49" s="46"/>
      <c r="AA49" s="47"/>
      <c r="AB49" s="44"/>
      <c r="AC49" s="44"/>
      <c r="AL49" s="1">
        <f>'King Node Model'!A75</f>
        <v>7655</v>
      </c>
      <c r="AM49" s="10">
        <f>'King Node Model'!C75</f>
        <v>-21948</v>
      </c>
      <c r="AO49" s="10">
        <f>'King Node Model'!B75</f>
        <v>24654</v>
      </c>
      <c r="AY49" s="1">
        <f>IF(AND($B$2="Hide unsafe",$BB49=1),0,IF(AND(OR(AND(AND(ISNUMBER($AL49),OR(AND($AL49&gt;=$AQ$22,$AL49&lt;=$AR$22,$AS$22=1),$AL49=$AQ$22,$AL49=$AR$22,$AL49=$AQ$23,$AL49=$AR$23,$AL49=$AQ$24,$AL49=$AR$24),NOT(OR($AL49=$AN$5,$AL49=$AN$6,$AL49=$AN$7,$AL49=$AN$8,$AL49=$AN$10,$AL49=$AN$11))),NOT(OR(AND('King Node Model'!$P$13="Up",OR($AL49=$AQ$22,$AL49=$AQ$23,$AL49=$AQ$24,$AL49='King Node Model'!$AM$20,$AL49='King Node Model'!$AM$21,$AL49='King Node Model'!$AM$22),OR(AND('King Node Model'!$B$23-$AL49&gt;=0,'King Node Model'!$B$23-$AL49&lt;=5),AND('King Node Model'!$C$23-$AL49&gt;=0,'King Node Model'!$C$23-$AL49&lt;=5))),AND('King Node Model'!$P$13="Down",OR($AL49=$AR$22,$AL49=$AR$23,$AL49=$AR$24,$AL49='King Node Model'!$AN$20,$AL49='King Node Model'!$AN$21,$AL49='King Node Model'!$AN$22),OR(AND($AL49-'King Node Model'!$B$23&gt;=0,$AL49-'King Node Model'!$B$23&lt;=5),AND($AL49-'King Node Model'!$C$24&gt;=0,$AL49-'King Node Model'!$C$24&lt;=5)))))),AND(AND(ISNUMBER($AL49),OR(AND($AL49&gt;=$AQ$22,$AL49&lt;=$AR$22,$AS$22=1),$AL49=$AQ$22,$AL49=$AR$22,$AL49=$AQ$23,$AL49=$AR$23,$AL49=$AQ$24,$AL49=$AR$24,$AL49='King Node Model'!$AL$42,$AL49='King Node Model'!$AL$43),OR($AL49=$AN$5,$AL49=$AN$6,$AL49=$AN$7,$AL49=$AN$8,$AL49=$AN$10,$AL49=$AN$11)),NOT(OR(AND('King Node Model'!$P$13="Up",OR($AL49=$AQ$22,$AL49=$AQ$23,$AL49=$AQ$24,$AL49='King Node Model'!$AM$20,$AL49='King Node Model'!$AM$21,$AL49='King Node Model'!$AM$22),OR(AND('King Node Model'!$B$23-$AL49&gt;=0,'King Node Model'!$B$23-$AL49&lt;=5),AND('King Node Model'!$C$23-$AL49&gt;=0,'King Node Model'!$C$23-$AL49&lt;=5))),AND('King Node Model'!$P$13="Down",OR($AL49=$AR$22,$AL49=$AR$23,$AL49=$AR$24,$AL49='King Node Model'!$AN$20,$AL49='King Node Model'!$AN$21,$AL49='King Node Model'!$AN$22),OR(AND($AL49-'King Node Model'!$B$23&gt;=0,$AL49-'King Node Model'!$B$23&lt;=5),AND($AL49-'King Node Model'!$C$24&gt;=0,$AL49-'King Node Model'!$C$24&lt;=5)))))),AND(AND(ISNUMBER($AL49),OR(AND($AL49&gt;='King Node Model'!$AM$20,$AL49&lt;='King Node Model'!$AN$20,$AS$23=1),$AL49='King Node Model'!$AM$20,$AL49='King Node Model'!$AN$20,$AL49='King Node Model'!$AM$21,$AL49='King Node Model'!$AN$21,$AL49='King Node Model'!$AM$22,$AL49='King Node Model'!$AN$22),NOT(OR($AL49=$AN$5,$AL49=$AN$6,$AL49=$AN$7,$AL49=$AN$8,$AL49=$AN$10,$AL49=$AN$11))),NOT(AND(ISNUMBER('King Node Model'!$F$24),$AL49='King Node Model'!$F$24,IFERROR(INDEX('Level Engine'!$JN$9:$JN$55,MATCH($AL49,'Level Engine'!$AA$9:$AA$55,0)),0)&lt;&gt;1))),AND(AND(ISNUMBER($AL49),OR(AND($AL49&gt;='King Node Model'!$AM$20,$AL49&lt;='King Node Model'!$AN$20,$AS$23=1),$AL49='King Node Model'!$AM$20,$AL49='King Node Model'!$AN$20,$AL49='King Node Model'!$AM$21,$AL49='King Node Model'!$AN$21,$AL49='King Node Model'!$AM$22,$AL49='King Node Model'!$AN$22,$AL49='King Node Model'!$AL$49,$AL49='King Node Model'!$AL$50),OR($AL49=$AN$5,$AL49=$AN$6,$AL49=$AN$7,$AL49=$AN$8,$AL49=$AN$10,$AL49=$AN$11)),NOT(OR(AND('King Node Model'!$P$13="Up",OR($AL49=$AQ$22,$AL49=$AQ$23,$AL49=$AQ$24,$AL49='King Node Model'!$AM$20,$AL49='King Node Model'!$AM$21,$AL49='King Node Model'!$AM$22),OR(AND('King Node Model'!$B$23-$AL49&gt;=0,'King Node Model'!$B$23-$AL49&lt;=5),AND('King Node Model'!$C$23-$AL49&gt;=0,'King Node Model'!$C$23-$AL49&lt;=5))),AND('King Node Model'!$P$13="Down",OR($AL49=$AR$22,$AL49=$AR$23,$AL49=$AR$24,$AL49='King Node Model'!$AN$20,$AL49='King Node Model'!$AN$21,$AL49='King Node Model'!$AN$22),OR(AND($AL49-'King Node Model'!$B$23&gt;=0,$AL49-'King Node Model'!$B$23&lt;=5),AND($AL49-'King Node Model'!$C$24&gt;=0,$AL49-'King Node Model'!$C$24&lt;=5))))))),OR(COUNTIF('Level Engine'!$W$9:$W$14,$AL49)&gt;0,COUNTIF('Level Engine'!$W$18:$W$23,$AL49)&gt;0)),1,0))</f>
        <v>0</v>
      </c>
      <c r="AZ49" s="1">
        <f t="shared" si="1"/>
        <v>0</v>
      </c>
      <c r="BB49" s="1">
        <f>IF(OR(AND($AL49='King Node Model'!$AL$42,$AP$45&lt;&gt;"RASP"),AND($AL49='King Node Model'!$AL$43,$AP$46&lt;&gt;"RASP"),AND($AL49='King Node Model'!$AL$49,$AP$52&lt;&gt;"RASP"),AND($AL49='King Node Model'!$AL$50,$AP$53&lt;&gt;"RASP"),AND($AL49='King Node Model'!$AL$44,$AP$47&lt;&gt;"RASP"),AND($AL49='King Node Model'!$AL$51,$AP$54&lt;&gt;"RASP")),0,IF(AND(AND(ISNUMBER($AL49),OR(AND($AL49&gt;=$AQ$22,$AL49&lt;=$AR$22,$AP$45="RASP"),AND($AL49&gt;=$AQ$23,$AL49&lt;=$AR$23,$AP$46="RASP"),AND($AL49&gt;=$AQ$24,$AL49&lt;=$AR$24,$AP$47="RASP"),AND($AL49&gt;='King Node Model'!$AM$20,$AL49&lt;='King Node Model'!$AN$20,$AP$52="RASP",NOT($L$52=$AW$52)),AND($AL49='King Node Model'!$B$23,$AP$52="RASP",$L$52=$AW$52),AND($AL49&gt;='King Node Model'!$AM$21,$AL49&lt;='King Node Model'!$AN$21,$AP$53="RASP",NOT($L$53=$AW$53)),AND($AL49='King Node Model'!$B$23,$AP$53="RASP",$L$53=$AW$53),AND($AL49&gt;='King Node Model'!$AM$22,$AL49&lt;='King Node Model'!$AN$22,$AP$54="RASP"),AND($AL49&gt;=IFERROR(INDEX('Level Engine'!$AT$9:$AT$55,MATCH('King Node Model'!$AL$42,'Level Engine'!$AA$9:$AA$55,0)),""),$AL49&lt;=IFERROR(INDEX('Level Engine'!$AU$9:$AU$55,MATCH('King Node Model'!$AL$42,'Level Engine'!$AA$9:$AA$55,0)),""),$AP$45="RASP"),AND($AL49&gt;=IFERROR(INDEX('Level Engine'!$AT$9:$AT$55,MATCH('King Node Model'!$AL$43,'Level Engine'!$AA$9:$AA$55,0)),""),$AL49&lt;=IFERROR(INDEX('Level Engine'!$AU$9:$AU$55,MATCH('King Node Model'!$AL$43,'Level Engine'!$AA$9:$AA$55,0)),""),$AP$46="RASP"),AND($AL49&gt;=IFERROR(INDEX('Level Engine'!$AT$9:$AT$55,MATCH('King Node Model'!$AL$44,'Level Engine'!$AA$9:$AA$55,0)),""),$AL49&lt;=IFERROR(INDEX('Level Engine'!$AU$9:$AU$55,MATCH('King Node Model'!$AL$44,'Level Engine'!$AA$9:$AA$55,0)),""),$AP$47="RASP"),AND($AL49&gt;=IFERROR(INDEX('Level Engine'!$AT$9:$AT$55,MATCH('King Node Model'!$AL$49,'Level Engine'!$AA$9:$AA$55,0)),""),$AL49&lt;=IFERROR(INDEX('Level Engine'!$AU$9:$AU$55,MATCH('King Node Model'!$AL$49,'Level Engine'!$AA$9:$AA$55,0)),""),$AP$52="RASP",NOT($L$52=$AW$52)),AND($AL49&gt;=IFERROR(INDEX('Level Engine'!$AT$9:$AT$55,MATCH('King Node Model'!$AL$50,'Level Engine'!$AA$9:$AA$55,0)),""),$AL49&lt;=IFERROR(INDEX('Level Engine'!$AU$9:$AU$55,MATCH('King Node Model'!$AL$50,'Level Engine'!$AA$9:$AA$55,0)),""),$AP$53="RASP",NOT($L$53=$AW$53)),AND($AL49&gt;=IFERROR(INDEX('Level Engine'!$AT$9:$AT$55,MATCH('King Node Model'!$AL$51,'Level Engine'!$AA$9:$AA$55,0)),""),$AL49&lt;=IFERROR(INDEX('Level Engine'!$AU$9:$AU$55,MATCH('King Node Model'!$AL$51,'Level Engine'!$AA$9:$AA$55,0)),""),$AP$54="RASP"))),NOT(AND(ISNUMBER('King Node Model'!$F$24),$AL49='King Node Model'!$F$24,IFERROR(INDEX('Level Engine'!$JN$9:$JN$55,MATCH($AL49,'Level Engine'!$AA$9:$AA$55,0)),0)&lt;&gt;1,$AL49&lt;&gt;'King Node Model'!$AL$42,$AL49&lt;&gt;'King Node Model'!$AL$43,$AL49&lt;&gt;'King Node Model'!$AL$44,$AL49&lt;&gt;'King Node Model'!$AL$49,$AL49&lt;&gt;'King Node Model'!$AL$50,$AL49&lt;&gt;'King Node Model'!$AL$51))),1,0))</f>
        <v>0</v>
      </c>
      <c r="BK49">
        <f>IFERROR(LARGE($CH$43:$CH$51,7),"")</f>
        <v>7765</v>
      </c>
      <c r="BL49">
        <f>IFERROR(INDEX('King Node Model'!$K$29:$K$75,MATCH($BK49,'King Node Model'!$A$29:$A$75,0)),"")</f>
        <v>214</v>
      </c>
      <c r="BM49">
        <f>IFERROR(INDEX('King Node Model'!$L$29:$L$75,MATCH($BK49,'King Node Model'!$A$29:$A$75,0)),"")</f>
        <v>1732</v>
      </c>
      <c r="BN49">
        <f t="shared" si="26"/>
        <v>0.78006166495375129</v>
      </c>
      <c r="BO49">
        <f>IFERROR(INDEX('Level Engine'!$AC$9:$AC$55,MATCH($BK49,'Level Engine'!$AA$9:$AA$55,0))/MAX('Level Engine'!$AC$9:$AC$55),"")</f>
        <v>0.42359929848071248</v>
      </c>
      <c r="BP49">
        <f>IF(NOT(ISNUMBER($BK49)),"",IF($BK49&gt;'King Node Model'!$B$4,1,-1))</f>
        <v>-1</v>
      </c>
      <c r="BQ49" t="str">
        <f>IF(OR(NOT(ISNUMBER($BN49)),NOT(ISNUMBER($BO49))),"",IF($BO49&lt;0.15,"thin",IF(OR('King Node Model'!$A$8="Neg",N('Level Engine'!$BG$72)=1),"",IF($BP49=1,IF($BN49&lt;=-0.4,"HARD ceil",IF($BN49&lt;=-0.15,"ceil",IF($BN49&lt;0.15,"neutral","soft ceil"))),IF($BN49&gt;=0.4,"FIRM floor",IF($BN49&gt;=0.15,"floor",IF($BN49&gt;-0.15,"neutral","WEAK floor"))))&amp;IF($BO49&lt;0.25," ·marginal",""))))</f>
        <v/>
      </c>
      <c r="BR49" t="str">
        <f>IF(NOT(ISNUMBER($BN49)),"",IF(OR('King Node Model'!$A$8="Neg",N('Level Engine'!$BG$72)=1),"",IF(AND($BP49=1,$BN49&gt;0.15),"⚠",IF(AND($BP49=-1,$BN49&lt;-0.15),"⚠",""))))</f>
        <v/>
      </c>
      <c r="BW49">
        <f t="shared" si="27"/>
        <v>6</v>
      </c>
      <c r="BX49">
        <f t="shared" si="28"/>
        <v>6</v>
      </c>
      <c r="BY49" t="str">
        <f t="shared" si="29"/>
        <v/>
      </c>
      <c r="BZ49">
        <f t="shared" si="30"/>
        <v>1946</v>
      </c>
      <c r="CH49">
        <f>IF($CI49&lt;=0,"",IFERROR(SUMPRODUCT(MAX((('King Node Model'!$A$29:$A$75&gt;='King Node Model'!$B$4-25)*('King Node Model'!$A$29:$A$75&lt;='King Node Model'!$B$4+25)*('King Node Model'!$A$29:$A$75&gt;0)*((626-('King Node Model'!$A$29:$A$75-'King Node Model'!$B$4)^2)*1000000+'King Node Model'!$A$29:$A$75)=$CI49)*'King Node Model'!$A$29:$A$75)),""))</f>
        <v>7760</v>
      </c>
      <c r="CI49">
        <f>IFERROR(SUMPRODUCT(LARGE(('King Node Model'!$A$29:$A$75&gt;='King Node Model'!$B$4-25)*('King Node Model'!$A$29:$A$75&lt;='King Node Model'!$B$4+25)*('King Node Model'!$A$29:$A$75&gt;0)*((626-('King Node Model'!$A$29:$A$75-'King Node Model'!$B$4)^2)*1000000+'King Node Model'!$A$29:$A$75),7)),0)</f>
        <v>389155659.99998993</v>
      </c>
      <c r="CO49">
        <f>IF(NOT(ISNUMBER($AL49)),"",IF(NOT(ISNUMBER(IFERROR(INDEX('Level Engine'!$FT$9:$FT$55,MATCH($AL49,'Level Engine'!$AA$9:$AA$55,0)),""))),"",IF(IFERROR(INDEX('Level Engine'!$FT$9:$FT$55,MATCH($AL49,'Level Engine'!$AA$9:$AA$55,0)),"")&lt;0,0,2)+IF(ABS(IFERROR(INDEX('Level Engine'!$FT$9:$FT$55,MATCH($AL49,'Level Engine'!$AA$9:$AA$55,0)),""))&gt;='Level Engine'!$FT$2,2,1)))</f>
        <v>2</v>
      </c>
      <c r="DJ49" t="str">
        <f>IF(ISNUMBER($AL49),IF($AL49='Level Engine'!$BG$122," ⫪","")&amp;IF($AL49='Level Engine'!$BG$118," S↑"&amp;IFERROR(INDEX('Level Engine'!$MV$9:$MV$55,MATCH($AL49,'Level Engine'!$AA$9:$AA$55,0)),""),"")&amp;IF($AL49='Level Engine'!$BG$119," S↓"&amp;IFERROR(INDEX('Level Engine'!$MV$9:$MV$55,MATCH($AL49,'Level Engine'!$AA$9:$AA$55,0)),""),"")&amp;IF($AL49='Level Engine'!$BG$120," D↑","")&amp;IF($AL49='Level Engine'!$BG$121," D↓","")&amp;IFERROR(INDEX('Level Engine'!$LG$9:$LG$55,MATCH($AL49,'Level Engine'!$AA$9:$AA$55,0)),"")&amp;IF(IFERROR(INDEX('Level Engine'!$MA$9:$MA$55,MATCH($AL49,'Level Engine'!$AA$9:$AA$55,0)),0)=1," SAND","")&amp;IF(IFERROR(INDEX('Level Engine'!$LM$9:$LM$55,MATCH($AL49,'Level Engine'!$AA$9:$AA$55,0)),0)&gt;0," TP","")&amp;IFERROR(" r"&amp;MATCH($AL49,'Level Engine'!$W$9:$W$14,0),IFERROR(" s"&amp;MATCH($AL49,'Level Engine'!$W$18:$W$23,0),""))&amp;IF($AL49='Level Engine'!$BG$165," ◇","")&amp;IF(N($DZ49)=1,IF($AL49&gt;'Level Engine'!$BG$165," ⚠ DOM↓"," ⚠ DOM↑")&amp;'Level Engine'!$BG$165,""),"")</f>
        <v/>
      </c>
      <c r="DK49" t="str">
        <f>IF(AND(ISNUMBER($AL49),OR($AL49='King Node Model'!$AL$42,$AL49='King Node Model'!$AL$43,$AL49='King Node Model'!$AL$44)),IFERROR(MATCH($AL49,'Level Engine'!$W$9:$W$14,0),""),"")</f>
        <v/>
      </c>
      <c r="DL49" t="str">
        <f>IF(AND(ISNUMBER($AL49),OR($AL49='King Node Model'!$AL$49,$AL49='King Node Model'!$AL$50,$AL49='King Node Model'!$AL$51)),IFERROR(MATCH($AL49,'Level Engine'!$W$18:$W$23,0),""),"")</f>
        <v/>
      </c>
      <c r="DM49">
        <f>IF(AND(ISNUMBER($AL49),IFERROR(INDEX('Level Engine'!$LC$9:$LC$55,MATCH($AL49,'Level Engine'!$AA$9:$AA$55,0)),0)=1,OR($AL49=$AN$3,IFERROR(INDEX('Level Engine'!$LB$9:$LB$55,MATCH($AL49,'Level Engine'!$AA$9:$AA$55,0)),0)=1)),1,0)</f>
        <v>0</v>
      </c>
      <c r="DZ49">
        <f>IF(ISNUMBER($AL49),IF(IFERROR(INDEX('Level Engine'!$NJ$9:$NJ$55,MATCH($AL49,'Level Engine'!$AA$9:$AA$55,0)),0)=1,1,0),0)</f>
      </c>
    </row>
    <row r="50" spans="1:123" s="33" customFormat="1" ht="84.95" customHeight="1" x14ac:dyDescent="0.25">
      <c r="A50" s="7"/>
      <c r="B50" s="514"/>
      <c r="C50" s="9"/>
      <c r="E50" s="422" t="str">
        <f>((IF('King Node Model'!$BB$49="","",'King Node Model'!$BB$49&amp;IFERROR(" ·s"&amp;MATCH('King Node Model'!$BA$49,'Level Engine'!$W$18:$W$23,0),"")&amp;IF(AND('King Node Model'!$AB$19&lt;&gt;"",ISNUMBER('King Node Model'!$BA$49),'King Node Model'!$AB$19&gt;=IFERROR(IF(ISNUMBER(INDEX('Level Engine'!$AT$9:$AT$55,MATCH('King Node Model'!$BA$49,'Level Engine'!$AA$9:$AA$55,0))),INDEX('Level Engine'!$AT$9:$AT$55,MATCH('King Node Model'!$BA$49,'Level Engine'!$AA$9:$AA$55,0)),'King Node Model'!$BA$49),'King Node Model'!$BA$49),'King Node Model'!$AB$19&lt;=IFERROR(IF(ISNUMBER(INDEX('Level Engine'!$AU$9:$AU$55,MATCH('King Node Model'!$BA$49,'Level Engine'!$AA$9:$AA$55,0))),INDEX('Level Engine'!$AU$9:$AU$55,MATCH('King Node Model'!$BA$49,'Level Engine'!$AA$9:$AA$55,0)),'King Node Model'!$BA$49),'King Node Model'!$BA$49))," ‹chop edge"&amp;IF('King Node Model'!$BA$49='King Node Model'!$AB$19,""," "&amp;TEXT('King Node Model'!$AB$19,"0"))&amp;"›","")))&amp;IFERROR(IF(AND(ISNUMBER('King Node Model'!$BA$49),AND(ISNUMBER(MATCH('King Node Model'!$BA$49-5,'Level Engine'!$AA$9:$AA$55,0)),ABS(N(IFERROR(INDEX('Level Engine'!$AE$9:$AE$55,MATCH('King Node Model'!$BA$49-5,'Level Engine'!$AA$9:$AA$55,0)),0)))&lt;'Level Engine'!$BG$85,ABS(N(IFERROR(INDEX('Level Engine'!$AE$9:$AE$55,MATCH('King Node Model'!$BA$49-5,'Level Engine'!$AA$9:$AA$55,0)),0)))&lt;=ABS(N(IFERROR(INDEX('Level Engine'!$AE$9:$AE$55,MATCH(('King Node Model'!$BA$49-5)+5,'Level Engine'!$AA$9:$AA$55,0)),0))),ABS(N(IFERROR(INDEX('Level Engine'!$AE$9:$AE$55,MATCH('King Node Model'!$BA$49-5,'Level Engine'!$AA$9:$AA$55,0)),0)))&lt;=ABS(N(IFERROR(INDEX('Level Engine'!$AE$9:$AE$55,MATCH(('King Node Model'!$BA$49-5)-5,'Level Engine'!$AA$9:$AA$55,0)),0))),OR(AND(ABS(N(IFERROR(INDEX('Level Engine'!$AE$9:$AE$55,MATCH(('King Node Model'!$BA$49-5)+5,'Level Engine'!$AA$9:$AA$55,0)),0)))&gt;='Level Engine'!$BG$85,ABS(N(IFERROR(INDEX('Level Engine'!$AE$9:$AE$55,MATCH('King Node Model'!$BA$49-5,'Level Engine'!$AA$9:$AA$55,0)),0)))&lt;='Level Engine'!$BG$88*ABS(N(IFERROR(INDEX('Level Engine'!$AE$9:$AE$55,MATCH(('King Node Model'!$BA$49-5)+5,'Level Engine'!$AA$9:$AA$55,0)),0)))),AND(ABS(N(IFERROR(INDEX('Level Engine'!$AE$9:$AE$55,MATCH(('King Node Model'!$BA$49-5)-5,'Level Engine'!$AA$9:$AA$55,0)),0)))&gt;='Level Engine'!$BG$85,ABS(N(IFERROR(INDEX('Level Engine'!$AE$9:$AE$55,MATCH('King Node Model'!$BA$49-5,'Level Engine'!$AA$9:$AA$55,0)),0)))&lt;='Level Engine'!$BG$88*ABS(N(IFERROR(INDEX('Level Engine'!$AE$9:$AE$55,MATCH(('King Node Model'!$BA$49-5)-5,'Level Engine'!$AA$9:$AA$55,0)),0))))))),IF(AND('King Node Model'!$A$8="Pos",N('Level Engine'!$BG$72)&lt;&gt;1),""," → ∅"&amp;TEXT('King Node Model'!$BA$49-5,"0")),""),""))&amp;IF(IFERROR(AND('King Node Model'!$A$8="Pos",ISNUMBER('Level Engine'!$BG$87),ISNUMBER('King Node Model'!$BA$49),'King Node Model'!$BA$49='Level Engine'!$BG$87),FALSE)," ζ","")</f>
        <v>7775 ·s1 ‹chop edge›</v>
      </c>
      <c r="F50" s="423">
        <f>IF($E50="","",'King Node Model'!$BA49-'King Node Model'!$B$4)</f>
        <v>-0.39000000000032742</v>
      </c>
      <c r="G50" s="424">
        <f>IF($E50="","",'King Node Model'!BC49)</f>
        <v>-49207</v>
      </c>
      <c r="H50" s="425" t="str">
        <f>IF($E50="","",'King Node Model'!BQ49)</f>
        <v>iDex Vgf ZG dEdge C-OI</v>
      </c>
      <c r="I50" s="426">
        <f>IF($E50="","",'King Node Model'!BE49)</f>
        <v>5</v>
      </c>
      <c r="J50" s="425" t="str">
        <f>IF($E50="","",IFERROR(IF(OR(INDEX('Level Engine'!$IY$9:$IY$55,MATCH(--LEFT($E50,4),'Level Engine'!$AA$9:$AA$55,0))="SELL",INDEX('Level Engine'!$IY$9:$IY$55,MATCH(--LEFT($E50,4),'Level Engine'!$AA$9:$AA$55,0))="BUY"),IF(AND(N('Level Engine'!$BG$78)=1,IF('Level Engine'!$BG$80&lt;&gt;"",UPPER('Level Engine'!$BG$80),'Level Engine'!$D$5)="UP"),"TURNING",INDEX('Level Engine'!$IY$9:$IY$55,MATCH(--LEFT($E50,4),'Level Engine'!$AA$9:$AA$55,0)))&amp;" "&amp;IF(ABS(INDEX('Level Engine'!$AD$9:$AD$55,MATCH(--LEFT($E50,4),'Level Engine'!$AA$9:$AA$55,0)))&gt;=1000000,TEXT(INDEX('Level Engine'!$AD$9:$AD$55,MATCH(--LEFT($E50,4),'Level Engine'!$AA$9:$AA$55,0))/1000000,"+0.00;-0.00")&amp;"M",TEXT(INDEX('Level Engine'!$AD$9:$AD$55,MATCH(--LEFT($E50,4),'Level Engine'!$AA$9:$AA$55,0))/1000,"+0;-0")&amp;"K"),"—")&amp;IF(OR(INDEX('Level Engine'!$KF$9:$KF$55,MATCH(--LEFT($E50,4),'Level Engine'!$AA$9:$AA$55,0))="BUY",INDEX('Level Engine'!$KF$9:$KF$55,MATCH(--LEFT($E50,4),'Level Engine'!$AA$9:$AA$55,0))="SELL")," → "&amp;INDEX('Level Engine'!$KF$9:$KF$55,MATCH(--LEFT($E50,4),'Level Engine'!$AA$9:$AA$55,0))&amp;IF(ABS(N(INDEX('Level Engine'!$AD$9:$AD$55,MATCH(--LEFT($E50,4),'Level Engine'!$AA$9:$AA$55,0))))&gt;='Level Engine'!$BG$94,IF(OR(AND(INDEX('Level Engine'!$AG$9:$AG$55,MATCH(--LEFT($E50,4),'Level Engine'!$AA$9:$AA$55,0))="R",INDEX('Level Engine'!$KF$9:$KF$55,MATCH(--LEFT($E50,4),'Level Engine'!$AA$9:$AA$55,0))="SELL"),AND(INDEX('Level Engine'!$AG$9:$AG$55,MATCH(--LEFT($E50,4),'Level Engine'!$AA$9:$AA$55,0))="S",INDEX('Level Engine'!$KF$9:$KF$55,MATCH(--LEFT($E50,4),'Level Engine'!$AA$9:$AA$55,0))="BUY"))," ✓"," ✗"),""),""),"—"))</f>
        <v>SELL +9K → SELL</v>
      </c>
      <c r="K50" s="425" t="str">
        <f>(IF(AND($E50&lt;&gt;"",IFERROR(AND('King Node Model'!$A$8="Pos",OR(ISNUMBER('Level Engine'!$BG$87),ISNUMBER('Level Engine'!$BG$105)),ISNUMBER('King Node Model'!$BA$49),OR('King Node Model'!$BA$49='Level Engine'!$BG$87,'King Node Model'!$BA$49='Level Engine'!$BG$105)),FALSE)),IF('King Node Model'!$BA$49='Level Engine'!$BG$105,"ζ MAX ZOMMA ","ζ MIN ZOMMA ")&amp;TEXT(IFERROR(INDEX('Level Engine'!$AF$9:$AF$55,MATCH('King Node Model'!$BA$49,'Level Engine'!$AA$9:$AA$55,0)),0)/1000000,"+0.0;-0.0")&amp;"M"&amp;CHAR(10),"")&amp;(IF(AND($E50&lt;&gt;"",IFERROR(INDEX('Level Engine'!$JS$9:$JS$55,MATCH('King Node Model'!$BA$49,'Level Engine'!$AA$9:$AA$55,0)),0)=1),IF(IFERROR(INDEX('Level Engine'!$AF$9:$AF$55,MATCH('King Node Model'!$BA$49,'Level Engine'!$AA$9:$AA$55,0)),0)&lt;0,"IV FALL","IV RISE")&amp;" REINFORCED · largest zomma on board"&amp;CHAR(10),"")&amp;(IF(OR($E50="",NOT(ISNUMBER('King Node Model'!$BA$49))),"",TEXT('King Node Model'!$BA$49,"0")&amp;" "&amp;(IF($E50="","",IF(NOT(ISNUMBER('King Node Model'!$BA$49)),"",SUBSTITUTE(IFERROR(INDEX('Level Engine'!$EQ$9:$EQ$55,MATCH('King Node Model'!$BA$49,'Level Engine'!$AA$9:$AA$55,0)),"")," (sub-threshold)","")&amp;IF(COUNTIF('Level Engine'!$ES$9:$ES$55,"&gt;"&amp;IFERROR(INDEX('Level Engine'!$ES$9:$ES$55,MATCH('King Node Model'!$BA$49,'Level Engine'!$AA$9:$AA$55,0)),0))+1&lt;=8," ("&amp;IF(IFERROR(INDEX('Level Engine'!$ES$9:$ES$55,MATCH('King Node Model'!$BA$49,'Level Engine'!$AA$9:$AA$55,0)),0)&gt;='Level Engine'!$S$10,"","sub-threshold, ")&amp;"r"&amp;TEXT(COUNTIF('Level Engine'!$ES$9:$ES$55,"&gt;"&amp;IFERROR(INDEX('Level Engine'!$ES$9:$ES$55,MATCH('King Node Model'!$BA$49,'Level Engine'!$AA$9:$AA$55,0)),0))+1,"0")&amp;")","")&amp;IF(AND(IFERROR(INDEX('Level Engine'!$AT$9:$AT$55,MATCH('King Node Model'!$BA$49,'Level Engine'!$AA$9:$AA$55,0)),'King Node Model'!$BA$49)&lt;&gt;IFERROR(INDEX('Level Engine'!$AU$9:$AU$55,MATCH('King Node Model'!$BA$49,'Level Engine'!$AA$9:$AA$55,0)),'King Node Model'!$BA$49),IF(IF(IFERROR(INDEX('Level Engine'!$KC$9:$KC$55,MATCH('King Node Model'!$BA$49,'Level Engine'!$AA$9:$AA$55,0)),IF('Level Engine'!$BG$80&lt;&gt;"",UPPER('Level Engine'!$BG$80),UPPER('Level Engine'!$D$5)))="UP",SIGN(IFERROR(INDEX('Level Engine'!$AF$9:$AF$55,MATCH('King Node Model'!$BA$49,'Level Engine'!$AA$9:$AA$55,0)),0)),IF(IFERROR(INDEX('Level Engine'!$KC$9:$KC$55,MATCH('King Node Model'!$BA$49,'Level Engine'!$AA$9:$AA$55,0)),IF('Level Engine'!$BG$80&lt;&gt;"",UPPER('Level Engine'!$BG$80),UPPER('Level Engine'!$D$5)))="DOWN",-SIGN(IFERROR(INDEX('Level Engine'!$AF$9:$AF$55,MATCH('King Node Model'!$BA$49,'Level Engine'!$AA$9:$AA$55,0)),0)),0))=1,"firming","thinning")&lt;&gt;IF(IF(IFERROR(INDEX('Level Engine'!$KC$9:$KC$55,MATCH('King Node Model'!$BA$49,'Level Engine'!$AA$9:$AA$55,0)),IF('Level Engine'!$BG$80&lt;&gt;"",UPPER('Level Engine'!$BG$80),UPPER('Level Engine'!$D$5)))="UP",SIGN(IFERROR(INDEX('Level Engine'!$AF$9:$AF$55,MATCH(IF('King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Engine'!$AA$9:$AA$55,0)),0)),IF(IFERROR(INDEX('Level Engine'!$KC$9:$KC$55,MATCH('King Node Model'!$BA$49,'Level Engine'!$AA$9:$AA$55,0)),IF('Level Engine'!$BG$80&lt;&gt;"",UPPER('Level Engine'!$BG$80),UPPER('Level Engine'!$D$5)))="DOWN",-SIGN(IFERROR(INDEX('Level Engine'!$AF$9:$AF$55,MATCH(IF('King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Engine'!$AA$9:$AA$55,0)),0)),0))=1,"firming","thinning"))," / "&amp;TEXT(IF('King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Model'!$BA$49)),"0")&amp;" "&amp;IF(IF(IFERROR(INDEX('Level Engine'!$KC$9:$KC$55,MATCH('King Node Model'!$BA$49,'Level Engine'!$AA$9:$AA$55,0)),IF('Level Engine'!$BG$80&lt;&gt;"",UPPER('Level Engine'!$BG$80),UPPER('Level Engine'!$D$5)))="UP",SIGN(IFERROR(INDEX('Level Engine'!$AF$9:$AF$55,MATCH(IF('King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Engine'!$AA$9:$AA$55,0)),0)),IF(IFERROR(INDEX('Level Engine'!$KC$9:$KC$55,MATCH('King Node Model'!$BA$49,'Level Engine'!$AA$9:$AA$55,0)),IF('Level Engine'!$BG$80&lt;&gt;"",UPPER('Level Engine'!$BG$80),UPPER('Level Engine'!$D$5)))="DOWN",-SIGN(IFERROR(INDEX('Level Engine'!$AF$9:$AF$55,MATCH(IF('King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Engine'!$AA$9:$AA$55,0)),0)),0))=1,"firming","thinning")&amp;" the floor ("&amp;IF(IFERROR(INDEX('Level Engine'!$ES$9:$ES$55,MATCH(IF('King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Engine'!$AA$9:$AA$55,0)),0)&gt;='Level Engine'!$S$10,"",IF(IFERROR(INDEX('Level Engine'!$ES$9:$ES$55,MATCH(IF('King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Engine'!$AA$9:$AA$55,0)),0)&gt;='Level Engine'!$S$16,"sub-threshold, ","magnitude weak, "))&amp;"r"&amp;TEXT(COUNTIF('Level Engine'!$ES$9:$ES$55,"&gt;"&amp;IFERROR(INDEX('Level Engine'!$ES$9:$ES$55,MATCH(IF('King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Engine'!$AA$9:$AA$55,0)),0))+1,"0")&amp;")",""))))))))&amp;IF(AND($E50&lt;&gt;"",ISNUMBER('King Node Model'!$BA$49)),CHAR(10)&amp;IFERROR(INDEX('Level Engine'!$KE$9:$KE$55,MATCH('King Node Model'!$BA$49,'Level Engine'!$AA$9:$AA$55,0)),""),"")</f>
        <v>7775 firming the floor (magnitude weak)
Now: strengthening the floor (IV rising) · if IV falls: weakens the floor · expected on arrival: STRENGTHENS ✓</v>
      </c>
      <c r="L50" s="425" t="str">
        <f>IF(AND($E50&lt;&gt;"",IFERROR(INDEX('Level Engine'!$JS$9:$JS$55,MATCH('King Node Model'!$BA$49,'Level Engine'!$AA$9:$AA$55,0)),0)=1),"SAFE·Level is safe"&amp;CHAR(10)&amp;"• Positive gamma · GEX "&amp;TEXT(IFERROR(INDEX('Level Engine'!$AB$9:$AB$55,MATCH('King Node Model'!$BA$49,'Level Engine'!$AA$9:$AA$55,0)),0)/1000000,"+0.00;-0.00")&amp;"M"&amp;IF(IFERROR(INDEX('Level Engine'!$AB$9:$AB$55,MATCH('King Node Model'!$BA$49,'Level Engine'!$AA$9:$AA$55,0)),0)=MAX('Level Engine'!$AB$9:$AB$55),", largest on board","")&amp;CHAR(10)&amp;"• Zomma "&amp;TEXT(IFERROR(INDEX('Level Engine'!$AF$9:$AF$55,MATCH('King Node Model'!$BA$49,'Level Engine'!$AA$9:$AA$55,0)),0)/1000000,"+0.0;-0.0")&amp;"M, largest on board · "&amp;IF(IFERROR(INDEX('Level Engine'!$AF$9:$AF$55,MATCH('King Node Model'!$BA$49,'Level Engine'!$AA$9:$AA$55,0)),0)&lt;0,"falling","rising")&amp;" IV strengthens gamma"&amp;IF(IFERROR(INDEX('Level Engine'!$IY$9:$IY$55,MATCH('King Node Model'!$BA$49,'Level Engine'!$AA$9:$AA$55,0)),"")="SELL",CHAR(10)&amp;"• Vanna SELL "&amp;TEXT(IFERROR(INDEX('Level Engine'!$AD$9:$AD$55,MATCH('King Node Model'!$BA$49,'Level Engine'!$AA$9:$AA$55,0)),0)/1000000,"+0.00;-0.00")&amp;"M outweighed while IV "&amp;IF(IFERROR(INDEX('Level Engine'!$AF$9:$AF$55,MATCH('King Node Model'!$BA$49,'Level Engine'!$AA$9:$AA$55,0)),0)&lt;0,"falls","rises"),"")&amp;IF(N(IFERROR(INDEX('Level Engine'!$JF$9:$JF$55,MATCH('King Node Model'!$BA$49,'Level Engine'!$AA$9:$AA$55,0)),0))&gt;N(IFERROR(INDEX('Level Engine'!$JE$9:$JE$55,MATCH('King Node Model'!$BA$49,'Level Engine'!$AA$9:$AA$55,0)),0)),CHAR(10)&amp;"• Call-heavy · "&amp;TEXT(IFERROR(INDEX('Level Engine'!$JF$9:$JF$55,MATCH('King Node Model'!$BA$49,'Level Engine'!$AA$9:$AA$55,0)),0),"#,##0")&amp;" calls vs "&amp;TEXT(IFERROR(INDEX('Level Engine'!$JE$9:$JE$55,MATCH('King Node Model'!$BA$49,'Level Engine'!$AA$9:$AA$55,0)),0),"#,##0")&amp;" puts",""),"")</f>
        <v/>
      </c>
      <c r="M50" s="427" t="str">
        <f>IF(AND(AND('King Node Model'!$A$8="Pos",IFERROR(IFERROR(INDEX('Level Engine'!$CZ$9:$CZ$55,MATCH('King Node Model'!$BA$49,'Level Engine'!$AA$9:$AA$55,0)),0)=1,FALSE),N(IFERROR(INDEX('Level Engine'!$AB$9:$AB$55,MATCH('King Node Model'!$BA$49,'Level Engine'!$AA$9:$AA$55,0)),0))&lt;0),NOT(ISNUMBER(SEARCH("REVERSAL",(IF($E50="","",'King Node Model'!BP49)))))),"REVERSAL · ","")&amp;SUBSTITUTE(SUBSTITUTE(SUBSTITUTE(SUBSTITUTE((IF($E50="","",'King Node Model'!BP49)),"dEdge Cliff",IF(AND('King Node Model'!$A$8="Pos",IFERROR(IFERROR(INDEX('Level Engine'!$CZ$9:$CZ$55,MATCH('King Node Model'!$BA$49,'Level Engine'!$AA$9:$AA$55,0)),0)=1,FALSE),N(IFERROR(INDEX('Level Engine'!$AB$9:$AB$55,MATCH('King Node Model'!$BA$49,'Level Engine'!$AA$9:$AA$55,0)),0))&lt;0),"Put Wall · dEdge Cliff","dEdge Cliff"))," · accelerates",IF(AND('King Node Model'!$A$8="Pos",IFERROR(IFERROR(INDEX('Level Engine'!$CZ$9:$CZ$55,MATCH('King Node Model'!$BA$49,'Level Engine'!$AA$9:$AA$55,0)),0)=1,FALSE),N(IFERROR(INDEX('Level Engine'!$AB$9:$AB$55,MATCH('King Node Model'!$BA$49,'Level Engine'!$AA$9:$AA$55,0)),0))&lt;0),""," · accelerates")),"REVERSAL · ",IF(AND('King Node Model'!$A$8="Pos",IFERROR(IFERROR(INDEX('Level Engine'!$CZ$9:$CZ$55,MATCH('King Node Model'!$BA$49,'Level Engine'!$AA$9:$AA$55,0)),0)=1,FALSE),N(IFERROR(INDEX('Level Engine'!$AB$9:$AB$55,MATCH('King Node Model'!$BA$49,'Level Engine'!$AA$9:$AA$55,0)),0))&gt;0,N('Level Engine'!$BG$109)=1),"","REVERSAL · ")),"REVERSAL",IF(AND('King Node Model'!$A$8="Pos",IFERROR(IFERROR(INDEX('Level Engine'!$CZ$9:$CZ$55,MATCH('King Node Model'!$BA$49,'Level Engine'!$AA$9:$AA$55,0)),0)=1,FALSE),N(IFERROR(INDEX('Level Engine'!$AB$9:$AB$55,MATCH('King Node Model'!$BA$49,'Level Engine'!$AA$9:$AA$55,0)),0))&gt;0,N('Level Engine'!$BG$109)=1),"","REVERSAL"))</f>
        <v>REVERSAL · dEdge Cliff · slows ‹nearest›</v>
      </c>
      <c r="N50" s="427" t="str">
        <f>IF($E50="","",IF(IFERROR(INDEX('Level Engine'!$AX$9:$AX$55,MATCH('King Node Model'!$BA$49,'Level Engine'!$AA$9:$AA$55,0)),0)=1,"VOMMA BID","—"))</f>
        <v>—</v>
      </c>
      <c r="O50" s="467" t="str">
        <f>IF($E50="","","")</f>
        <v/>
      </c>
      <c r="P50" s="477"/>
      <c r="Q50" s="452" t="str">
        <f t="shared" si="21"/>
        <v xml:space="preserve">7760   78% </v>
      </c>
      <c r="R50" s="447" t="str">
        <f t="shared" si="22"/>
        <v>549 ▉▉</v>
      </c>
      <c r="S50" s="484" t="str">
        <f t="shared" si="23"/>
        <v>▉▉▉▉▉▉ 2.0k</v>
      </c>
      <c r="T50" s="484" t="str">
        <f t="shared" si="24"/>
        <v>g4</v>
      </c>
      <c r="U50" s="453" t="str">
        <f t="shared" si="25"/>
        <v/>
      </c>
      <c r="V50" s="420"/>
      <c r="W50" s="420" t="str">
        <f>IF($E50="","",IF(NOT(ISNUMBER('King Node Model'!$BA$49)),"",IF('King Node Model'!$BA$49='King Node Model'!$AL$49,"this is the level on line 43",IF('King Node Model'!$BA$49='King Node Model'!$AL$50,"this is the level on line 44",IF(AND(IFERROR(INDEX('Level Engine'!$CV$9:$CV$55,MATCH('King Node Model'!$BA$49,'Level Engine'!$AA$9:$AA$55,0)),0)=1,IFERROR(INDEX('Level Engine'!$DM$9:$DM$55,MATCH('King Node Model'!$BA$49,'Level Engine'!$AA$9:$AA$55,0)),0)=0),"it passed support qualification, but the negative-gamma surface gate removed it before ranking - it needs one of: positive DEX ("&amp;IF(IFERROR(INDEX('Level Engine'!$AB$9:$AB$55,MATCH('King Node Model'!$BA$49,'Level Engine'!$AA$9:$AA$55,0)),0)&gt;0,"on","off")&amp;"), fat tail ("&amp;IF(AND(IFERROR(INDEX('Level Engine'!$BM$9:$BM$55,MATCH('King Node Model'!$BA$49,'Level Engine'!$AA$9:$AA$55,0)),0)&lt;=6,IFERROR(INDEX('Level Engine'!$BN$9:$BN$55,MATCH('King Node Model'!$BA$49,'Level Engine'!$AA$9:$AA$55,0)),0)&lt;=6),"on","off")&amp;"), within 5 pts of min GEX ("&amp;IF(ABS('King Node Model'!$BA$49-'King Node Model'!$T$23)&lt;=5,"on","off")&amp;"), zomma mark ("&amp;IF(IFERROR(INDEX('Level Engine'!$AL$9:$AL$55,MATCH('King Node Model'!$BA$49,'Level Engine'!$AA$9:$AA$55,0)),0)=1,"on","off")&amp;")",IF(AND(IFERROR(INDEX('Level Engine'!$CV$9:$CV$55,MATCH('King Node Model'!$BA$49,'Level Engine'!$AA$9:$AA$55,0)),0)=1,NOT(ISNUMBER(IFERROR(INDEX('Level Engine'!$DN$9:$DN$55,MATCH('King Node Model'!$BA$49,'Level Engine'!$AA$9:$AA$55,0)),"")))),"it qualified, but it is number "&amp;IFERROR(TEXT(MATCH('King Node Model'!$BA$49,'Level Engine'!$W$18:$W$23,0),"0"),"?")&amp;" on the strength list and only the top 3 get a ladder place (no exemption applies)",IF(IFERROR(INDEX('Level Engine'!$CV$9:$CV$55,MATCH('King Node Model'!$BA$49,'Level Engine'!$AA$9:$AA$55,0)),0)=1,"qualified and ranked, but line 43 holds "&amp;IF(ISNUMBER('King Node Model'!$AL$49),TEXT('King Node Model'!$AL$49,"0"),"nothing")&amp;" and line 44 holds "&amp;IF(ISNUMBER('King Node Model'!$AL$50),TEXT('King Node Model'!$AL$50,"0"),"nothing"),IF(LEN($AU50)=0,"it clears every gate listed - but is not on the strength list","failed: "&amp;MID($AU50,4,900)))))))))</f>
        <v>this is the level on line 43</v>
      </c>
      <c r="X50" s="10"/>
      <c r="Y50" s="10"/>
      <c r="Z50" s="46"/>
      <c r="AA50" s="47"/>
      <c r="AB50" s="44"/>
      <c r="AC50" s="44"/>
      <c r="AE50" s="420"/>
      <c r="AL50" s="471"/>
      <c r="AM50" s="481"/>
      <c r="AN50" s="420"/>
      <c r="AO50" s="481"/>
      <c r="AP50" s="420" t="str">
        <f>IF(LEFT($L50,4)="SAFE","GREEN","")</f>
        <v/>
      </c>
      <c r="AU50" t="str">
        <f>IF(NOT(ISNUMBER('King Node Model'!$BA$49)),"",IF(IFERROR(INDEX('Level Engine'!$AG$9:$AG$55,MATCH('King Node Model'!$BA$49,'Level Engine'!$AA$9:$AA$55,0)),chr)&lt;&gt;"S"," | "&amp;"it is not tagged as a support level","")&amp;IF(COUNTIF('Level Engine'!$W$18:$W$23,'King Node Model'!$BA$49)=0," | "&amp;"it is not on the Level Engine strength list (W18:W23)","")&amp;IF(ABS('King Node Model'!$BA$49-'King Node Model'!$B$4)&gt;'Level Engine'!$BG$7," | "&amp;"too far away: "&amp;TEXT(ABS('King Node Model'!$BA$49-'King Node Model'!$B$4),"0")&amp;" pts from spot, only "&amp;TEXT('Level Engine'!$BG$7,"0")&amp;" pts are looked at","")&amp;IF(IFERROR(INDEX('Level Engine'!$BK$9:$BK$55,MATCH('King Node Model'!$BA$49,'Level Engine'!$AA$9:$AA$55,0)),0)=1," | "&amp;" it is folded into "&amp;TEXT(('King Node Model'!$BA$49+5),"0")&amp;", the stronger reversal one strike closer to spot","")&amp;IF(IFERROR(INDEX('Level Engine'!$DH$9:$DH$55,MATCH('King Node Model'!$BA$49,'Level Engine'!$AA$9:$AA$55,0)),0)=1," | "&amp;"it is a shelf sitting inside a box, so the box level is shown in its place","")&amp;IF(IFERROR(INDEX('Level Engine'!$CI$9:$CI$55,MATCH('King Node Model'!$BA$49,'Level Engine'!$AA$9:$AA$55,0)),0)&lt;&gt;0," | "&amp;"it is accelerating, not holding (negative GEX with zomma falling)","")&amp;IF(NOT(OR(IFERROR(INDEX('Level Engine'!$AM$9:$AM$55,MATCH('King Node Model'!$BA$49,'Level Engine'!$AA$9:$AA$55,0)),0)&gt;=IF(OR('King Node Model'!$A$8="Neg",N('Level Engine'!$BG$72)=1),'Level Engine'!$BG$20,3),'King Node Model'!$BA$49='King Node Model'!$D$26,IFERROR(INDEX('Level Engine'!$DT$9:$DT$55,MATCH('King Node Model'!$BA$49,'Level Engine'!$AA$9:$AA$55,0)),0)=1))," | "&amp;"fewer than "&amp;IF(OR('King Node Model'!$A$8="Neg",N('Level Engine'!$BG$72)=1),'Level Engine'!$BG$20,3)&amp;" backers ("&amp;TEXT(IFERROR(INDEX('Level Engine'!$AM$9:$AM$55,MATCH('King Node Model'!$BA$49,'Level Engine'!$AA$9:$AA$55,0)),0),"0")&amp;") and it is neither the king node nor an nVanna level","")&amp;IF(IFERROR(INDEX('Level Engine'!$AM$9:$AM$55,MATCH('King Node Model'!$BA$49,'Level Engine'!$AA$9:$AA$55,0)),0)&lt;'Level Engine'!$BG$20," | "&amp;"not enough agrees here: "&amp;TEXT(IFERROR(INDEX('Level Engine'!$AM$9:$AM$55,MATCH('King Node Model'!$BA$49,'Level Engine'!$AA$9:$AA$55,0)),0),"0")&amp;" backers, needs at least "&amp;TEXT('Level Engine'!$BG$20,"0"),"")&amp;IF(IFERROR(INDEX('Level Engine'!$AC$9:$AC$55,MATCH('King Node Model'!$BA$49,'Level Engine'!$AA$9:$AA$55,0)),0)&lt;='Level Engine'!$BG$19," | "&amp;"too small: gamma is "&amp;TEXT(IFERROR(INDEX('Level Engine'!$AC$9:$AC$55,MATCH('King Node Model'!$BA$49,'Level Engine'!$AA$9:$AA$55,0)),0),"#,##0")&amp;", it has to be bigger than "&amp;TEXT('Level Engine'!$BG$19,"#,##0"),"")&amp;IF(LEN($AV50)&gt;0," | "&amp;"nothing is switched on at it - "&amp;$AV50,""))</f>
        <v/>
      </c>
      <c r="AV50" t="str">
        <f>IF(NOT(ISNUMBER('King Node Model'!$BA$49)),"",IF(IF((OR('King Node Model'!$A$8="Neg",N('Level Engine'!$BG$72)=1)),OR(IFERROR(INDEX('Level Engine'!$AN$9:$AN$55,MATCH('King Node Model'!$BA$49,'Level Engine'!$AA$9:$AA$55,0)),0)=1,'King Node Model'!$BA$49='King Node Model'!$D$26,AND(OR('King Node Model'!$BA$49='Level Engine'!$CP$4,'King Node Model'!$BA$49='Level Engine'!$CP$5,'King Node Model'!$BA$49='Level Engine'!$CP$6,'King Node Model'!$BA$49='Level Engine'!$CP$7),ABS('King Node Model'!$BA$49-'King Node Model'!$B$4)&lt;=30),OR(ISNUMBER(SEARCH("STRENGTHENING",IFERROR(INDEX('Level Engine'!$CG$9:$CG$55,MATCH('King Node Model'!$BA$49,'Level Engine'!$AA$9:$AA$55,0)),""))),ISNUMBER(SEARCH("firmer support",IFERROR(INDEX('Level Engine'!$CG$9:$CG$55,MATCH('King Node Model'!$BA$49,'Level Engine'!$AA$9:$AA$55,0)),"")))),AND(IFERROR(INDEX('Level Engine'!$AX$9:$AX$55,MATCH('King Node Model'!$BA$49,'Level Engine'!$AA$9:$AA$55,0)),0)=1,'Level Engine'!$D$5="DOWN"),AND(IFERROR(INDEX('Level Engine'!$BY$9:$BY$55,MATCH('King Node Model'!$BA$49,'Level Engine'!$AA$9:$AA$55,0)),0)=1,'King Node Model'!$BA$49&lt;'King Node Model'!$B$4),IFERROR(INDEX('Level Engine'!$BX$9:$BX$55,MATCH('King Node Model'!$BA$49,'Level Engine'!$AA$9:$AA$55,0)),0)=1,IFERROR(INDEX('Level Engine'!$AB$9:$AB$55,MATCH('King Node Model'!$BA$49,'Level Engine'!$AA$9:$AA$55,0)),0)&gt;0),OR(IFERROR(INDEX('Level Engine'!$AN$9:$AN$55,MATCH('King Node Model'!$BA$49,'Level Engine'!$AA$9:$AA$55,0)),0)=1,'King Node Model'!$BA$49='King Node Model'!$D$26,AND(OR('King Node Model'!$BA$49='Level Engine'!$CP$4,'King Node Model'!$BA$49='Level Engine'!$CP$5,'King Node Model'!$BA$49='Level Engine'!$CP$6,'King Node Model'!$BA$49='Level Engine'!$CP$7),ABS('King Node Model'!$BA$49-'King Node Model'!$B$4)&lt;=30),OR(ISNUMBER(SEARCH("STRENGTHENING",IFERROR(INDEX('Level Engine'!$CG$9:$CG$55,MATCH('King Node Model'!$BA$49,'Level Engine'!$AA$9:$AA$55,0)),""))),ISNUMBER(SEARCH("firmer support",IFERROR(INDEX('Level Engine'!$CG$9:$CG$55,MATCH('King Node Model'!$BA$49,'Level Engine'!$AA$9:$AA$55,0)),"")))),AND(IFERROR(INDEX('Level Engine'!$AX$9:$AX$55,MATCH('King Node Model'!$BA$49,'Level Engine'!$AA$9:$AA$55,0)),0)=1,'Level Engine'!$D$5="DOWN"),IFERROR(INDEX('Level Engine'!$AC$9:$AC$55,MATCH('King Node Model'!$BA$49,'Level Engine'!$AA$9:$AA$55,0)),0)&gt;=MAX('Level Engine'!$AC$9:$AC$55),IFERROR(INDEX('Level Engine'!$BC$9:$BC$55,MATCH('King Node Model'!$BA$49,'Level Engine'!$AA$9:$AA$55,0)),0)&gt;0)),"","reversal flag ("&amp;IF(IFERROR(INDEX('Level Engine'!$AN$9:$AN$55,MATCH('King Node Model'!$BA$49,'Level Engine'!$AA$9:$AA$55,0)),0)=1,"on","off")&amp;"), "&amp;"king node ("&amp;IF('King Node Model'!$BA$49='King Node Model'!$D$26,"on","off")&amp;"), "&amp;"gravity point within 30 pts ("&amp;IF(AND(OR('King Node Model'!$BA$49='Level Engine'!$CP$4,'King Node Model'!$BA$49='Level Engine'!$CP$5,'King Node Model'!$BA$49='Level Engine'!$CP$6,'King Node Model'!$BA$49='Level Engine'!$CP$7),ABS('King Node Model'!$BA$49-'King Node Model'!$B$4)&lt;=30),"on","off")&amp;"), "&amp;"zomma tag STRENGTHENING/firmer ("&amp;IF(OR(ISNUMBER(SEARCH("STRENGTHENING",IFERROR(INDEX('Level Engine'!$CG$9:$CG$55,MATCH('King Node Model'!$BA$49,'Level Engine'!$AA$9:$AA$55,0)),""))),ISNUMBER(SEARCH("firmer support",IFERROR(INDEX('Level Engine'!$CG$9:$CG$55,MATCH('King Node Model'!$BA$49,'Level Engine'!$AA$9:$AA$55,0)),"")))),"on","off")&amp;"), "&amp;"big vomma with IV falling ("&amp;IF(AND(IFERROR(INDEX('Level Engine'!$AX$9:$AX$55,MATCH('King Node Model'!$BA$49,'Level Engine'!$AA$9:$AA$55,0)),0)=1,'Level Engine'!$D$5="DOWN"),"on","off")&amp;")"&amp;IF((OR('King Node Model'!$A$8="Neg",N('Level Engine'!$BG$72)=1)),", GEX sign flip at the next strike ("&amp;IF(AND(IFERROR(INDEX('Level Engine'!$BY$9:$BY$55,MATCH('King Node Model'!$BA$49,'Level Engine'!$AA$9:$AA$55,0)),0)=1,'King Node Model'!$BA$49&lt;'King Node Model'!$B$4),"on","off")&amp;")"&amp;", positive GEX in a negative tape ("&amp;IF(IFERROR(INDEX('Level Engine'!$BX$9:$BX$55,MATCH('King Node Model'!$BA$49,'Level Engine'!$AA$9:$AA$55,0)),0)=1,"on","off")&amp;")"&amp;", positive DEX ("&amp;IF(IFERROR(INDEX('Level Engine'!$AB$9:$AB$55,MATCH('King Node Model'!$BA$49,'Level Engine'!$AA$9:$AA$55,0)),0)&gt;0,"on","off")&amp;")",", biggest gamma on the board ("&amp;IF(IFERROR(INDEX('Level Engine'!$AC$9:$AC$55,MATCH('King Node Model'!$BA$49,'Level Engine'!$AA$9:$AA$55,0)),0)&gt;=MAX('Level Engine'!$AC$9:$AC$55),"on","off")&amp;")"&amp;", positive GEX ("&amp;IF(IFERROR(INDEX('Level Engine'!$BC$9:$BC$55,MATCH('King Node Model'!$BA$49,'Level Engine'!$AA$9:$AA$55,0)),0)&gt;0,"on","off")&amp;")")))</f>
        <v/>
      </c>
      <c r="AY50" s="471"/>
      <c r="AZ50" s="471"/>
      <c r="BB50" s="471"/>
      <c r="BK50">
        <f>IFERROR(LARGE($CH$43:$CH$51,8),"")</f>
        <v>7760</v>
      </c>
      <c r="BL50">
        <f>IFERROR(INDEX('King Node Model'!$K$29:$K$75,MATCH($BK50,'King Node Model'!$A$29:$A$75,0)),"")</f>
        <v>549</v>
      </c>
      <c r="BM50">
        <f>IFERROR(INDEX('King Node Model'!$L$29:$L$75,MATCH($BK50,'King Node Model'!$A$29:$A$75,0)),"")</f>
        <v>1967</v>
      </c>
      <c r="BN50">
        <f t="shared" si="26"/>
        <v>0.56359300476947538</v>
      </c>
      <c r="BO50">
        <f>IFERROR(INDEX('Level Engine'!$AC$9:$AC$55,MATCH($BK50,'Level Engine'!$AA$9:$AA$55,0))/MAX('Level Engine'!$AC$9:$AC$55),"")</f>
        <v>0.46278445547047731</v>
      </c>
      <c r="BP50">
        <f>IF(NOT(ISNUMBER($BK50)),"",IF($BK50&gt;'King Node Model'!$B$4,1,-1))</f>
        <v>-1</v>
      </c>
      <c r="BQ50" t="str">
        <f>IF(OR(NOT(ISNUMBER($BN50)),NOT(ISNUMBER($BO50))),"",IF($BO50&lt;0.15,"thin",IF(OR('King Node Model'!$A$8="Neg",N('Level Engine'!$BG$72)=1),"",IF($BP50=1,IF($BN50&lt;=-0.4,"HARD ceil",IF($BN50&lt;=-0.15,"ceil",IF($BN50&lt;0.15,"neutral","soft ceil"))),IF($BN50&gt;=0.4,"FIRM floor",IF($BN50&gt;=0.15,"floor",IF($BN50&gt;-0.15,"neutral","WEAK floor"))))&amp;IF($BO50&lt;0.25," ·marginal",""))))</f>
        <v/>
      </c>
      <c r="BR50" t="str">
        <f>IF(NOT(ISNUMBER($BN50)),"",IF(OR('King Node Model'!$A$8="Neg",N('Level Engine'!$BG$72)=1),"",IF(AND($BP50=1,$BN50&gt;0.15),"⚠",IF(AND($BP50=-1,$BN50&lt;-0.15),"⚠",""))))</f>
        <v/>
      </c>
      <c r="BW50">
        <f t="shared" si="27"/>
        <v>4</v>
      </c>
      <c r="BX50">
        <f t="shared" si="28"/>
        <v>4</v>
      </c>
      <c r="BY50" t="str">
        <f t="shared" si="29"/>
        <v/>
      </c>
      <c r="BZ50">
        <f t="shared" si="30"/>
        <v>2516</v>
      </c>
      <c r="CH50">
        <f>IF($CI50&lt;=0,"",IFERROR(SUMPRODUCT(MAX((('King Node Model'!$A$29:$A$75&gt;='King Node Model'!$B$4-25)*('King Node Model'!$A$29:$A$75&lt;='King Node Model'!$B$4+25)*('King Node Model'!$A$29:$A$75&gt;0)*((626-('King Node Model'!$A$29:$A$75-'King Node Model'!$B$4)^2)*1000000+'King Node Model'!$A$29:$A$75)=$CI50)*'King Node Model'!$A$29:$A$75)),""))</f>
        <v>7795</v>
      </c>
      <c r="CI50">
        <f>IFERROR(SUMPRODUCT(LARGE(('King Node Model'!$A$29:$A$75&gt;='King Node Model'!$B$4-25)*('King Node Model'!$A$29:$A$75&lt;='King Node Model'!$B$4+25)*('King Node Model'!$A$29:$A$75&gt;0)*((626-('King Node Model'!$A$29:$A$75-'King Node Model'!$B$4)^2)*1000000+'King Node Model'!$A$29:$A$75),8)),0)</f>
        <v>241455695.00001284</v>
      </c>
      <c r="CX50"/>
      <c r="DK50" t="str">
        <f>IF(AND(ISNUMBER($AL50),OR($AL50='King Node Model'!$AL$42,$AL50='King Node Model'!$AL$43,$AL50='King Node Model'!$AL$44)),IFERROR(MATCH($AL50,'Level Engine'!$W$9:$W$14,0),""),"")</f>
        <v/>
      </c>
      <c r="DL50" t="str">
        <f>IF(AND(ISNUMBER($AL50),OR($AL50='King Node Model'!$AL$49,$AL50='King Node Model'!$AL$50,$AL50='King Node Model'!$AL$51)),IFERROR(MATCH($AL50,'Level Engine'!$W$18:$W$23,0),""),"")</f>
        <v/>
      </c>
      <c r="DM50">
        <f>IF(AND(ISNUMBER($AL50),IFERROR(INDEX('Level Engine'!$LC$9:$LC$55,MATCH($AL50,'Level Engine'!$AA$9:$AA$55,0)),0)=1,OR($AL50=$AN$3,IFERROR(INDEX('Level Engine'!$LB$9:$LB$55,MATCH($AL50,'Level Engine'!$AA$9:$AA$55,0)),0)=1)),1,0)</f>
        <v>0</v>
      </c>
      <c r="EA50">
        <f>IF($E50="",0,IF(IFERROR(INDEX('Level Engine'!$NJ$9:$NJ$55,MATCH(IFERROR(VALUE(LEFT($E50,4)),0),'Level Engine'!$AA$9:$AA$55,0)),0)=1,1,0))</f>
      </c>
    </row>
    <row r="51" spans="1:123" s="33" customFormat="1" ht="84.95" customHeight="1" x14ac:dyDescent="0.25">
      <c r="A51" s="7"/>
      <c r="B51" s="514"/>
      <c r="C51" s="9"/>
      <c r="E51" s="54" t="str">
        <f>((IF('King Node Model'!$BB$50="","",'King Node Model'!$BB$50&amp;IFERROR(" ·s"&amp;MATCH('King Node Model'!$BA$50,'Level Engine'!$W$18:$W$23,0),"")&amp;IF(AND('King Node Model'!$AB$19&lt;&gt;"",ISNUMBER('King Node Model'!$BA$50),'King Node Model'!$AB$19&gt;=IFERROR(IF(ISNUMBER(INDEX('Level Engine'!$AT$9:$AT$55,MATCH('King Node Model'!$BA$50,'Level Engine'!$AA$9:$AA$55,0))),INDEX('Level Engine'!$AT$9:$AT$55,MATCH('King Node Model'!$BA$50,'Level Engine'!$AA$9:$AA$55,0)),'King Node Model'!$BA$50),'King Node Model'!$BA$50),'King Node Model'!$AB$19&lt;=IFERROR(IF(ISNUMBER(INDEX('Level Engine'!$AU$9:$AU$55,MATCH('King Node Model'!$BA$50,'Level Engine'!$AA$9:$AA$55,0))),INDEX('Level Engine'!$AU$9:$AU$55,MATCH('King Node Model'!$BA$50,'Level Engine'!$AA$9:$AA$55,0)),'King Node Model'!$BA$50),'King Node Model'!$BA$50))," ‹chop edge"&amp;IF('King Node Model'!$BA$50='King Node Model'!$AB$19,""," "&amp;TEXT('King Node Model'!$AB$19,"0"))&amp;"›","")))&amp;IFERROR(IF(AND(ISNUMBER('King Node Model'!$BA$50),AND(ISNUMBER(MATCH('King Node Model'!$BA$50-5,'Level Engine'!$AA$9:$AA$55,0)),ABS(N(IFERROR(INDEX('Level Engine'!$AE$9:$AE$55,MATCH('King Node Model'!$BA$50-5,'Level Engine'!$AA$9:$AA$55,0)),0)))&lt;'Level Engine'!$BG$85,ABS(N(IFERROR(INDEX('Level Engine'!$AE$9:$AE$55,MATCH('King Node Model'!$BA$50-5,'Level Engine'!$AA$9:$AA$55,0)),0)))&lt;=ABS(N(IFERROR(INDEX('Level Engine'!$AE$9:$AE$55,MATCH(('King Node Model'!$BA$50-5)+5,'Level Engine'!$AA$9:$AA$55,0)),0))),ABS(N(IFERROR(INDEX('Level Engine'!$AE$9:$AE$55,MATCH('King Node Model'!$BA$50-5,'Level Engine'!$AA$9:$AA$55,0)),0)))&lt;=ABS(N(IFERROR(INDEX('Level Engine'!$AE$9:$AE$55,MATCH(('King Node Model'!$BA$50-5)-5,'Level Engine'!$AA$9:$AA$55,0)),0))),OR(AND(ABS(N(IFERROR(INDEX('Level Engine'!$AE$9:$AE$55,MATCH(('King Node Model'!$BA$50-5)+5,'Level Engine'!$AA$9:$AA$55,0)),0)))&gt;='Level Engine'!$BG$85,ABS(N(IFERROR(INDEX('Level Engine'!$AE$9:$AE$55,MATCH('King Node Model'!$BA$50-5,'Level Engine'!$AA$9:$AA$55,0)),0)))&lt;='Level Engine'!$BG$88*ABS(N(IFERROR(INDEX('Level Engine'!$AE$9:$AE$55,MATCH(('King Node Model'!$BA$50-5)+5,'Level Engine'!$AA$9:$AA$55,0)),0)))),AND(ABS(N(IFERROR(INDEX('Level Engine'!$AE$9:$AE$55,MATCH(('King Node Model'!$BA$50-5)-5,'Level Engine'!$AA$9:$AA$55,0)),0)))&gt;='Level Engine'!$BG$85,ABS(N(IFERROR(INDEX('Level Engine'!$AE$9:$AE$55,MATCH('King Node Model'!$BA$50-5,'Level Engine'!$AA$9:$AA$55,0)),0)))&lt;='Level Engine'!$BG$88*ABS(N(IFERROR(INDEX('Level Engine'!$AE$9:$AE$55,MATCH(('King Node Model'!$BA$50-5)-5,'Level Engine'!$AA$9:$AA$55,0)),0))))))),IF(AND('King Node Model'!$A$8="Pos",N('Level Engine'!$BG$72)&lt;&gt;1),""," → ∅"&amp;TEXT('King Node Model'!$BA$50-5,"0")),""),""))&amp;IF(IFERROR(AND('King Node Model'!$A$8="Pos",ISNUMBER('Level Engine'!$BG$87),ISNUMBER('King Node Model'!$BA$50),'King Node Model'!$BA$50='Level Engine'!$BG$87),FALSE)," ζ","")</f>
        <v>7765 ·s2</v>
      </c>
      <c r="F51" s="55">
        <f>IF($E51="","",'King Node Model'!$BA50-'King Node Model'!$B$4)</f>
        <v>-10.390000000000327</v>
      </c>
      <c r="G51" s="512">
        <f>IF($E51="","",'King Node Model'!BC50)</f>
        <v>-1477513</v>
      </c>
      <c r="H51" s="56" t="str">
        <f>IF($E51="","",'King Node Model'!BQ50)</f>
        <v>Zom Dex↓ Zsh P-OI</v>
      </c>
      <c r="I51" s="66">
        <f>IF($E51="","",'King Node Model'!BE50)</f>
        <v>4</v>
      </c>
      <c r="J51" s="56" t="str">
        <f>IF($E51="","",IFERROR(IF(OR(INDEX('Level Engine'!$IY$9:$IY$55,MATCH(--LEFT($E51,4),'Level Engine'!$AA$9:$AA$55,0))="SELL",INDEX('Level Engine'!$IY$9:$IY$55,MATCH(--LEFT($E51,4),'Level Engine'!$AA$9:$AA$55,0))="BUY"),IF(AND(N('Level Engine'!$BG$78)=1,IF('Level Engine'!$BG$80&lt;&gt;"",UPPER('Level Engine'!$BG$80),'Level Engine'!$D$5)="UP"),"TURNING",INDEX('Level Engine'!$IY$9:$IY$55,MATCH(--LEFT($E51,4),'Level Engine'!$AA$9:$AA$55,0)))&amp;" "&amp;IF(ABS(INDEX('Level Engine'!$AD$9:$AD$55,MATCH(--LEFT($E51,4),'Level Engine'!$AA$9:$AA$55,0)))&gt;=1000000,TEXT(INDEX('Level Engine'!$AD$9:$AD$55,MATCH(--LEFT($E51,4),'Level Engine'!$AA$9:$AA$55,0))/1000000,"+0.00;-0.00")&amp;"M",TEXT(INDEX('Level Engine'!$AD$9:$AD$55,MATCH(--LEFT($E51,4),'Level Engine'!$AA$9:$AA$55,0))/1000,"+0;-0")&amp;"K"),"—")&amp;IF(OR(INDEX('Level Engine'!$KF$9:$KF$55,MATCH(--LEFT($E51,4),'Level Engine'!$AA$9:$AA$55,0))="BUY",INDEX('Level Engine'!$KF$9:$KF$55,MATCH(--LEFT($E51,4),'Level Engine'!$AA$9:$AA$55,0))="SELL")," → "&amp;INDEX('Level Engine'!$KF$9:$KF$55,MATCH(--LEFT($E51,4),'Level Engine'!$AA$9:$AA$55,0))&amp;IF(ABS(N(INDEX('Level Engine'!$AD$9:$AD$55,MATCH(--LEFT($E51,4),'Level Engine'!$AA$9:$AA$55,0))))&gt;='Level Engine'!$BG$94,IF(OR(AND(INDEX('Level Engine'!$AG$9:$AG$55,MATCH(--LEFT($E51,4),'Level Engine'!$AA$9:$AA$55,0))="R",INDEX('Level Engine'!$KF$9:$KF$55,MATCH(--LEFT($E51,4),'Level Engine'!$AA$9:$AA$55,0))="SELL"),AND(INDEX('Level Engine'!$AG$9:$AG$55,MATCH(--LEFT($E51,4),'Level Engine'!$AA$9:$AA$55,0))="S",INDEX('Level Engine'!$KF$9:$KF$55,MATCH(--LEFT($E51,4),'Level Engine'!$AA$9:$AA$55,0))="BUY"))," ✓"," ✗"),""),""),"—"))</f>
        <v>SELL +1.62M → SELL ✗</v>
      </c>
      <c r="K51" s="56" t="str">
        <f>(IF(AND($E51&lt;&gt;"",IFERROR(AND('King Node Model'!$A$8="Pos",OR(ISNUMBER('Level Engine'!$BG$87),ISNUMBER('Level Engine'!$BG$105)),ISNUMBER('King Node Model'!$BA$50),OR('King Node Model'!$BA$50='Level Engine'!$BG$87,'King Node Model'!$BA$50='Level Engine'!$BG$105)),FALSE)),IF('King Node Model'!$BA$50='Level Engine'!$BG$105,"ζ MAX ZOMMA ","ζ MIN ZOMMA ")&amp;TEXT(IFERROR(INDEX('Level Engine'!$AF$9:$AF$55,MATCH('King Node Model'!$BA$50,'Level Engine'!$AA$9:$AA$55,0)),0)/1000000,"+0.0;-0.0")&amp;"M"&amp;CHAR(10),"")&amp;(IF(AND($E51&lt;&gt;"",IFERROR(INDEX('Level Engine'!$JS$9:$JS$55,MATCH('King Node Model'!$BA$50,'Level Engine'!$AA$9:$AA$55,0)),0)=1),IF(IFERROR(INDEX('Level Engine'!$AF$9:$AF$55,MATCH('King Node Model'!$BA$50,'Level Engine'!$AA$9:$AA$55,0)),0)&lt;0,"IV FALL","IV RISE")&amp;" REINFORCED · largest zomma on board"&amp;CHAR(10),"")&amp;(IF(OR($E51="",NOT(ISNUMBER('King Node Model'!$BA$50))),"",TEXT('King Node Model'!$BA$50,"0")&amp;" "&amp;(IF($E51="","",IF(NOT(ISNUMBER('King Node Model'!$BA$50)),"",SUBSTITUTE(IFERROR(INDEX('Level Engine'!$EQ$9:$EQ$55,MATCH('King Node Model'!$BA$50,'Level Engine'!$AA$9:$AA$55,0)),"")," (sub-threshold)","")&amp;IF(COUNTIF('Level Engine'!$ES$9:$ES$55,"&gt;"&amp;IFERROR(INDEX('Level Engine'!$ES$9:$ES$55,MATCH('King Node Model'!$BA$50,'Level Engine'!$AA$9:$AA$55,0)),0))+1&lt;=8," ("&amp;IF(IFERROR(INDEX('Level Engine'!$ES$9:$ES$55,MATCH('King Node Model'!$BA$50,'Level Engine'!$AA$9:$AA$55,0)),0)&gt;='Level Engine'!$S$10,"","sub-threshold, ")&amp;"r"&amp;TEXT(COUNTIF('Level Engine'!$ES$9:$ES$55,"&gt;"&amp;IFERROR(INDEX('Level Engine'!$ES$9:$ES$55,MATCH('King Node Model'!$BA$50,'Level Engine'!$AA$9:$AA$55,0)),0))+1,"0")&amp;")","")&amp;IF(AND(IFERROR(INDEX('Level Engine'!$AT$9:$AT$55,MATCH('King Node Model'!$BA$50,'Level Engine'!$AA$9:$AA$55,0)),'King Node Model'!$BA$50)&lt;&gt;IFERROR(INDEX('Level Engine'!$AU$9:$AU$55,MATCH('King Node Model'!$BA$50,'Level Engine'!$AA$9:$AA$55,0)),'King Node Model'!$BA$50),IF(IF(IFERROR(INDEX('Level Engine'!$KC$9:$KC$55,MATCH('King Node Model'!$BA$50,'Level Engine'!$AA$9:$AA$55,0)),IF('Level Engine'!$BG$80&lt;&gt;"",UPPER('Level Engine'!$BG$80),UPPER('Level Engine'!$D$5)))="UP",SIGN(IFERROR(INDEX('Level Engine'!$AF$9:$AF$55,MATCH('King Node Model'!$BA$50,'Level Engine'!$AA$9:$AA$55,0)),0)),IF(IFERROR(INDEX('Level Engine'!$KC$9:$KC$55,MATCH('King Node Model'!$BA$50,'Level Engine'!$AA$9:$AA$55,0)),IF('Level Engine'!$BG$80&lt;&gt;"",UPPER('Level Engine'!$BG$80),UPPER('Level Engine'!$D$5)))="DOWN",-SIGN(IFERROR(INDEX('Level Engine'!$AF$9:$AF$55,MATCH('King Node Model'!$BA$50,'Level Engine'!$AA$9:$AA$55,0)),0)),0))=1,"firming","thinning")&lt;&gt;IF(IF(IFERROR(INDEX('Level Engine'!$KC$9:$KC$55,MATCH('King Node Model'!$BA$50,'Level Engine'!$AA$9:$AA$55,0)),IF('Level Engine'!$BG$80&lt;&gt;"",UPPER('Level Engine'!$BG$80),UPPER('Level Engine'!$D$5)))="UP",SIGN(IFERROR(INDEX('Level Engine'!$AF$9:$AF$55,MATCH(IF('King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Engine'!$AA$9:$AA$55,0)),0)),IF(IFERROR(INDEX('Level Engine'!$KC$9:$KC$55,MATCH('King Node Model'!$BA$50,'Level Engine'!$AA$9:$AA$55,0)),IF('Level Engine'!$BG$80&lt;&gt;"",UPPER('Level Engine'!$BG$80),UPPER('Level Engine'!$D$5)))="DOWN",-SIGN(IFERROR(INDEX('Level Engine'!$AF$9:$AF$55,MATCH(IF('King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Engine'!$AA$9:$AA$55,0)),0)),0))=1,"firming","thinning"))," / "&amp;TEXT(IF('King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Model'!$BA$50)),"0")&amp;" "&amp;IF(IF(IFERROR(INDEX('Level Engine'!$KC$9:$KC$55,MATCH('King Node Model'!$BA$50,'Level Engine'!$AA$9:$AA$55,0)),IF('Level Engine'!$BG$80&lt;&gt;"",UPPER('Level Engine'!$BG$80),UPPER('Level Engine'!$D$5)))="UP",SIGN(IFERROR(INDEX('Level Engine'!$AF$9:$AF$55,MATCH(IF('King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Engine'!$AA$9:$AA$55,0)),0)),IF(IFERROR(INDEX('Level Engine'!$KC$9:$KC$55,MATCH('King Node Model'!$BA$50,'Level Engine'!$AA$9:$AA$55,0)),IF('Level Engine'!$BG$80&lt;&gt;"",UPPER('Level Engine'!$BG$80),UPPER('Level Engine'!$D$5)))="DOWN",-SIGN(IFERROR(INDEX('Level Engine'!$AF$9:$AF$55,MATCH(IF('King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Engine'!$AA$9:$AA$55,0)),0)),0))=1,"firming","thinning")&amp;" the floor ("&amp;IF(IFERROR(INDEX('Level Engine'!$ES$9:$ES$55,MATCH(IF('King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Engine'!$AA$9:$AA$55,0)),0)&gt;='Level Engine'!$S$10,"",IF(IFERROR(INDEX('Level Engine'!$ES$9:$ES$55,MATCH(IF('King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Engine'!$AA$9:$AA$55,0)),0)&gt;='Level Engine'!$S$16,"sub-threshold, ","magnitude weak, "))&amp;"r"&amp;TEXT(COUNTIF('Level Engine'!$ES$9:$ES$55,"&gt;"&amp;IFERROR(INDEX('Level Engine'!$ES$9:$ES$55,MATCH(IF('King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Engine'!$AA$9:$AA$55,0)),0))+1,"0")&amp;")",""))))))))&amp;IF(AND($E51&lt;&gt;"",ISNUMBER('King Node Model'!$BA$50)),CHAR(10)&amp;IFERROR(INDEX('Level Engine'!$KE$9:$KE$55,MATCH('King Node Model'!$BA$50,'Level Engine'!$AA$9:$AA$55,0)),""),"")</f>
        <v>7765 ACCEL fading · Neg gamma ↓ (firmer support) (r4)
Now: strengthening the floor (IV rising) · if IV falls: weakens the floor · expected on arrival: STRENGTHENS ✓</v>
      </c>
      <c r="L51" s="56" t="str">
        <f>IF(AND($E51&lt;&gt;"",IFERROR(INDEX('Level Engine'!$JS$9:$JS$55,MATCH('King Node Model'!$BA$50,'Level Engine'!$AA$9:$AA$55,0)),0)=1),"SAFE·Level is safe"&amp;CHAR(10)&amp;"• Positive gamma · GEX "&amp;TEXT(IFERROR(INDEX('Level Engine'!$AB$9:$AB$55,MATCH('King Node Model'!$BA$50,'Level Engine'!$AA$9:$AA$55,0)),0)/1000000,"+0.00;-0.00")&amp;"M"&amp;IF(IFERROR(INDEX('Level Engine'!$AB$9:$AB$55,MATCH('King Node Model'!$BA$50,'Level Engine'!$AA$9:$AA$55,0)),0)=MAX('Level Engine'!$AB$9:$AB$55),", largest on board","")&amp;CHAR(10)&amp;"• Zomma "&amp;TEXT(IFERROR(INDEX('Level Engine'!$AF$9:$AF$55,MATCH('King Node Model'!$BA$50,'Level Engine'!$AA$9:$AA$55,0)),0)/1000000,"+0.0;-0.0")&amp;"M, largest on board · "&amp;IF(IFERROR(INDEX('Level Engine'!$AF$9:$AF$55,MATCH('King Node Model'!$BA$50,'Level Engine'!$AA$9:$AA$55,0)),0)&lt;0,"falling","rising")&amp;" IV strengthens gamma"&amp;IF(IFERROR(INDEX('Level Engine'!$IY$9:$IY$55,MATCH('King Node Model'!$BA$50,'Level Engine'!$AA$9:$AA$55,0)),"")="SELL",CHAR(10)&amp;"• Vanna SELL "&amp;TEXT(IFERROR(INDEX('Level Engine'!$AD$9:$AD$55,MATCH('King Node Model'!$BA$50,'Level Engine'!$AA$9:$AA$55,0)),0)/1000000,"+0.00;-0.00")&amp;"M outweighed while IV "&amp;IF(IFERROR(INDEX('Level Engine'!$AF$9:$AF$55,MATCH('King Node Model'!$BA$50,'Level Engine'!$AA$9:$AA$55,0)),0)&lt;0,"falls","rises"),"")&amp;IF(N(IFERROR(INDEX('Level Engine'!$JF$9:$JF$55,MATCH('King Node Model'!$BA$50,'Level Engine'!$AA$9:$AA$55,0)),0))&gt;N(IFERROR(INDEX('Level Engine'!$JE$9:$JE$55,MATCH('King Node Model'!$BA$50,'Level Engine'!$AA$9:$AA$55,0)),0)),CHAR(10)&amp;"• Call-heavy · "&amp;TEXT(IFERROR(INDEX('Level Engine'!$JF$9:$JF$55,MATCH('King Node Model'!$BA$50,'Level Engine'!$AA$9:$AA$55,0)),0),"#,##0")&amp;" calls vs "&amp;TEXT(IFERROR(INDEX('Level Engine'!$JE$9:$JE$55,MATCH('King Node Model'!$BA$50,'Level Engine'!$AA$9:$AA$55,0)),0),"#,##0")&amp;" puts",""),"")</f>
        <v/>
      </c>
      <c r="M51" s="58" t="str">
        <f>IF(AND(AND('King Node Model'!$A$8="Pos",IFERROR(IFERROR(INDEX('Level Engine'!$CZ$9:$CZ$55,MATCH('King Node Model'!$BA$50,'Level Engine'!$AA$9:$AA$55,0)),0)=1,FALSE),N(IFERROR(INDEX('Level Engine'!$AB$9:$AB$55,MATCH('King Node Model'!$BA$50,'Level Engine'!$AA$9:$AA$55,0)),0))&lt;0),NOT(ISNUMBER(SEARCH("REVERSAL",(IF($E51="","",'King Node Model'!BP50)))))),"REVERSAL · ","")&amp;SUBSTITUTE(SUBSTITUTE(SUBSTITUTE(SUBSTITUTE((IF($E51="","",'King Node Model'!BP50)),"dEdge Cliff",IF(AND('King Node Model'!$A$8="Pos",IFERROR(IFERROR(INDEX('Level Engine'!$CZ$9:$CZ$55,MATCH('King Node Model'!$BA$50,'Level Engine'!$AA$9:$AA$55,0)),0)=1,FALSE),N(IFERROR(INDEX('Level Engine'!$AB$9:$AB$55,MATCH('King Node Model'!$BA$50,'Level Engine'!$AA$9:$AA$55,0)),0))&lt;0),"Put Wall · dEdge Cliff","dEdge Cliff"))," · accelerates",IF(AND('King Node Model'!$A$8="Pos",IFERROR(IFERROR(INDEX('Level Engine'!$CZ$9:$CZ$55,MATCH('King Node Model'!$BA$50,'Level Engine'!$AA$9:$AA$55,0)),0)=1,FALSE),N(IFERROR(INDEX('Level Engine'!$AB$9:$AB$55,MATCH('King Node Model'!$BA$50,'Level Engine'!$AA$9:$AA$55,0)),0))&lt;0),""," · accelerates")),"REVERSAL · ",IF(AND('King Node Model'!$A$8="Pos",IFERROR(IFERROR(INDEX('Level Engine'!$CZ$9:$CZ$55,MATCH('King Node Model'!$BA$50,'Level Engine'!$AA$9:$AA$55,0)),0)=1,FALSE),N(IFERROR(INDEX('Level Engine'!$AB$9:$AB$55,MATCH('King Node Model'!$BA$50,'Level Engine'!$AA$9:$AA$55,0)),0))&gt;0,N('Level Engine'!$BG$109)=1),"","REVERSAL · ")),"REVERSAL",IF(AND('King Node Model'!$A$8="Pos",IFERROR(IFERROR(INDEX('Level Engine'!$CZ$9:$CZ$55,MATCH('King Node Model'!$BA$50,'Level Engine'!$AA$9:$AA$55,0)),0)=1,FALSE),N(IFERROR(INDEX('Level Engine'!$AB$9:$AB$55,MATCH('King Node Model'!$BA$50,'Level Engine'!$AA$9:$AA$55,0)),0))&gt;0,N('Level Engine'!$BG$109)=1),"","REVERSAL"))</f>
        <v>REVERSAL · Trough · slows</v>
      </c>
      <c r="N51" s="58" t="str">
        <f>IF($E51="","",IF(IFERROR(INDEX('Level Engine'!$AX$9:$AX$55,MATCH('King Node Model'!$BA$50,'Level Engine'!$AA$9:$AA$55,0)),0)=1,"VOMMA BID","—"))</f>
        <v>—</v>
      </c>
      <c r="O51" s="468" t="str">
        <f>IF($E51="","","")</f>
        <v/>
      </c>
      <c r="P51" s="477"/>
      <c r="Q51" s="457" t="str">
        <f t="shared" si="21"/>
        <v xml:space="preserve">7755   67% </v>
      </c>
      <c r="R51" s="458" t="str">
        <f t="shared" si="22"/>
        <v>555 ▉▉▉</v>
      </c>
      <c r="S51" s="485" t="str">
        <f t="shared" si="23"/>
        <v>▉▉▉▉▉ 1.1k</v>
      </c>
      <c r="T51" s="485" t="str">
        <f t="shared" si="24"/>
        <v>g9</v>
      </c>
      <c r="U51" s="459" t="str">
        <f t="shared" si="25"/>
        <v/>
      </c>
      <c r="V51" s="420"/>
      <c r="W51" s="420" t="str">
        <f>IF($E51="","",IF(NOT(ISNUMBER('King Node Model'!$BA$50)),"",IF('King Node Model'!$BA$50='King Node Model'!$AL$49,"this is the level on line 43",IF('King Node Model'!$BA$50='King Node Model'!$AL$50,"this is the level on line 44",IF(AND(IFERROR(INDEX('Level Engine'!$CV$9:$CV$55,MATCH('King Node Model'!$BA$50,'Level Engine'!$AA$9:$AA$55,0)),0)=1,IFERROR(INDEX('Level Engine'!$DM$9:$DM$55,MATCH('King Node Model'!$BA$50,'Level Engine'!$AA$9:$AA$55,0)),0)=0),"it passed support qualification, but the negative-gamma surface gate removed it before ranking - it needs one of: positive DEX ("&amp;IF(IFERROR(INDEX('Level Engine'!$AB$9:$AB$55,MATCH('King Node Model'!$BA$50,'Level Engine'!$AA$9:$AA$55,0)),0)&gt;0,"on","off")&amp;"), fat tail ("&amp;IF(AND(IFERROR(INDEX('Level Engine'!$BM$9:$BM$55,MATCH('King Node Model'!$BA$50,'Level Engine'!$AA$9:$AA$55,0)),0)&lt;=6,IFERROR(INDEX('Level Engine'!$BN$9:$BN$55,MATCH('King Node Model'!$BA$50,'Level Engine'!$AA$9:$AA$55,0)),0)&lt;=6),"on","off")&amp;"), within 5 pts of min GEX ("&amp;IF(ABS('King Node Model'!$BA$50-'King Node Model'!$T$23)&lt;=5,"on","off")&amp;"), zomma mark ("&amp;IF(IFERROR(INDEX('Level Engine'!$AL$9:$AL$55,MATCH('King Node Model'!$BA$50,'Level Engine'!$AA$9:$AA$55,0)),0)=1,"on","off")&amp;")",IF(AND(IFERROR(INDEX('Level Engine'!$CV$9:$CV$55,MATCH('King Node Model'!$BA$50,'Level Engine'!$AA$9:$AA$55,0)),0)=1,NOT(ISNUMBER(IFERROR(INDEX('Level Engine'!$DN$9:$DN$55,MATCH('King Node Model'!$BA$50,'Level Engine'!$AA$9:$AA$55,0)),"")))),"it qualified, but it is number "&amp;IFERROR(TEXT(MATCH('King Node Model'!$BA$50,'Level Engine'!$W$18:$W$23,0),"0"),"?")&amp;" on the strength list and only the top 3 get a ladder place (no exemption applies)",IF(IFERROR(INDEX('Level Engine'!$CV$9:$CV$55,MATCH('King Node Model'!$BA$50,'Level Engine'!$AA$9:$AA$55,0)),0)=1,"qualified and ranked, but line 43 holds "&amp;IF(ISNUMBER('King Node Model'!$AL$49),TEXT('King Node Model'!$AL$49,"0"),"nothing")&amp;" and line 44 holds "&amp;IF(ISNUMBER('King Node Model'!$AL$50),TEXT('King Node Model'!$AL$50,"0"),"nothing"),IF(LEN($AU51)=0,"it clears every gate listed - but is not on the strength list","failed: "&amp;MID($AU51,4,900)))))))))</f>
        <v>failed: it is a shelf sitting inside a box, so the box level is shown in its place</v>
      </c>
      <c r="X51" s="10"/>
      <c r="Y51" s="10"/>
      <c r="Z51" s="46"/>
      <c r="AA51" s="47"/>
      <c r="AB51" s="44"/>
      <c r="AC51" s="44"/>
      <c r="AE51" s="420"/>
      <c r="AL51" s="471"/>
      <c r="AM51" s="481"/>
      <c r="AN51" s="420"/>
      <c r="AO51" s="481"/>
      <c r="AP51" s="420" t="str">
        <f>IF(LEFT($L51,4)="SAFE","GREEN","")</f>
        <v/>
      </c>
      <c r="AU51" t="str">
        <f>IF(NOT(ISNUMBER('King Node Model'!$BA$50)),"",IF(IFERROR(INDEX('Level Engine'!$AG$9:$AG$55,MATCH('King Node Model'!$BA$50,'Level Engine'!$AA$9:$AA$55,0)),chr)&lt;&gt;"S"," | "&amp;"it is not tagged as a support level","")&amp;IF(COUNTIF('Level Engine'!$W$18:$W$23,'King Node Model'!$BA$50)=0," | "&amp;"it is not on the Level Engine strength list (W18:W23)","")&amp;IF(ABS('King Node Model'!$BA$50-'King Node Model'!$B$4)&gt;'Level Engine'!$BG$7," | "&amp;"too far away: "&amp;TEXT(ABS('King Node Model'!$BA$50-'King Node Model'!$B$4),"0")&amp;" pts from spot, only "&amp;TEXT('Level Engine'!$BG$7,"0")&amp;" pts are looked at","")&amp;IF(IFERROR(INDEX('Level Engine'!$BK$9:$BK$55,MATCH('King Node Model'!$BA$50,'Level Engine'!$AA$9:$AA$55,0)),0)=1," | "&amp;" it is folded into "&amp;TEXT(('King Node Model'!$BA$50+5),"0")&amp;", the stronger reversal one strike closer to spot","")&amp;IF(IFERROR(INDEX('Level Engine'!$DH$9:$DH$55,MATCH('King Node Model'!$BA$50,'Level Engine'!$AA$9:$AA$55,0)),0)=1," | "&amp;"it is a shelf sitting inside a box, so the box level is shown in its place","")&amp;IF(IFERROR(INDEX('Level Engine'!$CI$9:$CI$55,MATCH('King Node Model'!$BA$50,'Level Engine'!$AA$9:$AA$55,0)),0)&lt;&gt;0," | "&amp;"it is accelerating, not holding (negative GEX with zomma falling)","")&amp;IF(NOT(OR(IFERROR(INDEX('Level Engine'!$AM$9:$AM$55,MATCH('King Node Model'!$BA$50,'Level Engine'!$AA$9:$AA$55,0)),0)&gt;=IF(OR('King Node Model'!$A$8="Neg",N('Level Engine'!$BG$72)=1),'Level Engine'!$BG$20,3),'King Node Model'!$BA$50='King Node Model'!$D$26,IFERROR(INDEX('Level Engine'!$DT$9:$DT$55,MATCH('King Node Model'!$BA$50,'Level Engine'!$AA$9:$AA$55,0)),0)=1))," | "&amp;"fewer than "&amp;IF(OR('King Node Model'!$A$8="Neg",N('Level Engine'!$BG$72)=1),'Level Engine'!$BG$20,3)&amp;" backers ("&amp;TEXT(IFERROR(INDEX('Level Engine'!$AM$9:$AM$55,MATCH('King Node Model'!$BA$50,'Level Engine'!$AA$9:$AA$55,0)),0),"0")&amp;") and it is neither the king node nor an nVanna level","")&amp;IF(IFERROR(INDEX('Level Engine'!$AM$9:$AM$55,MATCH('King Node Model'!$BA$50,'Level Engine'!$AA$9:$AA$55,0)),0)&lt;'Level Engine'!$BG$20," | "&amp;"not enough agrees here: "&amp;TEXT(IFERROR(INDEX('Level Engine'!$AM$9:$AM$55,MATCH('King Node Model'!$BA$50,'Level Engine'!$AA$9:$AA$55,0)),0),"0")&amp;" backers, needs at least "&amp;TEXT('Level Engine'!$BG$20,"0"),"")&amp;IF(IFERROR(INDEX('Level Engine'!$AC$9:$AC$55,MATCH('King Node Model'!$BA$50,'Level Engine'!$AA$9:$AA$55,0)),0)&lt;='Level Engine'!$BG$19," | "&amp;"too small: gamma is "&amp;TEXT(IFERROR(INDEX('Level Engine'!$AC$9:$AC$55,MATCH('King Node Model'!$BA$50,'Level Engine'!$AA$9:$AA$55,0)),0),"#,##0")&amp;", it has to be bigger than "&amp;TEXT('Level Engine'!$BG$19,"#,##0"),"")&amp;IF(LEN($AV51)&gt;0," | "&amp;"nothing is switched on at it - "&amp;$AV51,""))</f>
        <v xml:space="preserve"> | it is a shelf sitting inside a box, so the box level is shown in its place</v>
      </c>
      <c r="AV51" t="str">
        <f>IF(NOT(ISNUMBER('King Node Model'!$BA$50)),"",IF(IF((OR('King Node Model'!$A$8="Neg",N('Level Engine'!$BG$72)=1)),OR(IFERROR(INDEX('Level Engine'!$AN$9:$AN$55,MATCH('King Node Model'!$BA$50,'Level Engine'!$AA$9:$AA$55,0)),0)=1,'King Node Model'!$BA$50='King Node Model'!$D$26,AND(OR('King Node Model'!$BA$50='Level Engine'!$CP$4,'King Node Model'!$BA$50='Level Engine'!$CP$5,'King Node Model'!$BA$50='Level Engine'!$CP$6,'King Node Model'!$BA$50='Level Engine'!$CP$7),ABS('King Node Model'!$BA$50-'King Node Model'!$B$4)&lt;=30),OR(ISNUMBER(SEARCH("STRENGTHENING",IFERROR(INDEX('Level Engine'!$CG$9:$CG$55,MATCH('King Node Model'!$BA$50,'Level Engine'!$AA$9:$AA$55,0)),""))),ISNUMBER(SEARCH("firmer support",IFERROR(INDEX('Level Engine'!$CG$9:$CG$55,MATCH('King Node Model'!$BA$50,'Level Engine'!$AA$9:$AA$55,0)),"")))),AND(IFERROR(INDEX('Level Engine'!$AX$9:$AX$55,MATCH('King Node Model'!$BA$50,'Level Engine'!$AA$9:$AA$55,0)),0)=1,'Level Engine'!$D$5="DOWN"),AND(IFERROR(INDEX('Level Engine'!$BY$9:$BY$55,MATCH('King Node Model'!$BA$50,'Level Engine'!$AA$9:$AA$55,0)),0)=1,'King Node Model'!$BA$50&lt;'King Node Model'!$B$4),IFERROR(INDEX('Level Engine'!$BX$9:$BX$55,MATCH('King Node Model'!$BA$50,'Level Engine'!$AA$9:$AA$55,0)),0)=1,IFERROR(INDEX('Level Engine'!$AB$9:$AB$55,MATCH('King Node Model'!$BA$50,'Level Engine'!$AA$9:$AA$55,0)),0)&gt;0),OR(IFERROR(INDEX('Level Engine'!$AN$9:$AN$55,MATCH('King Node Model'!$BA$50,'Level Engine'!$AA$9:$AA$55,0)),0)=1,'King Node Model'!$BA$50='King Node Model'!$D$26,AND(OR('King Node Model'!$BA$50='Level Engine'!$CP$4,'King Node Model'!$BA$50='Level Engine'!$CP$5,'King Node Model'!$BA$50='Level Engine'!$CP$6,'King Node Model'!$BA$50='Level Engine'!$CP$7),ABS('King Node Model'!$BA$50-'King Node Model'!$B$4)&lt;=30),OR(ISNUMBER(SEARCH("STRENGTHENING",IFERROR(INDEX('Level Engine'!$CG$9:$CG$55,MATCH('King Node Model'!$BA$50,'Level Engine'!$AA$9:$AA$55,0)),""))),ISNUMBER(SEARCH("firmer support",IFERROR(INDEX('Level Engine'!$CG$9:$CG$55,MATCH('King Node Model'!$BA$50,'Level Engine'!$AA$9:$AA$55,0)),"")))),AND(IFERROR(INDEX('Level Engine'!$AX$9:$AX$55,MATCH('King Node Model'!$BA$50,'Level Engine'!$AA$9:$AA$55,0)),0)=1,'Level Engine'!$D$5="DOWN"),IFERROR(INDEX('Level Engine'!$AC$9:$AC$55,MATCH('King Node Model'!$BA$50,'Level Engine'!$AA$9:$AA$55,0)),0)&gt;=MAX('Level Engine'!$AC$9:$AC$55),IFERROR(INDEX('Level Engine'!$BC$9:$BC$55,MATCH('King Node Model'!$BA$50,'Level Engine'!$AA$9:$AA$55,0)),0)&gt;0)),"","reversal flag ("&amp;IF(IFERROR(INDEX('Level Engine'!$AN$9:$AN$55,MATCH('King Node Model'!$BA$50,'Level Engine'!$AA$9:$AA$55,0)),0)=1,"on","off")&amp;"), "&amp;"king node ("&amp;IF('King Node Model'!$BA$50='King Node Model'!$D$26,"on","off")&amp;"), "&amp;"gravity point within 30 pts ("&amp;IF(AND(OR('King Node Model'!$BA$50='Level Engine'!$CP$4,'King Node Model'!$BA$50='Level Engine'!$CP$5,'King Node Model'!$BA$50='Level Engine'!$CP$6,'King Node Model'!$BA$50='Level Engine'!$CP$7),ABS('King Node Model'!$BA$50-'King Node Model'!$B$4)&lt;=30),"on","off")&amp;"), "&amp;"zomma tag STRENGTHENING/firmer ("&amp;IF(OR(ISNUMBER(SEARCH("STRENGTHENING",IFERROR(INDEX('Level Engine'!$CG$9:$CG$55,MATCH('King Node Model'!$BA$50,'Level Engine'!$AA$9:$AA$55,0)),""))),ISNUMBER(SEARCH("firmer support",IFERROR(INDEX('Level Engine'!$CG$9:$CG$55,MATCH('King Node Model'!$BA$50,'Level Engine'!$AA$9:$AA$55,0)),"")))),"on","off")&amp;"), "&amp;"big vomma with IV falling ("&amp;IF(AND(IFERROR(INDEX('Level Engine'!$AX$9:$AX$55,MATCH('King Node Model'!$BA$50,'Level Engine'!$AA$9:$AA$55,0)),0)=1,'Level Engine'!$D$5="DOWN"),"on","off")&amp;")"&amp;IF((OR('King Node Model'!$A$8="Neg",N('Level Engine'!$BG$72)=1)),", GEX sign flip at the next strike ("&amp;IF(AND(IFERROR(INDEX('Level Engine'!$BY$9:$BY$55,MATCH('King Node Model'!$BA$50,'Level Engine'!$AA$9:$AA$55,0)),0)=1,'King Node Model'!$BA$50&lt;'King Node Model'!$B$4),"on","off")&amp;")"&amp;", positive GEX in a negative tape ("&amp;IF(IFERROR(INDEX('Level Engine'!$BX$9:$BX$55,MATCH('King Node Model'!$BA$50,'Level Engine'!$AA$9:$AA$55,0)),0)=1,"on","off")&amp;")"&amp;", positive DEX ("&amp;IF(IFERROR(INDEX('Level Engine'!$AB$9:$AB$55,MATCH('King Node Model'!$BA$50,'Level Engine'!$AA$9:$AA$55,0)),0)&gt;0,"on","off")&amp;")",", biggest gamma on the board ("&amp;IF(IFERROR(INDEX('Level Engine'!$AC$9:$AC$55,MATCH('King Node Model'!$BA$50,'Level Engine'!$AA$9:$AA$55,0)),0)&gt;=MAX('Level Engine'!$AC$9:$AC$55),"on","off")&amp;")"&amp;", positive GEX ("&amp;IF(IFERROR(INDEX('Level Engine'!$BC$9:$BC$55,MATCH('King Node Model'!$BA$50,'Level Engine'!$AA$9:$AA$55,0)),0)&gt;0,"on","off")&amp;")")))</f>
        <v/>
      </c>
      <c r="AY51" s="471"/>
      <c r="AZ51" s="471"/>
      <c r="BB51" s="471"/>
      <c r="BK51">
        <f>IFERROR(LARGE($CH$43:$CH$51,9),"")</f>
        <v>7755</v>
      </c>
      <c r="BL51">
        <f>IFERROR(INDEX('King Node Model'!$K$29:$K$75,MATCH($BK51,'King Node Model'!$A$29:$A$75,0)),"")</f>
        <v>555</v>
      </c>
      <c r="BM51">
        <f>IFERROR(INDEX('King Node Model'!$L$29:$L$75,MATCH($BK51,'King Node Model'!$A$29:$A$75,0)),"")</f>
        <v>1145</v>
      </c>
      <c r="BN51">
        <f t="shared" si="26"/>
        <v>0.34705882352941175</v>
      </c>
      <c r="BO51">
        <f>IFERROR(INDEX('Level Engine'!$AC$9:$AC$55,MATCH($BK51,'Level Engine'!$AA$9:$AA$55,0))/MAX('Level Engine'!$AC$9:$AC$55),"")</f>
        <v>0.2538328832916838</v>
      </c>
      <c r="BP51">
        <f>IF(NOT(ISNUMBER($BK51)),"",IF($BK51&gt;'King Node Model'!$B$4,1,-1))</f>
        <v>-1</v>
      </c>
      <c r="BQ51" t="str">
        <f>IF(OR(NOT(ISNUMBER($BN51)),NOT(ISNUMBER($BO51))),"",IF($BO51&lt;0.15,"thin",IF(OR('King Node Model'!$A$8="Neg",N('Level Engine'!$BG$72)=1),"",IF($BP51=1,IF($BN51&lt;=-0.4,"HARD ceil",IF($BN51&lt;=-0.15,"ceil",IF($BN51&lt;0.15,"neutral","soft ceil"))),IF($BN51&gt;=0.4,"FIRM floor",IF($BN51&gt;=0.15,"floor",IF($BN51&gt;-0.15,"neutral","WEAK floor"))))&amp;IF($BO51&lt;0.25," ·marginal",""))))</f>
        <v/>
      </c>
      <c r="BR51" t="str">
        <f>IF(NOT(ISNUMBER($BN51)),"",IF(OR('King Node Model'!$A$8="Neg",N('Level Engine'!$BG$72)=1),"",IF(AND($BP51=1,$BN51&gt;0.15),"⚠",IF(AND($BP51=-1,$BN51&lt;-0.15),"⚠",""))))</f>
        <v/>
      </c>
      <c r="BW51">
        <f t="shared" si="27"/>
        <v>9</v>
      </c>
      <c r="BX51">
        <f t="shared" si="28"/>
        <v>8</v>
      </c>
      <c r="BY51" t="str">
        <f t="shared" si="29"/>
        <v/>
      </c>
      <c r="BZ51">
        <f t="shared" si="30"/>
        <v>1700</v>
      </c>
      <c r="CH51">
        <f>IF($CI51&lt;=0,"",IFERROR(SUMPRODUCT(MAX((('King Node Model'!$A$29:$A$75&gt;='King Node Model'!$B$4-25)*('King Node Model'!$A$29:$A$75&lt;='King Node Model'!$B$4+25)*('King Node Model'!$A$29:$A$75&gt;0)*((626-('King Node Model'!$A$29:$A$75-'King Node Model'!$B$4)^2)*1000000+'King Node Model'!$A$29:$A$75)=$CI51)*'King Node Model'!$A$29:$A$75)),""))</f>
        <v>7755</v>
      </c>
      <c r="CI51">
        <f>IFERROR(SUMPRODUCT(LARGE(('King Node Model'!$A$29:$A$75&gt;='King Node Model'!$B$4-25)*('King Node Model'!$A$29:$A$75&lt;='King Node Model'!$B$4+25)*('King Node Model'!$A$29:$A$75&gt;0)*((626-('King Node Model'!$A$29:$A$75-'King Node Model'!$B$4)^2)*1000000+'King Node Model'!$A$29:$A$75),9)),0)</f>
        <v>210255654.99998665</v>
      </c>
      <c r="CX51"/>
      <c r="DK51" t="str">
        <f>IF(AND(ISNUMBER($AL51),OR($AL51='King Node Model'!$AL$42,$AL51='King Node Model'!$AL$43,$AL51='King Node Model'!$AL$44)),IFERROR(MATCH($AL51,'Level Engine'!$W$9:$W$14,0),""),"")</f>
        <v/>
      </c>
      <c r="DL51" t="str">
        <f>IF(AND(ISNUMBER($AL51),OR($AL51='King Node Model'!$AL$49,$AL51='King Node Model'!$AL$50,$AL51='King Node Model'!$AL$51)),IFERROR(MATCH($AL51,'Level Engine'!$W$18:$W$23,0),""),"")</f>
        <v/>
      </c>
      <c r="DM51">
        <f>IF(AND(ISNUMBER($AL51),IFERROR(INDEX('Level Engine'!$LC$9:$LC$55,MATCH($AL51,'Level Engine'!$AA$9:$AA$55,0)),0)=1,OR($AL51=$AN$3,IFERROR(INDEX('Level Engine'!$LB$9:$LB$55,MATCH($AL51,'Level Engine'!$AA$9:$AA$55,0)),0)=1)),1,0)</f>
        <v>0</v>
      </c>
      <c r="EA51">
        <f>IF($E51="",0,IF(IFERROR(INDEX('Level Engine'!$NJ$9:$NJ$55,MATCH(IFERROR(VALUE(LEFT($E51,4)),0),'Level Engine'!$AA$9:$AA$55,0)),0)=1,1,0))</f>
      </c>
    </row>
    <row r="52" spans="1:123" ht="120" customHeight="1" x14ac:dyDescent="0.25">
      <c r="A52" s="7"/>
      <c r="B52" s="514"/>
      <c r="C52" s="9"/>
      <c r="E52" s="422" t="str">
        <f>(((IF(AND(ISNUMBER('King Node Model'!$AN$66),'King Node Model'!$AL$49='King Node Model'!$AN$66,'King Node Model'!$AN$67&lt;&gt;""),'King Node Model'!$AN$67,IF(AND(AND(ISNUMBER('King Node Model'!$AL$49),ISNUMBER('King Node Model'!$AL$50),IFERROR(ABS('King Node Model'!$AL$49-'King Node Model'!$AL$50)&lt;=5,FALSE()),OR(AND(ISNUMBER(SEARCH("box",'King Node Model'!S49)),ISNUMBER(SEARCH("wall",'King Node Model'!S50))),AND(ISNUMBER(SEARCH("wall",'King Node Model'!S49)),ISNUMBER(SEARCH("box",'King Node Model'!S50))))),(IFERROR(MATCH('King Node Model'!$AL$49,'Level Engine'!$W$18:$W$23,0),99)&lt;=IFERROR(MATCH('King Node Model'!$AL$50,'Level Engine'!$W$18:$W$23,0),99))),TEXT(MIN('King Node Model'!$AL$49,'King Node Model'!$AL$50),"0")&amp;"-"&amp;TEXT(MAX('King Node Model'!$AL$49,'King Node Model'!$AL$50),"0")&amp;" (box + wall @ "&amp;TEXT(IF(ISNUMBER(SEARCH("wall",'King Node Model'!S49)),'King Node Model'!$AL$49,'King Node Model'!$AL$50),"0")&amp;")"&amp;IF(MIN(IFERROR(MATCH('King Node Model'!$AL$49,'Level Engine'!$W$18:$W$23,0),99),IFERROR(MATCH('King Node Model'!$AL$50,'Level Engine'!$W$18:$W$23,0),99))&lt;99," ·s"&amp;MIN(IFERROR(MATCH('King Node Model'!$AL$49,'Level Engine'!$W$18:$W$23,0),99),IFERROR(MATCH('King Node Model'!$AL$50,'Level Engine'!$W$18:$W$23,0),99)),"")&amp;'King Node Model'!$BY$49,IF(AND(ISNUMBER('King Node Model'!$AL$49),ISNUMBER('King Node Model'!$AL$50),IFERROR(ABS('King Node Model'!$AL$49-'King Node Model'!$AL$50)&lt;=5,FALSE()),OR(AND(ISNUMBER(SEARCH("box",'King Node Model'!S49)),ISNUMBER(SEARCH("wall",'King Node Model'!S50))),AND(ISNUMBER(SEARCH("wall",'King Node Model'!S49)),ISNUMBER(SEARCH("box",'King Node Model'!S50))))),"",'King Node Model'!S49&amp;IFERROR(" ·s"&amp;MATCH('King Node Model'!$AL$49,'Level Engine'!$W$18:$W$23,0),"")&amp;'King Node Model'!$BY$49))))&amp;$CM$52)&amp;IFERROR(IF(AND(ISNUMBER('King Node Model'!$AL$49),AND(ISNUMBER(MATCH('King Node Model'!$AL$49-5,'Level Engine'!$AA$9:$AA$55,0)),ABS(N(IFERROR(INDEX('Level Engine'!$AE$9:$AE$55,MATCH('King Node Model'!$AL$49-5,'Level Engine'!$AA$9:$AA$55,0)),0)))&lt;'Level Engine'!$BG$85,ABS(N(IFERROR(INDEX('Level Engine'!$AE$9:$AE$55,MATCH('King Node Model'!$AL$49-5,'Level Engine'!$AA$9:$AA$55,0)),0)))&lt;=ABS(N(IFERROR(INDEX('Level Engine'!$AE$9:$AE$55,MATCH(('King Node Model'!$AL$49-5)+5,'Level Engine'!$AA$9:$AA$55,0)),0))),ABS(N(IFERROR(INDEX('Level Engine'!$AE$9:$AE$55,MATCH('King Node Model'!$AL$49-5,'Level Engine'!$AA$9:$AA$55,0)),0)))&lt;=ABS(N(IFERROR(INDEX('Level Engine'!$AE$9:$AE$55,MATCH(('King Node Model'!$AL$49-5)-5,'Level Engine'!$AA$9:$AA$55,0)),0))),OR(AND(ABS(N(IFERROR(INDEX('Level Engine'!$AE$9:$AE$55,MATCH(('King Node Model'!$AL$49-5)+5,'Level Engine'!$AA$9:$AA$55,0)),0)))&gt;='Level Engine'!$BG$85,ABS(N(IFERROR(INDEX('Level Engine'!$AE$9:$AE$55,MATCH('King Node Model'!$AL$49-5,'Level Engine'!$AA$9:$AA$55,0)),0)))&lt;='Level Engine'!$BG$88*ABS(N(IFERROR(INDEX('Level Engine'!$AE$9:$AE$55,MATCH(('King Node Model'!$AL$49-5)+5,'Level Engine'!$AA$9:$AA$55,0)),0)))),AND(ABS(N(IFERROR(INDEX('Level Engine'!$AE$9:$AE$55,MATCH(('King Node Model'!$AL$49-5)-5,'Level Engine'!$AA$9:$AA$55,0)),0)))&gt;='Level Engine'!$BG$85,ABS(N(IFERROR(INDEX('Level Engine'!$AE$9:$AE$55,MATCH('King Node Model'!$AL$49-5,'Level Engine'!$AA$9:$AA$55,0)),0)))&lt;='Level Engine'!$BG$88*ABS(N(IFERROR(INDEX('Level Engine'!$AE$9:$AE$55,MATCH(('King Node Model'!$AL$49-5)-5,'Level Engine'!$AA$9:$AA$55,0)),0))))))),IF(AND('King Node Model'!$A$8="Pos",N('Level Engine'!$BG$72)&lt;&gt;1),""," → ∅"&amp;TEXT('King Node Model'!$AL$49-5,"0")),""),""))&amp;IF(IFERROR(AND('King Node Model'!$A$8="Pos",ISNUMBER('Level Engine'!$BG$87),ISNUMBER('King Node Model'!$AL$49),'King Node Model'!$AL$49='Level Engine'!$BG$87),FALSE)," ζ","")</f>
        <v>7775 ·s1  [dEdge Cliff · Trough · Cluster 7770-7780]</v>
      </c>
      <c r="F52" s="423">
        <f>IF($E52="","",'King Node Model'!T49)</f>
        <v>-0.39000000000032742</v>
      </c>
      <c r="G52" s="511">
        <f>IF($E52="","",'King Node Model'!U49)</f>
        <v>-49207</v>
      </c>
      <c r="H52" s="425" t="str">
        <f>IF($E52="","",'King Node Model'!V49)</f>
        <v>iDex Vgf ZG dEdge C-OI</v>
      </c>
      <c r="I52" s="426">
        <f>IF($E52="","",'King Node Model'!W49)</f>
        <v>5</v>
      </c>
      <c r="J52" s="425" t="str">
        <f>IF($E52="","",IFERROR(IF(OR(INDEX('Level Engine'!$IY$9:$IY$55,MATCH(--LEFT($E52,4),'Level Engine'!$AA$9:$AA$55,0))="SELL",INDEX('Level Engine'!$IY$9:$IY$55,MATCH(--LEFT($E52,4),'Level Engine'!$AA$9:$AA$55,0))="BUY"),IF(AND(N('Level Engine'!$BG$78)=1,IF('Level Engine'!$BG$80&lt;&gt;"",UPPER('Level Engine'!$BG$80),'Level Engine'!$D$5)="UP"),"TURNING",INDEX('Level Engine'!$IY$9:$IY$55,MATCH(--LEFT($E52,4),'Level Engine'!$AA$9:$AA$55,0)))&amp;" "&amp;IF(ABS(INDEX('Level Engine'!$AD$9:$AD$55,MATCH(--LEFT($E52,4),'Level Engine'!$AA$9:$AA$55,0)))&gt;=1000000,TEXT(INDEX('Level Engine'!$AD$9:$AD$55,MATCH(--LEFT($E52,4),'Level Engine'!$AA$9:$AA$55,0))/1000000,"+0.00;-0.00")&amp;"M",TEXT(INDEX('Level Engine'!$AD$9:$AD$55,MATCH(--LEFT($E52,4),'Level Engine'!$AA$9:$AA$55,0))/1000,"+0;-0")&amp;"K"),"—")&amp;IF(OR(INDEX('Level Engine'!$KF$9:$KF$55,MATCH(--LEFT($E52,4),'Level Engine'!$AA$9:$AA$55,0))="BUY",INDEX('Level Engine'!$KF$9:$KF$55,MATCH(--LEFT($E52,4),'Level Engine'!$AA$9:$AA$55,0))="SELL")," → "&amp;INDEX('Level Engine'!$KF$9:$KF$55,MATCH(--LEFT($E52,4),'Level Engine'!$AA$9:$AA$55,0))&amp;IF(ABS(N(INDEX('Level Engine'!$AD$9:$AD$55,MATCH(--LEFT($E52,4),'Level Engine'!$AA$9:$AA$55,0))))&gt;='Level Engine'!$BG$94,IF(OR(AND(INDEX('Level Engine'!$AG$9:$AG$55,MATCH(--LEFT($E52,4),'Level Engine'!$AA$9:$AA$55,0))="R",INDEX('Level Engine'!$KF$9:$KF$55,MATCH(--LEFT($E52,4),'Level Engine'!$AA$9:$AA$55,0))="SELL"),AND(INDEX('Level Engine'!$AG$9:$AG$55,MATCH(--LEFT($E52,4),'Level Engine'!$AA$9:$AA$55,0))="S",INDEX('Level Engine'!$KF$9:$KF$55,MATCH(--LEFT($E52,4),'Level Engine'!$AA$9:$AA$55,0))="BUY"))," ✓"," ✗"),""),""),"—"))</f>
        <v>SELL +9K → SELL</v>
      </c>
      <c r="K52" s="425" t="str">
        <f>(IF(AND($E52&lt;&gt;"",IFERROR(AND('King Node Model'!$A$8="Pos",OR(ISNUMBER('Level Engine'!$BG$87),ISNUMBER('Level Engine'!$BG$105)),ISNUMBER('King Node Model'!$AL$49),OR('King Node Model'!$AL$49='Level Engine'!$BG$87,'King Node Model'!$AL$49='Level Engine'!$BG$105)),FALSE)),IF('King Node Model'!$AL$49='Level Engine'!$BG$105,"ζ MAX ZOMMA ","ζ MIN ZOMMA ")&amp;TEXT(IFERROR(INDEX('Level Engine'!$AF$9:$AF$55,MATCH('King Node Model'!$AL$49,'Level Engine'!$AA$9:$AA$55,0)),0)/1000000,"+0.0;-0.0")&amp;"M"&amp;CHAR(10),"")&amp;(IF(AND($E52&lt;&gt;"",IFERROR(INDEX('Level Engine'!$JS$9:$JS$55,MATCH('King Node Model'!$AL$49,'Level Engine'!$AA$9:$AA$55,0)),0)=1),IF(IFERROR(INDEX('Level Engine'!$AF$9:$AF$55,MATCH('King Node Model'!$AL$49,'Level Engine'!$AA$9:$AA$55,0)),0)&lt;0,"IV FALL","IV RISE")&amp;" REINFORCED · largest zomma on board"&amp;CHAR(10),"")&amp;(IF(OR($E52="",NOT(ISNUMBER('King Node Model'!$AL$49))),"",TEXT('King Node Model'!$AL$49,"0")&amp;" "&amp;(IF($E52="","",IF(NOT(ISNUMBER('King Node Model'!$AL$49)),"",SUBSTITUTE(IFERROR(INDEX('Level Engine'!$EQ$9:$EQ$55,MATCH('King Node Model'!$AL$49,'Level Engine'!$AA$9:$AA$55,0)),"")," (sub-threshold)","")&amp;IF(COUNTIF('Level Engine'!$ES$9:$ES$55,"&gt;"&amp;IFERROR(INDEX('Level Engine'!$ES$9:$ES$55,MATCH('King Node Model'!$AL$49,'Level Engine'!$AA$9:$AA$55,0)),0))+1&lt;=8," ("&amp;IF(IFERROR(INDEX('Level Engine'!$ES$9:$ES$55,MATCH('King Node Model'!$AL$49,'Level Engine'!$AA$9:$AA$55,0)),0)&gt;='Level Engine'!$S$10,"","sub-threshold, ")&amp;"r"&amp;TEXT(COUNTIF('Level Engine'!$ES$9:$ES$55,"&gt;"&amp;IFERROR(INDEX('Level Engine'!$ES$9:$ES$55,MATCH('King Node Model'!$AL$49,'Level Engine'!$AA$9:$AA$55,0)),0))+1,"0")&amp;")","")&amp;IF(AND(IFERROR(INDEX('Level Engine'!$AT$9:$AT$55,MATCH('King Node Model'!$AL$49,'Level Engine'!$AA$9:$AA$55,0)),'King Node Model'!$AL$49)&lt;&gt;IFERROR(INDEX('Level Engine'!$AU$9:$AU$55,MATCH('King Node Model'!$AL$49,'Level Engine'!$AA$9:$AA$55,0)),'King Node Model'!$AL$49),IF(IF(IFERROR(INDEX('Level Engine'!$KC$9:$KC$55,MATCH('King Node Model'!$AL$49,'Level Engine'!$AA$9:$AA$55,0)),IF('Level Engine'!$BG$80&lt;&gt;"",UPPER('Level Engine'!$BG$80),UPPER('Level Engine'!$D$5)))="UP",SIGN(IFERROR(INDEX('Level Engine'!$AF$9:$AF$55,MATCH('King Node Model'!$AL$49,'Level Engine'!$AA$9:$AA$55,0)),0)),IF(IFERROR(INDEX('Level Engine'!$KC$9:$KC$55,MATCH('King Node Model'!$AL$49,'Level Engine'!$AA$9:$AA$55,0)),IF('Level Engine'!$BG$80&lt;&gt;"",UPPER('Level Engine'!$BG$80),UPPER('Level Engine'!$D$5)))="DOWN",-SIGN(IFERROR(INDEX('Level Engine'!$AF$9:$AF$55,MATCH('King Node Model'!$AL$49,'Level Engine'!$AA$9:$AA$55,0)),0)),0))=1,"firming","thinning")&lt;&gt;IF(IF(IFERROR(INDEX('Level Engine'!$KC$9:$KC$55,MATCH('King Node Model'!$AL$49,'Level Engine'!$AA$9:$AA$55,0)),IF('Level Engine'!$BG$80&lt;&gt;"",UPPER('Level Engine'!$BG$80),UPPER('Level Engine'!$D$5)))="UP",SIGN(IFERROR(INDEX('Level Engine'!$AF$9:$AF$55,MATCH(IF('King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Engine'!$AA$9:$AA$55,0)),0)),IF(IFERROR(INDEX('Level Engine'!$KC$9:$KC$55,MATCH('King Node Model'!$AL$49,'Level Engine'!$AA$9:$AA$55,0)),IF('Level Engine'!$BG$80&lt;&gt;"",UPPER('Level Engine'!$BG$80),UPPER('Level Engine'!$D$5)))="DOWN",-SIGN(IFERROR(INDEX('Level Engine'!$AF$9:$AF$55,MATCH(IF('King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Engine'!$AA$9:$AA$55,0)),0)),0))=1,"firming","thinning"))," / "&amp;TEXT(IF('King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Model'!$AL$49)),"0")&amp;" "&amp;IF(IF(IFERROR(INDEX('Level Engine'!$KC$9:$KC$55,MATCH('King Node Model'!$AL$49,'Level Engine'!$AA$9:$AA$55,0)),IF('Level Engine'!$BG$80&lt;&gt;"",UPPER('Level Engine'!$BG$80),UPPER('Level Engine'!$D$5)))="UP",SIGN(IFERROR(INDEX('Level Engine'!$AF$9:$AF$55,MATCH(IF('King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Engine'!$AA$9:$AA$55,0)),0)),IF(IFERROR(INDEX('Level Engine'!$KC$9:$KC$55,MATCH('King Node Model'!$AL$49,'Level Engine'!$AA$9:$AA$55,0)),IF('Level Engine'!$BG$80&lt;&gt;"",UPPER('Level Engine'!$BG$80),UPPER('Level Engine'!$D$5)))="DOWN",-SIGN(IFERROR(INDEX('Level Engine'!$AF$9:$AF$55,MATCH(IF('King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Engine'!$AA$9:$AA$55,0)),0)),0))=1,"firming","thinning")&amp;" the floor ("&amp;IF(IFERROR(INDEX('Level Engine'!$ES$9:$ES$55,MATCH(IF('King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Engine'!$AA$9:$AA$55,0)),0)&gt;='Level Engine'!$S$10,"",IF(IFERROR(INDEX('Level Engine'!$ES$9:$ES$55,MATCH(IF('King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Engine'!$AA$9:$AA$55,0)),0)&gt;='Level Engine'!$S$16,"sub-threshold, ","magnitude weak, "))&amp;"r"&amp;TEXT(COUNTIF('Level Engine'!$ES$9:$ES$55,"&gt;"&amp;IFERROR(INDEX('Level Engine'!$ES$9:$ES$55,MATCH(IF('King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Engine'!$AA$9:$AA$55,0)),0))+1,"0")&amp;")",""))))))))&amp;IF(AND($E52&lt;&gt;"",ISNUMBER('King Node Model'!$AL$49)),CHAR(10)&amp;IFERROR(INDEX('Level Engine'!$KE$9:$KE$55,MATCH('King Node Model'!$AL$49,'Level Engine'!$AA$9:$AA$55,0)),""),"")</f>
        <v>7775 firming the floor (magnitude weak)
Now: strengthening the floor (IV rising) · if IV falls: weakens the floor · expected on arrival: STRENGTHENS ✓</v>
      </c>
      <c r="L52" s="425" t="str">
        <f>IF($DR52="",$DS52,IF($DS52="",$DR52,$DS52&amp;CHAR(10)&amp;$DR52))</f>
        <v>UNSAFE·Level at risk
EXEMPT·buy-lean max node — border suppressed
• Within 5 pts of the DOM 7770 — price tends to be pulled to the node
• Dex not aligned (C-OI support needs Dex ≥ +100K)</v>
      </c>
      <c r="M52" s="427" t="str">
        <f>IF(AND($E52&lt;&gt;"",ISNUMBER('King Node Model'!$AL$49),IFERROR(INDEX('Level Engine'!$AN$9:$AN$55,MATCH('King Node Model'!$AL$49,'Level Engine'!$AA$9:$AA$55,0)),0)&lt;&gt;1),"NO REV · "&amp;$DI52,IF(AND($E52&lt;&gt;"",IFERROR(INDEX('Level Engine'!$AN$9:$AN$55,MATCH('King Node Model'!$AL$49,'Level Engine'!$AA$9:$AA$55,0)),0)=1,ISNUMBER(SEARCH("⊙ PIN",$DI52))),IF(ISNUMBER(SEARCH("REVERSAL",TRIM(SUBSTITUTE(SUBSTITUTE($DI52,"⚡ ⊙ PIN",""),"⊙ PIN","")))),TRIM(SUBSTITUTE(SUBSTITUTE($DI52,"⚡ ⊙ PIN",""),"⊙ PIN","")),"REVERSAL"&amp;IF(TRIM(SUBSTITUTE(SUBSTITUTE($DI52,"⚡ ⊙ PIN",""),"⊙ PIN",""))&lt;&gt;""," · "&amp;TRIM(SUBSTITUTE(SUBSTITUTE($DI52,"⚡ ⊙ PIN",""),"⊙ PIN","")),"")),IF(AND($E52&lt;&gt;"",IFERROR(INDEX('Level Engine'!$AN$9:$AN$55,MATCH('King Node Model'!$AL$49,'Level Engine'!$AA$9:$AA$55,0)),0)=1,NOT(ISNUMBER(SEARCH("REVERSAL",$DI52)))),"REVERSAL · ","")&amp;$DI52))</f>
        <v>REVERSAL · dEdge Cliff · slows ‹nearest›</v>
      </c>
      <c r="N52" s="427" t="str">
        <f>IF($E52="","",IF('King Node Model'!$AL$49="","",IF(IFERROR(INDEX('Level Engine'!$AX$9:$AX$55,MATCH('King Node Model'!$AL$49,'Level Engine'!$AA$9:$AA$55,0)),0)=1,"VOMMA BID","—")))</f>
        <v>—</v>
      </c>
      <c r="O52" s="467" t="str">
        <f>IFERROR(IF(AND($N52="VOMMA BID",ABS($F52)&lt;=10,ISNUMBER(SEARCH("LONG trigger",'GEX Depth'!$C$54))),"⚡ LONG",""),"")</f>
        <v/>
      </c>
      <c r="P52" s="477"/>
      <c r="W52" s="1"/>
      <c r="X52" s="10"/>
      <c r="Y52" s="10"/>
      <c r="Z52" s="1"/>
      <c r="AA52" s="52"/>
      <c r="AB52" s="53"/>
      <c r="AC52" s="49"/>
      <c r="AE52" s="1">
        <f>'King Node Model'!AW45</f>
        <v>0</v>
      </c>
      <c r="AL52" s="471"/>
      <c r="AM52" s="481"/>
      <c r="AO52" s="481"/>
      <c r="AP52" s="1" t="str">
        <f>IF($E52="","",IF($CJ52=1,"RASP",IF(OR(IFERROR(INDEX('Level Engine'!$IX$9:$IX$55,MATCH('King Node Model'!$AL$49,'Level Engine'!$AA$9:$AA$55,0)),0)=1,AND(LEFT($L52,4)="SAFE",NOT(AND($DH52="",$DG52&lt;&gt;"")))),"GREEN",IF('Level Engine'!$CT$26=1,"BLUE",""))))</f>
        <v/>
      </c>
      <c r="AQ52" s="1" t="str">
        <f>""</f>
        <v/>
      </c>
      <c r="AR52" s="1" t="str">
        <f>IF(IFERROR(INDEX('Level Engine'!$JI$9:$JI$55,MATCH('King Node Model'!$AL$49,'Level Engine'!$AA$9:$AA$55,0)),0)=1,"",IF($E52="","",IF(AND(IFERROR(INDEX('Level Engine'!$LR$9:$LR$55,MATCH('King Node Model'!$AL$49,'Level Engine'!$AA$9:$AA$55,0)),0)=1,IFERROR(INDEX('Level Engine'!$MB$9:$MB$55,MATCH('King Node Model'!$AL$49,'Level Engine'!$AA$9:$AA$55,0)),0)=1),"",IF(AND(OR('King Node Model'!$A$8="Neg",N('Level Engine'!$BG$72)=1),NOT(IFERROR(INDEX('Level Engine'!$AJ$9:$AJ$55,MATCH('King Node Model'!$AL$49,'Level Engine'!$AA$9:$AA$55,0)),0)=1),IFERROR(INDEX('Level Engine'!$MT$9:$MT$55,MATCH('King Node Model'!$AL$49,'Level Engine'!$AA$9:$AA$55,0)),0)&lt;&gt;1,ISNUMBER(SEARCH("ACCEL building",IFERROR(INDEX('Level Engine'!$CG$9:$CG$55,MATCH('King Node Model'!$AL$49,'Level Engine'!$AA$9:$AA$55,0)),"")))),"UNSAFE·Level at risk"&amp;CHAR(10)&amp;"• Zomma ACCEL building ↓",""))))</f>
        <v/>
      </c>
      <c r="AS52" s="1" t="str">
        <f>IF(ABS(N('King Node Model'!$AL$49)-N('King Node Model'!$B$23))&gt;'Level Engine'!$BG$107,"",IF($E52="","",IF(NOT(OR('King Node Model'!$A$8="Neg",N('Level Engine'!$BG$72)=1)),"",IF(AND(SUMPRODUCT((ABS('Level Engine'!$AF$9:$AF$55)&lt;=ABS(IFERROR(INDEX('Level Engine'!$AF$9:$AF$55,MATCH('King Node Model'!$AL49,'Level Engine'!$AA$9:$AA$55,0)),0)))*1)/COUNT('Level Engine'!$AF$9:$AF$55)&gt;=0.66,OR(ISNUMBER(SEARCH("firmer resistance",IFERROR(INDEX('Level Engine'!$CG$9:$CG$55,MATCH('King Node Model'!$AL$49,'Level Engine'!$AA$9:$AA$55,0)),""))),ISNUMBER(SEARCH("STRENGTHENING",IFERROR(INDEX('Level Engine'!$CG$9:$CG$55,MATCH('King Node Model'!$AL$49,'Level Engine'!$AA$9:$AA$55,0)),""))),ISNUMBER(SEARCH("firmer support",IFERROR(INDEX('Level Engine'!$CG$9:$CG$55,MATCH('King Node Model'!$AL$49,'Level Engine'!$AA$9:$AA$55,0)),""))))),"",IF(AND(IFERROR(INDEX('Level Engine'!$AB$9:$AB$55,MATCH('King Node Model'!$AL49,'Level Engine'!$AA$9:$AA$55,0)),0)&gt;0,SUMPRODUCT((ABS('Level Engine'!$AB$9:$AB$55)&lt;=ABS(IFERROR(INDEX('Level Engine'!$AB$9:$AB$55,MATCH('King Node Model'!$AL49,'Level Engine'!$AA$9:$AA$55,0)),0)))*1)/COUNT('Level Engine'!$AB$9:$AB$55)&gt;=0.66),"",IF(AND(AND(ISNUMBER('King Node Model'!$AL$49),ISNUMBER('King Node Model'!$AL$50),IFERROR(ABS('King Node Model'!$AL$49-'King Node Model'!$AL$50)&lt;=5,FALSE()),OR(AND(ISNUMBER(SEARCH("box",'King Node Model'!S49)),ISNUMBER(SEARCH("wall",'King Node Model'!S50))),AND(ISNUMBER(SEARCH("wall",'King Node Model'!S49)),ISNUMBER(SEARCH("box",'King Node Model'!S50))))),OR(OR(ISNUMBER(SEARCH("firmer resistance",IFERROR(INDEX('Level Engine'!$CG$9:$CG$55,MATCH('King Node Model'!$AL$49,'Level Engine'!$AA$9:$AA$55,0)),""))),ISNUMBER(SEARCH("STRENGTHENING",IFERROR(INDEX('Level Engine'!$CG$9:$CG$55,MATCH('King Node Model'!$AL$49,'Level Engine'!$AA$9:$AA$55,0)),""))),ISNUMBER(SEARCH("firmer support",IFERROR(INDEX('Level Engine'!$CG$9:$CG$55,MATCH('King Node Model'!$AL$49,'Level Engine'!$AA$9:$AA$55,0)),"")))),OR(ISNUMBER(SEARCH("firmer resistance",IFERROR(INDEX('Level Engine'!$CG$9:$CG$55,MATCH('King Node Model'!$AL$50,'Level Engine'!$AA$9:$AA$55,0)),""))),ISNUMBER(SEARCH("STRENGTHENING",IFERROR(INDEX('Level Engine'!$CG$9:$CG$55,MATCH('King Node Model'!$AL$50,'Level Engine'!$AA$9:$AA$55,0)),""))),ISNUMBER(SEARCH("firmer support",IFERROR(INDEX('Level Engine'!$CG$9:$CG$55,MATCH('King Node Model'!$AL$50,'Level Engine'!$AA$9:$AA$55,0)),"")))))),"",IF(COUNTIF($AN$16:$AN$18,'King Node Model'!$AL$49)&gt;0,"",IF(IFERROR(INDEX('Level Engine'!$EJ$9:$EJ$55,MATCH('King Node Model'!$AL$49,'Level Engine'!$AA$9:$AA$55,0)),0)=1,"",IF(IFERROR(INDEX('Level Engine'!$AJ$9:$AJ$55,MATCH('King Node Model'!$AL$49,'Level Engine'!$AA$9:$AA$55,0)),0)=1,"",IF(OR($AW52&lt;&gt;"",IFERROR(INDEX('Level Engine'!$JO$9:$JO$55,MATCH('King Node Model'!$AL$49,'Level Engine'!$AA$9:$AA$55,0)),0)=1),"","UNSAFE·Level at risk"&amp;CHAR(10)&amp;"• Level sits on the king node"&amp;CHAR(10)&amp;"• Neg gamma: node accelerates, does not floor"&amp;CHAR(10)&amp;"• Supports here break ~75% of the time"))))))))))</f>
        <v/>
      </c>
      <c r="AT52" s="1" t="str">
        <f>IF($E52="","",IF(AND('King Node Model'!$A$8="Pos",UPPER('King Node Model'!$L$5)="HIGH",ISNUMBER(SEARCH("SELL LEAN",'King Node Model'!$C$14)),OR(ISNUMBER(SEARCH("REVERSAL",$M52)),ISNUMBER(SEARCH("SHELF",$M52)),ISNUMBER(SEARCH("PIN",$M52))),OR(IFERROR(VALUE(LEFT($E$45,FIND(" ",$E$45&amp;" ")-1)),0)='King Node Model'!$AL$49,IFERROR(VALUE(LEFT($E$46,FIND(" ",$E$46&amp;" ")-1)),0)='King Node Model'!$AL$49),OR(ISNUMBER(SEARCH("firmer resistance",IFERROR(INDEX('Level Engine'!$CG$9:$CG$55,MATCH('King Node Model'!$AL$49,'Level Engine'!$AA$9:$AA$55,0)),""))),ISNUMBER(SEARCH("STRENGTHENING",IFERROR(INDEX('Level Engine'!$CG$9:$CG$55,MATCH('King Node Model'!$AL$49,'Level Engine'!$AA$9:$AA$55,0)),"")))),OR(ISNUMBER(SEARCH("SPOT UP / VOL UP —",$E$28)),ISNUMBER(SEARCH("SPOT UP / TERM VOL UP —",$E$28))),IFERROR(ABS('King Node Model'!$AL$49-'King Node Model'!$B$4)&lt;=25,FALSE())),"UNSAFE·Level at risk"&amp;CHAR(10)&amp;"• Spot Up / Vol Up",""))</f>
        <v/>
      </c>
      <c r="AU52" s="425" t="str">
        <f>IF($E52="","",IF(OR('King Node Model'!$A$8="Neg",N('Level Engine'!$BG$72)=1),$AQ52&amp;IF(AND($AQ52&lt;&gt;"",$AR52&lt;&gt;""),CHAR(10),"")&amp;$AR52&amp;IF(AND(($AQ52&amp;$AR52)&lt;&gt;"",$AS52&lt;&gt;""),CHAR(10),"")&amp;$AS52,IF('King Node Model'!$A$8="Pos",$AT52,"")))</f>
        <v/>
      </c>
      <c r="AV52" s="425" t="str">
        <f>IF(IFERROR(INDEX('Level Engine'!$JI$9:$JI$55,MATCH('King Node Model'!$AL$49,'Level Engine'!$AA$9:$AA$55,0)),0)=1,"",IF($E52="","",IF(AND(UPPER('King Node Model'!$L$5)="HIGH",IFERROR(INDEX('Level Engine'!$KC$9:$KC$55,MATCH(--LEFT($E52,4),'Level Engine'!$AA$9:$AA$55,0)),"")="DOWN",N(INDEX('Level Engine'!$AF$9:$AF$55,MATCH(--LEFT($E52,4),'Level Engine'!$AA$9:$AA$55,0)))&gt;0,ISNUMBER(SEARCH("chop edge",$E$52)),IFERROR(INDEX('Level Engine'!$IY$9:$IY$55,MATCH('King Node Model'!$AL$49,'Level Engine'!$AA$9:$AA$55,0)),"")="SELL"),"UNSAFE·Level at risk"&amp;CHAR(10)&amp;"• Chop edge — IV High but ATM IV falling","")))</f>
        <v/>
      </c>
      <c r="AW52" s="425" t="str">
        <f>IF($E52="","",IF(AND(IFERROR(INDEX('Level Engine'!$JO$9:$JO$55,MATCH('King Node Model'!$AL$49,'Level Engine'!$AA$9:$AA$55,0)),0)&lt;&gt;1,OR('King Node Model'!$A$8="Neg",N('Level Engine'!$BG$72)=1),ISNUMBER('King Node Model'!$AL$49),'King Node Model'!$AL$49='King Node Model'!$B$23,NOT(AND(IFERROR(INDEX('Level Engine'!$AC$9:$AC$55,MATCH('King Node Model'!$AL$49,'Level Engine'!$AA$9:$AA$55,0)),0)=MAX('Level Engine'!$AC$9:$AC$55),IFERROR(INDEX('Level Engine'!$AB$9:$AB$55,MATCH('King Node Model'!$AL$49,'Level Engine'!$AA$9:$AA$55,0)),0)=MIN('Level Engine'!$AB$9:$AB$55))),COUNTIF($AN$16:$AN$18,'King Node Model'!$AL$49)=0,NOT(IFERROR(INDEX('Level Engine'!$EJ$9:$EJ$55,MATCH('King Node Model'!$AL$49,'Level Engine'!$AA$9:$AA$55,0)),0)=1)),"UNSAFE·Level at risk"&amp;CHAR(10)&amp;"• Neg gamma: the king node is an accelerant, not a floor",""))</f>
        <v/>
      </c>
      <c r="AY52" s="471"/>
      <c r="AZ52" s="471"/>
      <c r="BA52" s="425" t="str">
        <f>IF(IFERROR(INDEX('Level Engine'!$JI$9:$JI$55,MATCH('King Node Model'!$AL$49,'Level Engine'!$AA$9:$AA$55,0)),0)=1,"",IF(IFERROR(INDEX('Level Engine'!$JO$9:$JO$55,MATCH('King Node Model'!$AL$49,'Level Engine'!$AA$9:$AA$55,0)),0)=1,"",IF($E52="","",IFERROR(IF(INDEX('Level Engine'!$EU$9:$EU$55,MATCH('King Node Model'!$AL$49,'Level Engine'!$AA$9:$AA$55,0))=1,"UNSAFE·Level at risk"&amp;CHAR(10)&amp;"• Positive node acts as a thin speed bump"&amp;CHAR(10)&amp;"• Negative Zomma thins it further",IF(AND(IFERROR(INDEX('Level Engine'!$GT$9:$GT$55,MATCH('King Node Model'!$AL$49,'Level Engine'!$AA$9:$AA$55,0)),0)=1,IFERROR(INDEX('Level Engine'!$JI$9:$JI$55,MATCH('King Node Model'!$AL$49,'Level Engine'!$AA$9:$AA$55,0)),0)&lt;&gt;1),"UNSAFE·Level at risk"&amp;CHAR(10)&amp;"• Sandwich — thin strike above"&amp;CHAR(10)&amp;"• Approaching the lower wall of a sandwich"&amp;CHAR(10)&amp;"• Zomma weakening here; likely path to "&amp;IFERROR(INDEX('Level Engine'!$GU$9:$GU$55,MATCH('King Node Model'!$AL$49,'Level Engine'!$AA$9:$AA$55,0)),"the upper wall"),"")),""))))</f>
        <v/>
      </c>
      <c r="BB52" s="471"/>
      <c r="BC52" s="425" t="str">
        <f>IF(IFERROR(INDEX('Level Engine'!$JI$9:$JI$55,MATCH('King Node Model'!$AL$49,'Level Engine'!$AA$9:$AA$55,0)),0)=1,"",IF(IFERROR(INDEX('Level Engine'!$JO$9:$JO$55,MATCH('King Node Model'!$AL$49,'Level Engine'!$AA$9:$AA$55,0)),0)=1,"",IF($E52="","",IF(IFERROR(INDEX('Level Engine'!$HF$9:$HF$55,MATCH('King Node Model'!$AL$49,'Level Engine'!$AA$9:$AA$55,0)),0)=1,"UNSAFE·Level at risk"&amp;CHAR(10)&amp;"• Gamma Edge·ATM IV up"&amp;CHAR(10)&amp;"• Vol expanding into thinning edge"&amp;CHAR(10)&amp;"• Weakening Zomma may give way",""))))</f>
        <v/>
      </c>
      <c r="BD52" s="425" t="str">
        <f>$BA52&amp;IF(AND($BA52&lt;&gt;"",$BC52&lt;&gt;""),CHAR(10),"")&amp;$BC52</f>
        <v/>
      </c>
      <c r="CJ52">
        <f>IF($DF52&lt;&gt;"",0,IF(AND($E52&lt;&gt;"",IFERROR(INDEX('Level Engine'!$HP$9:$HP$55,MATCH('King Node Model'!$AL$49,'Level Engine'!$AA$9:$AA$55,0)),0)=1),1,IF(OR(IFERROR(INDEX('Level Engine'!$JC$9:$JC$55,MATCH('King Node Model'!$AL$49,'Level Engine'!$AA$9:$AA$55,0)),0)=1,AND(IFERROR(INDEX('Level Engine'!$GV$9:$GV$55,MATCH('King Node Model'!$AL$49,'Level Engine'!$AA$9:$AA$55,0)),0)=1,IFERROR(INDEX('Level Engine'!$JK$9:$JK$55,MATCH('King Node Model'!$AL$49,'Level Engine'!$AA$9:$AA$55,0)),0)&lt;&gt;1,IFERROR(INDEX('Level Engine'!$IW$9:$IW$55,MATCH('King Node Model'!$AL$49,'Level Engine'!$AA$9:$AA$55,0)),0)&lt;&gt;1),AND(ISNUMBER('King Node Model'!$AL$49),'King Node Model'!$AL$49='King Node Model'!$F$24,IFERROR(INDEX('Level Engine'!$JN$9:$JN$55,MATCH('King Node Model'!$AL$49,'Level Engine'!$AA$9:$AA$55,0)),0)&lt;&gt;1,'Level Engine'!$F$4="High",IF('Level Engine'!$BG$80&lt;&gt;"",UPPER('Level Engine'!$BG$80),UPPER('Level Engine'!$D$5))="UP")),0,IF($E52="",0,IF(OR($CR52&lt;&gt;"",AND('King Node Model'!$A$8="Pos",N('Level Engine'!$BG$72)&lt;&gt;1,IFERROR(INDEX('Level Engine'!$HM$9:$HM$55,MATCH('King Node Model'!$AL$49,'Level Engine'!$AA$9:$AA$55,0)),0)=1,IFERROR(INDEX('Level Engine'!$JO$9:$JO$55,MATCH('King Node Model'!$AL$49,'Level Engine'!$AA$9:$AA$55,0)),0)&lt;&gt;1,IFERROR(INDEX('Level Engine'!$JI$9:$JI$55,MATCH('King Node Model'!$AL$49,'Level Engine'!$AA$9:$AA$55,0)),0)&lt;&gt;1),IFERROR(INDEX('Level Engine'!$IS$9:$IS$55,MATCH('King Node Model'!$AL$49,'Level Engine'!$AA$9:$AA$55,0)),0)=1,AND(ISNUMBER(SEARCH("UNSAFE",$L52)),NOT(AND(IFERROR(INDEX('Level Engine'!$EW$9:$EW$55,MATCH('King Node Model'!$AL$49,'Level Engine'!$AA$9:$AA$55,0)),0)=1,IFERROR(INDEX('Level Engine'!$CI$9:$CI$55,MATCH('King Node Model'!$AL$49,'Level Engine'!$AA$9:$AA$55,0)),0)=0)))),1,0)))))</f>
        <v>0</v>
      </c>
      <c r="CK52" t="str">
        <f>IF(IFERROR(INDEX('Level Engine'!$EX$9:$EX$55,MATCH('King Node Model'!$AL$49,'Level Engine'!$AA$9:$AA$55,0)),0)=1,"",IF($E52="","",IF(AND('King Node Model'!$A$8&lt;&gt;"Neg",N('Level Engine'!$BG$72)&lt;&gt;1),"",IF(AND(OR(AND(ISNUMBER(IFERROR(INDEX('Level Engine'!$AC$9:$AC$55,MATCH('King Node Model'!$AL$49,'Level Engine'!$AA$9:$AA$55,0)),"")),IFERROR(INDEX('Level Engine'!$AC$9:$AC$55,MATCH('King Node Model'!$AL$49,'Level Engine'!$AA$9:$AA$55,0)),"")=MAX('Level Engine'!$AC$9:$AC$55)),AND(ISNUMBER(IFERROR(INDEX('Level Engine'!$AB$9:$AB$55,MATCH('King Node Model'!$AL$49,'Level Engine'!$AA$9:$AA$55,0)),"")),IFERROR(INDEX('Level Engine'!$AB$9:$AB$55,MATCH('King Node Model'!$AL$49,'Level Engine'!$AA$9:$AA$55,0)),"")=MIN('Level Engine'!$AB$9:$AB$55))),NOT(AND(AND(ISNUMBER(IFERROR(INDEX('Level Engine'!$AC$9:$AC$55,MATCH('King Node Model'!$AL$49,'Level Engine'!$AA$9:$AA$55,0)),"")),IFERROR(INDEX('Level Engine'!$AC$9:$AC$55,MATCH('King Node Model'!$AL$49,'Level Engine'!$AA$9:$AA$55,0)),"")=MAX('Level Engine'!$AC$9:$AC$55)),AND(ISNUMBER(IFERROR(INDEX('Level Engine'!$AB$9:$AB$55,MATCH('King Node Model'!$AL$49,'Level Engine'!$AA$9:$AA$55,0)),"")),IFERROR(INDEX('Level Engine'!$AB$9:$AB$55,MATCH('King Node Model'!$AL$49,'Level Engine'!$AA$9:$AA$55,0)),"")=MIN('Level Engine'!$AB$9:$AB$55)))),IFERROR(INDEX('Level Engine'!$AG$9:$AG$55,MATCH('King Node Model'!$AL$49,'Level Engine'!$AA$9:$AA$55,0)),"")="S",IFERROR(INDEX('Level Engine'!$AB$9:$AB$55,MATCH('King Node Model'!$AL$49,'Level Engine'!$AA$9:$AA$55,0)),0)&lt;0,NOT(OR('King Node Model'!$AL$49=$AN$16,'King Node Model'!$AL$49=$AN$17,'King Node Model'!$AL$49=$AN$18)),IFERROR(INDEX('Level Engine'!$JO$9:$JO$55,MATCH('King Node Model'!$AL$49,'Level Engine'!$AA$9:$AA$55,0)),0)&lt;&gt;1,NOT(AND(OR('King Node Model'!$A$8="Neg",N('Level Engine'!$BG$72)=1),ISNUMBER(IFERROR(INDEX('Level Engine'!$AB$9:$AB$55,MATCH('King Node Model'!$AL$49,'Level Engine'!$AA$9:$AA$55,0)),"")),IFERROR(INDEX('Level Engine'!$AB$9:$AB$55,MATCH('King Node Model'!$AL$49,'Level Engine'!$AA$9:$AA$55,0)),"")=MIN('Level Engine'!$AB$9:$AB$55),'King Node Model'!$AL$49='Level Engine'!$BG$105))),CHAR(10)&amp;"UNSAFE·Level at risk"&amp;CHAR(10)&amp;"• Accelerant — "&amp;IF(AND(ISNUMBER(IFERROR(INDEX('Level Engine'!$AC$9:$AC$55,MATCH('King Node Model'!$AL$49,'Level Engine'!$AA$9:$AA$55,0)),"")),IFERROR(INDEX('Level Engine'!$AC$9:$AC$55,MATCH('King Node Model'!$AL$49,'Level Engine'!$AA$9:$AA$55,0)),"")=MAX('Level Engine'!$AC$9:$AC$55)),"max gamma","min GEX")&amp;" alone, not a "&amp;IF(IFERROR(INDEX('Level Engine'!$AG$9:$AG$55,MATCH('King Node Model'!$AL$49,'Level Engine'!$AA$9:$AA$55,0)),"")="S","floor","ceiling"),""))))</f>
        <v/>
      </c>
      <c r="CM52" t="str">
        <f>IF(NOT(ISNUMBER('King Node Model'!$AL$49)),"","  ["&amp;IF(IFERROR(INDEX('Level Engine'!$ID$9:$ID$55,MATCH('King Node Model'!$AL$49,'Level Engine'!$AA$9:$AA$55,0)),"")="",IF(IFERROR(INDEX('Level Engine'!$DC$9:$DC$55,MATCH('King Node Model'!$AL$49,'Level Engine'!$AA$9:$AA$55,0)),0)=1,"γSh",IFERROR(INDEX('Level Engine'!$JJ$9:$JJ$55,MATCH('King Node Model'!$AL$49,'Level Engine'!$AA$9:$AA$55,0)),"no geometry")),IFERROR(INDEX('Level Engine'!$ID$9:$ID$55,MATCH('King Node Model'!$AL$49,'Level Engine'!$AA$9:$AA$55,0)),""))&amp;IF(AND(ISNUMBER(IFERROR(INDEX('Level Engine'!$FB$9:$FB$55,MATCH('King Node Model'!$AL$49,'Level Engine'!$AA$9:$AA$55,0)),"")),ISNUMBER(IFERROR(INDEX('Level Engine'!$FC$9:$FC$55,MATCH('King Node Model'!$AL$49,'Level Engine'!$AA$9:$AA$55,0)),"")),IFERROR(INDEX('Level Engine'!$FB$9:$FB$55,MATCH('King Node Model'!$AL$49,'Level Engine'!$AA$9:$AA$55,0)),"")&lt;&gt;IFERROR(INDEX('Level Engine'!$FC$9:$FC$55,MATCH('King Node Model'!$AL$49,'Level Engine'!$AA$9:$AA$55,0)),""))," "&amp;TEXT(IFERROR(INDEX('Level Engine'!$FB$9:$FB$55,MATCH('King Node Model'!$AL$49,'Level Engine'!$AA$9:$AA$55,0)),""),"0")&amp;"-"&amp;TEXT(IFERROR(INDEX('Level Engine'!$FC$9:$FC$55,MATCH('King Node Model'!$AL$49,'Level Engine'!$AA$9:$AA$55,0)),""),"0"),"")&amp;"]")</f>
        <v xml:space="preserve">  [dEdge Cliff · Trough · Cluster 7770-7780]</v>
      </c>
      <c r="CN52" t="str">
        <f>IF(IFERROR(INDEX('Level Engine'!$JI$9:$JI$55,MATCH('King Node Model'!$AL$49,'Level Engine'!$AA$9:$AA$55,0)),0)=1,"",IF(IFERROR(INDEX('Level Engine'!$JO$9:$JO$55,MATCH('King Node Model'!$AL$49,'Level Engine'!$AA$9:$AA$55,0)),0)=1,"",IF(IFERROR(INDEX('Level Engine'!$EX$9:$EX$55,MATCH('King Node Model'!$AL$49,'Level Engine'!$AA$9:$AA$55,0)),0)=1,"",IF(NOT(ISNUMBER('King Node Model'!$AL$49)),"",IF(AND('King Node Model'!$A$8&lt;&gt;"Neg",N('Level Engine'!$BG$72)&lt;&gt;1),"",IF(IFERROR(INDEX('Level Engine'!$EY$9:$EY$55,MATCH('King Node Model'!$AL$49,'Level Engine'!$AA$9:$AA$55,0)),0)&lt;&gt;1,"",IF(OR(AND('King Node Model'!$AL$49='King Node Model'!$B$23,OR('King Node Model'!$AL$49='King Node Model'!$C$24,'King Node Model'!$AL$49=$AN$16,'King Node Model'!$AL$49=$AN$17,'King Node Model'!$AL$49=$AN$18)),'King Node Model'!$AL$49=$AN$16,'King Node Model'!$AL$49=$AN$17,'King Node Model'!$AL$49=$AN$18),"",IF(AND(IFERROR(INDEX('Level Engine'!$EW$9:$EW$55,MATCH('King Node Model'!$AL$49,'Level Engine'!$AA$9:$AA$55,0)),0)=1,IFERROR(INDEX('Level Engine'!$CI$9:$CI$55,MATCH('King Node Model'!$AL$49,'Level Engine'!$AA$9:$AA$55,0)),0)=0),"",IF($CK52&lt;&gt;"","",CHAR(10)&amp;"UNSAFE·Level at risk"&amp;CHAR(10)&amp;"• Gamma peak — hedging amplifies through it rather than absorbing")))))))))</f>
        <v/>
      </c>
      <c r="CP52" t="str">
        <f>IF(IFERROR(INDEX('Level Engine'!$JO$9:$JO$55,MATCH('King Node Model'!$AL$49,'Level Engine'!$AA$9:$AA$55,0)),0)=1,"",IF($E52="","",IF(AND('King Node Model'!$A$8="Pos",N('Level Engine'!$BG$72)&lt;&gt;1,IFERROR(INDEX('Level Engine'!$HM$9:$HM$55,MATCH('King Node Model'!$AL$49,'Level Engine'!$AA$9:$AA$55,0)),0)=1,IFERROR(INDEX('Level Engine'!$JI$9:$JI$55,MATCH('King Node Model'!$AL$49,'Level Engine'!$AA$9:$AA$55,0)),0)&lt;&gt;1),"UNSAFE·Level at risk"&amp;CHAR(10)&amp;IF(OR('King Node Model'!$A$8&lt;&gt;"Pos",'Level Engine'!$BG$72=1),"• Trough · weak bounce","• Trough weakest shape on the ladder")&amp;IF(IFERROR(INDEX('Level Engine'!$JD$9:$JD$55,MATCH('King Node Model'!$AL$49,'Level Engine'!$AA$9:$AA$55,0)),"")="P",CHAR(10)&amp;"• also a PUT-HEAVY strike (P-OI skew spike)",""),"")))</f>
        <v/>
      </c>
      <c r="CQ52" t="str">
        <f>(((IF($E52="","",(((((IF($E52="","",$AU52))&amp;IF(AND((IF($E52="","",$AU52))&lt;&gt;"",$AV52&lt;&gt;""),CHAR(10),"")&amp;$AV52)&amp;IF(AND(((IF($E52="","",$AU52))&amp;IF(AND((IF($E52="","",$AU52))&lt;&gt;"",$AV52&lt;&gt;""),CHAR(10),"")&amp;$AV52)&lt;&gt;"",$AW52&lt;&gt;""),CHAR(10),"")&amp;$AW52)&amp;IF(AND((((IF($E52="","",$AU52))&amp;IF(AND((IF($E52="","",$AU52))&lt;&gt;"",$AV52&lt;&gt;""),CHAR(10),"")&amp;$AV52)&amp;IF(AND(((IF($E52="","",$AU52))&amp;IF(AND((IF($E52="","",$AU52))&lt;&gt;"",$AV52&lt;&gt;""),CHAR(10),"")&amp;$AV52)&lt;&gt;"",$AW52&lt;&gt;""),CHAR(10),"")&amp;$AW52)&lt;&gt;"",$BD52&lt;&gt;""),CHAR(10),"")&amp;$BD52)&amp;IF(AND(((((IF($E52="","",$AU52))&amp;IF(AND((IF($E52="","",$AU52))&lt;&gt;"",$AV52&lt;&gt;""),CHAR(10),"")&amp;$AV52)&amp;IF(AND(((IF($E52="","",$AU52))&amp;IF(AND((IF($E52="","",$AU52))&lt;&gt;"",$AV52&lt;&gt;""),CHAR(10),"")&amp;$AV52)&lt;&gt;"",$AW52&lt;&gt;""),CHAR(10),"")&amp;$AW52)&amp;IF(AND((((IF($E52="","",$AU52))&amp;IF(AND((IF($E52="","",$AU52))&lt;&gt;"",$AV52&lt;&gt;""),CHAR(10),"")&amp;$AV52)&amp;IF(AND(((IF($E52="","",$AU52))&amp;IF(AND((IF($E52="","",$AU52))&lt;&gt;"",$AV52&lt;&gt;""),CHAR(10),"")&amp;$AV52)&lt;&gt;"",$AW52&lt;&gt;""),CHAR(10),"")&amp;$AW52)&lt;&gt;"",$BD52&lt;&gt;""),CHAR(10),"")&amp;$BD52)&lt;&gt;"",($AV52)&lt;&gt;""),CHAR(10)&amp;"• Zomma: "&amp;IFERROR(MID($DE52,FIND(" ",$DE52)+1,999),$DE52),""))&amp;IF(AND(IFERROR(INDEX('Level Engine'!$EW$9:$EW$55,MATCH('King Node Model'!$AL$49,'Level Engine'!$AA$9:$AA$55,0)),0)=1,IFERROR(INDEX('Level Engine'!$CI$9:$CI$55,MATCH('King Node Model'!$AL$49,'Level Engine'!$AA$9:$AA$55,0)),0)=0),IF((((((IF($E52="","",$AU52))&amp;IF(AND((IF($E52="","",$AU52))&lt;&gt;"",$AV52&lt;&gt;""),CHAR(10),"")&amp;$AV52)&amp;IF(AND(((IF($E52="","",$AU52))&amp;IF(AND((IF($E52="","",$AU52))&lt;&gt;"",$AV52&lt;&gt;""),CHAR(10),"")&amp;$AV52)&lt;&gt;"",$AW52&lt;&gt;""),CHAR(10),"")&amp;$AW52)&amp;IF(AND((((IF($E52="","",$AU52))&amp;IF(AND((IF($E52="","",$AU52))&lt;&gt;"",$AV52&lt;&gt;""),CHAR(10),"")&amp;$AV52)&amp;IF(AND(((IF($E52="","",$AU52))&amp;IF(AND((IF($E52="","",$AU52))&lt;&gt;"",$AV52&lt;&gt;""),CHAR(10),"")&amp;$AV52)&lt;&gt;"",$AW52&lt;&gt;""),CHAR(10),"")&amp;$AW52)&lt;&gt;"",$BD52&lt;&gt;""),CHAR(10),"")&amp;$BD52)&amp;IF(AND(((((IF($E52="","",$AU52))&amp;IF(AND((IF($E52="","",$AU52))&lt;&gt;"",$AV52&lt;&gt;""),CHAR(10),"")&amp;$AV52)&amp;IF(AND(((IF($E52="","",$AU52))&amp;IF(AND((IF($E52="","",$AU52))&lt;&gt;"",$AV52&lt;&gt;""),CHAR(10),"")&amp;$AV52)&lt;&gt;"",$AW52&lt;&gt;""),CHAR(10),"")&amp;$AW52)&amp;IF(AND((((IF($E52="","",$AU52))&amp;IF(AND((IF($E52="","",$AU52))&lt;&gt;"",$AV52&lt;&gt;""),CHAR(10),"")&amp;$AV52)&amp;IF(AND(((IF($E52="","",$AU52))&amp;IF(AND((IF($E52="","",$AU52))&lt;&gt;"",$AV52&lt;&gt;""),CHAR(10),"")&amp;$AV52)&lt;&gt;"",$AW52&lt;&gt;""),CHAR(10),"")&amp;$AW52)&lt;&gt;"",$BD52&lt;&gt;""),CHAR(10),"")&amp;$BD52)&lt;&gt;"",($AV52)&lt;&gt;""),CHAR(10)&amp;"• Zomma: "&amp;IFERROR(MID($DE52,FIND(" ",$DE52)+1,999),$DE52),""))&lt;&gt;"",CHAR(10),"")&amp;"EXEMPT·buy-lean max node — border suppressed","")))&amp;$CK$52))&amp;$CN$52</f>
        <v>EXEMPT·buy-lean max node — border suppressed</v>
      </c>
      <c r="CR52" t="str">
        <f>IF($E52="","",IF(IFERROR(INDEX('Level Engine'!$HW$9:$HW$55,MATCH('King Node Model'!$AL$49,'Level Engine'!$AA$9:$AA$55,0)),0)=1,"UNSAFE·Level at risk"&amp;CHAR(10)&amp;"• DEX falls off above ("&amp;TEXT(IFERROR(INDEX('Level Engine'!$KU$9:$KU$55,MATCH('King Node Model'!$AL$49,'Level Engine'!$AA$9:$AA$55,0)),0),"0%")&amp;") more sharply than below ("&amp;TEXT(IFERROR(INDEX('Level Engine'!$KV$9:$KV$55,MATCH('King Node Model'!$AL$49,'Level Engine'!$AA$9:$AA$55,0)),0),"0%")&amp;") — path of least resistance is down"&amp;IF(AND(ISNUMBER('King Node Model'!$T$23),'King Node Model'!$T$23&lt;'King Node Model'!$AL$49,'King Node Model'!$AL$49-'King Node Model'!$T$23&lt;=50),CHAR(10)&amp;"• Toward Min GEX "&amp;TEXT('King Node Model'!$T$23,"0"),""),""))</f>
        <v/>
      </c>
      <c r="CS52" t="str">
        <f>IF(IFERROR(INDEX('Level Engine'!$JO$9:$JO$55,MATCH('King Node Model'!$AL$49,'Level Engine'!$AA$9:$AA$55,0)),0)=1,"",IF($E52="","",IF(IFERROR(INDEX('Level Engine'!$HX$9:$HX$55,MATCH('King Node Model'!$AL$49,'Level Engine'!$AA$9:$AA$55,0)),0)=1,"UNSAFE·Level at risk"&amp;CHAR(10)&amp;"• Peak · gamma bump, not a floor","")))</f>
        <v/>
      </c>
      <c r="CT52" t="str">
        <f>IF($E52="","",IF(IFERROR(INDEX('Level Engine'!$IF$9:$IF$55,MATCH('King Node Model'!$AL$49,'Level Engine'!$AA$9:$AA$55,0)),0)=1,"UNSAFE·Level at risk"&amp;CHAR(10)&amp;"• Chop zone · inside a stack of heavy gamma/zomma strikes",""))</f>
        <v/>
      </c>
      <c r="CU52" t="str">
        <f>IF($E52="","",IF(IFERROR(INDEX('Level Engine'!$IQ$9:$IQ$55,MATCH('King Node Model'!$AL$49,'Level Engine'!$AA$9:$AA$55,0)),0)=1,"UNSAFE·Level at risk"&amp;CHAR(10)&amp;"• Contested level · claimed by both sides",""))</f>
        <v/>
      </c>
      <c r="CV52" t="str">
        <f>IF($E52="","",IFERROR(INDEX('Level Engine'!$IV$9:$IV$55,MATCH('King Node Model'!$AL$49,'Level Engine'!$AA$9:$AA$55,0))&amp;"",""))</f>
        <v/>
      </c>
      <c r="CW52" t="str">
        <f>IF($E52="","",IF(IFERROR(INDEX('Level Engine'!$JL$9:$JL$55,MATCH('King Node Model'!$AL$49,'Level Engine'!$AA$9:$AA$55,0)),0)=1,"UNSAFE·Level at risk"&amp;CHAR(10)&amp;"• DOM wall · vanna not supporting it — flat or too small (needs vanna BUY ≥ "&amp;TEXT('Level Engine'!$BG$92/1000,"0")&amp;"K)",IFERROR(IF(INDEX('Level Engine'!$IW$9:$IW$55,MATCH('King Node Model'!$AL$49,'Level Engine'!$AA$9:$AA$55,0))=1,"UNSAFE·Level at risk"&amp;CHAR(10)&amp;"• Vanna SELL on arrival — "&amp;IF(N(INDEX('Level Engine'!$AD$9:$AD$55,MATCH('King Node Model'!$AL$49,'Level Engine'!$AA$9:$AA$55,0)))&gt;0,"IV still rising","IV falling")&amp;", dealers sell into this level",IF(INDEX('Level Engine'!$IX$9:$IX$55,MATCH('King Node Model'!$AL$49,'Level Engine'!$AA$9:$AA$55,0))=1,"ATM IV rollover · vol has peaked — vanna selling turns to buying","")),"")))</f>
        <v/>
      </c>
      <c r="CX52" t="str">
        <f>IF($E52="","",IFERROR(IF(INDEX('Level Engine'!$IZ$9:$IZ$55,MATCH('King Node Model'!$AL$49,'Level Engine'!$AA$9:$AA$55,0))=1,"UNSAFE·Level at risk"&amp;CHAR(10)&amp;"• DEX wall "&amp;TEXT('King Node Model'!$AL$49+'Level Engine'!$BG$84,"0")&amp;" ("&amp;TEXT(INDEX('Level Engine'!$AE$9:$AE$55,MATCH('King Node Model'!$AL$49+'Level Engine'!$BG$84,'Level Engine'!$AA$9:$AA$55,0))/1000000,"+0.00;-0.00")&amp;"M) directly above caps the bounce",""),""))</f>
        <v/>
      </c>
      <c r="CY52" t="str">
        <f>IF($E52="","",IFERROR(IF(INDEX('Level Engine'!$JM$9:$JM$55,MATCH('King Node Model'!$AL$49,'Level Engine'!$AA$9:$AA$55,0))=1,"UNSAFE·Level at risk"&amp;CHAR(10)&amp;"• Within "&amp;TEXT('Level Engine'!$BG$93,"0")&amp;" pts of the DOM "&amp;TEXT(INDEX('Level Engine'!$AA$9:$AA$55,MATCH("DOM",'Level Engine'!$FA$9:$FA$55,0)),"0")&amp;" — price tends to be pulled to the node",""),""))</f>
        <v>UNSAFE·Level at risk
• Within 5 pts of the DOM 7770 — price tends to be pulled to the node</v>
      </c>
      <c r="DA52" t="str">
        <f>IF($E52="","",IF(OR(IFERROR(INDEX('Level Engine'!$JP$9:$JP$55,MATCH('King Node Model'!$AL$49,'Level Engine'!$AA$9:$AA$55,0)),0)=1,IFERROR(INDEX('Level Engine'!$JQ$9:$JQ$55,MATCH('King Node Model'!$AL$49,'Level Engine'!$AA$9:$AA$55,0)),0)=1),"UNSAFE·Level at risk"&amp;IF(IFERROR(INDEX('Level Engine'!$JQ$9:$JQ$55,MATCH('King Node Model'!$AL$49,'Level Engine'!$AA$9:$AA$55,0)),0)=1,CHAR(10)&amp;"• Dex not aligned (C-OI support needs Dex ≥ +"&amp;TEXT('Level Engine'!$BG$95/1000,"0")&amp;"K)","")&amp;IF(IFERROR(INDEX('Level Engine'!$JP$9:$JP$55,MATCH('King Node Model'!$AL$49,'Level Engine'!$AA$9:$AA$55,0)),0)=1,CHAR(10)&amp;"• Zomma not firming (C-OI support needs the zomma reading to firm the level)",""),""))</f>
        <v>UNSAFE·Level at risk
• Dex not aligned (C-OI support needs Dex ≥ +100K)</v>
      </c>
      <c r="DB52" t="str">
        <f>IF(AND(IFERROR(INDEX('Level Engine'!$KK$9:$KK$55,MATCH('King Node Model'!$AL$49,'Level Engine'!$AA$9:$AA$55,0)),0)=0,IFERROR(INDEX('Level Engine'!$JY$9:$JY$55,MATCH('King Node Model'!$AL$49,'Level Engine'!$AA$9:$AA$55,0)),0)&lt;&gt;1,IFERROR(INDEX('Level Engine'!$KR$9:$KR$55,MATCH('King Node Model'!$AL$49,'Level Engine'!$AA$9:$AA$55,0)),0)=0,IFERROR(INDEX('Level Engine'!$LD$9:$LD$55,MATCH('King Node Model'!$AL$49,'Level Engine'!$AA$9:$AA$55,0)),0)=0,IFERROR(INDEX('Level Engine'!$LE$9:$LE$55,MATCH('King Node Model'!$AL$49,'Level Engine'!$AA$9:$AA$55,0)),0)=0,IFERROR(INDEX('Level Engine'!$MH$9:$MH$55,MATCH('King Node Model'!$AL$49,'Level Engine'!$AA$9:$AA$55,0)),0)=0,OR(IFERROR(INDEX('Level Engine'!$JC$9:$JC$55,MATCH('King Node Model'!$AL$49,'Level Engine'!$AA$9:$AA$55,0)),0)=1,AND(IFERROR(INDEX('Level Engine'!$GV$9:$GV$55,MATCH('King Node Model'!$AL$49,'Level Engine'!$AA$9:$AA$55,0)),0)=1,IFERROR(INDEX('Level Engine'!$JK$9:$JK$55,MATCH('King Node Model'!$AL$49,'Level Engine'!$AA$9:$AA$55,0)),0)&lt;&gt;1,IFERROR(INDEX('Level Engine'!$IW$9:$IW$55,MATCH('King Node Model'!$AL$49,'Level Engine'!$AA$9:$AA$55,0)),0)&lt;&gt;1),AND(ISNUMBER('King Node Model'!$AL$49),'King Node Model'!$AL$49='King Node Model'!$F$24,IFERROR(INDEX('Level Engine'!$JN$9:$JN$55,MATCH('King Node Model'!$AL$49,'Level Engine'!$AA$9:$AA$55,0)),0)&lt;&gt;1,'Level Engine'!$F$4="High",IF('Level Engine'!$BG$80&lt;&gt;"",UPPER('Level Engine'!$BG$80),UPPER('Level Engine'!$D$5))="UP"))),"",IF(ISNUMBER(SEARCH("UNSAFE·Level at risk",IF(IFERROR(INDEX('Level Engine'!$IS$9:$IS$55,MATCH('King Node Model'!$AL$49,'Level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Model'!$AL$49,'Level Engine'!$AA$9:$AA$55,0)),0)=1,CHAR(10)&amp;"UNSAFE·Level at risk"&amp;CHAR(10)&amp;"• Vanna flat at the level — IV not moving, no dealer flow behind it","")&amp;IF(OR(AND(IFERROR(INDEX('Level Engine'!$KR$9:$KR$55,MATCH('King Node Model'!$AL$49,'Level Engine'!$AA$9:$AA$55,0)),0)=1,$CZ52=""),IFERROR(INDEX('Level Engine'!$KS$9:$KS$55,MATCH('King Node Model'!$AL$49,'Level Engine'!$AA$9:$AA$55,0)),0)=1),CHAR(10)&amp;"UNSAFE·Level at risk"&amp;CHAR(10)&amp;"• Vanna not aligned (gDex rule)","")&amp;IF(AND(IFERROR(INDEX('Level Engine'!$LD$9:$LD$55,MATCH('King Node Model'!$AL$49,'Level Engine'!$AA$9:$AA$55,0)),0)=1,$CZ52=""),CHAR(10)&amp;"UNSAFE·Level at risk"&amp;CHAR(10)&amp;"• Max Gamma support, not Max/Min GEX — fails ~66% of the time in positive gamma","")&amp;IF(AND(IFERROR(INDEX('Level Engine'!$LE$9:$LE$55,MATCH('King Node Model'!$AL$49,'Level Engine'!$AA$9:$AA$55,0)),0)=1,$CZ52=""),CHAR(10)&amp;"UNSAFE·Level at risk"&amp;CHAR(10)&amp;"• Resistance leaks · Max Gamma fails as resistance ~50% of the time","")&amp;IF(AND(IFERROR(INDEX('Level Engine'!$MH$9:$MH$55,MATCH('King Node Model'!$AL$49,'Level Engine'!$AA$9:$AA$55,0)),0)=1,$CZ52=""),CHAR(10)&amp;"UNSAFE·Level at risk"&amp;CHAR(10)&amp;IFERROR(INDEX('Level Engine'!$MI$9:$MI$55,MATCH('King Node Model'!$AL$49,'Level Engine'!$AA$9:$AA$55,0)),""),"")&amp;IF(IFERROR(INDEX('Level Engine'!$KK$9:$KK$55,MATCH('King Node Model'!$AL$49,'Level Engine'!$AA$9:$AA$55,0)),0)=1,CHAR(10)&amp;"UNSAFE·Level at risk"&amp;CHAR(10)&amp;"• Data incomplete — option chain not fully loaded at or next to this strike","")&amp;IF($CQ52&lt;&gt;"",CHAR(10)&amp;$CQ52,"")&amp;IF($CP52&lt;&gt;"",CHAR(10)&amp;$CP52,"")&amp;IF($CR52&lt;&gt;"",CHAR(10)&amp;$CR52,"")&amp;IF($CS52&lt;&gt;"",CHAR(10)&amp;$CS52,"")&amp;IF($CT52&lt;&gt;"",CHAR(10)&amp;$CT52,"")&amp;IF($CU52&lt;&gt;"",CHAR(10)&amp;$CU52,"")&amp;IF($CV52&lt;&gt;"",CHAR(10)&amp;$CV52,"")&amp;IF($CW52&lt;&gt;"",CHAR(10)&amp;$CW52,"")&amp;IF($CX52&lt;&gt;"",CHAR(10)&amp;$CX52,"")&amp;IF($CY52&lt;&gt;"",CHAR(10)&amp;$CY52,"")&amp;IF($DA52&lt;&gt;"",CHAR(10)&amp;$DA52,"")&amp;IF($DC52&lt;&gt;"",CHAR(10)&amp;$DC52,"")&amp;IF($DD52&lt;&gt;"",CHAR(10)&amp;$DD52,""))),"UNSAFE·Level at risk"&amp;CHAR(10),"")&amp;MID(SUBSTITUTE(SUBSTITUTE(IF(IFERROR(INDEX('Level Engine'!$IS$9:$IS$55,MATCH('King Node Model'!$AL$49,'Level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Model'!$AL$49,'Level Engine'!$AA$9:$AA$55,0)),0)=1,CHAR(10)&amp;"UNSAFE·Level at risk"&amp;CHAR(10)&amp;"• Vanna flat at the level — IV not moving, no dealer flow behind it","")&amp;IF(OR(AND(IFERROR(INDEX('Level Engine'!$KR$9:$KR$55,MATCH('King Node Model'!$AL$49,'Level Engine'!$AA$9:$AA$55,0)),0)=1,$CZ52=""),IFERROR(INDEX('Level Engine'!$KS$9:$KS$55,MATCH('King Node Model'!$AL$49,'Level Engine'!$AA$9:$AA$55,0)),0)=1),CHAR(10)&amp;"UNSAFE·Level at risk"&amp;CHAR(10)&amp;"• Vanna not aligned (gDex rule)","")&amp;IF(AND(IFERROR(INDEX('Level Engine'!$LD$9:$LD$55,MATCH('King Node Model'!$AL$49,'Level Engine'!$AA$9:$AA$55,0)),0)=1,$CZ52=""),CHAR(10)&amp;"UNSAFE·Level at risk"&amp;CHAR(10)&amp;"• Max Gamma support, not Max/Min GEX — fails ~66% of the time in positive gamma","")&amp;IF(AND(IFERROR(INDEX('Level Engine'!$LE$9:$LE$55,MATCH('King Node Model'!$AL$49,'Level Engine'!$AA$9:$AA$55,0)),0)=1,$CZ52=""),CHAR(10)&amp;"UNSAFE·Level at risk"&amp;CHAR(10)&amp;"• Resistance leaks · Max Gamma fails as resistance ~50% of the time","")&amp;IF(AND(IFERROR(INDEX('Level Engine'!$MH$9:$MH$55,MATCH('King Node Model'!$AL$49,'Level Engine'!$AA$9:$AA$55,0)),0)=1,$CZ52=""),CHAR(10)&amp;"UNSAFE·Level at risk"&amp;CHAR(10)&amp;IFERROR(INDEX('Level Engine'!$MI$9:$MI$55,MATCH('King Node Model'!$AL$49,'Level Engine'!$AA$9:$AA$55,0)),""),"")&amp;IF(IFERROR(INDEX('Level Engine'!$KK$9:$KK$55,MATCH('King Node Model'!$AL$49,'Level Engine'!$AA$9:$AA$55,0)),0)=1,CHAR(10)&amp;"UNSAFE·Level at risk"&amp;CHAR(10)&amp;"• Data incomplete — option chain not fully loaded at or next to this strike","")&amp;IF($CQ52&lt;&gt;"",CHAR(10)&amp;$CQ52,"")&amp;IF($CP52&lt;&gt;"",CHAR(10)&amp;$CP52,"")&amp;IF($CR52&lt;&gt;"",CHAR(10)&amp;$CR52,"")&amp;IF($CS52&lt;&gt;"",CHAR(10)&amp;$CS52,"")&amp;IF($CT52&lt;&gt;"",CHAR(10)&amp;$CT52,"")&amp;IF($CU52&lt;&gt;"",CHAR(10)&amp;$CU52,"")&amp;IF($CV52&lt;&gt;"",CHAR(10)&amp;$CV52,"")&amp;IF($CW52&lt;&gt;"",CHAR(10)&amp;$CW52,"")&amp;IF($CX52&lt;&gt;"",CHAR(10)&amp;$CX52,"")&amp;IF($CY52&lt;&gt;"",CHAR(10)&amp;$CY52,"")&amp;IF($DA52&lt;&gt;"",CHAR(10)&amp;$DA52,"")&amp;IF($DC52&lt;&gt;"",CHAR(10)&amp;$DC52,"")&amp;IF($DD52&lt;&gt;"",CHAR(10)&amp;$DD52,""),"UNSAFE·Level at risk"&amp;CHAR(10),""),CHAR(10)&amp;CHAR(10),CHAR(10)),2,32000))</f>
        <v>UNSAFE·Level at risk
EXEMPT·buy-lean max node — border suppressed
• Within 5 pts of the DOM 7770 — price tends to be pulled to the node
• Dex not aligned (C-OI support needs Dex ≥ +100K)</v>
      </c>
      <c r="DC52" t="str">
        <f>IF($E52="","",IF(IFERROR(INDEX('Level Engine'!$KT$9:$KT$55,MATCH('King Node Model'!$AL$49,'Level Engine'!$AA$9:$AA$55,0)),0)=1,"UNSAFE·Level at risk"&amp;CHAR(10)&amp;"• DEX draining · "&amp;TEXT(IFERROR(INDEX('Level Engine'!$AE$9:$AE$55,MATCH('King Node Model'!$AL$49,'Level Engine'!$AA$9:$AA$55,0)),0)/1000,"+#,##0;-#,##0")&amp;"K, down 50%+ in the last few minutes"&amp;CHAR(10)&amp;"• VEX weak · "&amp;TEXT(IFERROR(INDEX('Level Engine'!$AD$9:$AD$55,MATCH('King Node Model'!$AL$49,'Level Engine'!$AA$9:$AA$55,0)),0)/1000,"+#,##0;-#,##0")&amp;"K"&amp;CHAR(10)&amp;"• The level's cushion is going",""))</f>
        <v/>
      </c>
      <c r="DD52" t="str">
        <f>IF($E52="","",IF(IFERROR(INDEX('Level Engine'!$JU$9:$JU$55,MATCH('King Node Model'!$AL$49,'Level Engine'!$AA$9:$AA$55,0)),0)=1,"UNSAFE·Level at risk"&amp;CHAR(10)&amp;"• dEdge Cliff: DEX falls off at "&amp;TEXT('King Node Model'!$AL$49,"0")&amp;" ("&amp;TEXT((IFERROR(INDEX('Level Engine'!$AE$9:$AE$55,MATCH('King Node Model'!$AL$49,'Level Engine'!$AA$9:$AA$55,0)),0))/1000,"+#,##0;-#,##0")&amp;"K"&amp;", vs "&amp;TEXT((IFERROR(INDEX('Level Engine'!$AE$9:$AE$55,MATCH(IF(IFERROR(INDEX('Level Engine'!$AG$9:$AG$55,MATCH('King Node Model'!$AL$49,'Level Engine'!$AA$9:$AA$55,0)),"S")="R",'King Node Model'!$AL$49-5,'King Node Model'!$AL$49+5),'Level Engine'!$AA$9:$AA$55,0)),0))/1000,"+#,##0;-#,##0")&amp;"K"&amp;" at "&amp;TEXT(IF(IFERROR(INDEX('Level Engine'!$AG$9:$AG$55,MATCH('King Node Model'!$AL$49,'Level Engine'!$AA$9:$AA$55,0)),"S")="R",'King Node Model'!$AL$49-5,'King Node Model'!$AL$49+5),"0")&amp;")"&amp;CHAR(10)&amp;"• Positive gamma, positive GEX at the strike: cliffs break more than they hold"&amp;CHAR(10)&amp;"• Next DEX cushion "&amp;TEXT(IF(ABS(IFERROR(INDEX('Level Engine'!$AE$9:$AE$55,MATCH(IF(IFERROR(INDEX('Level Engine'!$AG$9:$AG$55,MATCH('King Node Model'!$AL$49,'Level Engine'!$AA$9:$AA$55,0)),"S")="R",'King Node Model'!$AL$49+5,'King Node Model'!$AL$49-5),'Level Engine'!$AA$9:$AA$55,0)),0))&gt;=ABS(IFERROR(INDEX('Level Engine'!$AE$9:$AE$55,MATCH(IF(IFERROR(INDEX('Level Engine'!$AG$9:$AG$55,MATCH('King Node Model'!$AL$49,'Level Engine'!$AA$9:$AA$55,0)),"S")="R",'King Node Model'!$AL$49+10,'King Node Model'!$AL$49-10),'Level Engine'!$AA$9:$AA$55,0)),0)),IF(IFERROR(INDEX('Level Engine'!$AG$9:$AG$55,MATCH('King Node Model'!$AL$49,'Level Engine'!$AA$9:$AA$55,0)),"S")="R",'King Node Model'!$AL$49+5,'King Node Model'!$AL$49-5),IF(IFERROR(INDEX('Level Engine'!$AG$9:$AG$55,MATCH('King Node Model'!$AL$49,'Level Engine'!$AA$9:$AA$55,0)),"S")="R",'King Node Model'!$AL$49+10,'King Node Model'!$AL$49-10)),"0")&amp;" ("&amp;TEXT((IFERROR(INDEX('Level Engine'!$AE$9:$AE$55,MATCH(IF(ABS(IFERROR(INDEX('Level Engine'!$AE$9:$AE$55,MATCH(IF(IFERROR(INDEX('Level Engine'!$AG$9:$AG$55,MATCH('King Node Model'!$AL$49,'Level Engine'!$AA$9:$AA$55,0)),"S")="R",'King Node Model'!$AL$49+5,'King Node Model'!$AL$49-5),'Level Engine'!$AA$9:$AA$55,0)),0))&gt;=ABS(IFERROR(INDEX('Level Engine'!$AE$9:$AE$55,MATCH(IF(IFERROR(INDEX('Level Engine'!$AG$9:$AG$55,MATCH('King Node Model'!$AL$49,'Level Engine'!$AA$9:$AA$55,0)),"S")="R",'King Node Model'!$AL$49+10,'King Node Model'!$AL$49-10),'Level Engine'!$AA$9:$AA$55,0)),0)),IF(IFERROR(INDEX('Level Engine'!$AG$9:$AG$55,MATCH('King Node Model'!$AL$49,'Level Engine'!$AA$9:$AA$55,0)),"S")="R",'King Node Model'!$AL$49+5,'King Node Model'!$AL$49-5),IF(IFERROR(INDEX('Level Engine'!$AG$9:$AG$55,MATCH('King Node Model'!$AL$49,'Level Engine'!$AA$9:$AA$55,0)),"S")="R",'King Node Model'!$AL$49+10,'King Node Model'!$AL$49-10)),'Level Engine'!$AA$9:$AA$55,0)),0))/1000,"+#,##0;-#,##0")&amp;"K"&amp;")",""))</f>
        <v/>
      </c>
      <c r="DE52" t="str">
        <f>SUBSTITUTE($K52,CHAR(10)&amp;IFERROR(INDEX('Level Engine'!$KE$9:$KE$55,MATCH(--LEFT($E52,4),'Level Engine'!$AA$9:$AA$55,0)),"~"),"")</f>
        <v>7775 firming the floor (magnitude weak)</v>
      </c>
      <c r="DF52" t="str">
        <f>IF(AND($E52&lt;&gt;"",N(IFERROR(INDEX('Level Engine'!$KM$9:$KM$55,MATCH('King Node Model'!$AL$49,'Level Engine'!$AA$9:$AA$55,0)),""))=1,N(IFERROR(INDEX('Level Engine'!$KK$9:$KK$55,MATCH('King Node Model'!$AL$49,'Level Engine'!$AA$9:$AA$55,0)),""))&lt;&gt;1),"SAFE·Level safe — put wall + Max Zomma + DOM"&amp;IF(IFERROR(INDEX('Level Engine'!$KI$9:$KI$55,MATCH('King Node Model'!$AL$49,'Level Engine'!$AA$9:$AA$55,0)),"")&lt;&gt;"",CHAR(10)&amp;"• Overridden: "&amp;SUBSTITUTE(SUBSTITUTE(SUBSTITUTE(SUBSTITUTE(SUBSTITUTE(SUBSTITUTE(SUBSTITUTE(SUBSTITUTE(SUBSTITUTE(SUBSTITUTE(SUBSTITUTE(SUBSTITUTE(SUBSTITUTE(SUBSTITUTE(SUBSTITUTE(SUBSTITUTE(SUBSTITUTE(TRIM(IFERROR(INDEX('Level Engine'!$KI$9:$KI$55,MATCH('King Node Model'!$AL$49,'Level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52" t="str">
        <f>IF($E52="","",IF(IFERROR(INDEX('Level Engine'!$KX$9:$KX$55,MATCH('King Node Model'!$AL$49,'Level Engine'!$AA$9:$AA$55,0)),0)=1,"• "&amp;IF(IFERROR(INDEX('Level Engine'!$KW$9:$KW$55,MATCH('King Node Model'!$AL$49,'Level Engine'!$AA$9:$AA$55,0)),0)=1,"DEX falls off above ("&amp;TEXT(IFERROR(INDEX('Level Engine'!$KU$9:$KU$55,MATCH('King Node Model'!$AL$49,'Level Engine'!$AA$9:$AA$55,0)),0),"0%")&amp;") more sharply than below ("&amp;TEXT(IFERROR(INDEX('Level Engine'!$KV$9:$KV$55,MATCH('King Node Model'!$AL$49,'Level Engine'!$AA$9:$AA$55,0)),0),"0%")&amp;"), but "&amp;TEXT('King Node Model'!$AL$49-5,"0")&amp;" below is a reversal level with more DEX","DEX falls off below ("&amp;TEXT(IFERROR(INDEX('Level Engine'!$KV$9:$KV$55,MATCH('King Node Model'!$AL$49,'Level Engine'!$AA$9:$AA$55,0)),0),"0%")&amp;") more sharply than above ("&amp;TEXT(IFERROR(INDEX('Level Engine'!$KU$9:$KU$55,MATCH('King Node Model'!$AL$49,'Level Engine'!$AA$9:$AA$55,0)),0),"0%")&amp;"), but "&amp;TEXT('King Node Model'!$AL$49+5,"0")&amp;" above is a reversal level with more DEX")&amp;" — DEX lean warning not applied",IF(IFERROR(INDEX('Level Engine'!$KZ$9:$KZ$55,MATCH('King Node Model'!$AL$49,'Level Engine'!$AA$9:$AA$55,0)),0)=1,"• DEX falls off more sharply above ("&amp;TEXT(IFERROR(INDEX('Level Engine'!$KU$9:$KU$55,MATCH('King Node Model'!$AL$49,'Level Engine'!$AA$9:$AA$55,0)),0),"0%")&amp;") than below ("&amp;TEXT(IFERROR(INDEX('Level Engine'!$KV$9:$KV$55,MATCH('King Node Model'!$AL$49,'Level Engine'!$AA$9:$AA$55,0)),0),"0%")&amp;") — clean bounces less likely in positive gamma · however DEX supportive","")))</f>
        <v/>
      </c>
      <c r="DH52" t="str">
        <f>IF($DF52&lt;&gt;"",$DF52,(IF(AND($E52&lt;&gt;"",$DB52="",N(IFERROR(INDEX('Level Engine'!$JI$9:$JI$55,MATCH('King Node Model'!$AL$49,'Level Engine'!$AA$9:$AA$55,0)),""))=1),"SAFE·Level safe — all backers confirmed"&amp;CHAR(10)&amp;"• Reversal"&amp;IF(ISNUMBER(SEARCH("chop edge",$E52))," (chop edge)","")&amp;" ✓ · Vanna "&amp;IFERROR(INDEX('Level Engine'!$JV$9:$JV$55,MATCH('King Node Model'!$AL$49,'Level Engine'!$AA$9:$AA$55,0)),"")&amp;" on arrival ✓ · DEX "&amp;TEXT(N(IFERROR(INDEX('Level Engine'!$AE$9:$AE$55,MATCH('King Node Model'!$AL$49,'Level Engine'!$AA$9:$AA$55,0)),""))/1000,"+0;-0")&amp;"K ✓"&amp;IF(IFERROR(INDEX('Level Engine'!$KI$9:$KI$55,MATCH('King Node Model'!$AL$49,'Level Engine'!$AA$9:$AA$55,0)),"")&lt;&gt;"",CHAR(10)&amp;"• Overridden: "&amp;SUBSTITUTE(SUBSTITUTE(SUBSTITUTE(SUBSTITUTE(SUBSTITUTE(SUBSTITUTE(SUBSTITUTE(SUBSTITUTE(SUBSTITUTE(SUBSTITUTE(TRIM(IFERROR(INDEX('Level Engine'!$KI$9:$KI$55,MATCH('King Node Model'!$AL$49,'Level Engine'!$AA$9:$AA$55,0)),""))," "," · "),"HIGHIVFALL","IV High + ATM IV falling (melt-up risk)"),"LOWIVFALL","Low IV + ATM IV falling"),"CHOPEDGEIV","chop-edge IV"),"AMPLIFY","gamma peak"),"TROUGH","trough"),"SANDWICH","sandwich"),"BUMP","speed bump"),"ZACCEL","zomma ACCEL"),"EDGE","γSh edge"),""),IF(AND($E52&lt;&gt;"",$DB52="",IFERROR(INDEX('Level Engine'!$JS$9:$JS$55,MATCH('King Node Model'!$AL$49,'Level Engine'!$AA$9:$AA$55,0)),0)=1),"SAFE·Level is safe"&amp;CHAR(10)&amp;"• Positive gamma · GEX "&amp;TEXT(IFERROR(INDEX('Level Engine'!$AB$9:$AB$55,MATCH('King Node Model'!$AL$49,'Level Engine'!$AA$9:$AA$55,0)),0)/1000000,"+0.00;-0.00")&amp;"M"&amp;IF(IFERROR(INDEX('Level Engine'!$AB$9:$AB$55,MATCH('King Node Model'!$AL$49,'Level Engine'!$AA$9:$AA$55,0)),0)=MAX('Level Engine'!$AB$9:$AB$55),", largest on board","")&amp;CHAR(10)&amp;"• Zomma "&amp;TEXT(IFERROR(INDEX('Level Engine'!$AF$9:$AF$55,MATCH('King Node Model'!$AL$49,'Level Engine'!$AA$9:$AA$55,0)),0)/1000000,"+0.0;-0.0")&amp;"M, largest on board · "&amp;IF(IFERROR(INDEX('Level Engine'!$AF$9:$AF$55,MATCH('King Node Model'!$AL$49,'Level Engine'!$AA$9:$AA$55,0)),0)&lt;0,"falling","rising")&amp;" IV strengthens gamma"&amp;IF(IFERROR(INDEX('Level Engine'!$IY$9:$IY$55,MATCH('King Node Model'!$AL$49,'Level Engine'!$AA$9:$AA$55,0)),"")="SELL",CHAR(10)&amp;"• Vanna SELL "&amp;TEXT(IFERROR(INDEX('Level Engine'!$AD$9:$AD$55,MATCH('King Node Model'!$AL$49,'Level Engine'!$AA$9:$AA$55,0)),0)/1000000,"+0.00;-0.00")&amp;"M outweighed while IV "&amp;IF(IFERROR(INDEX('Level Engine'!$AF$9:$AF$55,MATCH('King Node Model'!$AL$49,'Level Engine'!$AA$9:$AA$55,0)),0)&lt;0,"falls","rises"),"")&amp;IF(N(IFERROR(INDEX('Level Engine'!$JF$9:$JF$55,MATCH('King Node Model'!$AL$49,'Level Engine'!$AA$9:$AA$55,0)),0))&gt;N(IFERROR(INDEX('Level Engine'!$JE$9:$JE$55,MATCH('King Node Model'!$AL$49,'Level Engine'!$AA$9:$AA$55,0)),0)),CHAR(10)&amp;"• Call-heavy · "&amp;TEXT(IFERROR(INDEX('Level Engine'!$JF$9:$JF$55,MATCH('King Node Model'!$AL$49,'Level Engine'!$AA$9:$AA$55,0)),0),"#,##0")&amp;" calls vs "&amp;TEXT(IFERROR(INDEX('Level Engine'!$JE$9:$JE$55,MATCH('King Node Model'!$AL$49,'Level Engine'!$AA$9:$AA$55,0)),0),"#,##0")&amp;" puts",""),$DB52)))&amp;IF(AND($E52&lt;&gt;"",$DB52="",OR('King Node Model'!$A$8&lt;&gt;"Pos",N('Level Engine'!$BG$72)=1),IFERROR(INDEX('Level Engine'!$HM$9:$HM$55,MATCH('King Node Model'!$AL$49,'Level Engine'!$AA$9:$AA$55,0)),0)=1,IFERROR(INDEX('Level Engine'!$JO$9:$JO$55,MATCH('King Node Model'!$AL$49,'Level Engine'!$AA$9:$AA$55,0)),0)&lt;&gt;1),IF(AND($DB52="",N(IFERROR(INDEX('Level Engine'!$JI$9:$JI$55,MATCH('King Node Model'!$AL$49,'Level Engine'!$AA$9:$AA$55,0)),0))&lt;&gt;1),"SAFE·Level safe"&amp;CHAR(10),CHAR(10))&amp;"• Trough · weak bounce — positive-gamma rule, not applied in negative/fragile gamma","")&amp;IF(AND($E52&lt;&gt;"",$DB52="",ISNUMBER('King Node Model'!$AL$49),OR('King Node Model'!$A$8="Neg",N('Level Engine'!$BG$72)=1),ABS(N('King Node Model'!$AL$49)-'Level Engine'!$B$4)&gt;'Level Engine'!$BG$98,OR('King Node Model'!$AL$49='Level Engine'!$BG$105,'King Node Model'!$AL$49='Level Engine'!$BG$87)),IF(AND($DB52="",N(IFERROR(INDEX('Level Engine'!$JI$9:$JI$55,MATCH('King Node Model'!$AL$49,'Level Engine'!$AA$9:$AA$55,0)),0))&lt;&gt;1,NOT(AND($E52&lt;&gt;"",$DB52="",OR('King Node Model'!$A$8&lt;&gt;"Pos",N('Level Engine'!$BG$72)=1),IFERROR(INDEX('Level Engine'!$HM$9:$HM$55,MATCH('King Node Model'!$AL$49,'Level Engine'!$AA$9:$AA$55,0)),0)=1,IFERROR(INDEX('Level Engine'!$JO$9:$JO$55,MATCH('King Node Model'!$AL$49,'Level Engine'!$AA$9:$AA$55,0)),0)&lt;&gt;1))),"SAFE·Level safe"&amp;CHAR(10),CHAR(10))&amp;"• ζ "&amp;IF('King Node Model'!$AL$49='Level Engine'!$BG$105,"Max Zomma: zomma read as IV rising","Min Zomma: zomma read as IV falling")&amp;" on arrival (Max/Min rule)",""))</f>
        <v>UNSAFE·Level at risk
EXEMPT·buy-lean max node — border suppressed
• Within 5 pts of the DOM 7770 — price tends to be pulled to the node
• Dex not aligned (C-OI support needs Dex ≥ +100K)</v>
      </c>
      <c r="DI52" t="str">
        <f>IF(AND(AND('King Node Model'!$A$8="Pos",IFERROR(IFERROR(INDEX('Level Engine'!$CZ$9:$CZ$55,MATCH('King Node Model'!$AL$49,'Level Engine'!$AA$9:$AA$55,0)),0)=1,FALSE),N(IFERROR(INDEX('Level Engine'!$AB$9:$AB$55,MATCH('King Node Model'!$AL$49,'Level Engine'!$AA$9:$AA$55,0)),0))&lt;0),NOT(ISNUMBER(SEARCH("REVERSAL",((IF($E52="","",'King Node Model'!Y49))&amp;IF(AND($E52&lt;&gt;"",IFERROR(INDEX('Level Engine'!$JR$9:$JR$55,MATCH('King Node Model'!$AL$49,'Level Engine'!$AA$9:$AA$55,0)),0)=1),"  · vanna-latched","")))))),"REVERSAL · ","")&amp;SUBSTITUTE(SUBSTITUTE(SUBSTITUTE(SUBSTITUTE(((IF($E52="","",'King Node Model'!Y49))&amp;IF(AND($E52&lt;&gt;"",IFERROR(INDEX('Level Engine'!$JR$9:$JR$55,MATCH('King Node Model'!$AL$49,'Level Engine'!$AA$9:$AA$55,0)),0)=1),"  · vanna-latched","")),"dEdge Cliff",IF(AND('King Node Model'!$A$8="Pos",IFERROR(IFERROR(INDEX('Level Engine'!$CZ$9:$CZ$55,MATCH('King Node Model'!$AL$49,'Level Engine'!$AA$9:$AA$55,0)),0)=1,FALSE),N(IFERROR(INDEX('Level Engine'!$AB$9:$AB$55,MATCH('King Node Model'!$AL$49,'Level Engine'!$AA$9:$AA$55,0)),0))&lt;0),"Put Wall · dEdge Cliff","dEdge Cliff"))," · accelerates",IF(AND('King Node Model'!$A$8="Pos",IFERROR(IFERROR(INDEX('Level Engine'!$CZ$9:$CZ$55,MATCH('King Node Model'!$AL$49,'Level Engine'!$AA$9:$AA$55,0)),0)=1,FALSE),N(IFERROR(INDEX('Level Engine'!$AB$9:$AB$55,MATCH('King Node Model'!$AL$49,'Level Engine'!$AA$9:$AA$55,0)),0))&lt;0),""," · accelerates")),"REVERSAL · ",IF(AND('King Node Model'!$A$8="Pos",IFERROR(IFERROR(INDEX('Level Engine'!$CZ$9:$CZ$55,MATCH('King Node Model'!$AL$49,'Level Engine'!$AA$9:$AA$55,0)),0)=1,FALSE),N(IFERROR(INDEX('Level Engine'!$AB$9:$AB$55,MATCH('King Node Model'!$AL$49,'Level Engine'!$AA$9:$AA$55,0)),0))&gt;0,N('Level Engine'!$BG$109)=1),"","REVERSAL · ")),"REVERSAL",IF(AND('King Node Model'!$A$8="Pos",IFERROR(IFERROR(INDEX('Level Engine'!$CZ$9:$CZ$55,MATCH('King Node Model'!$AL$49,'Level Engine'!$AA$9:$AA$55,0)),0)=1,FALSE),N(IFERROR(INDEX('Level Engine'!$AB$9:$AB$55,MATCH('King Node Model'!$AL$49,'Level Engine'!$AA$9:$AA$55,0)),0))&gt;0,N('Level Engine'!$BG$109)=1),"","REVERSAL"))</f>
        <v>REVERSAL · dEdge Cliff · slows ‹nearest›</v>
      </c>
      <c r="DK52" t="str">
        <f>IF(AND(ISNUMBER($AL52),OR($AL52='King Node Model'!$AL$42,$AL52='King Node Model'!$AL$43,$AL52='King Node Model'!$AL$44)),IFERROR(MATCH($AL52,'Level Engine'!$W$9:$W$14,0),""),"")</f>
        <v/>
      </c>
      <c r="DL52" t="str">
        <f>IF(AND(ISNUMBER($AL52),OR($AL52='King Node Model'!$AL$49,$AL52='King Node Model'!$AL$50,$AL52='King Node Model'!$AL$51)),IFERROR(MATCH($AL52,'Level Engine'!$W$18:$W$23,0),""),"")</f>
        <v/>
      </c>
      <c r="DM52">
        <f>IF(AND(ISNUMBER($AL52),IFERROR(INDEX('Level Engine'!$LC$9:$LC$55,MATCH($AL52,'Level Engine'!$AA$9:$AA$55,0)),0)=1,OR($AL52=$AN$3,IFERROR(INDEX('Level Engine'!$LB$9:$LB$55,MATCH($AL52,'Level Engine'!$AA$9:$AA$55,0)),0)=1)),1,0)</f>
        <v>0</v>
      </c>
      <c r="DN52" t="str">
        <f>IFERROR(CHOOSE(INDEX('Level Engine'!$LM$9:$LM$55,MATCH('King Node Model'!$AL$49,'Level Engine'!$AA$9:$AA$55,0))+1,"","TAKE PROFIT · DON'T BUY"&amp;INDEX('Level Engine'!$LQ$9:$LQ$55,MATCH('King Node Model'!$AL$49,'Level Engine'!$AA$9:$AA$55,0)),"TAKE PROFIT · DON'T SHORT"&amp;INDEX('Level Engine'!$LQ$9:$LQ$55,MATCH('King Node Model'!$AL$49,'Level Engine'!$AA$9:$AA$55,0))),"")</f>
        <v/>
      </c>
      <c r="DO52" t="str">
        <f>IF(AND($DV52&lt;&gt;"",$DB52=""),IF(LEFT($DX52,4)="SAFE",$DX52&amp;CHAR(10)&amp;$DV52,IF($DX52="","SAFE·Level safe"&amp;CHAR(10)&amp;$DV52,$DX52&amp;CHAR(10)&amp;$DV52)),$DX52)</f>
        <v>UNSAFE·Level at risk
EXEMPT·buy-lean max node — border suppressed
• Within 5 pts of the DOM 7770 — price tends to be pulled to the node
• Dex not aligned (C-OI support needs Dex ≥ +100K)</v>
      </c>
      <c r="DP52" t="str">
        <f>IFERROR(IF(AND(INDEX('Level Engine'!$LR$9:$LR$55,MATCH('King Node Model'!$AL$49,'Level Engine'!$AA$9:$AA$55,0))=1,INDEX('Level Engine'!$HP$9:$HP$55,MATCH('King Node Model'!$AL$49,'Level Engine'!$AA$9:$AA$55,0))&lt;&gt;1),"• Next to sandwich "&amp;IF(IFERROR(INDEX('Level Engine'!$EU$9:$EU$55,MATCH('King Node Model'!$AL$49+5,'Level Engine'!$AA$9:$AA$55,0)),0)=1,'King Node Model'!$AL$49+5,'King Node Model'!$AL$49-5)&amp;" · zomma "&amp;TEXT(INDEX('Level Engine'!$AF$9:$AF$55,MATCH('King Node Model'!$AL$49,'Level Engine'!$AA$9:$AA$55,0))/1000000,"+0.0")&amp;"M ✓"&amp;CHAR(10)&amp;"• Sandwich support: no-reversal warning doesn't apply"&amp;IF(IFERROR(INDEX('Level Engine'!$MB$9:$MB$55,MATCH('King Node Model'!$AL$49,'Level Engine'!$AA$9:$AA$55,0)),0)=1,CHAR(10)&amp;"• HELD — SAND✓ lock: keeps its row until a 3-pt break or +5 pts"&amp;IF(IFERROR(INDEX('Level Engine'!$JV$9:$JV$55,MATCH('King Node Model'!$AL$49,'Level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Model'!$AL$49,'Level Engine'!$AA$9:$AA$55,0)),""))),CHAR(10)&amp;"• Zomma ACCEL building (held through the lock)",""),""),""),"")</f>
        <v/>
      </c>
      <c r="DQ52" t="str">
        <f>IF($DN52="",$DP52,IF($DP52="",$DN52,$DN52&amp;CHAR(10)&amp;$DP52))</f>
        <v/>
      </c>
      <c r="DR52" t="str">
        <f>IF(IFERROR(INDEX('Level Engine'!$MS$9:$MS$55,MATCH('King Node Model'!$AL$49,'Level Engine'!$AA$9:$AA$55,0)),"")="",IFERROR(IF(INDEX('Level Engine'!$LS$9:$LS$55,MATCH('King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Engine'!$AA$9:$AA$55,0))/1000000,"+0.00;-0.00")&amp;"M — needs ≥ "&amp;TEXT('Level Engine'!$BG$144/1000000,"0.0")&amp;"M, not a SAND✓ level",IF(AND(INDEX('Level Engine'!$LR$9:$LR$55,MATCH('King Node Model'!$AL$49,'Level Engine'!$AA$9:$AA$55,0))=1,INDEX('Level Engine'!$HP$9:$HP$55,MATCH('King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Engine'!$AA$9:$AA$55,0))/1000000,"+0.0;-0.0")&amp;"M — SAND✓ but overridden by the warnings listed above","")),""),IF((IFERROR(IF(INDEX('Level Engine'!$LS$9:$LS$55,MATCH('King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Engine'!$AA$9:$AA$55,0))/1000000,"+0.00;-0.00")&amp;"M — needs ≥ "&amp;TEXT('Level Engine'!$BG$144/1000000,"0.0")&amp;"M, not a SAND✓ level",IF(AND(INDEX('Level Engine'!$LR$9:$LR$55,MATCH('King Node Model'!$AL$49,'Level Engine'!$AA$9:$AA$55,0))=1,INDEX('Level Engine'!$HP$9:$HP$55,MATCH('King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Engine'!$AA$9:$AA$55,0))/1000000,"+0.0;-0.0")&amp;"M — SAND✓ but overridden by the warnings listed above","")),""))="",IFERROR(INDEX('Level Engine'!$MS$9:$MS$55,MATCH('King Node Model'!$AL$49,'Level Engine'!$AA$9:$AA$55,0)),""),(IFERROR(IF(INDEX('Level Engine'!$LS$9:$LS$55,MATCH('King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Engine'!$AA$9:$AA$55,0))/1000000,"+0.00;-0.00")&amp;"M — needs ≥ "&amp;TEXT('Level Engine'!$BG$144/1000000,"0.0")&amp;"M, not a SAND✓ level",IF(AND(INDEX('Level Engine'!$LR$9:$LR$55,MATCH('King Node Model'!$AL$49,'Level Engine'!$AA$9:$AA$55,0))=1,INDEX('Level Engine'!$HP$9:$HP$55,MATCH('King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Engine'!$AA$9:$AA$55,0))/1000000,"+0.0;-0.0")&amp;"M — SAND✓ but overridden by the warnings listed above","")),""))&amp;CHAR(10)&amp;IFERROR(INDEX('Level Engine'!$MS$9:$MS$55,MATCH('King Node Model'!$AL$49,'Level Engine'!$AA$9:$AA$55,0)),"")))</f>
        <v/>
      </c>
      <c r="DS52" t="str">
        <f>IF($DQ52="",$DO52,IF(LEFT($DO52,4)="SAFE",LEFT($DO52,FIND(CHAR(10),$DO52&amp;CHAR(10))-1)&amp;CHAR(10)&amp;$DQ52&amp;MID($DO52,FIND(CHAR(10),$DO52&amp;CHAR(10)),9999),IF(AND($DO52="",$DP52&lt;&gt;""),"SAFE·Level safe"&amp;CHAR(10)&amp;$DQ52,$DQ52&amp;CHAR(10)&amp;$DO52)))</f>
        <v>UNSAFE·Level at risk
EXEMPT·buy-lean max node — border suppressed
• Within 5 pts of the DOM 7770 — price tends to be pulled to the node
• Dex not aligned (C-OI support needs Dex ≥ +100K)</v>
      </c>
      <c r="DU52" t="str">
        <f>IF(AND(N(IFERROR(INDEX('Level Engine'!$EX$9:$EX$55,MATCH('King Node Model'!$AL$49,'Level Engine'!$AA$9:$AA$55,0)),0))&lt;&gt;1,$E52&lt;&gt;"",NOT(AND('King Node Model'!$A$8&lt;&gt;"Neg",N('Level Engine'!$BG$72)&lt;&gt;1)),AND(OR(AND(ISNUMBER(IFERROR(INDEX('Level Engine'!$AC$9:$AC$55,MATCH('King Node Model'!$AL$49,'Level Engine'!$AA$9:$AA$55,0)),"")),IFERROR(INDEX('Level Engine'!$AC$9:$AC$55,MATCH('King Node Model'!$AL$49,'Level Engine'!$AA$9:$AA$55,0)),"")=MAX('Level Engine'!$AC$9:$AC$55)),AND(ISNUMBER(IFERROR(INDEX('Level Engine'!$AB$9:$AB$55,MATCH('King Node Model'!$AL$49,'Level Engine'!$AA$9:$AA$55,0)),"")),IFERROR(INDEX('Level Engine'!$AB$9:$AB$55,MATCH('King Node Model'!$AL$49,'Level Engine'!$AA$9:$AA$55,0)),"")=MIN('Level Engine'!$AB$9:$AB$55))),NOT(AND(AND(ISNUMBER(IFERROR(INDEX('Level Engine'!$AC$9:$AC$55,MATCH('King Node Model'!$AL$49,'Level Engine'!$AA$9:$AA$55,0)),"")),IFERROR(INDEX('Level Engine'!$AC$9:$AC$55,MATCH('King Node Model'!$AL$49,'Level Engine'!$AA$9:$AA$55,0)),"")=MAX('Level Engine'!$AC$9:$AC$55)),AND(ISNUMBER(IFERROR(INDEX('Level Engine'!$AB$9:$AB$55,MATCH('King Node Model'!$AL$49,'Level Engine'!$AA$9:$AA$55,0)),"")),IFERROR(INDEX('Level Engine'!$AB$9:$AB$55,MATCH('King Node Model'!$AL$49,'Level Engine'!$AA$9:$AA$55,0)),"")=MIN('Level Engine'!$AB$9:$AB$55)))),IFERROR(INDEX('Level Engine'!$AG$9:$AG$55,MATCH('King Node Model'!$AL$49,'Level Engine'!$AA$9:$AA$55,0)),"")="S",IFERROR(INDEX('Level Engine'!$AB$9:$AB$55,MATCH('King Node Model'!$AL$49,'Level Engine'!$AA$9:$AA$55,0)),0)&lt;0,NOT(OR('King Node Model'!$AL$49=$AN$16,'King Node Model'!$AL$49=$AN$17,'King Node Model'!$AL$49=$AN$18)),IFERROR(INDEX('Level Engine'!$JO$9:$JO$55,MATCH('King Node Model'!$AL$49,'Level Engine'!$AA$9:$AA$55,0)),0)&lt;&gt;1),AND(OR('King Node Model'!$A$8="Neg",N('Level Engine'!$BG$72)=1),ISNUMBER(IFERROR(INDEX('Level Engine'!$AB$9:$AB$55,MATCH('King Node Model'!$AL$49,'Level Engine'!$AA$9:$AA$55,0)),"")),IFERROR(INDEX('Level Engine'!$AB$9:$AB$55,MATCH('King Node Model'!$AL$49,'Level Engine'!$AA$9:$AA$55,0)),"")=MIN('Level Engine'!$AB$9:$AB$55),'King Node Model'!$AL$49='Level Engine'!$BG$105)),$DG52,$DG52)</f>
      </c>
      <c r="DV52" t="str">
        <f>IF(IFERROR(INDEX('Level Engine'!$MU$9:$MU$55,MATCH('King Node Model'!$AL$49,'Level Engine'!$AA$9:$AA$55,0)),"")="",$DU52,IFERROR(INDEX('Level Engine'!$MU$9:$MU$55,MATCH('King Node Model'!$AL$49,'Level Engine'!$AA$9:$AA$55,0)),"")&amp;IF($DU52="","",CHAR(10)&amp;$DU52))</f>
      </c>
      <c r="DX52" t="str">
        <f>IF(IFERROR(INDEX('Level Engine'!$MZ$9:$MZ$55,MATCH('King Node Model'!$AL$49,'Level Engine'!$AA$9:$AA$55,0)),"")="",$DH52,IF(OR($DH52="",LEFT($DH52,4)="SAFE"),"UNSAFE·Level at risk"&amp;CHAR(10)&amp;IFERROR(INDEX('Level Engine'!$MZ$9:$MZ$55,MATCH('King Node Model'!$AL$49,'Level Engine'!$AA$9:$AA$55,0)),""),IF(LEFT($DH52,6)="UNSAFE","UNSAFE·Level at risk"&amp;CHAR(10)&amp;IFERROR(INDEX('Level Engine'!$MZ$9:$MZ$55,MATCH('King Node Model'!$AL$49,'Level Engine'!$AA$9:$AA$55,0)),"")&amp;MID($DH52,FIND(CHAR(10),$DH52&amp;CHAR(10)),9999),IFERROR(INDEX('Level Engine'!$MZ$9:$MZ$55,MATCH('King Node Model'!$AL$49,'Level Engine'!$AA$9:$AA$55,0)),"")&amp;CHAR(10)&amp;$DH52)))</f>
      </c>
      <c r="EA52">
        <f>IF($E52="",0,IF(IFERROR(INDEX('Level Engine'!$NJ$9:$NJ$55,MATCH('King Node Model'!$AL$49,'Level Engine'!$AA$9:$AA$55,0)),0)=1,1,0))</f>
      </c>
    </row>
    <row r="53" spans="1:123" ht="120" customHeight="1" x14ac:dyDescent="0.25">
      <c r="A53" s="7"/>
      <c r="B53" s="514"/>
      <c r="C53" s="9"/>
      <c r="E53" s="54" t="str">
        <f>(((IF(AND(ISNUMBER('King Node Model'!$AN$66),'King Node Model'!$AL$50='King Node Model'!$AN$66,'King Node Model'!$AN$67&lt;&gt;""),'King Node Model'!$AN$67,IF(AND(AND(ISNUMBER('King Node Model'!$AL$49),ISNUMBER('King Node Model'!$AL$50),IFERROR(ABS('King Node Model'!$AL$49-'King Node Model'!$AL$50)&lt;=5,FALSE()),OR(AND(ISNUMBER(SEARCH("box",'King Node Model'!S49)),ISNUMBER(SEARCH("wall",'King Node Model'!S50))),AND(ISNUMBER(SEARCH("wall",'King Node Model'!S49)),ISNUMBER(SEARCH("box",'King Node Model'!S50))))),NOT((IFERROR(MATCH('King Node Model'!$AL$49,'Level Engine'!$W$18:$W$23,0),99)&lt;=IFERROR(MATCH('King Node Model'!$AL$50,'Level Engine'!$W$18:$W$23,0),99)))),TEXT(MIN('King Node Model'!$AL$49,'King Node Model'!$AL$50),"0")&amp;"-"&amp;TEXT(MAX('King Node Model'!$AL$49,'King Node Model'!$AL$50),"0")&amp;" (box + wall @ "&amp;TEXT(IF(ISNUMBER(SEARCH("wall",'King Node Model'!S49)),'King Node Model'!$AL$49,'King Node Model'!$AL$50),"0")&amp;")"&amp;IF(MIN(IFERROR(MATCH('King Node Model'!$AL$49,'Level Engine'!$W$18:$W$23,0),99),IFERROR(MATCH('King Node Model'!$AL$50,'Level Engine'!$W$18:$W$23,0),99))&lt;99," ·s"&amp;MIN(IFERROR(MATCH('King Node Model'!$AL$49,'Level Engine'!$W$18:$W$23,0),99),IFERROR(MATCH('King Node Model'!$AL$50,'Level Engine'!$W$18:$W$23,0),99)),""),IF(AND(ISNUMBER('King Node Model'!$AL$49),ISNUMBER('King Node Model'!$AL$50),IFERROR(ABS('King Node Model'!$AL$49-'King Node Model'!$AL$50)&lt;=5,FALSE()),OR(AND(ISNUMBER(SEARCH("box",'King Node Model'!S49)),ISNUMBER(SEARCH("wall",'King Node Model'!S50))),AND(ISNUMBER(SEARCH("wall",'King Node Model'!S49)),ISNUMBER(SEARCH("box",'King Node Model'!S50))))),"",'King Node Model'!S50&amp;IFERROR(" ·s"&amp;MATCH('King Node Model'!$AL$50,'Level Engine'!$W$18:$W$23,0),"")))))&amp;$CM$53)&amp;IFERROR(IF(AND(ISNUMBER('King Node Model'!$AL$50),AND(ISNUMBER(MATCH('King Node Model'!$AL$50-5,'Level Engine'!$AA$9:$AA$55,0)),ABS(N(IFERROR(INDEX('Level Engine'!$AE$9:$AE$55,MATCH('King Node Model'!$AL$50-5,'Level Engine'!$AA$9:$AA$55,0)),0)))&lt;'Level Engine'!$BG$85,ABS(N(IFERROR(INDEX('Level Engine'!$AE$9:$AE$55,MATCH('King Node Model'!$AL$50-5,'Level Engine'!$AA$9:$AA$55,0)),0)))&lt;=ABS(N(IFERROR(INDEX('Level Engine'!$AE$9:$AE$55,MATCH(('King Node Model'!$AL$50-5)+5,'Level Engine'!$AA$9:$AA$55,0)),0))),ABS(N(IFERROR(INDEX('Level Engine'!$AE$9:$AE$55,MATCH('King Node Model'!$AL$50-5,'Level Engine'!$AA$9:$AA$55,0)),0)))&lt;=ABS(N(IFERROR(INDEX('Level Engine'!$AE$9:$AE$55,MATCH(('King Node Model'!$AL$50-5)-5,'Level Engine'!$AA$9:$AA$55,0)),0))),OR(AND(ABS(N(IFERROR(INDEX('Level Engine'!$AE$9:$AE$55,MATCH(('King Node Model'!$AL$50-5)+5,'Level Engine'!$AA$9:$AA$55,0)),0)))&gt;='Level Engine'!$BG$85,ABS(N(IFERROR(INDEX('Level Engine'!$AE$9:$AE$55,MATCH('King Node Model'!$AL$50-5,'Level Engine'!$AA$9:$AA$55,0)),0)))&lt;='Level Engine'!$BG$88*ABS(N(IFERROR(INDEX('Level Engine'!$AE$9:$AE$55,MATCH(('King Node Model'!$AL$50-5)+5,'Level Engine'!$AA$9:$AA$55,0)),0)))),AND(ABS(N(IFERROR(INDEX('Level Engine'!$AE$9:$AE$55,MATCH(('King Node Model'!$AL$50-5)-5,'Level Engine'!$AA$9:$AA$55,0)),0)))&gt;='Level Engine'!$BG$85,ABS(N(IFERROR(INDEX('Level Engine'!$AE$9:$AE$55,MATCH('King Node Model'!$AL$50-5,'Level Engine'!$AA$9:$AA$55,0)),0)))&lt;='Level Engine'!$BG$88*ABS(N(IFERROR(INDEX('Level Engine'!$AE$9:$AE$55,MATCH(('King Node Model'!$AL$50-5)-5,'Level Engine'!$AA$9:$AA$55,0)),0))))))),IF(AND('King Node Model'!$A$8="Pos",N('Level Engine'!$BG$72)&lt;&gt;1),""," → ∅"&amp;TEXT('King Node Model'!$AL$50-5,"0")),""),""))&amp;IF(IFERROR(AND('King Node Model'!$A$8="Pos",ISNUMBER('Level Engine'!$BG$87),ISNUMBER('King Node Model'!$AL$50),'King Node Model'!$AL$50='Level Engine'!$BG$87),FALSE)," ζ","")</f>
        <v>7770 (wall 7770-7780) ◆ ★  [DOM · Cluster 7770-7780]</v>
      </c>
      <c r="F53" s="55">
        <f>IF($E53="","",'King Node Model'!T50)</f>
        <v>-5.3900000000003274</v>
      </c>
      <c r="G53" s="512">
        <f>IF($E53="","",'King Node Model'!U50)</f>
        <v>-3137174</v>
      </c>
      <c r="H53" s="56" t="str">
        <f>IF($E53="","",'King Node Model'!V50)</f>
        <v>Zom Dex↓ Vgf</v>
      </c>
      <c r="I53" s="66">
        <f>IF($E53="","",'King Node Model'!W50)</f>
        <v>3</v>
      </c>
      <c r="J53" s="56" t="str">
        <f>IF($E53="","",IFERROR(IF(OR(INDEX('Level Engine'!$IY$9:$IY$55,MATCH(--LEFT($E53,4),'Level Engine'!$AA$9:$AA$55,0))="SELL",INDEX('Level Engine'!$IY$9:$IY$55,MATCH(--LEFT($E53,4),'Level Engine'!$AA$9:$AA$55,0))="BUY"),IF(AND(N('Level Engine'!$BG$78)=1,IF('Level Engine'!$BG$80&lt;&gt;"",UPPER('Level Engine'!$BG$80),'Level Engine'!$D$5)="UP"),"TURNING",INDEX('Level Engine'!$IY$9:$IY$55,MATCH(--LEFT($E53,4),'Level Engine'!$AA$9:$AA$55,0)))&amp;" "&amp;IF(ABS(INDEX('Level Engine'!$AD$9:$AD$55,MATCH(--LEFT($E53,4),'Level Engine'!$AA$9:$AA$55,0)))&gt;=1000000,TEXT(INDEX('Level Engine'!$AD$9:$AD$55,MATCH(--LEFT($E53,4),'Level Engine'!$AA$9:$AA$55,0))/1000000,"+0.00;-0.00")&amp;"M",TEXT(INDEX('Level Engine'!$AD$9:$AD$55,MATCH(--LEFT($E53,4),'Level Engine'!$AA$9:$AA$55,0))/1000,"+0;-0")&amp;"K"),"—")&amp;IF(OR(INDEX('Level Engine'!$KF$9:$KF$55,MATCH(--LEFT($E53,4),'Level Engine'!$AA$9:$AA$55,0))="BUY",INDEX('Level Engine'!$KF$9:$KF$55,MATCH(--LEFT($E53,4),'Level Engine'!$AA$9:$AA$55,0))="SELL")," → "&amp;INDEX('Level Engine'!$KF$9:$KF$55,MATCH(--LEFT($E53,4),'Level Engine'!$AA$9:$AA$55,0))&amp;IF(ABS(N(INDEX('Level Engine'!$AD$9:$AD$55,MATCH(--LEFT($E53,4),'Level Engine'!$AA$9:$AA$55,0))))&gt;='Level Engine'!$BG$94,IF(OR(AND(INDEX('Level Engine'!$AG$9:$AG$55,MATCH(--LEFT($E53,4),'Level Engine'!$AA$9:$AA$55,0))="R",INDEX('Level Engine'!$KF$9:$KF$55,MATCH(--LEFT($E53,4),'Level Engine'!$AA$9:$AA$55,0))="SELL"),AND(INDEX('Level Engine'!$AG$9:$AG$55,MATCH(--LEFT($E53,4),'Level Engine'!$AA$9:$AA$55,0))="S",INDEX('Level Engine'!$KF$9:$KF$55,MATCH(--LEFT($E53,4),'Level Engine'!$AA$9:$AA$55,0))="BUY"))," ✓"," ✗"),""),""),"—"))</f>
        <v>SELL +2.03M → SELL ✗</v>
      </c>
      <c r="K53" s="56" t="str">
        <f>(IF(AND($E53&lt;&gt;"",IFERROR(AND('King Node Model'!$A$8="Pos",OR(ISNUMBER('Level Engine'!$BG$87),ISNUMBER('Level Engine'!$BG$105)),ISNUMBER('King Node Model'!$AL$50),OR('King Node Model'!$AL$50='Level Engine'!$BG$87,'King Node Model'!$AL$50='Level Engine'!$BG$105)),FALSE)),IF('King Node Model'!$AL$50='Level Engine'!$BG$105,"ζ MAX ZOMMA ","ζ MIN ZOMMA ")&amp;TEXT(IFERROR(INDEX('Level Engine'!$AF$9:$AF$55,MATCH('King Node Model'!$AL$50,'Level Engine'!$AA$9:$AA$55,0)),0)/1000000,"+0.0;-0.0")&amp;"M"&amp;CHAR(10),"")&amp;(IF(AND($E53&lt;&gt;"",IFERROR(INDEX('Level Engine'!$JS$9:$JS$55,MATCH('King Node Model'!$AL$50,'Level Engine'!$AA$9:$AA$55,0)),0)=1),IF(IFERROR(INDEX('Level Engine'!$AF$9:$AF$55,MATCH('King Node Model'!$AL$50,'Level Engine'!$AA$9:$AA$55,0)),0)&lt;0,"IV FALL","IV RISE")&amp;" REINFORCED · largest zomma on board"&amp;CHAR(10),"")&amp;(IF(OR($E53="",NOT(ISNUMBER('King Node Model'!$AL$50))),"",TEXT('King Node Model'!$AL$50,"0")&amp;" "&amp;(IF($E53="","",IF(NOT(ISNUMBER('King Node Model'!$AL$50)),"",SUBSTITUTE(IFERROR(INDEX('Level Engine'!$EQ$9:$EQ$55,MATCH('King Node Model'!$AL$50,'Level Engine'!$AA$9:$AA$55,0)),"")," (sub-threshold)","")&amp;IF(COUNTIF('Level Engine'!$ES$9:$ES$55,"&gt;"&amp;IFERROR(INDEX('Level Engine'!$ES$9:$ES$55,MATCH('King Node Model'!$AL$50,'Level Engine'!$AA$9:$AA$55,0)),0))+1&lt;=8," ("&amp;IF(IFERROR(INDEX('Level Engine'!$ES$9:$ES$55,MATCH('King Node Model'!$AL$50,'Level Engine'!$AA$9:$AA$55,0)),0)&gt;='Level Engine'!$S$10,"","sub-threshold, ")&amp;"r"&amp;TEXT(COUNTIF('Level Engine'!$ES$9:$ES$55,"&gt;"&amp;IFERROR(INDEX('Level Engine'!$ES$9:$ES$55,MATCH('King Node Model'!$AL$50,'Level Engine'!$AA$9:$AA$55,0)),0))+1,"0")&amp;")","")&amp;IF(AND(IFERROR(INDEX('Level Engine'!$AT$9:$AT$55,MATCH('King Node Model'!$AL$50,'Level Engine'!$AA$9:$AA$55,0)),'King Node Model'!$AL$50)&lt;&gt;IFERROR(INDEX('Level Engine'!$AU$9:$AU$55,MATCH('King Node Model'!$AL$50,'Level Engine'!$AA$9:$AA$55,0)),'King Node Model'!$AL$50),IF(IF(IFERROR(INDEX('Level Engine'!$KC$9:$KC$55,MATCH('King Node Model'!$AL$50,'Level Engine'!$AA$9:$AA$55,0)),IF('Level Engine'!$BG$80&lt;&gt;"",UPPER('Level Engine'!$BG$80),UPPER('Level Engine'!$D$5)))="UP",SIGN(IFERROR(INDEX('Level Engine'!$AF$9:$AF$55,MATCH('King Node Model'!$AL$50,'Level Engine'!$AA$9:$AA$55,0)),0)),IF(IFERROR(INDEX('Level Engine'!$KC$9:$KC$55,MATCH('King Node Model'!$AL$50,'Level Engine'!$AA$9:$AA$55,0)),IF('Level Engine'!$BG$80&lt;&gt;"",UPPER('Level Engine'!$BG$80),UPPER('Level Engine'!$D$5)))="DOWN",-SIGN(IFERROR(INDEX('Level Engine'!$AF$9:$AF$55,MATCH('King Node Model'!$AL$50,'Level Engine'!$AA$9:$AA$55,0)),0)),0))=1,"firming","thinning")&lt;&gt;IF(IF(IFERROR(INDEX('Level Engine'!$KC$9:$KC$55,MATCH('King Node Model'!$AL$50,'Level Engine'!$AA$9:$AA$55,0)),IF('Level Engine'!$BG$80&lt;&gt;"",UPPER('Level Engine'!$BG$80),UPPER('Level Engine'!$D$5)))="UP",SIGN(IFERROR(INDEX('Level Engine'!$AF$9:$AF$55,MATCH(IF('King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Engine'!$AA$9:$AA$55,0)),0)),IF(IFERROR(INDEX('Level Engine'!$KC$9:$KC$55,MATCH('King Node Model'!$AL$50,'Level Engine'!$AA$9:$AA$55,0)),IF('Level Engine'!$BG$80&lt;&gt;"",UPPER('Level Engine'!$BG$80),UPPER('Level Engine'!$D$5)))="DOWN",-SIGN(IFERROR(INDEX('Level Engine'!$AF$9:$AF$55,MATCH(IF('King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Engine'!$AA$9:$AA$55,0)),0)),0))=1,"firming","thinning"))," / "&amp;TEXT(IF('King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Model'!$AL$50)),"0")&amp;" "&amp;IF(IF(IFERROR(INDEX('Level Engine'!$KC$9:$KC$55,MATCH('King Node Model'!$AL$50,'Level Engine'!$AA$9:$AA$55,0)),IF('Level Engine'!$BG$80&lt;&gt;"",UPPER('Level Engine'!$BG$80),UPPER('Level Engine'!$D$5)))="UP",SIGN(IFERROR(INDEX('Level Engine'!$AF$9:$AF$55,MATCH(IF('King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Engine'!$AA$9:$AA$55,0)),0)),IF(IFERROR(INDEX('Level Engine'!$KC$9:$KC$55,MATCH('King Node Model'!$AL$50,'Level Engine'!$AA$9:$AA$55,0)),IF('Level Engine'!$BG$80&lt;&gt;"",UPPER('Level Engine'!$BG$80),UPPER('Level Engine'!$D$5)))="DOWN",-SIGN(IFERROR(INDEX('Level Engine'!$AF$9:$AF$55,MATCH(IF('King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Engine'!$AA$9:$AA$55,0)),0)),0))=1,"firming","thinning")&amp;" the floor ("&amp;IF(IFERROR(INDEX('Level Engine'!$ES$9:$ES$55,MATCH(IF('King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Engine'!$AA$9:$AA$55,0)),0)&gt;='Level Engine'!$S$10,"",IF(IFERROR(INDEX('Level Engine'!$ES$9:$ES$55,MATCH(IF('King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Engine'!$AA$9:$AA$55,0)),0)&gt;='Level Engine'!$S$16,"sub-threshold, ","magnitude weak, "))&amp;"r"&amp;TEXT(COUNTIF('Level Engine'!$ES$9:$ES$55,"&gt;"&amp;IFERROR(INDEX('Level Engine'!$ES$9:$ES$55,MATCH(IF('King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Engine'!$AA$9:$AA$55,0)),0))+1,"0")&amp;")",""))))))))&amp;IF(AND($E53&lt;&gt;"",ISNUMBER('King Node Model'!$AL$50)),CHAR(10)&amp;IFERROR(INDEX('Level Engine'!$KE$9:$KE$55,MATCH('King Node Model'!$AL$50,'Level Engine'!$AA$9:$AA$55,0)),""),"")</f>
        <v>7770 ACCEL fading · Neg gamma ↓ (firmer support) (r1)
Now: strengthening the floor (IV rising) · if IV falls: weakens the floor · expected on arrival: STRENGTHENS ✓</v>
      </c>
      <c r="L53" s="56" t="str">
        <f>IF($DR53="",$DS53,IF($DS53="",$DR53,$DS53&amp;CHAR(10)&amp;$DR53))</f>
        <v>UNSAFE·Level at risk
EXEMPT·buy-lean max node — border suppressed
• Vanna SELL on arrival — IV still rising, dealers sell into this level</v>
      </c>
      <c r="M53" s="58" t="str">
        <f>IF(AND($E53&lt;&gt;"",ISNUMBER('King Node Model'!$AL$50),IFERROR(INDEX('Level Engine'!$AN$9:$AN$55,MATCH('King Node Model'!$AL$50,'Level Engine'!$AA$9:$AA$55,0)),0)&lt;&gt;1),"NO REV · "&amp;$DI53,IF(AND($E53&lt;&gt;"",IFERROR(INDEX('Level Engine'!$AN$9:$AN$55,MATCH('King Node Model'!$AL$50,'Level Engine'!$AA$9:$AA$55,0)),0)=1,ISNUMBER(SEARCH("⊙ PIN",$DI53))),IF(ISNUMBER(SEARCH("REVERSAL",TRIM(SUBSTITUTE(SUBSTITUTE($DI53,"⚡ ⊙ PIN",""),"⊙ PIN","")))),TRIM(SUBSTITUTE(SUBSTITUTE($DI53,"⚡ ⊙ PIN",""),"⊙ PIN","")),"REVERSAL"&amp;IF(TRIM(SUBSTITUTE(SUBSTITUTE($DI53,"⚡ ⊙ PIN",""),"⊙ PIN",""))&lt;&gt;""," · "&amp;TRIM(SUBSTITUTE(SUBSTITUTE($DI53,"⚡ ⊙ PIN",""),"⊙ PIN","")),"")),IF(AND($E53&lt;&gt;"",IFERROR(INDEX('Level Engine'!$AN$9:$AN$55,MATCH('King Node Model'!$AL$50,'Level Engine'!$AA$9:$AA$55,0)),0)=1,NOT(ISNUMBER(SEARCH("REVERSAL",$DI53)))),"REVERSAL · ","")&amp;$DI53))</f>
        <v>REVERSAL · DOM · accelerates</v>
      </c>
      <c r="N53" s="58" t="str">
        <f>IF($E53="","",IF('King Node Model'!$AL$50="","",IF(IFERROR(INDEX('Level Engine'!$AX$9:$AX$55,MATCH('King Node Model'!$AL$50,'Level Engine'!$AA$9:$AA$55,0)),0)=1,"VOMMA BID","—")))</f>
        <v>—</v>
      </c>
      <c r="O53" s="468" t="str">
        <f>IFERROR(IF(AND($N53="VOMMA BID",ABS($F53)&lt;=10,ISNUMBER(SEARCH("LONG trigger",'GEX Depth'!$C$54))),"⚡ LONG",""),"")</f>
        <v/>
      </c>
      <c r="P53" s="477"/>
      <c r="Q53" s="460" t="str">
        <f>IF(NOT(ISNUMBER($R$53)),"MANUAL  ·  type strike →",IF(NOT(ISNUMBER($BK53)),"MANUAL  "&amp;TEXT($R$53,"0")&amp;"   ·   not in ladder","MANUAL  "&amp;TEXT($BK53,"0")&amp;IF($BQ53="", " ", "   ·   "&amp;$BQ53)&amp;IF(OR(NOT(ISNUMBER($BL53)),NOT(ISNUMBER($BM53)),($BL53+$BM53)=0),"","  "&amp;TEXT(MAX($BL53,$BM53)/($BL53+$BM53),"0%"))&amp;IF($BR53="", " ", " "&amp;$BR53)))</f>
        <v>MANUAL  ·  type strike →</v>
      </c>
      <c r="R53" s="461"/>
      <c r="S53" s="487" t="str">
        <f>IF(NOT(ISNUMBER($BN53)),"",IF($BL53&gt;=10000,TEXT($BL53/1000,"0")&amp;"k",IF($BL53&gt;=1000,TEXT($BL53/1000,"0.0")&amp;"k",TEXT($BL53,"0")))&amp;"/"&amp;IF($BM53&gt;=10000,TEXT($BM53/1000,"0")&amp;"k",IF($BM53&gt;=1000,TEXT($BM53/1000,"0.0")&amp;"k",TEXT($BM53,"0")))&amp;" "&amp;REPT("▉",8-ROUND(8*$BL53/($BL53+$BM53),0)))</f>
        <v/>
      </c>
      <c r="T53" s="487"/>
      <c r="U53" s="462"/>
      <c r="W53" s="1"/>
      <c r="X53" s="10"/>
      <c r="Y53" s="10"/>
      <c r="Z53" s="1"/>
      <c r="AA53" s="52"/>
      <c r="AB53" s="53"/>
      <c r="AC53" s="49"/>
      <c r="AE53" s="1">
        <f>'King Node Model'!AW46</f>
        <v>0</v>
      </c>
      <c r="AL53" s="471"/>
      <c r="AM53" s="481"/>
      <c r="AO53" s="481"/>
      <c r="AP53" s="1" t="str">
        <f>IF($E53="","",IF($CJ53=1,"RASP",IF(OR(IFERROR(INDEX('Level Engine'!$IX$9:$IX$55,MATCH('King Node Model'!$AL$50,'Level Engine'!$AA$9:$AA$55,0)),0)=1,AND(LEFT($L53,4)="SAFE",NOT(AND($DH53="",$DG53&lt;&gt;"")))),"GREEN",IF('Level Engine'!$CT$26=1,"BLUE",""))))</f>
        <v/>
      </c>
      <c r="AQ53" s="1" t="str">
        <f>""</f>
        <v/>
      </c>
      <c r="AR53" s="1" t="str">
        <f>IF(IFERROR(INDEX('Level Engine'!$JI$9:$JI$55,MATCH('King Node Model'!$AL$50,'Level Engine'!$AA$9:$AA$55,0)),0)=1,"",IF($E53="","",IF(AND(IFERROR(INDEX('Level Engine'!$LR$9:$LR$55,MATCH('King Node Model'!$AL$50,'Level Engine'!$AA$9:$AA$55,0)),0)=1,IFERROR(INDEX('Level Engine'!$MB$9:$MB$55,MATCH('King Node Model'!$AL$50,'Level Engine'!$AA$9:$AA$55,0)),0)=1),"",IF(AND(OR('King Node Model'!$A$8="Neg",N('Level Engine'!$BG$72)=1),NOT(IFERROR(INDEX('Level Engine'!$AJ$9:$AJ$55,MATCH('King Node Model'!$AL$50,'Level Engine'!$AA$9:$AA$55,0)),0)=1),IFERROR(INDEX('Level Engine'!$MT$9:$MT$55,MATCH('King Node Model'!$AL$50,'Level Engine'!$AA$9:$AA$55,0)),0)&lt;&gt;1,ISNUMBER(SEARCH("ACCEL building",IFERROR(INDEX('Level Engine'!$CG$9:$CG$55,MATCH('King Node Model'!$AL$50,'Level Engine'!$AA$9:$AA$55,0)),"")))),"UNSAFE·Level at risk"&amp;CHAR(10)&amp;"• Zomma ACCEL building ↓",""))))</f>
        <v/>
      </c>
      <c r="AS53" s="1" t="str">
        <f>IF(ABS(N('King Node Model'!$AL$50)-N('King Node Model'!$B$23))&gt;'Level Engine'!$BG$107,"",IF($E53="","",IF(NOT(OR('King Node Model'!$A$8="Neg",N('Level Engine'!$BG$72)=1)),"",IF(AND(SUMPRODUCT((ABS('Level Engine'!$AF$9:$AF$55)&lt;=ABS(IFERROR(INDEX('Level Engine'!$AF$9:$AF$55,MATCH('King Node Model'!$AL50,'Level Engine'!$AA$9:$AA$55,0)),0)))*1)/COUNT('Level Engine'!$AF$9:$AF$55)&gt;=0.66,OR(ISNUMBER(SEARCH("firmer resistance",IFERROR(INDEX('Level Engine'!$CG$9:$CG$55,MATCH('King Node Model'!$AL$50,'Level Engine'!$AA$9:$AA$55,0)),""))),ISNUMBER(SEARCH("STRENGTHENING",IFERROR(INDEX('Level Engine'!$CG$9:$CG$55,MATCH('King Node Model'!$AL$50,'Level Engine'!$AA$9:$AA$55,0)),""))),ISNUMBER(SEARCH("firmer support",IFERROR(INDEX('Level Engine'!$CG$9:$CG$55,MATCH('King Node Model'!$AL$50,'Level Engine'!$AA$9:$AA$55,0)),""))))),"",IF(AND(IFERROR(INDEX('Level Engine'!$AB$9:$AB$55,MATCH('King Node Model'!$AL50,'Level Engine'!$AA$9:$AA$55,0)),0)&gt;0,SUMPRODUCT((ABS('Level Engine'!$AB$9:$AB$55)&lt;=ABS(IFERROR(INDEX('Level Engine'!$AB$9:$AB$55,MATCH('King Node Model'!$AL50,'Level Engine'!$AA$9:$AA$55,0)),0)))*1)/COUNT('Level Engine'!$AB$9:$AB$55)&gt;=0.66),"",IF(AND(AND(ISNUMBER('King Node Model'!$AL$49),ISNUMBER('King Node Model'!$AL$50),IFERROR(ABS('King Node Model'!$AL$49-'King Node Model'!$AL$50)&lt;=5,FALSE()),OR(AND(ISNUMBER(SEARCH("box",'King Node Model'!S49)),ISNUMBER(SEARCH("wall",'King Node Model'!S50))),AND(ISNUMBER(SEARCH("wall",'King Node Model'!S49)),ISNUMBER(SEARCH("box",'King Node Model'!S50))))),OR(OR(ISNUMBER(SEARCH("firmer resistance",IFERROR(INDEX('Level Engine'!$CG$9:$CG$55,MATCH('King Node Model'!$AL$49,'Level Engine'!$AA$9:$AA$55,0)),""))),ISNUMBER(SEARCH("STRENGTHENING",IFERROR(INDEX('Level Engine'!$CG$9:$CG$55,MATCH('King Node Model'!$AL$49,'Level Engine'!$AA$9:$AA$55,0)),""))),ISNUMBER(SEARCH("firmer support",IFERROR(INDEX('Level Engine'!$CG$9:$CG$55,MATCH('King Node Model'!$AL$49,'Level Engine'!$AA$9:$AA$55,0)),"")))),OR(ISNUMBER(SEARCH("firmer resistance",IFERROR(INDEX('Level Engine'!$CG$9:$CG$55,MATCH('King Node Model'!$AL$50,'Level Engine'!$AA$9:$AA$55,0)),""))),ISNUMBER(SEARCH("STRENGTHENING",IFERROR(INDEX('Level Engine'!$CG$9:$CG$55,MATCH('King Node Model'!$AL$50,'Level Engine'!$AA$9:$AA$55,0)),""))),ISNUMBER(SEARCH("firmer support",IFERROR(INDEX('Level Engine'!$CG$9:$CG$55,MATCH('King Node Model'!$AL$50,'Level Engine'!$AA$9:$AA$55,0)),"")))))),"",IF(COUNTIF($AN$16:$AN$18,'King Node Model'!$AL$50)&gt;0,"",IF(IFERROR(INDEX('Level Engine'!$EJ$9:$EJ$55,MATCH('King Node Model'!$AL$50,'Level Engine'!$AA$9:$AA$55,0)),0)=1,"",IF(IFERROR(INDEX('Level Engine'!$AJ$9:$AJ$55,MATCH('King Node Model'!$AL$50,'Level Engine'!$AA$9:$AA$55,0)),0)=1,"",IF(OR($AW53&lt;&gt;"",IFERROR(INDEX('Level Engine'!$JO$9:$JO$55,MATCH('King Node Model'!$AL$50,'Level Engine'!$AA$9:$AA$55,0)),0)=1),"","UNSAFE·Level at risk"&amp;CHAR(10)&amp;"• Level sits on the king node"&amp;CHAR(10)&amp;"• Neg gamma: node accelerates, does not floor"&amp;CHAR(10)&amp;"• Supports here break ~75% of the time"))))))))))</f>
        <v/>
      </c>
      <c r="AT53" s="1" t="str">
        <f>IF($E53="","",IF(AND('King Node Model'!$A$8="Pos",UPPER('King Node Model'!$L$5)="HIGH",ISNUMBER(SEARCH("SELL LEAN",'King Node Model'!$C$14)),OR(ISNUMBER(SEARCH("REVERSAL",$M53)),ISNUMBER(SEARCH("SHELF",$M53)),ISNUMBER(SEARCH("PIN",$M53))),OR(IFERROR(VALUE(LEFT($E$45,FIND(" ",$E$45&amp;" ")-1)),0)='King Node Model'!$AL$50,IFERROR(VALUE(LEFT($E$46,FIND(" ",$E$46&amp;" ")-1)),0)='King Node Model'!$AL$50),OR(ISNUMBER(SEARCH("firmer resistance",IFERROR(INDEX('Level Engine'!$CG$9:$CG$55,MATCH('King Node Model'!$AL$50,'Level Engine'!$AA$9:$AA$55,0)),""))),ISNUMBER(SEARCH("STRENGTHENING",IFERROR(INDEX('Level Engine'!$CG$9:$CG$55,MATCH('King Node Model'!$AL$50,'Level Engine'!$AA$9:$AA$55,0)),"")))),OR(ISNUMBER(SEARCH("SPOT UP / VOL UP —",$E$28)),ISNUMBER(SEARCH("SPOT UP / TERM VOL UP —",$E$28))),IFERROR(ABS('King Node Model'!$AL$50-'King Node Model'!$B$4)&lt;=25,FALSE())),"UNSAFE·Level at risk"&amp;CHAR(10)&amp;"• Spot Up / Vol Up",""))</f>
        <v/>
      </c>
      <c r="AU53" s="56" t="str">
        <f>IF($E53="","",IF(OR('King Node Model'!$A$8="Neg",N('Level Engine'!$BG$72)=1),$AQ53&amp;IF(AND($AQ53&lt;&gt;"",$AR53&lt;&gt;""),CHAR(10),"")&amp;$AR53&amp;IF(AND(($AQ53&amp;$AR53)&lt;&gt;"",$AS53&lt;&gt;""),CHAR(10),"")&amp;$AS53,IF('King Node Model'!$A$8="Pos",$AT53,"")))</f>
        <v/>
      </c>
      <c r="AV53" s="56" t="str">
        <f>IF(IFERROR(INDEX('Level Engine'!$JI$9:$JI$55,MATCH('King Node Model'!$AL$50,'Level Engine'!$AA$9:$AA$55,0)),0)=1,"",IF($E53="","",IF(AND(UPPER('King Node Model'!$L$5)="HIGH",IFERROR(INDEX('Level Engine'!$KC$9:$KC$55,MATCH(--LEFT($E53,4),'Level Engine'!$AA$9:$AA$55,0)),"")="DOWN",N(INDEX('Level Engine'!$AF$9:$AF$55,MATCH(--LEFT($E53,4),'Level Engine'!$AA$9:$AA$55,0)))&gt;0,ISNUMBER(SEARCH("chop edge",$E$53)),IFERROR(INDEX('Level Engine'!$IY$9:$IY$55,MATCH('King Node Model'!$AL$50,'Level Engine'!$AA$9:$AA$55,0)),"")="SELL"),"UNSAFE·Level at risk"&amp;CHAR(10)&amp;"• Chop edge — IV High but ATM IV falling","")))</f>
        <v/>
      </c>
      <c r="AW53" s="56" t="str">
        <f>IF($E53="","",IF(AND(IFERROR(INDEX('Level Engine'!$JO$9:$JO$55,MATCH('King Node Model'!$AL$50,'Level Engine'!$AA$9:$AA$55,0)),0)&lt;&gt;1,OR('King Node Model'!$A$8="Neg",N('Level Engine'!$BG$72)=1),ISNUMBER('King Node Model'!$AL$50),'King Node Model'!$AL$50='King Node Model'!$B$23,NOT(AND(IFERROR(INDEX('Level Engine'!$AC$9:$AC$55,MATCH('King Node Model'!$AL$50,'Level Engine'!$AA$9:$AA$55,0)),0)=MAX('Level Engine'!$AC$9:$AC$55),IFERROR(INDEX('Level Engine'!$AB$9:$AB$55,MATCH('King Node Model'!$AL$50,'Level Engine'!$AA$9:$AA$55,0)),0)=MIN('Level Engine'!$AB$9:$AB$55))),COUNTIF($AN$16:$AN$18,'King Node Model'!$AL$50)=0,NOT(IFERROR(INDEX('Level Engine'!$EJ$9:$EJ$55,MATCH('King Node Model'!$AL$50,'Level Engine'!$AA$9:$AA$55,0)),0)=1)),"UNSAFE·Level at risk"&amp;CHAR(10)&amp;"• Neg gamma: the king node is an accelerant, not a floor",""))</f>
        <v/>
      </c>
      <c r="AY53" s="471"/>
      <c r="AZ53" s="471"/>
      <c r="BA53" s="56" t="str">
        <f>IF(IFERROR(INDEX('Level Engine'!$JI$9:$JI$55,MATCH('King Node Model'!$AL$50,'Level Engine'!$AA$9:$AA$55,0)),0)=1,"",IF(IFERROR(INDEX('Level Engine'!$JO$9:$JO$55,MATCH('King Node Model'!$AL$50,'Level Engine'!$AA$9:$AA$55,0)),0)=1,"",IF($E53="","",IFERROR(IF(INDEX('Level Engine'!$EU$9:$EU$55,MATCH('King Node Model'!$AL$50,'Level Engine'!$AA$9:$AA$55,0))=1,"UNSAFE·Level at risk"&amp;CHAR(10)&amp;"• Positive node acts as a thin speed bump"&amp;CHAR(10)&amp;"• Negative Zomma thins it further",IF(AND(IFERROR(INDEX('Level Engine'!$GT$9:$GT$55,MATCH('King Node Model'!$AL$50,'Level Engine'!$AA$9:$AA$55,0)),0)=1,IFERROR(INDEX('Level Engine'!$JI$9:$JI$55,MATCH('King Node Model'!$AL$50,'Level Engine'!$AA$9:$AA$55,0)),0)&lt;&gt;1),"UNSAFE·Level at risk"&amp;CHAR(10)&amp;"• Sandwich — thin strike above"&amp;CHAR(10)&amp;"• Approaching the lower wall of a sandwich"&amp;CHAR(10)&amp;"• Zomma weakening here; likely path to "&amp;IFERROR(INDEX('Level Engine'!$GU$9:$GU$55,MATCH('King Node Model'!$AL$50,'Level Engine'!$AA$9:$AA$55,0)),"the upper wall"),"")),""))))</f>
        <v/>
      </c>
      <c r="BB53" s="471"/>
      <c r="BC53" s="56" t="str">
        <f>IF(IFERROR(INDEX('Level Engine'!$JI$9:$JI$55,MATCH('King Node Model'!$AL$50,'Level Engine'!$AA$9:$AA$55,0)),0)=1,"",IF(IFERROR(INDEX('Level Engine'!$JO$9:$JO$55,MATCH('King Node Model'!$AL$50,'Level Engine'!$AA$9:$AA$55,0)),0)=1,"",IF($E53="","",IF(IFERROR(INDEX('Level Engine'!$HF$9:$HF$55,MATCH('King Node Model'!$AL$50,'Level Engine'!$AA$9:$AA$55,0)),0)=1,"UNSAFE·Level at risk"&amp;CHAR(10)&amp;"• Gamma Edge·ATM IV up"&amp;CHAR(10)&amp;"• Vol expanding into thinning edge"&amp;CHAR(10)&amp;"• Weakening Zomma may give way",""))))</f>
        <v/>
      </c>
      <c r="BD53" s="56" t="str">
        <f>$BA53&amp;IF(AND($BA53&lt;&gt;"",$BC53&lt;&gt;""),CHAR(10),"")&amp;$BC53</f>
        <v/>
      </c>
      <c r="BK53" t="str">
        <f>IF(NOT(ISNUMBER($R$53)),"",IF(ISNUMBER(MATCH($R$53,'King Node Model'!$A$29:$A$75,0)),$R$53,"X"))</f>
        <v/>
      </c>
      <c r="BL53" t="str">
        <f>IFERROR(INDEX('King Node Model'!$K$29:$K$75,MATCH($BK53,'King Node Model'!$A$29:$A$75,0)),"")</f>
        <v/>
      </c>
      <c r="BM53" t="str">
        <f>IFERROR(INDEX('King Node Model'!$L$29:$L$75,MATCH($BK53,'King Node Model'!$A$29:$A$75,0)),"")</f>
        <v/>
      </c>
      <c r="BN53" t="str">
        <f>IF(AND(ISNUMBER($BL53),ISNUMBER($BM53)),IF(($BL53+$BM53)=0,"",($BM53-$BL53)/($BM53+$BL53)),"")</f>
        <v/>
      </c>
      <c r="BO53" t="str">
        <f>IFERROR(INDEX('Level Engine'!$AC$9:$AC$55,MATCH($BK53,'Level Engine'!$AA$9:$AA$55,0))/MAX('Level Engine'!$AC$9:$AC$55),"")</f>
        <v/>
      </c>
      <c r="BP53" t="str">
        <f>IF(NOT(ISNUMBER($BK53)),"",IF($BK53&gt;'King Node Model'!$B$4,1,-1))</f>
        <v/>
      </c>
      <c r="BQ53" t="str">
        <f>IF(OR(NOT(ISNUMBER($BN53)),NOT(ISNUMBER($BO53))),"",IF($BO53&lt;0.15,"thin",IF(ABS($BN53)&lt;0.15,IF($BO53&gt;=0.25,"STALL zone","balanced"),IF(OR('King Node Model'!$A$8="Neg",N('Level Engine'!$BG$72)=1),"",IF($BP53=1,IF($BN53&lt;=-0.4,"HARD ceil",IF($BN53&lt;=-0.15,"ceil","soft ceil")),IF($BN53&gt;=0.4,"FIRM floor",IF($BN53&gt;=0.15,"floor","WEAK floor")))&amp;IF($BO53&lt;0.25," ·marginal","")))))</f>
        <v/>
      </c>
      <c r="BR53" t="str">
        <f>IF(NOT(ISNUMBER($BN53)),"",IF(OR('King Node Model'!$A$8="Neg",N('Level Engine'!$BG$72)=1),"",IF(AND($BP53=1,$BN53&gt;0.15),"⚠",IF(AND($BP53=-1,$BN53&lt;-0.15),"⚠",""))))</f>
        <v/>
      </c>
      <c r="CJ53">
        <f>IF($DF53&lt;&gt;"",0,IF(AND($E53&lt;&gt;"",IFERROR(INDEX('Level Engine'!$HP$9:$HP$55,MATCH('King Node Model'!$AL$50,'Level Engine'!$AA$9:$AA$55,0)),0)=1),1,IF(OR(IFERROR(INDEX('Level Engine'!$JC$9:$JC$55,MATCH('King Node Model'!$AL$50,'Level Engine'!$AA$9:$AA$55,0)),0)=1,AND(IFERROR(INDEX('Level Engine'!$GV$9:$GV$55,MATCH('King Node Model'!$AL$50,'Level Engine'!$AA$9:$AA$55,0)),0)=1,IFERROR(INDEX('Level Engine'!$JK$9:$JK$55,MATCH('King Node Model'!$AL$50,'Level Engine'!$AA$9:$AA$55,0)),0)&lt;&gt;1,IFERROR(INDEX('Level Engine'!$IW$9:$IW$55,MATCH('King Node Model'!$AL$50,'Level Engine'!$AA$9:$AA$55,0)),0)&lt;&gt;1),AND(ISNUMBER('King Node Model'!$AL$50),'King Node Model'!$AL$50='King Node Model'!$F$24,IFERROR(INDEX('Level Engine'!$JN$9:$JN$55,MATCH('King Node Model'!$AL$50,'Level Engine'!$AA$9:$AA$55,0)),0)&lt;&gt;1,'Level Engine'!$F$4="High",IF('Level Engine'!$BG$80&lt;&gt;"",UPPER('Level Engine'!$BG$80),UPPER('Level Engine'!$D$5))="UP")),0,IF($E53="",0,IF(OR($CR53&lt;&gt;"",AND('King Node Model'!$A$8="Pos",N('Level Engine'!$BG$72)&lt;&gt;1,IFERROR(INDEX('Level Engine'!$HM$9:$HM$55,MATCH('King Node Model'!$AL$50,'Level Engine'!$AA$9:$AA$55,0)),0)=1,IFERROR(INDEX('Level Engine'!$JO$9:$JO$55,MATCH('King Node Model'!$AL$50,'Level Engine'!$AA$9:$AA$55,0)),0)&lt;&gt;1,IFERROR(INDEX('Level Engine'!$JI$9:$JI$55,MATCH('King Node Model'!$AL$50,'Level Engine'!$AA$9:$AA$55,0)),0)&lt;&gt;1),IFERROR(INDEX('Level Engine'!$IS$9:$IS$55,MATCH('King Node Model'!$AL$50,'Level Engine'!$AA$9:$AA$55,0)),0)=1,AND(ISNUMBER(SEARCH("UNSAFE",$L53)),NOT(AND(IFERROR(INDEX('Level Engine'!$EW$9:$EW$55,MATCH('King Node Model'!$AL$50,'Level Engine'!$AA$9:$AA$55,0)),0)=1,IFERROR(INDEX('Level Engine'!$CI$9:$CI$55,MATCH('King Node Model'!$AL$50,'Level Engine'!$AA$9:$AA$55,0)),0)=0)))),1,0)))))</f>
        <v>0</v>
      </c>
      <c r="CK53" t="str">
        <f>IF(IFERROR(INDEX('Level Engine'!$EX$9:$EX$55,MATCH('King Node Model'!$AL$50,'Level Engine'!$AA$9:$AA$55,0)),0)=1,"",IF($E53="","",IF(AND('King Node Model'!$A$8&lt;&gt;"Neg",N('Level Engine'!$BG$72)&lt;&gt;1),"",IF(AND(OR(AND(ISNUMBER(IFERROR(INDEX('Level Engine'!$AC$9:$AC$55,MATCH('King Node Model'!$AL$50,'Level Engine'!$AA$9:$AA$55,0)),"")),IFERROR(INDEX('Level Engine'!$AC$9:$AC$55,MATCH('King Node Model'!$AL$50,'Level Engine'!$AA$9:$AA$55,0)),"")=MAX('Level Engine'!$AC$9:$AC$55)),AND(ISNUMBER(IFERROR(INDEX('Level Engine'!$AB$9:$AB$55,MATCH('King Node Model'!$AL$50,'Level Engine'!$AA$9:$AA$55,0)),"")),IFERROR(INDEX('Level Engine'!$AB$9:$AB$55,MATCH('King Node Model'!$AL$50,'Level Engine'!$AA$9:$AA$55,0)),"")=MIN('Level Engine'!$AB$9:$AB$55))),NOT(AND(AND(ISNUMBER(IFERROR(INDEX('Level Engine'!$AC$9:$AC$55,MATCH('King Node Model'!$AL$50,'Level Engine'!$AA$9:$AA$55,0)),"")),IFERROR(INDEX('Level Engine'!$AC$9:$AC$55,MATCH('King Node Model'!$AL$50,'Level Engine'!$AA$9:$AA$55,0)),"")=MAX('Level Engine'!$AC$9:$AC$55)),AND(ISNUMBER(IFERROR(INDEX('Level Engine'!$AB$9:$AB$55,MATCH('King Node Model'!$AL$50,'Level Engine'!$AA$9:$AA$55,0)),"")),IFERROR(INDEX('Level Engine'!$AB$9:$AB$55,MATCH('King Node Model'!$AL$50,'Level Engine'!$AA$9:$AA$55,0)),"")=MIN('Level Engine'!$AB$9:$AB$55)))),IFERROR(INDEX('Level Engine'!$AG$9:$AG$55,MATCH('King Node Model'!$AL$50,'Level Engine'!$AA$9:$AA$55,0)),"")="S",IFERROR(INDEX('Level Engine'!$AB$9:$AB$55,MATCH('King Node Model'!$AL$50,'Level Engine'!$AA$9:$AA$55,0)),0)&lt;0,NOT(OR('King Node Model'!$AL$50=$AN$16,'King Node Model'!$AL$50=$AN$17,'King Node Model'!$AL$50=$AN$18)),IFERROR(INDEX('Level Engine'!$JO$9:$JO$55,MATCH('King Node Model'!$AL$50,'Level Engine'!$AA$9:$AA$55,0)),0)&lt;&gt;1,NOT(AND(OR('King Node Model'!$A$8="Neg",N('Level Engine'!$BG$72)=1),ISNUMBER(IFERROR(INDEX('Level Engine'!$AB$9:$AB$55,MATCH('King Node Model'!$AL$50,'Level Engine'!$AA$9:$AA$55,0)),"")),IFERROR(INDEX('Level Engine'!$AB$9:$AB$55,MATCH('King Node Model'!$AL$50,'Level Engine'!$AA$9:$AA$55,0)),"")=MIN('Level Engine'!$AB$9:$AB$55),'King Node Model'!$AL$50='Level Engine'!$BG$105))),CHAR(10)&amp;"UNSAFE·Level at risk"&amp;CHAR(10)&amp;"• Accelerant — "&amp;IF(AND(ISNUMBER(IFERROR(INDEX('Level Engine'!$AC$9:$AC$55,MATCH('King Node Model'!$AL$50,'Level Engine'!$AA$9:$AA$55,0)),"")),IFERROR(INDEX('Level Engine'!$AC$9:$AC$55,MATCH('King Node Model'!$AL$50,'Level Engine'!$AA$9:$AA$55,0)),"")=MAX('Level Engine'!$AC$9:$AC$55)),"max gamma","min GEX")&amp;" alone, not a "&amp;IF(IFERROR(INDEX('Level Engine'!$AG$9:$AG$55,MATCH('King Node Model'!$AL$50,'Level Engine'!$AA$9:$AA$55,0)),"")="S","floor","ceiling"),""))))</f>
        <v/>
      </c>
      <c r="CM53" t="str">
        <f>IF(NOT(ISNUMBER('King Node Model'!$AL$50)),"","  ["&amp;IF(IFERROR(INDEX('Level Engine'!$ID$9:$ID$55,MATCH('King Node Model'!$AL$50,'Level Engine'!$AA$9:$AA$55,0)),"")="",IF(IFERROR(INDEX('Level Engine'!$DC$9:$DC$55,MATCH('King Node Model'!$AL$50,'Level Engine'!$AA$9:$AA$55,0)),0)=1,"γSh",IFERROR(INDEX('Level Engine'!$JJ$9:$JJ$55,MATCH('King Node Model'!$AL$50,'Level Engine'!$AA$9:$AA$55,0)),"no geometry")),IFERROR(INDEX('Level Engine'!$ID$9:$ID$55,MATCH('King Node Model'!$AL$50,'Level Engine'!$AA$9:$AA$55,0)),""))&amp;IF(AND(ISNUMBER(IFERROR(INDEX('Level Engine'!$FB$9:$FB$55,MATCH('King Node Model'!$AL$50,'Level Engine'!$AA$9:$AA$55,0)),"")),ISNUMBER(IFERROR(INDEX('Level Engine'!$FC$9:$FC$55,MATCH('King Node Model'!$AL$50,'Level Engine'!$AA$9:$AA$55,0)),"")),IFERROR(INDEX('Level Engine'!$FB$9:$FB$55,MATCH('King Node Model'!$AL$50,'Level Engine'!$AA$9:$AA$55,0)),"")&lt;&gt;IFERROR(INDEX('Level Engine'!$FC$9:$FC$55,MATCH('King Node Model'!$AL$50,'Level Engine'!$AA$9:$AA$55,0)),""))," "&amp;TEXT(IFERROR(INDEX('Level Engine'!$FB$9:$FB$55,MATCH('King Node Model'!$AL$50,'Level Engine'!$AA$9:$AA$55,0)),""),"0")&amp;"-"&amp;TEXT(IFERROR(INDEX('Level Engine'!$FC$9:$FC$55,MATCH('King Node Model'!$AL$50,'Level Engine'!$AA$9:$AA$55,0)),""),"0"),"")&amp;"]")</f>
        <v xml:space="preserve">  [DOM · Cluster 7770-7780]</v>
      </c>
      <c r="CN53" t="str">
        <f>IF(IFERROR(INDEX('Level Engine'!$JI$9:$JI$55,MATCH('King Node Model'!$AL$50,'Level Engine'!$AA$9:$AA$55,0)),0)=1,"",IF(IFERROR(INDEX('Level Engine'!$JO$9:$JO$55,MATCH('King Node Model'!$AL$50,'Level Engine'!$AA$9:$AA$55,0)),0)=1,"",IF(IFERROR(INDEX('Level Engine'!$EX$9:$EX$55,MATCH('King Node Model'!$AL$50,'Level Engine'!$AA$9:$AA$55,0)),0)=1,"",IF(NOT(ISNUMBER('King Node Model'!$AL$50)),"",IF(AND('King Node Model'!$A$8&lt;&gt;"Neg",N('Level Engine'!$BG$72)&lt;&gt;1),"",IF(IFERROR(INDEX('Level Engine'!$EY$9:$EY$55,MATCH('King Node Model'!$AL$50,'Level Engine'!$AA$9:$AA$55,0)),0)&lt;&gt;1,"",IF(OR(AND('King Node Model'!$AL$50='King Node Model'!$B$23,OR('King Node Model'!$AL$50='King Node Model'!$C$24,'King Node Model'!$AL$50=$AN$16,'King Node Model'!$AL$50=$AN$17,'King Node Model'!$AL$50=$AN$18)),'King Node Model'!$AL$50=$AN$16,'King Node Model'!$AL$50=$AN$17,'King Node Model'!$AL$50=$AN$18),"",IF(AND(IFERROR(INDEX('Level Engine'!$EW$9:$EW$55,MATCH('King Node Model'!$AL$50,'Level Engine'!$AA$9:$AA$55,0)),0)=1,IFERROR(INDEX('Level Engine'!$CI$9:$CI$55,MATCH('King Node Model'!$AL$50,'Level Engine'!$AA$9:$AA$55,0)),0)=0),"",IF($CK53&lt;&gt;"","",CHAR(10)&amp;"UNSAFE·Level at risk"&amp;CHAR(10)&amp;"• Gamma peak — hedging amplifies through it rather than absorbing")))))))))</f>
        <v/>
      </c>
      <c r="CP53" t="str">
        <f>IF(IFERROR(INDEX('Level Engine'!$JO$9:$JO$55,MATCH('King Node Model'!$AL$50,'Level Engine'!$AA$9:$AA$55,0)),0)=1,"",IF($E53="","",IF(AND('King Node Model'!$A$8="Pos",N('Level Engine'!$BG$72)&lt;&gt;1,IFERROR(INDEX('Level Engine'!$HM$9:$HM$55,MATCH('King Node Model'!$AL$50,'Level Engine'!$AA$9:$AA$55,0)),0)=1,IFERROR(INDEX('Level Engine'!$JI$9:$JI$55,MATCH('King Node Model'!$AL$50,'Level Engine'!$AA$9:$AA$55,0)),0)&lt;&gt;1),"UNSAFE·Level at risk"&amp;CHAR(10)&amp;IF(OR('King Node Model'!$A$8&lt;&gt;"Pos",'Level Engine'!$BG$72=1),"• Trough · weak bounce","• Trough weakest shape on the ladder")&amp;IF(IFERROR(INDEX('Level Engine'!$JD$9:$JD$55,MATCH('King Node Model'!$AL$50,'Level Engine'!$AA$9:$AA$55,0)),"")="P",CHAR(10)&amp;"• also a PUT-HEAVY strike (P-OI skew spike)",""),"")))</f>
        <v/>
      </c>
      <c r="CQ53" t="str">
        <f>(((IF($E53="","",(((((IF($E53="","",$AU53))&amp;IF(AND((IF($E53="","",$AU53))&lt;&gt;"",$AV53&lt;&gt;""),CHAR(10),"")&amp;$AV53)&amp;IF(AND(((IF($E53="","",$AU53))&amp;IF(AND((IF($E53="","",$AU53))&lt;&gt;"",$AV53&lt;&gt;""),CHAR(10),"")&amp;$AV53)&lt;&gt;"",$AW53&lt;&gt;""),CHAR(10),"")&amp;$AW53)&amp;IF(AND((((IF($E53="","",$AU53))&amp;IF(AND((IF($E53="","",$AU53))&lt;&gt;"",$AV53&lt;&gt;""),CHAR(10),"")&amp;$AV53)&amp;IF(AND(((IF($E53="","",$AU53))&amp;IF(AND((IF($E53="","",$AU53))&lt;&gt;"",$AV53&lt;&gt;""),CHAR(10),"")&amp;$AV53)&lt;&gt;"",$AW53&lt;&gt;""),CHAR(10),"")&amp;$AW53)&lt;&gt;"",$BD53&lt;&gt;""),CHAR(10),"")&amp;$BD53)&amp;IF(AND(((((IF($E53="","",$AU53))&amp;IF(AND((IF($E53="","",$AU53))&lt;&gt;"",$AV53&lt;&gt;""),CHAR(10),"")&amp;$AV53)&amp;IF(AND(((IF($E53="","",$AU53))&amp;IF(AND((IF($E53="","",$AU53))&lt;&gt;"",$AV53&lt;&gt;""),CHAR(10),"")&amp;$AV53)&lt;&gt;"",$AW53&lt;&gt;""),CHAR(10),"")&amp;$AW53)&amp;IF(AND((((IF($E53="","",$AU53))&amp;IF(AND((IF($E53="","",$AU53))&lt;&gt;"",$AV53&lt;&gt;""),CHAR(10),"")&amp;$AV53)&amp;IF(AND(((IF($E53="","",$AU53))&amp;IF(AND((IF($E53="","",$AU53))&lt;&gt;"",$AV53&lt;&gt;""),CHAR(10),"")&amp;$AV53)&lt;&gt;"",$AW53&lt;&gt;""),CHAR(10),"")&amp;$AW53)&lt;&gt;"",$BD53&lt;&gt;""),CHAR(10),"")&amp;$BD53)&lt;&gt;"",($AV53)&lt;&gt;""),CHAR(10)&amp;"• Zomma: "&amp;IFERROR(MID($DE53,FIND(" ",$DE53)+1,999),$DE53),""))&amp;IF(AND(IFERROR(INDEX('Level Engine'!$EW$9:$EW$55,MATCH('King Node Model'!$AL$50,'Level Engine'!$AA$9:$AA$55,0)),0)=1,IFERROR(INDEX('Level Engine'!$CI$9:$CI$55,MATCH('King Node Model'!$AL$50,'Level Engine'!$AA$9:$AA$55,0)),0)=0),IF((((((IF($E53="","",$AU53))&amp;IF(AND((IF($E53="","",$AU53))&lt;&gt;"",$AV53&lt;&gt;""),CHAR(10),"")&amp;$AV53)&amp;IF(AND(((IF($E53="","",$AU53))&amp;IF(AND((IF($E53="","",$AU53))&lt;&gt;"",$AV53&lt;&gt;""),CHAR(10),"")&amp;$AV53)&lt;&gt;"",$AW53&lt;&gt;""),CHAR(10),"")&amp;$AW53)&amp;IF(AND((((IF($E53="","",$AU53))&amp;IF(AND((IF($E53="","",$AU53))&lt;&gt;"",$AV53&lt;&gt;""),CHAR(10),"")&amp;$AV53)&amp;IF(AND(((IF($E53="","",$AU53))&amp;IF(AND((IF($E53="","",$AU53))&lt;&gt;"",$AV53&lt;&gt;""),CHAR(10),"")&amp;$AV53)&lt;&gt;"",$AW53&lt;&gt;""),CHAR(10),"")&amp;$AW53)&lt;&gt;"",$BD53&lt;&gt;""),CHAR(10),"")&amp;$BD53)&amp;IF(AND(((((IF($E53="","",$AU53))&amp;IF(AND((IF($E53="","",$AU53))&lt;&gt;"",$AV53&lt;&gt;""),CHAR(10),"")&amp;$AV53)&amp;IF(AND(((IF($E53="","",$AU53))&amp;IF(AND((IF($E53="","",$AU53))&lt;&gt;"",$AV53&lt;&gt;""),CHAR(10),"")&amp;$AV53)&lt;&gt;"",$AW53&lt;&gt;""),CHAR(10),"")&amp;$AW53)&amp;IF(AND((((IF($E53="","",$AU53))&amp;IF(AND((IF($E53="","",$AU53))&lt;&gt;"",$AV53&lt;&gt;""),CHAR(10),"")&amp;$AV53)&amp;IF(AND(((IF($E53="","",$AU53))&amp;IF(AND((IF($E53="","",$AU53))&lt;&gt;"",$AV53&lt;&gt;""),CHAR(10),"")&amp;$AV53)&lt;&gt;"",$AW53&lt;&gt;""),CHAR(10),"")&amp;$AW53)&lt;&gt;"",$BD53&lt;&gt;""),CHAR(10),"")&amp;$BD53)&lt;&gt;"",($AV53)&lt;&gt;""),CHAR(10)&amp;"• Zomma: "&amp;IFERROR(MID($DE53,FIND(" ",$DE53)+1,999),$DE53),""))&lt;&gt;"",CHAR(10),"")&amp;"EXEMPT·buy-lean max node — border suppressed","")))&amp;$CK$53))&amp;$CN$53</f>
        <v>EXEMPT·buy-lean max node — border suppressed</v>
      </c>
      <c r="CR53" t="str">
        <f>IF($E53="","",IF(IFERROR(INDEX('Level Engine'!$HW$9:$HW$55,MATCH('King Node Model'!$AL$50,'Level Engine'!$AA$9:$AA$55,0)),0)=1,"UNSAFE·Level at risk"&amp;CHAR(10)&amp;"• DEX falls off above ("&amp;TEXT(IFERROR(INDEX('Level Engine'!$KU$9:$KU$55,MATCH('King Node Model'!$AL$50,'Level Engine'!$AA$9:$AA$55,0)),0),"0%")&amp;") more sharply than below ("&amp;TEXT(IFERROR(INDEX('Level Engine'!$KV$9:$KV$55,MATCH('King Node Model'!$AL$50,'Level Engine'!$AA$9:$AA$55,0)),0),"0%")&amp;") — path of least resistance is down"&amp;IF(AND(ISNUMBER('King Node Model'!$T$23),'King Node Model'!$T$23&lt;'King Node Model'!$AL$50,'King Node Model'!$AL$50-'King Node Model'!$T$23&lt;=50),CHAR(10)&amp;"• Toward Min GEX "&amp;TEXT('King Node Model'!$T$23,"0"),""),""))</f>
        <v/>
      </c>
      <c r="CS53" t="str">
        <f>IF(IFERROR(INDEX('Level Engine'!$JO$9:$JO$55,MATCH('King Node Model'!$AL$50,'Level Engine'!$AA$9:$AA$55,0)),0)=1,"",IF($E53="","",IF(IFERROR(INDEX('Level Engine'!$HX$9:$HX$55,MATCH('King Node Model'!$AL$50,'Level Engine'!$AA$9:$AA$55,0)),0)=1,"UNSAFE·Level at risk"&amp;CHAR(10)&amp;"• Peak · gamma bump, not a floor","")))</f>
        <v/>
      </c>
      <c r="CT53" t="str">
        <f>IF($E53="","",IF(IFERROR(INDEX('Level Engine'!$IF$9:$IF$55,MATCH('King Node Model'!$AL$50,'Level Engine'!$AA$9:$AA$55,0)),0)=1,"UNSAFE·Level at risk"&amp;CHAR(10)&amp;"• Chop zone · inside a stack of heavy gamma/zomma strikes",""))</f>
        <v/>
      </c>
      <c r="CU53" t="str">
        <f>IF($E53="","",IF(IFERROR(INDEX('Level Engine'!$IQ$9:$IQ$55,MATCH('King Node Model'!$AL$50,'Level Engine'!$AA$9:$AA$55,0)),0)=1,"UNSAFE·Level at risk"&amp;CHAR(10)&amp;"• Contested level · claimed by both sides",""))</f>
        <v/>
      </c>
      <c r="CV53" t="str">
        <f>IF($E53="","",IFERROR(INDEX('Level Engine'!$IV$9:$IV$55,MATCH('King Node Model'!$AL$50,'Level Engine'!$AA$9:$AA$55,0))&amp;"",""))</f>
        <v/>
      </c>
      <c r="CW53" t="str">
        <f>IF($E53="","",IF(IFERROR(INDEX('Level Engine'!$JL$9:$JL$55,MATCH('King Node Model'!$AL$50,'Level Engine'!$AA$9:$AA$55,0)),0)=1,"UNSAFE·Level at risk"&amp;CHAR(10)&amp;"• DOM wall · vanna not supporting it — flat or too small (needs vanna BUY ≥ "&amp;TEXT('Level Engine'!$BG$92/1000,"0")&amp;"K)",IFERROR(IF(INDEX('Level Engine'!$IW$9:$IW$55,MATCH('King Node Model'!$AL$50,'Level Engine'!$AA$9:$AA$55,0))=1,"UNSAFE·Level at risk"&amp;CHAR(10)&amp;"• Vanna SELL on arrival — "&amp;IF(N(INDEX('Level Engine'!$AD$9:$AD$55,MATCH('King Node Model'!$AL$50,'Level Engine'!$AA$9:$AA$55,0)))&gt;0,"IV still rising","IV falling")&amp;", dealers sell into this level",IF(INDEX('Level Engine'!$IX$9:$IX$55,MATCH('King Node Model'!$AL$50,'Level Engine'!$AA$9:$AA$55,0))=1,"ATM IV rollover · vol has peaked — vanna selling turns to buying","")),"")))</f>
        <v>UNSAFE·Level at risk
• Vanna SELL on arrival — IV still rising, dealers sell into this level</v>
      </c>
      <c r="CX53" t="str">
        <f>IF($E53="","",IFERROR(IF(INDEX('Level Engine'!$IZ$9:$IZ$55,MATCH('King Node Model'!$AL$50,'Level Engine'!$AA$9:$AA$55,0))=1,"UNSAFE·Level at risk"&amp;CHAR(10)&amp;"• DEX wall "&amp;TEXT('King Node Model'!$AL$50+'Level Engine'!$BG$84,"0")&amp;" ("&amp;TEXT(INDEX('Level Engine'!$AE$9:$AE$55,MATCH('King Node Model'!$AL$50+'Level Engine'!$BG$84,'Level Engine'!$AA$9:$AA$55,0))/1000000,"+0.00;-0.00")&amp;"M) directly above caps the bounce",""),""))</f>
        <v/>
      </c>
      <c r="CY53" t="str">
        <f>IF($E53="","",IFERROR(IF(INDEX('Level Engine'!$JM$9:$JM$55,MATCH('King Node Model'!$AL$50,'Level Engine'!$AA$9:$AA$55,0))=1,"UNSAFE·Level at risk"&amp;CHAR(10)&amp;"• Within "&amp;TEXT('Level Engine'!$BG$93,"0")&amp;" pts of the DOM "&amp;TEXT(INDEX('Level Engine'!$AA$9:$AA$55,MATCH("DOM",'Level Engine'!$FA$9:$FA$55,0)),"0")&amp;" — price tends to be pulled to the node",""),""))</f>
        <v/>
      </c>
      <c r="DA53" t="str">
        <f>IF($E53="","",IF(OR(IFERROR(INDEX('Level Engine'!$JP$9:$JP$55,MATCH('King Node Model'!$AL$50,'Level Engine'!$AA$9:$AA$55,0)),0)=1,IFERROR(INDEX('Level Engine'!$JQ$9:$JQ$55,MATCH('King Node Model'!$AL$50,'Level Engine'!$AA$9:$AA$55,0)),0)=1),"UNSAFE·Level at risk"&amp;IF(IFERROR(INDEX('Level Engine'!$JQ$9:$JQ$55,MATCH('King Node Model'!$AL$50,'Level Engine'!$AA$9:$AA$55,0)),0)=1,CHAR(10)&amp;"• Dex not aligned (C-OI support needs Dex ≥ +"&amp;TEXT('Level Engine'!$BG$95/1000,"0")&amp;"K)","")&amp;IF(IFERROR(INDEX('Level Engine'!$JP$9:$JP$55,MATCH('King Node Model'!$AL$50,'Level Engine'!$AA$9:$AA$55,0)),0)=1,CHAR(10)&amp;"• Zomma not firming (C-OI support needs the zomma reading to firm the level)",""),""))</f>
        <v/>
      </c>
      <c r="DB53" t="str">
        <f>IF(AND(IFERROR(INDEX('Level Engine'!$KK$9:$KK$55,MATCH('King Node Model'!$AL$50,'Level Engine'!$AA$9:$AA$55,0)),0)=0,IFERROR(INDEX('Level Engine'!$JY$9:$JY$55,MATCH('King Node Model'!$AL$50,'Level Engine'!$AA$9:$AA$55,0)),0)&lt;&gt;1,IFERROR(INDEX('Level Engine'!$KR$9:$KR$55,MATCH('King Node Model'!$AL$50,'Level Engine'!$AA$9:$AA$55,0)),0)=0,IFERROR(INDEX('Level Engine'!$LD$9:$LD$55,MATCH('King Node Model'!$AL$50,'Level Engine'!$AA$9:$AA$55,0)),0)=0,IFERROR(INDEX('Level Engine'!$LE$9:$LE$55,MATCH('King Node Model'!$AL$50,'Level Engine'!$AA$9:$AA$55,0)),0)=0,IFERROR(INDEX('Level Engine'!$MH$9:$MH$55,MATCH('King Node Model'!$AL$50,'Level Engine'!$AA$9:$AA$55,0)),0)=0,OR(IFERROR(INDEX('Level Engine'!$JC$9:$JC$55,MATCH('King Node Model'!$AL$50,'Level Engine'!$AA$9:$AA$55,0)),0)=1,AND(IFERROR(INDEX('Level Engine'!$GV$9:$GV$55,MATCH('King Node Model'!$AL$50,'Level Engine'!$AA$9:$AA$55,0)),0)=1,IFERROR(INDEX('Level Engine'!$JK$9:$JK$55,MATCH('King Node Model'!$AL$50,'Level Engine'!$AA$9:$AA$55,0)),0)&lt;&gt;1,IFERROR(INDEX('Level Engine'!$IW$9:$IW$55,MATCH('King Node Model'!$AL$50,'Level Engine'!$AA$9:$AA$55,0)),0)&lt;&gt;1),AND(ISNUMBER('King Node Model'!$AL$50),'King Node Model'!$AL$50='King Node Model'!$F$24,IFERROR(INDEX('Level Engine'!$JN$9:$JN$55,MATCH('King Node Model'!$AL$50,'Level Engine'!$AA$9:$AA$55,0)),0)&lt;&gt;1,'Level Engine'!$F$4="High",IF('Level Engine'!$BG$80&lt;&gt;"",UPPER('Level Engine'!$BG$80),UPPER('Level Engine'!$D$5))="UP"))),"",IF(ISNUMBER(SEARCH("UNSAFE·Level at risk",IF(IFERROR(INDEX('Level Engine'!$IS$9:$IS$55,MATCH('King Node Model'!$AL$50,'Level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Model'!$AL$50,'Level Engine'!$AA$9:$AA$55,0)),0)=1,CHAR(10)&amp;"UNSAFE·Level at risk"&amp;CHAR(10)&amp;"• Vanna flat at the level — IV not moving, no dealer flow behind it","")&amp;IF(OR(AND(IFERROR(INDEX('Level Engine'!$KR$9:$KR$55,MATCH('King Node Model'!$AL$50,'Level Engine'!$AA$9:$AA$55,0)),0)=1,$CZ53=""),IFERROR(INDEX('Level Engine'!$KS$9:$KS$55,MATCH('King Node Model'!$AL$50,'Level Engine'!$AA$9:$AA$55,0)),0)=1),CHAR(10)&amp;"UNSAFE·Level at risk"&amp;CHAR(10)&amp;"• Vanna not aligned (gDex rule)","")&amp;IF(AND(IFERROR(INDEX('Level Engine'!$LD$9:$LD$55,MATCH('King Node Model'!$AL$50,'Level Engine'!$AA$9:$AA$55,0)),0)=1,$CZ53=""),CHAR(10)&amp;"UNSAFE·Level at risk"&amp;CHAR(10)&amp;"• Max Gamma support, not Max/Min GEX — fails ~66% of the time in positive gamma","")&amp;IF(AND(IFERROR(INDEX('Level Engine'!$LE$9:$LE$55,MATCH('King Node Model'!$AL$50,'Level Engine'!$AA$9:$AA$55,0)),0)=1,$CZ53=""),CHAR(10)&amp;"UNSAFE·Level at risk"&amp;CHAR(10)&amp;"• Resistance leaks · Max Gamma fails as resistance ~50% of the time","")&amp;IF(AND(IFERROR(INDEX('Level Engine'!$MH$9:$MH$55,MATCH('King Node Model'!$AL$50,'Level Engine'!$AA$9:$AA$55,0)),0)=1,$CZ53=""),CHAR(10)&amp;"UNSAFE·Level at risk"&amp;CHAR(10)&amp;IFERROR(INDEX('Level Engine'!$MI$9:$MI$55,MATCH('King Node Model'!$AL$50,'Level Engine'!$AA$9:$AA$55,0)),""),"")&amp;IF(IFERROR(INDEX('Level Engine'!$KK$9:$KK$55,MATCH('King Node Model'!$AL$50,'Level Engine'!$AA$9:$AA$55,0)),0)=1,CHAR(10)&amp;"UNSAFE·Level at risk"&amp;CHAR(10)&amp;"• Data incomplete — option chain not fully loaded at or next to this strike","")&amp;IF($CQ53&lt;&gt;"",CHAR(10)&amp;$CQ53,"")&amp;IF($CP53&lt;&gt;"",CHAR(10)&amp;$CP53,"")&amp;IF($CR53&lt;&gt;"",CHAR(10)&amp;$CR53,"")&amp;IF($CS53&lt;&gt;"",CHAR(10)&amp;$CS53,"")&amp;IF($CT53&lt;&gt;"",CHAR(10)&amp;$CT53,"")&amp;IF($CU53&lt;&gt;"",CHAR(10)&amp;$CU53,"")&amp;IF($CV53&lt;&gt;"",CHAR(10)&amp;$CV53,"")&amp;IF($CW53&lt;&gt;"",CHAR(10)&amp;$CW53,"")&amp;IF($CX53&lt;&gt;"",CHAR(10)&amp;$CX53,"")&amp;IF($CY53&lt;&gt;"",CHAR(10)&amp;$CY53,"")&amp;IF($DA53&lt;&gt;"",CHAR(10)&amp;$DA53,"")&amp;IF($DC53&lt;&gt;"",CHAR(10)&amp;$DC53,"")&amp;IF($DD53&lt;&gt;"",CHAR(10)&amp;$DD53,""))),"UNSAFE·Level at risk"&amp;CHAR(10),"")&amp;MID(SUBSTITUTE(SUBSTITUTE(IF(IFERROR(INDEX('Level Engine'!$IS$9:$IS$55,MATCH('King Node Model'!$AL$50,'Level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Model'!$AL$50,'Level Engine'!$AA$9:$AA$55,0)),0)=1,CHAR(10)&amp;"UNSAFE·Level at risk"&amp;CHAR(10)&amp;"• Vanna flat at the level — IV not moving, no dealer flow behind it","")&amp;IF(OR(AND(IFERROR(INDEX('Level Engine'!$KR$9:$KR$55,MATCH('King Node Model'!$AL$50,'Level Engine'!$AA$9:$AA$55,0)),0)=1,$CZ53=""),IFERROR(INDEX('Level Engine'!$KS$9:$KS$55,MATCH('King Node Model'!$AL$50,'Level Engine'!$AA$9:$AA$55,0)),0)=1),CHAR(10)&amp;"UNSAFE·Level at risk"&amp;CHAR(10)&amp;"• Vanna not aligned (gDex rule)","")&amp;IF(AND(IFERROR(INDEX('Level Engine'!$LD$9:$LD$55,MATCH('King Node Model'!$AL$50,'Level Engine'!$AA$9:$AA$55,0)),0)=1,$CZ53=""),CHAR(10)&amp;"UNSAFE·Level at risk"&amp;CHAR(10)&amp;"• Max Gamma support, not Max/Min GEX — fails ~66% of the time in positive gamma","")&amp;IF(AND(IFERROR(INDEX('Level Engine'!$LE$9:$LE$55,MATCH('King Node Model'!$AL$50,'Level Engine'!$AA$9:$AA$55,0)),0)=1,$CZ53=""),CHAR(10)&amp;"UNSAFE·Level at risk"&amp;CHAR(10)&amp;"• Resistance leaks · Max Gamma fails as resistance ~50% of the time","")&amp;IF(AND(IFERROR(INDEX('Level Engine'!$MH$9:$MH$55,MATCH('King Node Model'!$AL$50,'Level Engine'!$AA$9:$AA$55,0)),0)=1,$CZ53=""),CHAR(10)&amp;"UNSAFE·Level at risk"&amp;CHAR(10)&amp;IFERROR(INDEX('Level Engine'!$MI$9:$MI$55,MATCH('King Node Model'!$AL$50,'Level Engine'!$AA$9:$AA$55,0)),""),"")&amp;IF(IFERROR(INDEX('Level Engine'!$KK$9:$KK$55,MATCH('King Node Model'!$AL$50,'Level Engine'!$AA$9:$AA$55,0)),0)=1,CHAR(10)&amp;"UNSAFE·Level at risk"&amp;CHAR(10)&amp;"• Data incomplete — option chain not fully loaded at or next to this strike","")&amp;IF($CQ53&lt;&gt;"",CHAR(10)&amp;$CQ53,"")&amp;IF($CP53&lt;&gt;"",CHAR(10)&amp;$CP53,"")&amp;IF($CR53&lt;&gt;"",CHAR(10)&amp;$CR53,"")&amp;IF($CS53&lt;&gt;"",CHAR(10)&amp;$CS53,"")&amp;IF($CT53&lt;&gt;"",CHAR(10)&amp;$CT53,"")&amp;IF($CU53&lt;&gt;"",CHAR(10)&amp;$CU53,"")&amp;IF($CV53&lt;&gt;"",CHAR(10)&amp;$CV53,"")&amp;IF($CW53&lt;&gt;"",CHAR(10)&amp;$CW53,"")&amp;IF($CX53&lt;&gt;"",CHAR(10)&amp;$CX53,"")&amp;IF($CY53&lt;&gt;"",CHAR(10)&amp;$CY53,"")&amp;IF($DA53&lt;&gt;"",CHAR(10)&amp;$DA53,"")&amp;IF($DC53&lt;&gt;"",CHAR(10)&amp;$DC53,"")&amp;IF($DD53&lt;&gt;"",CHAR(10)&amp;$DD53,""),"UNSAFE·Level at risk"&amp;CHAR(10),""),CHAR(10)&amp;CHAR(10),CHAR(10)),2,32000))</f>
        <v>UNSAFE·Level at risk
EXEMPT·buy-lean max node — border suppressed
• Vanna SELL on arrival — IV still rising, dealers sell into this level</v>
      </c>
      <c r="DC53" t="str">
        <f>IF($E53="","",IF(IFERROR(INDEX('Level Engine'!$KT$9:$KT$55,MATCH('King Node Model'!$AL$50,'Level Engine'!$AA$9:$AA$55,0)),0)=1,"UNSAFE·Level at risk"&amp;CHAR(10)&amp;"• DEX draining · "&amp;TEXT(IFERROR(INDEX('Level Engine'!$AE$9:$AE$55,MATCH('King Node Model'!$AL$50,'Level Engine'!$AA$9:$AA$55,0)),0)/1000,"+#,##0;-#,##0")&amp;"K, down 50%+ in the last few minutes"&amp;CHAR(10)&amp;"• VEX weak · "&amp;TEXT(IFERROR(INDEX('Level Engine'!$AD$9:$AD$55,MATCH('King Node Model'!$AL$50,'Level Engine'!$AA$9:$AA$55,0)),0)/1000,"+#,##0;-#,##0")&amp;"K"&amp;CHAR(10)&amp;"• The level's cushion is going",""))</f>
        <v/>
      </c>
      <c r="DD53" t="str">
        <f>IF($E53="","",IF(IFERROR(INDEX('Level Engine'!$JU$9:$JU$55,MATCH('King Node Model'!$AL$50,'Level Engine'!$AA$9:$AA$55,0)),0)=1,"UNSAFE·Level at risk"&amp;CHAR(10)&amp;"• dEdge Cliff: DEX falls off at "&amp;TEXT('King Node Model'!$AL$50,"0")&amp;" ("&amp;TEXT((IFERROR(INDEX('Level Engine'!$AE$9:$AE$55,MATCH('King Node Model'!$AL$50,'Level Engine'!$AA$9:$AA$55,0)),0))/1000,"+#,##0;-#,##0")&amp;"K"&amp;", vs "&amp;TEXT((IFERROR(INDEX('Level Engine'!$AE$9:$AE$55,MATCH(IF(IFERROR(INDEX('Level Engine'!$AG$9:$AG$55,MATCH('King Node Model'!$AL$50,'Level Engine'!$AA$9:$AA$55,0)),"S")="R",'King Node Model'!$AL$50-5,'King Node Model'!$AL$50+5),'Level Engine'!$AA$9:$AA$55,0)),0))/1000,"+#,##0;-#,##0")&amp;"K"&amp;" at "&amp;TEXT(IF(IFERROR(INDEX('Level Engine'!$AG$9:$AG$55,MATCH('King Node Model'!$AL$50,'Level Engine'!$AA$9:$AA$55,0)),"S")="R",'King Node Model'!$AL$50-5,'King Node Model'!$AL$50+5),"0")&amp;")"&amp;CHAR(10)&amp;"• Positive gamma, positive GEX at the strike: cliffs break more than they hold"&amp;CHAR(10)&amp;"• Next DEX cushion "&amp;TEXT(IF(ABS(IFERROR(INDEX('Level Engine'!$AE$9:$AE$55,MATCH(IF(IFERROR(INDEX('Level Engine'!$AG$9:$AG$55,MATCH('King Node Model'!$AL$50,'Level Engine'!$AA$9:$AA$55,0)),"S")="R",'King Node Model'!$AL$50+5,'King Node Model'!$AL$50-5),'Level Engine'!$AA$9:$AA$55,0)),0))&gt;=ABS(IFERROR(INDEX('Level Engine'!$AE$9:$AE$55,MATCH(IF(IFERROR(INDEX('Level Engine'!$AG$9:$AG$55,MATCH('King Node Model'!$AL$50,'Level Engine'!$AA$9:$AA$55,0)),"S")="R",'King Node Model'!$AL$50+10,'King Node Model'!$AL$50-10),'Level Engine'!$AA$9:$AA$55,0)),0)),IF(IFERROR(INDEX('Level Engine'!$AG$9:$AG$55,MATCH('King Node Model'!$AL$50,'Level Engine'!$AA$9:$AA$55,0)),"S")="R",'King Node Model'!$AL$50+5,'King Node Model'!$AL$50-5),IF(IFERROR(INDEX('Level Engine'!$AG$9:$AG$55,MATCH('King Node Model'!$AL$50,'Level Engine'!$AA$9:$AA$55,0)),"S")="R",'King Node Model'!$AL$50+10,'King Node Model'!$AL$50-10)),"0")&amp;" ("&amp;TEXT((IFERROR(INDEX('Level Engine'!$AE$9:$AE$55,MATCH(IF(ABS(IFERROR(INDEX('Level Engine'!$AE$9:$AE$55,MATCH(IF(IFERROR(INDEX('Level Engine'!$AG$9:$AG$55,MATCH('King Node Model'!$AL$50,'Level Engine'!$AA$9:$AA$55,0)),"S")="R",'King Node Model'!$AL$50+5,'King Node Model'!$AL$50-5),'Level Engine'!$AA$9:$AA$55,0)),0))&gt;=ABS(IFERROR(INDEX('Level Engine'!$AE$9:$AE$55,MATCH(IF(IFERROR(INDEX('Level Engine'!$AG$9:$AG$55,MATCH('King Node Model'!$AL$50,'Level Engine'!$AA$9:$AA$55,0)),"S")="R",'King Node Model'!$AL$50+10,'King Node Model'!$AL$50-10),'Level Engine'!$AA$9:$AA$55,0)),0)),IF(IFERROR(INDEX('Level Engine'!$AG$9:$AG$55,MATCH('King Node Model'!$AL$50,'Level Engine'!$AA$9:$AA$55,0)),"S")="R",'King Node Model'!$AL$50+5,'King Node Model'!$AL$50-5),IF(IFERROR(INDEX('Level Engine'!$AG$9:$AG$55,MATCH('King Node Model'!$AL$50,'Level Engine'!$AA$9:$AA$55,0)),"S")="R",'King Node Model'!$AL$50+10,'King Node Model'!$AL$50-10)),'Level Engine'!$AA$9:$AA$55,0)),0))/1000,"+#,##0;-#,##0")&amp;"K"&amp;")",""))</f>
        <v/>
      </c>
      <c r="DE53" t="str">
        <f>SUBSTITUTE($K53,CHAR(10)&amp;IFERROR(INDEX('Level Engine'!$KE$9:$KE$55,MATCH(--LEFT($E53,4),'Level Engine'!$AA$9:$AA$55,0)),"~"),"")</f>
        <v>7770 ACCEL fading · Neg gamma ↓ (firmer support) (r1)</v>
      </c>
      <c r="DF53" t="str">
        <f>IF(AND($E53&lt;&gt;"",N(IFERROR(INDEX('Level Engine'!$KM$9:$KM$55,MATCH('King Node Model'!$AL$50,'Level Engine'!$AA$9:$AA$55,0)),""))=1,N(IFERROR(INDEX('Level Engine'!$KK$9:$KK$55,MATCH('King Node Model'!$AL$50,'Level Engine'!$AA$9:$AA$55,0)),""))&lt;&gt;1),"SAFE·Level safe — put wall + Max Zomma + DOM"&amp;IF(IFERROR(INDEX('Level Engine'!$KI$9:$KI$55,MATCH('King Node Model'!$AL$50,'Level Engine'!$AA$9:$AA$55,0)),"")&lt;&gt;"",CHAR(10)&amp;"• Overridden: "&amp;SUBSTITUTE(SUBSTITUTE(SUBSTITUTE(SUBSTITUTE(SUBSTITUTE(SUBSTITUTE(SUBSTITUTE(SUBSTITUTE(SUBSTITUTE(SUBSTITUTE(SUBSTITUTE(SUBSTITUTE(SUBSTITUTE(SUBSTITUTE(SUBSTITUTE(SUBSTITUTE(SUBSTITUTE(TRIM(IFERROR(INDEX('Level Engine'!$KI$9:$KI$55,MATCH('King Node Model'!$AL$50,'Level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53" t="str">
        <f>IF($E53="","",IF(IFERROR(INDEX('Level Engine'!$KX$9:$KX$55,MATCH('King Node Model'!$AL$50,'Level Engine'!$AA$9:$AA$55,0)),0)=1,"• "&amp;IF(IFERROR(INDEX('Level Engine'!$KW$9:$KW$55,MATCH('King Node Model'!$AL$50,'Level Engine'!$AA$9:$AA$55,0)),0)=1,"DEX falls off above ("&amp;TEXT(IFERROR(INDEX('Level Engine'!$KU$9:$KU$55,MATCH('King Node Model'!$AL$50,'Level Engine'!$AA$9:$AA$55,0)),0),"0%")&amp;") more sharply than below ("&amp;TEXT(IFERROR(INDEX('Level Engine'!$KV$9:$KV$55,MATCH('King Node Model'!$AL$50,'Level Engine'!$AA$9:$AA$55,0)),0),"0%")&amp;"), but "&amp;TEXT('King Node Model'!$AL$50-5,"0")&amp;" below is a reversal level with more DEX","DEX falls off below ("&amp;TEXT(IFERROR(INDEX('Level Engine'!$KV$9:$KV$55,MATCH('King Node Model'!$AL$50,'Level Engine'!$AA$9:$AA$55,0)),0),"0%")&amp;") more sharply than above ("&amp;TEXT(IFERROR(INDEX('Level Engine'!$KU$9:$KU$55,MATCH('King Node Model'!$AL$50,'Level Engine'!$AA$9:$AA$55,0)),0),"0%")&amp;"), but "&amp;TEXT('King Node Model'!$AL$50+5,"0")&amp;" above is a reversal level with more DEX")&amp;" — DEX lean warning not applied",IF(IFERROR(INDEX('Level Engine'!$KZ$9:$KZ$55,MATCH('King Node Model'!$AL$50,'Level Engine'!$AA$9:$AA$55,0)),0)=1,"• DEX falls off more sharply above ("&amp;TEXT(IFERROR(INDEX('Level Engine'!$KU$9:$KU$55,MATCH('King Node Model'!$AL$50,'Level Engine'!$AA$9:$AA$55,0)),0),"0%")&amp;") than below ("&amp;TEXT(IFERROR(INDEX('Level Engine'!$KV$9:$KV$55,MATCH('King Node Model'!$AL$50,'Level Engine'!$AA$9:$AA$55,0)),0),"0%")&amp;") — clean bounces less likely in positive gamma · however DEX supportive","")))</f>
        <v/>
      </c>
      <c r="DH53" t="str">
        <f>IF($DF53&lt;&gt;"",$DF53,(IF(AND($E53&lt;&gt;"",$DB53="",N(IFERROR(INDEX('Level Engine'!$JI$9:$JI$55,MATCH('King Node Model'!$AL$50,'Level Engine'!$AA$9:$AA$55,0)),""))=1),"SAFE·Level safe — all backers confirmed"&amp;CHAR(10)&amp;"• Reversal"&amp;IF(ISNUMBER(SEARCH("chop edge",$E53))," (chop edge)","")&amp;" ✓ · Vanna "&amp;IFERROR(INDEX('Level Engine'!$JV$9:$JV$55,MATCH('King Node Model'!$AL$50,'Level Engine'!$AA$9:$AA$55,0)),"")&amp;" on arrival ✓ · DEX "&amp;TEXT(N(IFERROR(INDEX('Level Engine'!$AE$9:$AE$55,MATCH('King Node Model'!$AL$50,'Level Engine'!$AA$9:$AA$55,0)),""))/1000,"+0;-0")&amp;"K ✓"&amp;IF(IFERROR(INDEX('Level Engine'!$KI$9:$KI$55,MATCH('King Node Model'!$AL$50,'Level Engine'!$AA$9:$AA$55,0)),"")&lt;&gt;"",CHAR(10)&amp;"• Overridden: "&amp;SUBSTITUTE(SUBSTITUTE(SUBSTITUTE(SUBSTITUTE(SUBSTITUTE(SUBSTITUTE(SUBSTITUTE(SUBSTITUTE(SUBSTITUTE(SUBSTITUTE(TRIM(IFERROR(INDEX('Level Engine'!$KI$9:$KI$55,MATCH('King Node Model'!$AL$50,'Level Engine'!$AA$9:$AA$55,0)),""))," "," · "),"HIGHIVFALL","IV High + ATM IV falling (melt-up risk)"),"LOWIVFALL","Low IV + ATM IV falling"),"CHOPEDGEIV","chop-edge IV"),"AMPLIFY","gamma peak"),"TROUGH","trough"),"SANDWICH","sandwich"),"BUMP","speed bump"),"ZACCEL","zomma ACCEL"),"EDGE","γSh edge"),""),IF(AND($E53&lt;&gt;"",$DB53="",IFERROR(INDEX('Level Engine'!$JS$9:$JS$55,MATCH('King Node Model'!$AL$50,'Level Engine'!$AA$9:$AA$55,0)),0)=1),"SAFE·Level is safe"&amp;CHAR(10)&amp;"• Positive gamma · GEX "&amp;TEXT(IFERROR(INDEX('Level Engine'!$AB$9:$AB$55,MATCH('King Node Model'!$AL$50,'Level Engine'!$AA$9:$AA$55,0)),0)/1000000,"+0.00;-0.00")&amp;"M"&amp;IF(IFERROR(INDEX('Level Engine'!$AB$9:$AB$55,MATCH('King Node Model'!$AL$50,'Level Engine'!$AA$9:$AA$55,0)),0)=MAX('Level Engine'!$AB$9:$AB$55),", largest on board","")&amp;CHAR(10)&amp;"• Zomma "&amp;TEXT(IFERROR(INDEX('Level Engine'!$AF$9:$AF$55,MATCH('King Node Model'!$AL$50,'Level Engine'!$AA$9:$AA$55,0)),0)/1000000,"+0.0;-0.0")&amp;"M, largest on board · "&amp;IF(IFERROR(INDEX('Level Engine'!$AF$9:$AF$55,MATCH('King Node Model'!$AL$50,'Level Engine'!$AA$9:$AA$55,0)),0)&lt;0,"falling","rising")&amp;" IV strengthens gamma"&amp;IF(IFERROR(INDEX('Level Engine'!$IY$9:$IY$55,MATCH('King Node Model'!$AL$50,'Level Engine'!$AA$9:$AA$55,0)),"")="SELL",CHAR(10)&amp;"• Vanna SELL "&amp;TEXT(IFERROR(INDEX('Level Engine'!$AD$9:$AD$55,MATCH('King Node Model'!$AL$50,'Level Engine'!$AA$9:$AA$55,0)),0)/1000000,"+0.00;-0.00")&amp;"M outweighed while IV "&amp;IF(IFERROR(INDEX('Level Engine'!$AF$9:$AF$55,MATCH('King Node Model'!$AL$50,'Level Engine'!$AA$9:$AA$55,0)),0)&lt;0,"falls","rises"),"")&amp;IF(N(IFERROR(INDEX('Level Engine'!$JF$9:$JF$55,MATCH('King Node Model'!$AL$50,'Level Engine'!$AA$9:$AA$55,0)),0))&gt;N(IFERROR(INDEX('Level Engine'!$JE$9:$JE$55,MATCH('King Node Model'!$AL$50,'Level Engine'!$AA$9:$AA$55,0)),0)),CHAR(10)&amp;"• Call-heavy · "&amp;TEXT(IFERROR(INDEX('Level Engine'!$JF$9:$JF$55,MATCH('King Node Model'!$AL$50,'Level Engine'!$AA$9:$AA$55,0)),0),"#,##0")&amp;" calls vs "&amp;TEXT(IFERROR(INDEX('Level Engine'!$JE$9:$JE$55,MATCH('King Node Model'!$AL$50,'Level Engine'!$AA$9:$AA$55,0)),0),"#,##0")&amp;" puts",""),$DB53)))&amp;IF(AND($E53&lt;&gt;"",$DB53="",OR('King Node Model'!$A$8&lt;&gt;"Pos",N('Level Engine'!$BG$72)=1),IFERROR(INDEX('Level Engine'!$HM$9:$HM$55,MATCH('King Node Model'!$AL$50,'Level Engine'!$AA$9:$AA$55,0)),0)=1,IFERROR(INDEX('Level Engine'!$JO$9:$JO$55,MATCH('King Node Model'!$AL$50,'Level Engine'!$AA$9:$AA$55,0)),0)&lt;&gt;1),IF(AND($DB53="",N(IFERROR(INDEX('Level Engine'!$JI$9:$JI$55,MATCH('King Node Model'!$AL$50,'Level Engine'!$AA$9:$AA$55,0)),0))&lt;&gt;1),"SAFE·Level safe"&amp;CHAR(10),CHAR(10))&amp;"• Trough · weak bounce — positive-gamma rule, not applied in negative/fragile gamma","")&amp;IF(AND($E53&lt;&gt;"",$DB53="",ISNUMBER('King Node Model'!$AL$50),OR('King Node Model'!$A$8="Neg",N('Level Engine'!$BG$72)=1),ABS(N('King Node Model'!$AL$50)-'Level Engine'!$B$4)&gt;'Level Engine'!$BG$98,OR('King Node Model'!$AL$50='Level Engine'!$BG$105,'King Node Model'!$AL$50='Level Engine'!$BG$87)),IF(AND($DB53="",N(IFERROR(INDEX('Level Engine'!$JI$9:$JI$55,MATCH('King Node Model'!$AL$50,'Level Engine'!$AA$9:$AA$55,0)),0))&lt;&gt;1,NOT(AND($E53&lt;&gt;"",$DB53="",OR('King Node Model'!$A$8&lt;&gt;"Pos",N('Level Engine'!$BG$72)=1),IFERROR(INDEX('Level Engine'!$HM$9:$HM$55,MATCH('King Node Model'!$AL$50,'Level Engine'!$AA$9:$AA$55,0)),0)=1,IFERROR(INDEX('Level Engine'!$JO$9:$JO$55,MATCH('King Node Model'!$AL$50,'Level Engine'!$AA$9:$AA$55,0)),0)&lt;&gt;1))),"SAFE·Level safe"&amp;CHAR(10),CHAR(10))&amp;"• ζ "&amp;IF('King Node Model'!$AL$50='Level Engine'!$BG$105,"Max Zomma: zomma read as IV rising","Min Zomma: zomma read as IV falling")&amp;" on arrival (Max/Min rule)",""))</f>
        <v>UNSAFE·Level at risk
EXEMPT·buy-lean max node — border suppressed
• Vanna SELL on arrival — IV still rising, dealers sell into this level</v>
      </c>
      <c r="DI53" t="str">
        <f>IF(AND(AND('King Node Model'!$A$8="Pos",IFERROR(IFERROR(INDEX('Level Engine'!$CZ$9:$CZ$55,MATCH('King Node Model'!$AL$50,'Level Engine'!$AA$9:$AA$55,0)),0)=1,FALSE),N(IFERROR(INDEX('Level Engine'!$AB$9:$AB$55,MATCH('King Node Model'!$AL$50,'Level Engine'!$AA$9:$AA$55,0)),0))&lt;0),NOT(ISNUMBER(SEARCH("REVERSAL",((IF($E53="","",'King Node Model'!Y50))&amp;IF(AND($E53&lt;&gt;"",IFERROR(INDEX('Level Engine'!$JR$9:$JR$55,MATCH('King Node Model'!$AL$50,'Level Engine'!$AA$9:$AA$55,0)),0)=1),"  · vanna-latched","")))))),"REVERSAL · ","")&amp;SUBSTITUTE(SUBSTITUTE(SUBSTITUTE(SUBSTITUTE(((IF($E53="","",'King Node Model'!Y50))&amp;IF(AND($E53&lt;&gt;"",IFERROR(INDEX('Level Engine'!$JR$9:$JR$55,MATCH('King Node Model'!$AL$50,'Level Engine'!$AA$9:$AA$55,0)),0)=1),"  · vanna-latched","")),"dEdge Cliff",IF(AND('King Node Model'!$A$8="Pos",IFERROR(IFERROR(INDEX('Level Engine'!$CZ$9:$CZ$55,MATCH('King Node Model'!$AL$50,'Level Engine'!$AA$9:$AA$55,0)),0)=1,FALSE),N(IFERROR(INDEX('Level Engine'!$AB$9:$AB$55,MATCH('King Node Model'!$AL$50,'Level Engine'!$AA$9:$AA$55,0)),0))&lt;0),"Put Wall · dEdge Cliff","dEdge Cliff"))," · accelerates",IF(AND('King Node Model'!$A$8="Pos",IFERROR(IFERROR(INDEX('Level Engine'!$CZ$9:$CZ$55,MATCH('King Node Model'!$AL$50,'Level Engine'!$AA$9:$AA$55,0)),0)=1,FALSE),N(IFERROR(INDEX('Level Engine'!$AB$9:$AB$55,MATCH('King Node Model'!$AL$50,'Level Engine'!$AA$9:$AA$55,0)),0))&lt;0),""," · accelerates")),"REVERSAL · ",IF(AND('King Node Model'!$A$8="Pos",IFERROR(IFERROR(INDEX('Level Engine'!$CZ$9:$CZ$55,MATCH('King Node Model'!$AL$50,'Level Engine'!$AA$9:$AA$55,0)),0)=1,FALSE),N(IFERROR(INDEX('Level Engine'!$AB$9:$AB$55,MATCH('King Node Model'!$AL$50,'Level Engine'!$AA$9:$AA$55,0)),0))&gt;0,N('Level Engine'!$BG$109)=1),"","REVERSAL · ")),"REVERSAL",IF(AND('King Node Model'!$A$8="Pos",IFERROR(IFERROR(INDEX('Level Engine'!$CZ$9:$CZ$55,MATCH('King Node Model'!$AL$50,'Level Engine'!$AA$9:$AA$55,0)),0)=1,FALSE),N(IFERROR(INDEX('Level Engine'!$AB$9:$AB$55,MATCH('King Node Model'!$AL$50,'Level Engine'!$AA$9:$AA$55,0)),0))&gt;0,N('Level Engine'!$BG$109)=1),"","REVERSAL"))</f>
        <v>REVERSAL · DOM · accelerates</v>
      </c>
      <c r="DK53" t="str">
        <f>IF(AND(ISNUMBER($AL53),OR($AL53='King Node Model'!$AL$42,$AL53='King Node Model'!$AL$43,$AL53='King Node Model'!$AL$44)),IFERROR(MATCH($AL53,'Level Engine'!$W$9:$W$14,0),""),"")</f>
        <v/>
      </c>
      <c r="DL53" t="str">
        <f>IF(AND(ISNUMBER($AL53),OR($AL53='King Node Model'!$AL$49,$AL53='King Node Model'!$AL$50,$AL53='King Node Model'!$AL$51)),IFERROR(MATCH($AL53,'Level Engine'!$W$18:$W$23,0),""),"")</f>
        <v/>
      </c>
      <c r="DM53">
        <f>IF(AND(ISNUMBER($AL53),IFERROR(INDEX('Level Engine'!$LC$9:$LC$55,MATCH($AL53,'Level Engine'!$AA$9:$AA$55,0)),0)=1,OR($AL53=$AN$3,IFERROR(INDEX('Level Engine'!$LB$9:$LB$55,MATCH($AL53,'Level Engine'!$AA$9:$AA$55,0)),0)=1)),1,0)</f>
        <v>0</v>
      </c>
      <c r="DN53" t="str">
        <f>IFERROR(CHOOSE(INDEX('Level Engine'!$LM$9:$LM$55,MATCH('King Node Model'!$AL$50,'Level Engine'!$AA$9:$AA$55,0))+1,"","TAKE PROFIT · DON'T BUY"&amp;INDEX('Level Engine'!$LQ$9:$LQ$55,MATCH('King Node Model'!$AL$50,'Level Engine'!$AA$9:$AA$55,0)),"TAKE PROFIT · DON'T SHORT"&amp;INDEX('Level Engine'!$LQ$9:$LQ$55,MATCH('King Node Model'!$AL$50,'Level Engine'!$AA$9:$AA$55,0))),"")</f>
        <v/>
      </c>
      <c r="DO53" t="str">
        <f>IF(AND($DV53&lt;&gt;"",$DB53=""),IF(LEFT($DX53,4)="SAFE",$DX53&amp;CHAR(10)&amp;$DV53,IF($DX53="","SAFE·Level safe"&amp;CHAR(10)&amp;$DV53,$DX53&amp;CHAR(10)&amp;$DV53)),$DX53)</f>
        <v>UNSAFE·Level at risk
EXEMPT·buy-lean max node — border suppressed
• Vanna SELL on arrival — IV still rising, dealers sell into this level</v>
      </c>
      <c r="DP53" t="str">
        <f>IFERROR(IF(AND(INDEX('Level Engine'!$LR$9:$LR$55,MATCH('King Node Model'!$AL$50,'Level Engine'!$AA$9:$AA$55,0))=1,INDEX('Level Engine'!$HP$9:$HP$55,MATCH('King Node Model'!$AL$50,'Level Engine'!$AA$9:$AA$55,0))&lt;&gt;1),"• Next to sandwich "&amp;IF(IFERROR(INDEX('Level Engine'!$EU$9:$EU$55,MATCH('King Node Model'!$AL$50+5,'Level Engine'!$AA$9:$AA$55,0)),0)=1,'King Node Model'!$AL$50+5,'King Node Model'!$AL$50-5)&amp;" · zomma "&amp;TEXT(INDEX('Level Engine'!$AF$9:$AF$55,MATCH('King Node Model'!$AL$50,'Level Engine'!$AA$9:$AA$55,0))/1000000,"+0.0")&amp;"M ✓"&amp;CHAR(10)&amp;"• Sandwich support: no-reversal warning doesn't apply"&amp;IF(IFERROR(INDEX('Level Engine'!$MB$9:$MB$55,MATCH('King Node Model'!$AL$50,'Level Engine'!$AA$9:$AA$55,0)),0)=1,CHAR(10)&amp;"• HELD — SAND✓ lock: keeps its row until a 3-pt break or +5 pts"&amp;IF(IFERROR(INDEX('Level Engine'!$JV$9:$JV$55,MATCH('King Node Model'!$AL$50,'Level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Model'!$AL$50,'Level Engine'!$AA$9:$AA$55,0)),""))),CHAR(10)&amp;"• Zomma ACCEL building (held through the lock)",""),""),""),"")</f>
        <v/>
      </c>
      <c r="DQ53" t="str">
        <f>IF($DN53="",$DP53,IF($DP53="",$DN53,$DN53&amp;CHAR(10)&amp;$DP53))</f>
        <v/>
      </c>
      <c r="DR53" t="str">
        <f>IF(IFERROR(INDEX('Level Engine'!$MS$9:$MS$55,MATCH('King Node Model'!$AL$50,'Level Engine'!$AA$9:$AA$55,0)),"")="",IFERROR(IF(INDEX('Level Engine'!$LS$9:$LS$55,MATCH('King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Engine'!$AA$9:$AA$55,0))/1000000,"+0.00;-0.00")&amp;"M — needs ≥ "&amp;TEXT('Level Engine'!$BG$144/1000000,"0.0")&amp;"M, not a SAND✓ level",IF(AND(INDEX('Level Engine'!$LR$9:$LR$55,MATCH('King Node Model'!$AL$50,'Level Engine'!$AA$9:$AA$55,0))=1,INDEX('Level Engine'!$HP$9:$HP$55,MATCH('King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Engine'!$AA$9:$AA$55,0))/1000000,"+0.0;-0.0")&amp;"M — SAND✓ but overridden by the warnings listed above","")),""),IF((IFERROR(IF(INDEX('Level Engine'!$LS$9:$LS$55,MATCH('King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Engine'!$AA$9:$AA$55,0))/1000000,"+0.00;-0.00")&amp;"M — needs ≥ "&amp;TEXT('Level Engine'!$BG$144/1000000,"0.0")&amp;"M, not a SAND✓ level",IF(AND(INDEX('Level Engine'!$LR$9:$LR$55,MATCH('King Node Model'!$AL$50,'Level Engine'!$AA$9:$AA$55,0))=1,INDEX('Level Engine'!$HP$9:$HP$55,MATCH('King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Engine'!$AA$9:$AA$55,0))/1000000,"+0.0;-0.0")&amp;"M — SAND✓ but overridden by the warnings listed above","")),""))="",IFERROR(INDEX('Level Engine'!$MS$9:$MS$55,MATCH('King Node Model'!$AL$50,'Level Engine'!$AA$9:$AA$55,0)),""),(IFERROR(IF(INDEX('Level Engine'!$LS$9:$LS$55,MATCH('King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Engine'!$AA$9:$AA$55,0))/1000000,"+0.00;-0.00")&amp;"M — needs ≥ "&amp;TEXT('Level Engine'!$BG$144/1000000,"0.0")&amp;"M, not a SAND✓ level",IF(AND(INDEX('Level Engine'!$LR$9:$LR$55,MATCH('King Node Model'!$AL$50,'Level Engine'!$AA$9:$AA$55,0))=1,INDEX('Level Engine'!$HP$9:$HP$55,MATCH('King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Engine'!$AA$9:$AA$55,0))/1000000,"+0.0;-0.0")&amp;"M — SAND✓ but overridden by the warnings listed above","")),""))&amp;CHAR(10)&amp;IFERROR(INDEX('Level Engine'!$MS$9:$MS$55,MATCH('King Node Model'!$AL$50,'Level Engine'!$AA$9:$AA$55,0)),"")))</f>
        <v/>
      </c>
      <c r="DS53" t="str">
        <f>IF($DQ53="",$DO53,IF(LEFT($DO53,4)="SAFE",LEFT($DO53,FIND(CHAR(10),$DO53&amp;CHAR(10))-1)&amp;CHAR(10)&amp;$DQ53&amp;MID($DO53,FIND(CHAR(10),$DO53&amp;CHAR(10)),9999),IF(AND($DO53="",$DP53&lt;&gt;""),"SAFE·Level safe"&amp;CHAR(10)&amp;$DQ53,$DQ53&amp;CHAR(10)&amp;$DO53)))</f>
        <v>UNSAFE·Level at risk
EXEMPT·buy-lean max node — border suppressed
• Vanna SELL on arrival — IV still rising, dealers sell into this level</v>
      </c>
      <c r="DU53" t="str">
        <f>IF(AND(N(IFERROR(INDEX('Level Engine'!$EX$9:$EX$55,MATCH('King Node Model'!$AL$50,'Level Engine'!$AA$9:$AA$55,0)),0))&lt;&gt;1,$E53&lt;&gt;"",NOT(AND('King Node Model'!$A$8&lt;&gt;"Neg",N('Level Engine'!$BG$72)&lt;&gt;1)),AND(OR(AND(ISNUMBER(IFERROR(INDEX('Level Engine'!$AC$9:$AC$55,MATCH('King Node Model'!$AL$50,'Level Engine'!$AA$9:$AA$55,0)),"")),IFERROR(INDEX('Level Engine'!$AC$9:$AC$55,MATCH('King Node Model'!$AL$50,'Level Engine'!$AA$9:$AA$55,0)),"")=MAX('Level Engine'!$AC$9:$AC$55)),AND(ISNUMBER(IFERROR(INDEX('Level Engine'!$AB$9:$AB$55,MATCH('King Node Model'!$AL$50,'Level Engine'!$AA$9:$AA$55,0)),"")),IFERROR(INDEX('Level Engine'!$AB$9:$AB$55,MATCH('King Node Model'!$AL$50,'Level Engine'!$AA$9:$AA$55,0)),"")=MIN('Level Engine'!$AB$9:$AB$55))),NOT(AND(AND(ISNUMBER(IFERROR(INDEX('Level Engine'!$AC$9:$AC$55,MATCH('King Node Model'!$AL$50,'Level Engine'!$AA$9:$AA$55,0)),"")),IFERROR(INDEX('Level Engine'!$AC$9:$AC$55,MATCH('King Node Model'!$AL$50,'Level Engine'!$AA$9:$AA$55,0)),"")=MAX('Level Engine'!$AC$9:$AC$55)),AND(ISNUMBER(IFERROR(INDEX('Level Engine'!$AB$9:$AB$55,MATCH('King Node Model'!$AL$50,'Level Engine'!$AA$9:$AA$55,0)),"")),IFERROR(INDEX('Level Engine'!$AB$9:$AB$55,MATCH('King Node Model'!$AL$50,'Level Engine'!$AA$9:$AA$55,0)),"")=MIN('Level Engine'!$AB$9:$AB$55)))),IFERROR(INDEX('Level Engine'!$AG$9:$AG$55,MATCH('King Node Model'!$AL$50,'Level Engine'!$AA$9:$AA$55,0)),"")="S",IFERROR(INDEX('Level Engine'!$AB$9:$AB$55,MATCH('King Node Model'!$AL$50,'Level Engine'!$AA$9:$AA$55,0)),0)&lt;0,NOT(OR('King Node Model'!$AL$50=$AN$16,'King Node Model'!$AL$50=$AN$17,'King Node Model'!$AL$50=$AN$18)),IFERROR(INDEX('Level Engine'!$JO$9:$JO$55,MATCH('King Node Model'!$AL$50,'Level Engine'!$AA$9:$AA$55,0)),0)&lt;&gt;1),AND(OR('King Node Model'!$A$8="Neg",N('Level Engine'!$BG$72)=1),ISNUMBER(IFERROR(INDEX('Level Engine'!$AB$9:$AB$55,MATCH('King Node Model'!$AL$50,'Level Engine'!$AA$9:$AA$55,0)),"")),IFERROR(INDEX('Level Engine'!$AB$9:$AB$55,MATCH('King Node Model'!$AL$50,'Level Engine'!$AA$9:$AA$55,0)),"")=MIN('Level Engine'!$AB$9:$AB$55),'King Node Model'!$AL$50='Level Engine'!$BG$105)),$DG53,$DG53)</f>
      </c>
      <c r="DV53" t="str">
        <f>IF(IFERROR(INDEX('Level Engine'!$MU$9:$MU$55,MATCH('King Node Model'!$AL$50,'Level Engine'!$AA$9:$AA$55,0)),"")="",$DU53,IFERROR(INDEX('Level Engine'!$MU$9:$MU$55,MATCH('King Node Model'!$AL$50,'Level Engine'!$AA$9:$AA$55,0)),"")&amp;IF($DU53="","",CHAR(10)&amp;$DU53))</f>
      </c>
      <c r="DX53" t="str">
        <f>IF(IFERROR(INDEX('Level Engine'!$MZ$9:$MZ$55,MATCH('King Node Model'!$AL$50,'Level Engine'!$AA$9:$AA$55,0)),"")="",$DH53,IF(OR($DH53="",LEFT($DH53,4)="SAFE"),"UNSAFE·Level at risk"&amp;CHAR(10)&amp;IFERROR(INDEX('Level Engine'!$MZ$9:$MZ$55,MATCH('King Node Model'!$AL$50,'Level Engine'!$AA$9:$AA$55,0)),""),IF(LEFT($DH53,6)="UNSAFE","UNSAFE·Level at risk"&amp;CHAR(10)&amp;IFERROR(INDEX('Level Engine'!$MZ$9:$MZ$55,MATCH('King Node Model'!$AL$50,'Level Engine'!$AA$9:$AA$55,0)),"")&amp;MID($DH53,FIND(CHAR(10),$DH53&amp;CHAR(10)),9999),IFERROR(INDEX('Level Engine'!$MZ$9:$MZ$55,MATCH('King Node Model'!$AL$50,'Level Engine'!$AA$9:$AA$55,0)),"")&amp;CHAR(10)&amp;$DH53)))</f>
      </c>
      <c r="EA53">
        <f>IF($E53="",0,IF(IFERROR(INDEX('Level Engine'!$NJ$9:$NJ$55,MATCH('King Node Model'!$AL$50,'Level Engine'!$AA$9:$AA$55,0)),0)=1,1,0))</f>
      </c>
    </row>
    <row r="54" spans="1:123" ht="120" customHeight="1" thickBot="1" x14ac:dyDescent="0.3">
      <c r="A54" s="7"/>
      <c r="B54" s="514"/>
      <c r="C54" s="9"/>
      <c r="E54" s="68" t="str">
        <f>((('King Node Model'!S51&amp;IFERROR(" ·s"&amp;MATCH('King Node Model'!$AL$51,'Level Engine'!$W$18:$W$23,0),""))&amp;$CM$54)&amp;IFERROR(IF(AND(ISNUMBER('King Node Model'!$AL$51),AND(ISNUMBER(MATCH('King Node Model'!$AL$51-5,'Level Engine'!$AA$9:$AA$55,0)),ABS(N(IFERROR(INDEX('Level Engine'!$AE$9:$AE$55,MATCH('King Node Model'!$AL$51-5,'Level Engine'!$AA$9:$AA$55,0)),0)))&lt;'Level Engine'!$BG$85,ABS(N(IFERROR(INDEX('Level Engine'!$AE$9:$AE$55,MATCH('King Node Model'!$AL$51-5,'Level Engine'!$AA$9:$AA$55,0)),0)))&lt;=ABS(N(IFERROR(INDEX('Level Engine'!$AE$9:$AE$55,MATCH(('King Node Model'!$AL$51-5)+5,'Level Engine'!$AA$9:$AA$55,0)),0))),ABS(N(IFERROR(INDEX('Level Engine'!$AE$9:$AE$55,MATCH('King Node Model'!$AL$51-5,'Level Engine'!$AA$9:$AA$55,0)),0)))&lt;=ABS(N(IFERROR(INDEX('Level Engine'!$AE$9:$AE$55,MATCH(('King Node Model'!$AL$51-5)-5,'Level Engine'!$AA$9:$AA$55,0)),0))),OR(AND(ABS(N(IFERROR(INDEX('Level Engine'!$AE$9:$AE$55,MATCH(('King Node Model'!$AL$51-5)+5,'Level Engine'!$AA$9:$AA$55,0)),0)))&gt;='Level Engine'!$BG$85,ABS(N(IFERROR(INDEX('Level Engine'!$AE$9:$AE$55,MATCH('King Node Model'!$AL$51-5,'Level Engine'!$AA$9:$AA$55,0)),0)))&lt;='Level Engine'!$BG$88*ABS(N(IFERROR(INDEX('Level Engine'!$AE$9:$AE$55,MATCH(('King Node Model'!$AL$51-5)+5,'Level Engine'!$AA$9:$AA$55,0)),0)))),AND(ABS(N(IFERROR(INDEX('Level Engine'!$AE$9:$AE$55,MATCH(('King Node Model'!$AL$51-5)-5,'Level Engine'!$AA$9:$AA$55,0)),0)))&gt;='Level Engine'!$BG$85,ABS(N(IFERROR(INDEX('Level Engine'!$AE$9:$AE$55,MATCH('King Node Model'!$AL$51-5,'Level Engine'!$AA$9:$AA$55,0)),0)))&lt;='Level Engine'!$BG$88*ABS(N(IFERROR(INDEX('Level Engine'!$AE$9:$AE$55,MATCH(('King Node Model'!$AL$51-5)-5,'Level Engine'!$AA$9:$AA$55,0)),0))))))),IF(AND('King Node Model'!$A$8="Pos",N('Level Engine'!$BG$72)&lt;&gt;1),""," → ∅"&amp;TEXT('King Node Model'!$AL$51-5,"0")),""),""))&amp;IF(IFERROR(AND('King Node Model'!$A$8="Pos",ISNUMBER('Level Engine'!$BG$87),ISNUMBER('King Node Model'!$AL$51),'King Node Model'!$AL$51='Level Engine'!$BG$87),FALSE)," ζ","")</f>
        <v/>
      </c>
      <c r="F54" s="69" t="str">
        <f>'King Node Model'!T51</f>
        <v/>
      </c>
      <c r="G54" s="70" t="str">
        <f>'King Node Model'!U51</f>
        <v/>
      </c>
      <c r="H54" s="71" t="str">
        <f>'King Node Model'!V51</f>
        <v/>
      </c>
      <c r="I54" s="72" t="str">
        <f>'King Node Model'!W51</f>
        <v/>
      </c>
      <c r="J54" s="71" t="str">
        <f>IF($E54="","",IFERROR(IF(OR(INDEX('Level Engine'!$IY$9:$IY$55,MATCH(--LEFT($E54,4),'Level Engine'!$AA$9:$AA$55,0))="SELL",INDEX('Level Engine'!$IY$9:$IY$55,MATCH(--LEFT($E54,4),'Level Engine'!$AA$9:$AA$55,0))="BUY"),IF(AND(N('Level Engine'!$BG$78)=1,IF('Level Engine'!$BG$80&lt;&gt;"",UPPER('Level Engine'!$BG$80),'Level Engine'!$D$5)="UP"),"TURNING",INDEX('Level Engine'!$IY$9:$IY$55,MATCH(--LEFT($E54,4),'Level Engine'!$AA$9:$AA$55,0)))&amp;" "&amp;IF(ABS(INDEX('Level Engine'!$AD$9:$AD$55,MATCH(--LEFT($E54,4),'Level Engine'!$AA$9:$AA$55,0)))&gt;=1000000,TEXT(INDEX('Level Engine'!$AD$9:$AD$55,MATCH(--LEFT($E54,4),'Level Engine'!$AA$9:$AA$55,0))/1000000,"+0.00;-0.00")&amp;"M",TEXT(INDEX('Level Engine'!$AD$9:$AD$55,MATCH(--LEFT($E54,4),'Level Engine'!$AA$9:$AA$55,0))/1000,"+0;-0")&amp;"K"),"—")&amp;IF(OR(INDEX('Level Engine'!$KF$9:$KF$55,MATCH(--LEFT($E54,4),'Level Engine'!$AA$9:$AA$55,0))="BUY",INDEX('Level Engine'!$KF$9:$KF$55,MATCH(--LEFT($E54,4),'Level Engine'!$AA$9:$AA$55,0))="SELL")," → "&amp;INDEX('Level Engine'!$KF$9:$KF$55,MATCH(--LEFT($E54,4),'Level Engine'!$AA$9:$AA$55,0))&amp;IF(ABS(N(INDEX('Level Engine'!$AD$9:$AD$55,MATCH(--LEFT($E54,4),'Level Engine'!$AA$9:$AA$55,0))))&gt;='Level Engine'!$BG$94,IF(OR(AND(INDEX('Level Engine'!$AG$9:$AG$55,MATCH(--LEFT($E54,4),'Level Engine'!$AA$9:$AA$55,0))="R",INDEX('Level Engine'!$KF$9:$KF$55,MATCH(--LEFT($E54,4),'Level Engine'!$AA$9:$AA$55,0))="SELL"),AND(INDEX('Level Engine'!$AG$9:$AG$55,MATCH(--LEFT($E54,4),'Level Engine'!$AA$9:$AA$55,0))="S",INDEX('Level Engine'!$KF$9:$KF$55,MATCH(--LEFT($E54,4),'Level Engine'!$AA$9:$AA$55,0))="BUY"))," ✓"," ✗"),""),""),"—"))</f>
        <v/>
      </c>
      <c r="K54" s="73" t="str">
        <f>(IF(AND($E54&lt;&gt;"",IFERROR(AND('King Node Model'!$A$8="Pos",OR(ISNUMBER('Level Engine'!$BG$87),ISNUMBER('Level Engine'!$BG$105)),ISNUMBER('King Node Model'!$AL$51),OR('King Node Model'!$AL$51='Level Engine'!$BG$87,'King Node Model'!$AL$51='Level Engine'!$BG$105)),FALSE)),IF('King Node Model'!$AL$51='Level Engine'!$BG$105,"ζ MAX ZOMMA ","ζ MIN ZOMMA ")&amp;TEXT(IFERROR(INDEX('Level Engine'!$AF$9:$AF$55,MATCH('King Node Model'!$AL$51,'Level Engine'!$AA$9:$AA$55,0)),0)/1000000,"+0.0;-0.0")&amp;"M"&amp;CHAR(10),"")&amp;(IF(AND($E54&lt;&gt;"",IFERROR(INDEX('Level Engine'!$JS$9:$JS$55,MATCH('King Node Model'!$AL$51,'Level Engine'!$AA$9:$AA$55,0)),0)=1),IF(IFERROR(INDEX('Level Engine'!$AF$9:$AF$55,MATCH('King Node Model'!$AL$51,'Level Engine'!$AA$9:$AA$55,0)),0)&lt;0,"IV FALL","IV RISE")&amp;" REINFORCED · largest zomma on board"&amp;CHAR(10),"")&amp;(IF(OR($E54="",NOT(ISNUMBER('King Node Model'!$AL$51))),"",TEXT('King Node Model'!$AL$51,"0")&amp;" "&amp;(IF($E54="","",IF(NOT(ISNUMBER('King Node Model'!$AL$51)),"",SUBSTITUTE(IFERROR(INDEX('Level Engine'!$EQ$9:$EQ$55,MATCH('King Node Model'!$AL$51,'Level Engine'!$AA$9:$AA$55,0)),"")," (sub-threshold)","")&amp;IF(COUNTIF('Level Engine'!$ES$9:$ES$55,"&gt;"&amp;IFERROR(INDEX('Level Engine'!$ES$9:$ES$55,MATCH('King Node Model'!$AL$51,'Level Engine'!$AA$9:$AA$55,0)),0))+1&lt;=8," ("&amp;IF(IFERROR(INDEX('Level Engine'!$ES$9:$ES$55,MATCH('King Node Model'!$AL$51,'Level Engine'!$AA$9:$AA$55,0)),0)&gt;='Level Engine'!$S$10,"","sub-threshold, ")&amp;"r"&amp;TEXT(COUNTIF('Level Engine'!$ES$9:$ES$55,"&gt;"&amp;IFERROR(INDEX('Level Engine'!$ES$9:$ES$55,MATCH('King Node Model'!$AL$51,'Level Engine'!$AA$9:$AA$55,0)),0))+1,"0")&amp;")","")&amp;IF(AND(IFERROR(INDEX('Level Engine'!$AT$9:$AT$55,MATCH('King Node Model'!$AL$51,'Level Engine'!$AA$9:$AA$55,0)),'King Node Model'!$AL$51)&lt;&gt;IFERROR(INDEX('Level Engine'!$AU$9:$AU$55,MATCH('King Node Model'!$AL$51,'Level Engine'!$AA$9:$AA$55,0)),'King Node Model'!$AL$51),IF(IF(IFERROR(INDEX('Level Engine'!$KC$9:$KC$55,MATCH('King Node Model'!$AL$51,'Level Engine'!$AA$9:$AA$55,0)),IF('Level Engine'!$BG$80&lt;&gt;"",UPPER('Level Engine'!$BG$80),UPPER('Level Engine'!$D$5)))="UP",SIGN(IFERROR(INDEX('Level Engine'!$AF$9:$AF$55,MATCH('King Node Model'!$AL$51,'Level Engine'!$AA$9:$AA$55,0)),0)),IF(IFERROR(INDEX('Level Engine'!$KC$9:$KC$55,MATCH('King Node Model'!$AL$51,'Level Engine'!$AA$9:$AA$55,0)),IF('Level Engine'!$BG$80&lt;&gt;"",UPPER('Level Engine'!$BG$80),UPPER('Level Engine'!$D$5)))="DOWN",-SIGN(IFERROR(INDEX('Level Engine'!$AF$9:$AF$55,MATCH('King Node Model'!$AL$51,'Level Engine'!$AA$9:$AA$55,0)),0)),0))=1,"firming","thinning")&lt;&gt;IF(IF(IFERROR(INDEX('Level Engine'!$KC$9:$KC$55,MATCH('King Node Model'!$AL$51,'Level Engine'!$AA$9:$AA$55,0)),IF('Level Engine'!$BG$80&lt;&gt;"",UPPER('Level Engine'!$BG$80),UPPER('Level Engine'!$D$5)))="UP",SIGN(IFERROR(INDEX('Level Engine'!$AF$9:$AF$55,MATCH(IF('King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Engine'!$AA$9:$AA$55,0)),0)),IF(IFERROR(INDEX('Level Engine'!$KC$9:$KC$55,MATCH('King Node Model'!$AL$51,'Level Engine'!$AA$9:$AA$55,0)),IF('Level Engine'!$BG$80&lt;&gt;"",UPPER('Level Engine'!$BG$80),UPPER('Level Engine'!$D$5)))="DOWN",-SIGN(IFERROR(INDEX('Level Engine'!$AF$9:$AF$55,MATCH(IF('King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Engine'!$AA$9:$AA$55,0)),0)),0))=1,"firming","thinning"))," / "&amp;TEXT(IF('King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Model'!$AL$51)),"0")&amp;" "&amp;IF(IF(IFERROR(INDEX('Level Engine'!$KC$9:$KC$55,MATCH('King Node Model'!$AL$51,'Level Engine'!$AA$9:$AA$55,0)),IF('Level Engine'!$BG$80&lt;&gt;"",UPPER('Level Engine'!$BG$80),UPPER('Level Engine'!$D$5)))="UP",SIGN(IFERROR(INDEX('Level Engine'!$AF$9:$AF$55,MATCH(IF('King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Engine'!$AA$9:$AA$55,0)),0)),IF(IFERROR(INDEX('Level Engine'!$KC$9:$KC$55,MATCH('King Node Model'!$AL$51,'Level Engine'!$AA$9:$AA$55,0)),IF('Level Engine'!$BG$80&lt;&gt;"",UPPER('Level Engine'!$BG$80),UPPER('Level Engine'!$D$5)))="DOWN",-SIGN(IFERROR(INDEX('Level Engine'!$AF$9:$AF$55,MATCH(IF('King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Engine'!$AA$9:$AA$55,0)),0)),0))=1,"firming","thinning")&amp;" the floor ("&amp;IF(IFERROR(INDEX('Level Engine'!$ES$9:$ES$55,MATCH(IF('King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Engine'!$AA$9:$AA$55,0)),0)&gt;='Level Engine'!$S$10,"",IF(IFERROR(INDEX('Level Engine'!$ES$9:$ES$55,MATCH(IF('King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Engine'!$AA$9:$AA$55,0)),0)&gt;='Level Engine'!$S$16,"sub-threshold, ","magnitude weak, "))&amp;"r"&amp;TEXT(COUNTIF('Level Engine'!$ES$9:$ES$55,"&gt;"&amp;IFERROR(INDEX('Level Engine'!$ES$9:$ES$55,MATCH(IF('King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Engine'!$AA$9:$AA$55,0)),0))+1,"0")&amp;")",""))))))))&amp;IF(AND($E54&lt;&gt;"",ISNUMBER('King Node Model'!$AL$51)),CHAR(10)&amp;IFERROR(INDEX('Level Engine'!$KE$9:$KE$55,MATCH('King Node Model'!$AL$51,'Level Engine'!$AA$9:$AA$55,0)),""),"")</f>
        <v/>
      </c>
      <c r="L54" s="73" t="str">
        <f>IF($DR54="",$DS54,IF($DS54="",$DR54,$DS54&amp;CHAR(10)&amp;$DR54))</f>
        <v/>
      </c>
      <c r="M54" s="523" t="str">
        <f>IF(AND($E54&lt;&gt;"",ISNUMBER('King Node Model'!$AL$51),IFERROR(INDEX('Level Engine'!$AN$9:$AN$55,MATCH('King Node Model'!$AL$51,'Level Engine'!$AA$9:$AA$55,0)),0)&lt;&gt;1),"NO REV · "&amp;$DI54,IF(AND($E54&lt;&gt;"",IFERROR(INDEX('Level Engine'!$AN$9:$AN$55,MATCH('King Node Model'!$AL$51,'Level Engine'!$AA$9:$AA$55,0)),0)=1,ISNUMBER(SEARCH("⊙ PIN",$DI54))),IF(ISNUMBER(SEARCH("REVERSAL",TRIM(SUBSTITUTE(SUBSTITUTE($DI54,"⚡ ⊙ PIN",""),"⊙ PIN","")))),TRIM(SUBSTITUTE(SUBSTITUTE($DI54,"⚡ ⊙ PIN",""),"⊙ PIN","")),"REVERSAL"&amp;IF(TRIM(SUBSTITUTE(SUBSTITUTE($DI54,"⚡ ⊙ PIN",""),"⊙ PIN",""))&lt;&gt;""," · "&amp;TRIM(SUBSTITUTE(SUBSTITUTE($DI54,"⚡ ⊙ PIN",""),"⊙ PIN","")),"")),IF(AND($E54&lt;&gt;"",IFERROR(INDEX('Level Engine'!$AN$9:$AN$55,MATCH('King Node Model'!$AL$51,'Level Engine'!$AA$9:$AA$55,0)),0)=1,NOT(ISNUMBER(SEARCH("REVERSAL",$DI54)))),"REVERSAL · ","")&amp;$DI54))</f>
        <v/>
      </c>
      <c r="N54" s="74" t="str">
        <f>IF('King Node Model'!$AL$51="","",IF(IFERROR(INDEX('Level Engine'!$AX$9:$AX$55,MATCH('King Node Model'!$AL$51,'Level Engine'!$AA$9:$AA$55,0)),0)=1,"VOMMA BID","—"))</f>
        <v/>
      </c>
      <c r="O54" s="469" t="str">
        <f>IFERROR(IF(AND($N54="VOMMA BID",ABS($F54)&lt;=10,ISNUMBER(SEARCH("LONG trigger",'GEX Depth'!$C$54))),"⚡ LONG",""),"")</f>
        <v/>
      </c>
      <c r="P54" s="478"/>
      <c r="Q54" s="609" t="str">
        <f>IF(AND($BS54=1,$BT54=1),"Boxed. Defended both sides.",IF(AND($BS54=1,$BT54=3),"Capped. Partial floor only at "&amp;TEXT($BU54,"0")&amp;".",IF(AND($BS54=1,$BT54=0),"Capped, unsupported. No catch in band.",IF(AND($BS54=0,$BT54=1),"Supported. Open above.",IF(AND($BS54=0,$BT54=3),"Partial floor at "&amp;TEXT($BU54,"0")&amp;". Open above.","Unanchored. No structure either side.")))))</f>
        <v>Unanchored. No structure either side.</v>
      </c>
      <c r="R54" s="610" t="str">
        <f>""</f>
        <v/>
      </c>
      <c r="S54" s="610" t="str">
        <f>""</f>
        <v/>
      </c>
      <c r="T54" s="610"/>
      <c r="U54" s="611"/>
      <c r="W54" s="1"/>
      <c r="X54" s="10"/>
      <c r="Y54" s="10"/>
      <c r="Z54" s="1"/>
      <c r="AA54" s="52"/>
      <c r="AB54" s="53"/>
      <c r="AC54" s="49"/>
      <c r="AE54" s="1">
        <f>'King Node Model'!AW47</f>
        <v>0</v>
      </c>
      <c r="AL54" s="471"/>
      <c r="AM54" s="481"/>
      <c r="AO54" s="481"/>
      <c r="AP54" s="1" t="str">
        <f>IF($E54="","",IF($CJ54=1,"RASP",IF(OR(IFERROR(INDEX('Level Engine'!$IX$9:$IX$55,MATCH('King Node Model'!$AL$51,'Level Engine'!$AA$9:$AA$55,0)),0)=1,AND(LEFT($L54,4)="SAFE",NOT(AND($DH54="",$DG54&lt;&gt;"")))),"GREEN",IF('Level Engine'!$CT$26=1,"BLUE",""))))</f>
        <v/>
      </c>
      <c r="AY54" s="471"/>
      <c r="AZ54" s="471"/>
      <c r="BB54" s="471"/>
      <c r="BS54">
        <f>IF(COUNTIF($BQ$25:$BQ$31,"HARD ceil*")&gt;0,1,0)</f>
        <v>0</v>
      </c>
      <c r="BT54">
        <f>IF(COUNTIF($BQ$35:$BQ$40,"FIRM floor*")&gt;0,1,IF(COUNTIF($BQ$35:$BQ$40,"floor*")&gt;0,3,0))</f>
        <v>0</v>
      </c>
      <c r="BU54" t="str">
        <f>IF($BT54=3,IF(LEFT($BQ35,5)="floor",$BK35,IF(LEFT($BQ36,5)="floor",$BK36,IF(LEFT($BQ37,5)="floor",$BK37,IF(LEFT($BQ38,5)="floor",$BK38,IF(LEFT($BQ39,5)="floor",$BK39,$BK40))))),"")</f>
        <v/>
      </c>
      <c r="CJ54">
        <f>IF($DF54&lt;&gt;"",0,IF(AND($E54&lt;&gt;"",IFERROR(INDEX('Level Engine'!$HP$9:$HP$55,MATCH('King Node Model'!$AL$51,'Level Engine'!$AA$9:$AA$55,0)),0)=1),1,IF(OR(IFERROR(INDEX('Level Engine'!$JC$9:$JC$55,MATCH('King Node Model'!$AL$51,'Level Engine'!$AA$9:$AA$55,0)),0)=1,AND(IFERROR(INDEX('Level Engine'!$GV$9:$GV$55,MATCH('King Node Model'!$AL$51,'Level Engine'!$AA$9:$AA$55,0)),0)=1,IFERROR(INDEX('Level Engine'!$JK$9:$JK$55,MATCH('King Node Model'!$AL$51,'Level Engine'!$AA$9:$AA$55,0)),0)&lt;&gt;1,IFERROR(INDEX('Level Engine'!$IW$9:$IW$55,MATCH('King Node Model'!$AL$51,'Level Engine'!$AA$9:$AA$55,0)),0)&lt;&gt;1),AND(ISNUMBER('King Node Model'!$AL$51),'King Node Model'!$AL$51='King Node Model'!$F$24,IFERROR(INDEX('Level Engine'!$JN$9:$JN$55,MATCH('King Node Model'!$AL$51,'Level Engine'!$AA$9:$AA$55,0)),0)&lt;&gt;1,'Level Engine'!$F$4="High",IF('Level Engine'!$BG$80&lt;&gt;"",UPPER('Level Engine'!$BG$80),UPPER('Level Engine'!$D$5))="UP")),0,IF($E54="",0,IF(OR($CR54&lt;&gt;"",AND('King Node Model'!$A$8="Pos",N('Level Engine'!$BG$72)&lt;&gt;1,IFERROR(INDEX('Level Engine'!$HM$9:$HM$55,MATCH('King Node Model'!$AL$51,'Level Engine'!$AA$9:$AA$55,0)),0)=1,IFERROR(INDEX('Level Engine'!$JO$9:$JO$55,MATCH('King Node Model'!$AL$51,'Level Engine'!$AA$9:$AA$55,0)),0)&lt;&gt;1,IFERROR(INDEX('Level Engine'!$JI$9:$JI$55,MATCH('King Node Model'!$AL$51,'Level Engine'!$AA$9:$AA$55,0)),0)&lt;&gt;1),IFERROR(INDEX('Level Engine'!$IS$9:$IS$55,MATCH('King Node Model'!$AL$51,'Level Engine'!$AA$9:$AA$55,0)),0)=1,AND(ISNUMBER(SEARCH("UNSAFE",$L54)),NOT(AND(IFERROR(INDEX('Level Engine'!$EW$9:$EW$55,MATCH('King Node Model'!$AL$51,'Level Engine'!$AA$9:$AA$55,0)),0)=1,IFERROR(INDEX('Level Engine'!$CI$9:$CI$55,MATCH('King Node Model'!$AL$51,'Level Engine'!$AA$9:$AA$55,0)),0)=0)))),1,0)))))</f>
        <v>0</v>
      </c>
      <c r="CK54" t="str">
        <f>IF($E54="","",IF(AND('King Node Model'!$A$8&lt;&gt;"Neg",N('Level Engine'!$BG$72)&lt;&gt;1),"",IF(AND(OR(AND(ISNUMBER(IFERROR(INDEX('Level Engine'!$AC$9:$AC$55,MATCH('King Node Model'!$AL$51,'Level Engine'!$AA$9:$AA$55,0)),"")),IFERROR(INDEX('Level Engine'!$AC$9:$AC$55,MATCH('King Node Model'!$AL$51,'Level Engine'!$AA$9:$AA$55,0)),"")=MAX('Level Engine'!$AC$9:$AC$55)),AND(ISNUMBER(IFERROR(INDEX('Level Engine'!$AB$9:$AB$55,MATCH('King Node Model'!$AL$51,'Level Engine'!$AA$9:$AA$55,0)),"")),IFERROR(INDEX('Level Engine'!$AB$9:$AB$55,MATCH('King Node Model'!$AL$51,'Level Engine'!$AA$9:$AA$55,0)),"")=MIN('Level Engine'!$AB$9:$AB$55))),NOT(AND(AND(ISNUMBER(IFERROR(INDEX('Level Engine'!$AC$9:$AC$55,MATCH('King Node Model'!$AL$51,'Level Engine'!$AA$9:$AA$55,0)),"")),IFERROR(INDEX('Level Engine'!$AC$9:$AC$55,MATCH('King Node Model'!$AL$51,'Level Engine'!$AA$9:$AA$55,0)),"")=MAX('Level Engine'!$AC$9:$AC$55)),AND(ISNUMBER(IFERROR(INDEX('Level Engine'!$AB$9:$AB$55,MATCH('King Node Model'!$AL$51,'Level Engine'!$AA$9:$AA$55,0)),"")),IFERROR(INDEX('Level Engine'!$AB$9:$AB$55,MATCH('King Node Model'!$AL$51,'Level Engine'!$AA$9:$AA$55,0)),"")=MIN('Level Engine'!$AB$9:$AB$55)))),IFERROR(INDEX('Level Engine'!$AG$9:$AG$55,MATCH('King Node Model'!$AL$51,'Level Engine'!$AA$9:$AA$55,0)),"")="S",IFERROR(INDEX('Level Engine'!$AB$9:$AB$55,MATCH('King Node Model'!$AL$51,'Level Engine'!$AA$9:$AA$55,0)),0)&lt;0,NOT(OR('King Node Model'!$AL$51=$AN$16,'King Node Model'!$AL$51=$AN$17,'King Node Model'!$AL$51=$AN$18)),IFERROR(INDEX('Level Engine'!$JO$9:$JO$55,MATCH('King Node Model'!$AL$51,'Level Engine'!$AA$9:$AA$55,0)),0)&lt;&gt;1,NOT(AND(OR('King Node Model'!$A$8="Neg",N('Level Engine'!$BG$72)=1),ISNUMBER(IFERROR(INDEX('Level Engine'!$AB$9:$AB$55,MATCH('King Node Model'!$AL$51,'Level Engine'!$AA$9:$AA$55,0)),"")),IFERROR(INDEX('Level Engine'!$AB$9:$AB$55,MATCH('King Node Model'!$AL$51,'Level Engine'!$AA$9:$AA$55,0)),"")=MIN('Level Engine'!$AB$9:$AB$55),'King Node Model'!$AL$51='Level Engine'!$BG$105))),CHAR(10)&amp;"UNSAFE·Level at risk"&amp;CHAR(10)&amp;"• Accelerant — "&amp;IF(AND(ISNUMBER(IFERROR(INDEX('Level Engine'!$AC$9:$AC$55,MATCH('King Node Model'!$AL$51,'Level Engine'!$AA$9:$AA$55,0)),"")),IFERROR(INDEX('Level Engine'!$AC$9:$AC$55,MATCH('King Node Model'!$AL$51,'Level Engine'!$AA$9:$AA$55,0)),"")=MAX('Level Engine'!$AC$9:$AC$55)),"max gamma","min GEX")&amp;" alone, not a "&amp;IF(IFERROR(INDEX('Level Engine'!$AG$9:$AG$55,MATCH('King Node Model'!$AL$51,'Level Engine'!$AA$9:$AA$55,0)),"")="S","floor","ceiling"),"")))</f>
        <v/>
      </c>
      <c r="CM54" t="str">
        <f>IF(NOT(ISNUMBER('King Node Model'!$AL$51)),"","  ["&amp;IF(IFERROR(INDEX('Level Engine'!$ID$9:$ID$55,MATCH('King Node Model'!$AL$51,'Level Engine'!$AA$9:$AA$55,0)),"")="",IF(IFERROR(INDEX('Level Engine'!$DC$9:$DC$55,MATCH('King Node Model'!$AL$51,'Level Engine'!$AA$9:$AA$55,0)),0)=1,"γSh",IFERROR(INDEX('Level Engine'!$JJ$9:$JJ$55,MATCH('King Node Model'!$AL$51,'Level Engine'!$AA$9:$AA$55,0)),"no geometry")),IFERROR(INDEX('Level Engine'!$ID$9:$ID$55,MATCH('King Node Model'!$AL$51,'Level Engine'!$AA$9:$AA$55,0)),""))&amp;IF(AND(ISNUMBER(IFERROR(INDEX('Level Engine'!$FB$9:$FB$55,MATCH('King Node Model'!$AL$51,'Level Engine'!$AA$9:$AA$55,0)),"")),ISNUMBER(IFERROR(INDEX('Level Engine'!$FC$9:$FC$55,MATCH('King Node Model'!$AL$51,'Level Engine'!$AA$9:$AA$55,0)),"")),IFERROR(INDEX('Level Engine'!$FB$9:$FB$55,MATCH('King Node Model'!$AL$51,'Level Engine'!$AA$9:$AA$55,0)),"")&lt;&gt;IFERROR(INDEX('Level Engine'!$FC$9:$FC$55,MATCH('King Node Model'!$AL$51,'Level Engine'!$AA$9:$AA$55,0)),""))," "&amp;TEXT(IFERROR(INDEX('Level Engine'!$FB$9:$FB$55,MATCH('King Node Model'!$AL$51,'Level Engine'!$AA$9:$AA$55,0)),""),"0")&amp;"-"&amp;TEXT(IFERROR(INDEX('Level Engine'!$FC$9:$FC$55,MATCH('King Node Model'!$AL$51,'Level Engine'!$AA$9:$AA$55,0)),""),"0"),"")&amp;"]")</f>
        <v/>
      </c>
      <c r="CN54" t="str">
        <f>IF(IFERROR(INDEX('Level Engine'!$JI$9:$JI$55,MATCH('King Node Model'!$AL$51,'Level Engine'!$AA$9:$AA$55,0)),0)=1,"",IF(IFERROR(INDEX('Level Engine'!$JO$9:$JO$55,MATCH('King Node Model'!$AL$51,'Level Engine'!$AA$9:$AA$55,0)),0)=1,"",IF(NOT(ISNUMBER('King Node Model'!$AL$51)),"",IF(AND('King Node Model'!$A$8&lt;&gt;"Neg",N('Level Engine'!$BG$72)&lt;&gt;1),"",IF(IFERROR(INDEX('Level Engine'!$EY$9:$EY$55,MATCH('King Node Model'!$AL$51,'Level Engine'!$AA$9:$AA$55,0)),0)&lt;&gt;1,"",IF(OR(AND('King Node Model'!$AL$51='King Node Model'!$B$23,OR('King Node Model'!$AL$51='King Node Model'!$C$24,'King Node Model'!$AL$51=$AN$16,'King Node Model'!$AL$51=$AN$17,'King Node Model'!$AL$51=$AN$18)),'King Node Model'!$AL$51=$AN$16,'King Node Model'!$AL$51=$AN$17,'King Node Model'!$AL$51=$AN$18),"",IF(AND(IFERROR(INDEX('Level Engine'!$EW$9:$EW$55,MATCH('King Node Model'!$AL$51,'Level Engine'!$AA$9:$AA$55,0)),0)=1,IFERROR(INDEX('Level Engine'!$CI$9:$CI$55,MATCH('King Node Model'!$AL$51,'Level Engine'!$AA$9:$AA$55,0)),0)=0),"",IF($CK54&lt;&gt;"","",CHAR(10)&amp;"UNSAFE·Level at risk"&amp;CHAR(10)&amp;"• Gamma peak — hedging amplifies through it rather than absorbing"))))))))</f>
        <v/>
      </c>
      <c r="CP54" t="str">
        <f>IF(IFERROR(INDEX('Level Engine'!$JO$9:$JO$55,MATCH('King Node Model'!$AL$51,'Level Engine'!$AA$9:$AA$55,0)),0)=1,"",IF($E54="","",IF(AND('King Node Model'!$A$8="Pos",N('Level Engine'!$BG$72)&lt;&gt;1,IFERROR(INDEX('Level Engine'!$HM$9:$HM$55,MATCH('King Node Model'!$AL$51,'Level Engine'!$AA$9:$AA$55,0)),0)=1,IFERROR(INDEX('Level Engine'!$JI$9:$JI$55,MATCH('King Node Model'!$AL$51,'Level Engine'!$AA$9:$AA$55,0)),0)&lt;&gt;1),"UNSAFE·Level at risk"&amp;CHAR(10)&amp;IF(OR('King Node Model'!$A$8&lt;&gt;"Pos",'Level Engine'!$BG$72=1),"• Trough · weak bounce","• Trough weakest shape on the ladder")&amp;IF(IFERROR(INDEX('Level Engine'!$JD$9:$JD$55,MATCH('King Node Model'!$AL$51,'Level Engine'!$AA$9:$AA$55,0)),"")="P",CHAR(10)&amp;"• also a PUT-HEAVY strike (P-OI skew spike)",""),"")))</f>
        <v/>
      </c>
      <c r="CQ54" t="str">
        <f>(((IF($E54="","",(IF($E54="","",IF(NOT(OR('King Node Model'!$A$8="Neg",N('Level Engine'!$BG$72)=1)),"",IF(ISNUMBER(SEARCH("VOMMA",$N54)),$N54,IF(SUMPRODUCT((ABS('Level Engine'!$AF$9:$AF$55)&lt;=ABS(IFERROR(INDEX('Level Engine'!$AF$9:$AF$55,MATCH('King Node Model'!$AL51,'Level Engine'!$AA$9:$AA$55,0)),0)))*1)/COUNT('Level Engine'!$AF$9:$AF$55)&gt;=0.66,"",IF(AND(IFERROR(INDEX('Level Engine'!$AB$9:$AB$55,MATCH('King Node Model'!$AL51,'Level Engine'!$AA$9:$AA$55,0)),0)&gt;0,SUMPRODUCT((ABS('Level Engine'!$AB$9:$AB$55)&lt;=ABS(IFERROR(INDEX('Level Engine'!$AB$9:$AB$55,MATCH('King Node Model'!$AL51,'Level Engine'!$AA$9:$AA$55,0)),0)))*1)/COUNT('Level Engine'!$AB$9:$AB$55)&gt;=0.66),"",IF(IFERROR(INDEX('Level Engine'!$EJ$9:$EJ$55,MATCH('King Node Model'!$AL$51,'Level Engine'!$AA$9:$AA$55,0)),0)=1,"","")))))))&amp;IF(AND(IFERROR(INDEX('Level Engine'!$EW$9:$EW$55,MATCH('King Node Model'!$AL$51,'Level Engine'!$AA$9:$AA$55,0)),0)=1,IFERROR(INDEX('Level Engine'!$CI$9:$CI$55,MATCH('King Node Model'!$AL$51,'Level Engine'!$AA$9:$AA$55,0)),0)=0),IF((IF($E54="","",IF(NOT(OR('King Node Model'!$A$8="Neg",N('Level Engine'!$BG$72)=1)),"",IF(ISNUMBER(SEARCH("VOMMA",$N54)),$N54,IF(SUMPRODUCT((ABS('Level Engine'!$AF$9:$AF$55)&lt;=ABS(IFERROR(INDEX('Level Engine'!$AF$9:$AF$55,MATCH('King Node Model'!$AL51,'Level Engine'!$AA$9:$AA$55,0)),0)))*1)/COUNT('Level Engine'!$AF$9:$AF$55)&gt;=0.66,"",IF(AND(IFERROR(INDEX('Level Engine'!$AB$9:$AB$55,MATCH('King Node Model'!$AL51,'Level Engine'!$AA$9:$AA$55,0)),0)&gt;0,SUMPRODUCT((ABS('Level Engine'!$AB$9:$AB$55)&lt;=ABS(IFERROR(INDEX('Level Engine'!$AB$9:$AB$55,MATCH('King Node Model'!$AL51,'Level Engine'!$AA$9:$AA$55,0)),0)))*1)/COUNT('Level Engine'!$AB$9:$AB$55)&gt;=0.66),"",IF(IFERROR(INDEX('Level Engine'!$EJ$9:$EJ$55,MATCH('King Node Model'!$AL$51,'Level Engine'!$AA$9:$AA$55,0)),0)=1,"","")))))))&lt;&gt;"",CHAR(10),"")&amp;"EXEMPT·buy-lean max node — border suppressed","")))&amp;$CK$54))&amp;$CN$54</f>
        <v/>
      </c>
      <c r="CR54" t="str">
        <f>IF($E54="","",IF(IFERROR(INDEX('Level Engine'!$HW$9:$HW$55,MATCH('King Node Model'!$AL$51,'Level Engine'!$AA$9:$AA$55,0)),0)=1,"UNSAFE·Level at risk"&amp;CHAR(10)&amp;"• DEX falls off above ("&amp;TEXT(IFERROR(INDEX('Level Engine'!$KU$9:$KU$55,MATCH('King Node Model'!$AL$51,'Level Engine'!$AA$9:$AA$55,0)),0),"0%")&amp;") more sharply than below ("&amp;TEXT(IFERROR(INDEX('Level Engine'!$KV$9:$KV$55,MATCH('King Node Model'!$AL$51,'Level Engine'!$AA$9:$AA$55,0)),0),"0%")&amp;") — path of least resistance is down"&amp;IF(AND(ISNUMBER('King Node Model'!$T$23),'King Node Model'!$T$23&lt;'King Node Model'!$AL$51,'King Node Model'!$AL$51-'King Node Model'!$T$23&lt;=50),CHAR(10)&amp;"• Toward Min GEX "&amp;TEXT('King Node Model'!$T$23,"0"),""),""))</f>
        <v/>
      </c>
      <c r="CS54" t="str">
        <f>IF(IFERROR(INDEX('Level Engine'!$JO$9:$JO$55,MATCH('King Node Model'!$AL$51,'Level Engine'!$AA$9:$AA$55,0)),0)=1,"",IF($E54="","",IF(IFERROR(INDEX('Level Engine'!$HX$9:$HX$55,MATCH('King Node Model'!$AL$51,'Level Engine'!$AA$9:$AA$55,0)),0)=1,"UNSAFE·Level at risk"&amp;CHAR(10)&amp;"• Peak · gamma bump, not a floor","")))</f>
        <v/>
      </c>
      <c r="CT54" t="str">
        <f>IF($E54="","",IF(IFERROR(INDEX('Level Engine'!$IF$9:$IF$55,MATCH('King Node Model'!$AL$51,'Level Engine'!$AA$9:$AA$55,0)),0)=1,"UNSAFE·Level at risk"&amp;CHAR(10)&amp;"• Chop zone · inside a stack of heavy gamma/zomma strikes",""))</f>
        <v/>
      </c>
      <c r="CU54" t="str">
        <f>IF($E54="","",IF(IFERROR(INDEX('Level Engine'!$IQ$9:$IQ$55,MATCH('King Node Model'!$AL$51,'Level Engine'!$AA$9:$AA$55,0)),0)=1,"UNSAFE·Level at risk"&amp;CHAR(10)&amp;"• Contested level · claimed by both sides",""))</f>
        <v/>
      </c>
      <c r="CV54" t="str">
        <f>IF($E54="","",IFERROR(INDEX('Level Engine'!$IV$9:$IV$55,MATCH('King Node Model'!$AL$51,'Level Engine'!$AA$9:$AA$55,0))&amp;"",""))</f>
        <v/>
      </c>
      <c r="CW54" t="str">
        <f>IF($E54="","",IF(IFERROR(INDEX('Level Engine'!$JL$9:$JL$55,MATCH('King Node Model'!$AL$51,'Level Engine'!$AA$9:$AA$55,0)),0)=1,"UNSAFE·Level at risk"&amp;CHAR(10)&amp;"• DOM wall · vanna not supporting it — flat or too small (needs vanna BUY ≥ "&amp;TEXT('Level Engine'!$BG$92/1000,"0")&amp;"K)",IFERROR(IF(INDEX('Level Engine'!$IW$9:$IW$55,MATCH('King Node Model'!$AL$51,'Level Engine'!$AA$9:$AA$55,0))=1,"UNSAFE·Level at risk"&amp;CHAR(10)&amp;"• Vanna SELL on arrival — "&amp;IF(N(INDEX('Level Engine'!$AD$9:$AD$55,MATCH('King Node Model'!$AL$51,'Level Engine'!$AA$9:$AA$55,0)))&gt;0,"IV still rising","IV falling")&amp;", dealers sell into this level",IF(INDEX('Level Engine'!$IX$9:$IX$55,MATCH('King Node Model'!$AL$51,'Level Engine'!$AA$9:$AA$55,0))=1,"ATM IV rollover · vol has peaked — vanna selling turns to buying","")),"")))</f>
        <v/>
      </c>
      <c r="CX54" t="str">
        <f>IF($E54="","",IFERROR(IF(INDEX('Level Engine'!$IZ$9:$IZ$55,MATCH('King Node Model'!$AL$51,'Level Engine'!$AA$9:$AA$55,0))=1,"UNSAFE·Level at risk"&amp;CHAR(10)&amp;"• DEX wall "&amp;TEXT('King Node Model'!$AL$51+'Level Engine'!$BG$84,"0")&amp;" ("&amp;TEXT(INDEX('Level Engine'!$AE$9:$AE$55,MATCH('King Node Model'!$AL$51+'Level Engine'!$BG$84,'Level Engine'!$AA$9:$AA$55,0))/1000000,"+0.00;-0.00")&amp;"M) directly above caps the bounce",""),""))</f>
        <v/>
      </c>
      <c r="CY54" t="str">
        <f>IF($E54="","",IFERROR(IF(INDEX('Level Engine'!$JM$9:$JM$55,MATCH('King Node Model'!$AL$51,'Level Engine'!$AA$9:$AA$55,0))=1,"UNSAFE·Level at risk"&amp;CHAR(10)&amp;"• Within "&amp;TEXT('Level Engine'!$BG$93,"0")&amp;" pts of the DOM "&amp;TEXT(INDEX('Level Engine'!$AA$9:$AA$55,MATCH("DOM",'Level Engine'!$FA$9:$FA$55,0)),"0")&amp;" — price tends to be pulled to the node",""),""))</f>
        <v/>
      </c>
      <c r="CZ54" t="str">
        <f>IF($E54="","",IF(AND(IFERROR(INDEX('Level Engine'!$HP$9:$HP$55,MATCH('King Node Model'!$AL$51,'Level Engine'!$AA$9:$AA$55,0)),0)=1,N(IFERROR(INDEX('Level Engine'!$IS$9:$IS$55,MATCH('King Node Model'!$AL$51,'Level Engine'!$AA$9:$AA$55,0)),0))&lt;&gt;1,NOT(ISNUMBER(SEARCH("UNSAFE",$CQ54&amp;$CP54&amp;$CR54&amp;$CS54&amp;$CT54&amp;$CU54&amp;$CV54&amp;$CW54&amp;$CX54&amp;$CY54&amp;$DA54)))),"UNSAFE·Level at risk"&amp;IF(ISNUMBER(SEARCH(" DEXCAP "," "&amp;IFERROR(INDEX('Level Engine'!$HQ$9:$HQ$55,MATCH('King Node Model'!$AL$51,'Level Engine'!$AA$9:$AA$55,0)),"")&amp;" ")),CHAR(10)&amp;"• DEX wall cap","")&amp;IF(AND(NOT(IFERROR(INDEX('Level Engine'!$JI$9:$JI$55,MATCH('King Node Model'!$AL$51,'Level Engine'!$AA$9:$AA$55,0)),0)=1),ISNUMBER(SEARCH(" CHOPEDGEIV "," "&amp;IFERROR(INDEX('Level Engine'!$HQ$9:$HQ$55,MATCH('King Node Model'!$AL$51,'Level Engine'!$AA$9:$AA$55,0)),"")&amp;" "))),CHAR(10)&amp;"• Chop edge — IV High but ATM IV falling","")&amp;IF(AND(NOT(IFERROR(INDEX('Level Engine'!$JI$9:$JI$55,MATCH('King Node Model'!$AL$51,'Level Engine'!$AA$9:$AA$55,0)),0)=1),ISNUMBER(SEARCH(" EDGE "," "&amp;IFERROR(INDEX('Level Engine'!$HQ$9:$HQ$55,MATCH('King Node Model'!$AL$51,'Level Engine'!$AA$9:$AA$55,0)),"")&amp;" "))),CHAR(10)&amp;"• γSh edge","")&amp;IF(AND(NOT(IFERROR(INDEX('Level Engine'!$JI$9:$JI$55,MATCH('King Node Model'!$AL$51,'Level Engine'!$AA$9:$AA$55,0)),0)=1),ISNUMBER(SEARCH(" TROUGH "," "&amp;IFERROR(INDEX('Level Engine'!$HQ$9:$HQ$55,MATCH('King Node Model'!$AL$51,'Level Engine'!$AA$9:$AA$55,0)),"")&amp;" "))),CHAR(10)&amp;"• Trough · weak bounce","")&amp;IF(AND(NOT(IFERROR(INDEX('Level Engine'!$JI$9:$JI$55,MATCH('King Node Model'!$AL$51,'Level Engine'!$AA$9:$AA$55,0)),0)=1),ISNUMBER(SEARCH(" BUMP "," "&amp;IFERROR(INDEX('Level Engine'!$HQ$9:$HQ$55,MATCH('King Node Model'!$AL$51,'Level Engine'!$AA$9:$AA$55,0)),"")&amp;" "))),CHAR(10)&amp;"• Positive node — thin speed bump","")&amp;IF(AND(NOT(IFERROR(INDEX('Level Engine'!$JI$9:$JI$55,MATCH('King Node Model'!$AL$51,'Level Engine'!$AA$9:$AA$55,0)),0)=1),ISNUMBER(SEARCH(" SANDWICH "," "&amp;IFERROR(INDEX('Level Engine'!$HQ$9:$HQ$55,MATCH('King Node Model'!$AL$51,'Level Engine'!$AA$9:$AA$55,0)),"")&amp;" "))),CHAR(10)&amp;"• Sandwich — thin strike beyond","")&amp;IF(ISNUMBER(SEARCH(" ACCEL "," "&amp;IFERROR(INDEX('Level Engine'!$HQ$9:$HQ$55,MATCH('King Node Model'!$AL$51,'Level Engine'!$AA$9:$AA$55,0)),"")&amp;" ")),CHAR(10)&amp;"• Accelerant","")&amp;IF(AND(NOT(IFERROR(INDEX('Level Engine'!$JI$9:$JI$55,MATCH('King Node Model'!$AL$51,'Level Engine'!$AA$9:$AA$55,0)),0)=1),ISNUMBER(SEARCH(" AMPLIFY "," "&amp;IFERROR(INDEX('Level Engine'!$HQ$9:$HQ$55,MATCH('King Node Model'!$AL$51,'Level Engine'!$AA$9:$AA$55,0)),"")&amp;" "))),CHAR(10)&amp;"• Gamma peak — hedging amplifies through it rather than absorbing","")&amp;IF(AND(NOT(IFERROR(INDEX('Level Engine'!$JI$9:$JI$55,MATCH('King Node Model'!$AL$51,'Level Engine'!$AA$9:$AA$55,0)),0)=1),ISNUMBER(SEARCH(" ZACCEL "," "&amp;IFERROR(INDEX('Level Engine'!$HQ$9:$HQ$55,MATCH('King Node Model'!$AL$51,'Level Engine'!$AA$9:$AA$55,0)),"")&amp;" "))),CHAR(10)&amp;"• Zomma ACCEL building","")&amp;IF(ISNUMBER(SEARCH(" KINGACC "," "&amp;IFERROR(INDEX('Level Engine'!$HQ$9:$HQ$55,MATCH('King Node Model'!$AL$51,'Level Engine'!$AA$9:$AA$55,0)),"")&amp;" ")),CHAR(10)&amp;"• Neg gamma: the king node is an accelerant, not a floor","")&amp;IF(ISNUMBER(SEARCH(" KINGNODE "," "&amp;IFERROR(INDEX('Level Engine'!$HQ$9:$HQ$55,MATCH('King Node Model'!$AL$51,'Level Engine'!$AA$9:$AA$55,0)),"")&amp;" ")),CHAR(10)&amp;"• Near the king node — neg gamma accelerates, does not floor","")&amp;IF(AND(NOT(IFERROR(INDEX('Level Engine'!$JI$9:$JI$55,MATCH('King Node Model'!$AL$51,'Level Engine'!$AA$9:$AA$55,0)),0)=1),ISNUMBER(SEARCH(" LOWIVFALL "," "&amp;IFERROR(INDEX('Level Engine'!$HQ$9:$HQ$55,MATCH('King Node Model'!$AL$51,'Level Engine'!$AA$9:$AA$55,0)),"")&amp;" "))),CHAR(10)&amp;"• Low IV with ATM IV falling","")&amp;IF(AND(NOT(IFERROR(INDEX('Level Engine'!$JI$9:$JI$55,MATCH('King Node Model'!$AL$51,'Level Engine'!$AA$9:$AA$55,0)),0)=1),ISNUMBER(SEARCH(" HIGHIVFALL "," "&amp;IFERROR(INDEX('Level Engine'!$HQ$9:$HQ$55,MATCH('King Node Model'!$AL$51,'Level Engine'!$AA$9:$AA$55,0)),"")&amp;" "))),CHAR(10)&amp;"• High IV with ATM IV falling","")&amp;IF(ISNUMBER(SEARCH(" SPOTUPVOLUP "," "&amp;IFERROR(INDEX('Level Engine'!$HQ$9:$HQ$55,MATCH('King Node Model'!$AL$51,'Level Engine'!$AA$9:$AA$55,0)),"")&amp;" ")),CHAR(10)&amp;"• Spot Up / Vol Up","")&amp;IF(ISNUMBER(SEARCH(" SQUEEZE "," "&amp;IFERROR(INDEX('Level Engine'!$HQ$9:$HQ$55,MATCH('King Node Model'!$AL$51,'Level Engine'!$AA$9:$AA$55,0)),"")&amp;" ")),CHAR(10)&amp;"• Squeeze / charm","")&amp;IF(ISNUMBER(SEARCH(" DEXDROP "," "&amp;IFERROR(INDEX('Level Engine'!$HQ$9:$HQ$55,MATCH('King Node Model'!$AL$51,'Level Engine'!$AA$9:$AA$55,0)),"")&amp;" ")),CHAR(10)&amp;"• DEX drop-off beyond the level","")&amp;IF(ISNUMBER(SEARCH(" PEAK+ "," "&amp;IFERROR(INDEX('Level Engine'!$HQ$9:$HQ$55,MATCH('King Node Model'!$AL$51,'Level Engine'!$AA$9:$AA$55,0)),"")&amp;" ")),CHAR(10)&amp;"• Positive-GEX peak","")&amp;IF(ISNUMBER(SEARCH(" CHOP "," "&amp;IFERROR(INDEX('Level Engine'!$HQ$9:$HQ$55,MATCH('King Node Model'!$AL$51,'Level Engine'!$AA$9:$AA$55,0)),"")&amp;" ")),CHAR(10)&amp;"• Chop zone","")&amp;IF(ISNUMBER(SEARCH(" CONTESTED "," "&amp;IFERROR(INDEX('Level Engine'!$HQ$9:$HQ$55,MATCH('King Node Model'!$AL$51,'Level Engine'!$AA$9:$AA$55,0)),"")&amp;" ")),CHAR(10)&amp;"• Contested level","")&amp;IF(ISNUMBER(SEARCH(" VSELL "," "&amp;IFERROR(INDEX('Level Engine'!$HQ$9:$HQ$55,MATCH('King Node Model'!$AL$51,'Level Engine'!$AA$9:$AA$55,0)),"")&amp;" ")),CHAR(10)&amp;"• Vanna SELL on arrival — dealers sell into this floor as IV rises","")&amp;IF(ISNUMBER(SEARCH(" VBUYRES "," "&amp;IFERROR(INDEX('Level Engine'!$HQ$9:$HQ$55,MATCH('King Node Model'!$AL$51,'Level Engine'!$AA$9:$AA$55,0)),"")&amp;" ")),CHAR(10)&amp;"• Vanna BUY on arrival — dealers buy into this ceiling as IV falls","")&amp;IF(ISNUMBER(SEARCH(" DOMFLAT "," "&amp;IFERROR(INDEX('Level Engine'!$HQ$9:$HQ$55,MATCH('King Node Model'!$AL$51,'Level Engine'!$AA$9:$AA$55,0)),"")&amp;" ")),CHAR(10)&amp;"• DOM wall · vanna not supporting it","")&amp;IF(ISNUMBER(SEARCH(" DOMPULL "," "&amp;IFERROR(INDEX('Level Engine'!$HQ$9:$HQ$55,MATCH('King Node Model'!$AL$51,'Level Engine'!$AA$9:$AA$55,0)),"")&amp;" ")),CHAR(10)&amp;"• Within the DOM pull — price tends to be pulled to the node","")&amp;IF(ISNUMBER(SEARCH(" GDEXVANNA "," "&amp;IFERROR(INDEX('Level Engine'!$HQ$9:$HQ$55,MATCH('King Node Model'!$AL$51,'Level Engine'!$AA$9:$AA$55,0)),"")&amp;" ")),CHAR(10)&amp;"• Vanna not aligned (gDex rule)","")&amp;IF(ISNUMBER(SEARCH(" KGSUPFAIL "," "&amp;IFERROR(INDEX('Level Engine'!$HQ$9:$HQ$55,MATCH('King Node Model'!$AL$51,'Level Engine'!$AA$9:$AA$55,0)),"")&amp;" ")),CHAR(10)&amp;"• Max Gamma support, not Max/Min GEX — fails ~66% of the time in positive gamma","")&amp;IF(ISNUMBER(SEARCH(" KGRESLEAK "," "&amp;IFERROR(INDEX('Level Engine'!$HQ$9:$HQ$55,MATCH('King Node Model'!$AL$51,'Level Engine'!$AA$9:$AA$55,0)),"")&amp;" ")),CHAR(10)&amp;"• Resistance leaks · Max Gamma fails as resistance ~50% of the time",""),""))</f>
        <v/>
      </c>
      <c r="DA54" t="str">
        <f>IF($E54="","",IF(OR(IFERROR(INDEX('Level Engine'!$JP$9:$JP$55,MATCH('King Node Model'!$AL$51,'Level Engine'!$AA$9:$AA$55,0)),0)=1,IFERROR(INDEX('Level Engine'!$JQ$9:$JQ$55,MATCH('King Node Model'!$AL$51,'Level Engine'!$AA$9:$AA$55,0)),0)=1),"UNSAFE·Level at risk"&amp;IF(IFERROR(INDEX('Level Engine'!$JQ$9:$JQ$55,MATCH('King Node Model'!$AL$51,'Level Engine'!$AA$9:$AA$55,0)),0)=1,CHAR(10)&amp;"• Dex not aligned (C-OI support needs Dex ≥ +"&amp;TEXT('Level Engine'!$BG$95/1000,"0")&amp;"K)","")&amp;IF(IFERROR(INDEX('Level Engine'!$JP$9:$JP$55,MATCH('King Node Model'!$AL$51,'Level Engine'!$AA$9:$AA$55,0)),0)=1,CHAR(10)&amp;"• Zomma not firming (C-OI support needs the zomma reading to firm the level)",""),""))</f>
        <v/>
      </c>
      <c r="DB54" t="str">
        <f>IF(AND(IFERROR(INDEX('Level Engine'!$KK$9:$KK$55,MATCH('King Node Model'!$AL$51,'Level Engine'!$AA$9:$AA$55,0)),0)=0,IFERROR(INDEX('Level Engine'!$JY$9:$JY$55,MATCH('King Node Model'!$AL$51,'Level Engine'!$AA$9:$AA$55,0)),0)&lt;&gt;1,IFERROR(INDEX('Level Engine'!$KR$9:$KR$55,MATCH('King Node Model'!$AL$51,'Level Engine'!$AA$9:$AA$55,0)),0)=0,IFERROR(INDEX('Level Engine'!$LD$9:$LD$55,MATCH('King Node Model'!$AL$51,'Level Engine'!$AA$9:$AA$55,0)),0)=0,IFERROR(INDEX('Level Engine'!$LE$9:$LE$55,MATCH('King Node Model'!$AL$51,'Level Engine'!$AA$9:$AA$55,0)),0)=0,IFERROR(INDEX('Level Engine'!$MH$9:$MH$55,MATCH('King Node Model'!$AL$51,'Level Engine'!$AA$9:$AA$55,0)),0)=0,OR(IFERROR(INDEX('Level Engine'!$JC$9:$JC$55,MATCH('King Node Model'!$AL$51,'Level Engine'!$AA$9:$AA$55,0)),0)=1,AND(IFERROR(INDEX('Level Engine'!$GV$9:$GV$55,MATCH('King Node Model'!$AL$51,'Level Engine'!$AA$9:$AA$55,0)),0)=1,IFERROR(INDEX('Level Engine'!$JK$9:$JK$55,MATCH('King Node Model'!$AL$51,'Level Engine'!$AA$9:$AA$55,0)),0)&lt;&gt;1,IFERROR(INDEX('Level Engine'!$IW$9:$IW$55,MATCH('King Node Model'!$AL$51,'Level Engine'!$AA$9:$AA$55,0)),0)&lt;&gt;1),AND(ISNUMBER('King Node Model'!$AL$51),'King Node Model'!$AL$51='King Node Model'!$F$24,IFERROR(INDEX('Level Engine'!$JN$9:$JN$55,MATCH('King Node Model'!$AL$51,'Level Engine'!$AA$9:$AA$55,0)),0)&lt;&gt;1,'Level Engine'!$F$4="High",IF('Level Engine'!$BG$80&lt;&gt;"",UPPER('Level Engine'!$BG$80),UPPER('Level Engine'!$D$5))="UP"))),"",IF(ISNUMBER(SEARCH("UNSAFE·Level at risk",IF(IFERROR(INDEX('Level Engine'!$IS$9:$IS$55,MATCH('King Node Model'!$AL$51,'Level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Model'!$AL$51,'Level Engine'!$AA$9:$AA$55,0)),0)=1,CHAR(10)&amp;"UNSAFE·Level at risk"&amp;CHAR(10)&amp;"• Vanna flat at the level — IV not moving, no dealer flow behind it","")&amp;IF(OR(AND(IFERROR(INDEX('Level Engine'!$KR$9:$KR$55,MATCH('King Node Model'!$AL$51,'Level Engine'!$AA$9:$AA$55,0)),0)=1,$CZ54=""),IFERROR(INDEX('Level Engine'!$KS$9:$KS$55,MATCH('King Node Model'!$AL$51,'Level Engine'!$AA$9:$AA$55,0)),0)=1),CHAR(10)&amp;"UNSAFE·Level at risk"&amp;CHAR(10)&amp;"• Vanna not aligned (gDex rule)","")&amp;IF(AND(IFERROR(INDEX('Level Engine'!$LD$9:$LD$55,MATCH('King Node Model'!$AL$51,'Level Engine'!$AA$9:$AA$55,0)),0)=1,$CZ54=""),CHAR(10)&amp;"UNSAFE·Level at risk"&amp;CHAR(10)&amp;"• Max Gamma support, not Max/Min GEX — fails ~66% of the time in positive gamma","")&amp;IF(AND(IFERROR(INDEX('Level Engine'!$LE$9:$LE$55,MATCH('King Node Model'!$AL$51,'Level Engine'!$AA$9:$AA$55,0)),0)=1,$CZ54=""),CHAR(10)&amp;"UNSAFE·Level at risk"&amp;CHAR(10)&amp;"• Resistance leaks · Max Gamma fails as resistance ~50% of the time","")&amp;IF(AND(IFERROR(INDEX('Level Engine'!$MH$9:$MH$55,MATCH('King Node Model'!$AL$51,'Level Engine'!$AA$9:$AA$55,0)),0)=1,$CZ54=""),CHAR(10)&amp;"UNSAFE·Level at risk"&amp;CHAR(10)&amp;IFERROR(INDEX('Level Engine'!$MI$9:$MI$55,MATCH('King Node Model'!$AL$51,'Level Engine'!$AA$9:$AA$55,0)),""),"")&amp;IF(IFERROR(INDEX('Level Engine'!$KK$9:$KK$55,MATCH('King Node Model'!$AL$51,'Level Engine'!$AA$9:$AA$55,0)),0)=1,CHAR(10)&amp;"UNSAFE·Level at risk"&amp;CHAR(10)&amp;"• Data incomplete — option chain not fully loaded at or next to this strike","")&amp;IF($CQ54&lt;&gt;"",CHAR(10)&amp;$CQ54,"")&amp;IF($CP54&lt;&gt;"",CHAR(10)&amp;$CP54,"")&amp;IF($CR54&lt;&gt;"",CHAR(10)&amp;$CR54,"")&amp;IF($CS54&lt;&gt;"",CHAR(10)&amp;$CS54,"")&amp;IF($CT54&lt;&gt;"",CHAR(10)&amp;$CT54,"")&amp;IF($CU54&lt;&gt;"",CHAR(10)&amp;$CU54,"")&amp;IF($CV54&lt;&gt;"",CHAR(10)&amp;$CV54,"")&amp;IF($CW54&lt;&gt;"",CHAR(10)&amp;$CW54,"")&amp;IF($CX54&lt;&gt;"",CHAR(10)&amp;$CX54,"")&amp;IF($CY54&lt;&gt;"",CHAR(10)&amp;$CY54,"")&amp;IF($CZ54&lt;&gt;"",CHAR(10)&amp;$CZ54,"")&amp;IF($DA54&lt;&gt;"",CHAR(10)&amp;$DA54,"")&amp;IF($DC54&lt;&gt;"",CHAR(10)&amp;$DC54,"")&amp;IF($DD54&lt;&gt;"",CHAR(10)&amp;$DD54,""))),"UNSAFE·Level at risk"&amp;CHAR(10),"")&amp;MID(SUBSTITUTE(SUBSTITUTE(IF(IFERROR(INDEX('Level Engine'!$IS$9:$IS$55,MATCH('King Node Model'!$AL$51,'Level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Model'!$AL$51,'Level Engine'!$AA$9:$AA$55,0)),0)=1,CHAR(10)&amp;"UNSAFE·Level at risk"&amp;CHAR(10)&amp;"• Vanna flat at the level — IV not moving, no dealer flow behind it","")&amp;IF(OR(AND(IFERROR(INDEX('Level Engine'!$KR$9:$KR$55,MATCH('King Node Model'!$AL$51,'Level Engine'!$AA$9:$AA$55,0)),0)=1,$CZ54=""),IFERROR(INDEX('Level Engine'!$KS$9:$KS$55,MATCH('King Node Model'!$AL$51,'Level Engine'!$AA$9:$AA$55,0)),0)=1),CHAR(10)&amp;"UNSAFE·Level at risk"&amp;CHAR(10)&amp;"• Vanna not aligned (gDex rule)","")&amp;IF(AND(IFERROR(INDEX('Level Engine'!$LD$9:$LD$55,MATCH('King Node Model'!$AL$51,'Level Engine'!$AA$9:$AA$55,0)),0)=1,$CZ54=""),CHAR(10)&amp;"UNSAFE·Level at risk"&amp;CHAR(10)&amp;"• Max Gamma support, not Max/Min GEX — fails ~66% of the time in positive gamma","")&amp;IF(AND(IFERROR(INDEX('Level Engine'!$LE$9:$LE$55,MATCH('King Node Model'!$AL$51,'Level Engine'!$AA$9:$AA$55,0)),0)=1,$CZ54=""),CHAR(10)&amp;"UNSAFE·Level at risk"&amp;CHAR(10)&amp;"• Resistance leaks · Max Gamma fails as resistance ~50% of the time","")&amp;IF(AND(IFERROR(INDEX('Level Engine'!$MH$9:$MH$55,MATCH('King Node Model'!$AL$51,'Level Engine'!$AA$9:$AA$55,0)),0)=1,$CZ54=""),CHAR(10)&amp;"UNSAFE·Level at risk"&amp;CHAR(10)&amp;IFERROR(INDEX('Level Engine'!$MI$9:$MI$55,MATCH('King Node Model'!$AL$51,'Level Engine'!$AA$9:$AA$55,0)),""),"")&amp;IF(IFERROR(INDEX('Level Engine'!$KK$9:$KK$55,MATCH('King Node Model'!$AL$51,'Level Engine'!$AA$9:$AA$55,0)),0)=1,CHAR(10)&amp;"UNSAFE·Level at risk"&amp;CHAR(10)&amp;"• Data incomplete — option chain not fully loaded at or next to this strike","")&amp;IF($CQ54&lt;&gt;"",CHAR(10)&amp;$CQ54,"")&amp;IF($CP54&lt;&gt;"",CHAR(10)&amp;$CP54,"")&amp;IF($CR54&lt;&gt;"",CHAR(10)&amp;$CR54,"")&amp;IF($CS54&lt;&gt;"",CHAR(10)&amp;$CS54,"")&amp;IF($CT54&lt;&gt;"",CHAR(10)&amp;$CT54,"")&amp;IF($CU54&lt;&gt;"",CHAR(10)&amp;$CU54,"")&amp;IF($CV54&lt;&gt;"",CHAR(10)&amp;$CV54,"")&amp;IF($CW54&lt;&gt;"",CHAR(10)&amp;$CW54,"")&amp;IF($CX54&lt;&gt;"",CHAR(10)&amp;$CX54,"")&amp;IF($CY54&lt;&gt;"",CHAR(10)&amp;$CY54,"")&amp;IF($CZ54&lt;&gt;"",CHAR(10)&amp;$CZ54,"")&amp;IF($DA54&lt;&gt;"",CHAR(10)&amp;$DA54,"")&amp;IF($DC54&lt;&gt;"",CHAR(10)&amp;$DC54,"")&amp;IF($DD54&lt;&gt;"",CHAR(10)&amp;$DD54,""),"UNSAFE·Level at risk"&amp;CHAR(10),""),CHAR(10)&amp;CHAR(10),CHAR(10)),2,32000))</f>
        <v/>
      </c>
      <c r="DC54" t="str">
        <f>IF($E54="","",IF(IFERROR(INDEX('Level Engine'!$KT$9:$KT$55,MATCH('King Node Model'!$AL$51,'Level Engine'!$AA$9:$AA$55,0)),0)=1,"UNSAFE·Level at risk"&amp;CHAR(10)&amp;"• DEX draining · "&amp;TEXT(IFERROR(INDEX('Level Engine'!$AE$9:$AE$55,MATCH('King Node Model'!$AL$51,'Level Engine'!$AA$9:$AA$55,0)),0)/1000,"+#,##0;-#,##0")&amp;"K, down 50%+ in the last few minutes"&amp;CHAR(10)&amp;"• VEX weak · "&amp;TEXT(IFERROR(INDEX('Level Engine'!$AD$9:$AD$55,MATCH('King Node Model'!$AL$51,'Level Engine'!$AA$9:$AA$55,0)),0)/1000,"+#,##0;-#,##0")&amp;"K"&amp;CHAR(10)&amp;"• The level's cushion is going",""))</f>
        <v/>
      </c>
      <c r="DD54" t="str">
        <f>IF($E54="","",IF(IFERROR(INDEX('Level Engine'!$JU$9:$JU$55,MATCH('King Node Model'!$AL$51,'Level Engine'!$AA$9:$AA$55,0)),0)=1,"UNSAFE·Level at risk"&amp;CHAR(10)&amp;"• dEdge Cliff: DEX falls off at "&amp;TEXT('King Node Model'!$AL$51,"0")&amp;" ("&amp;TEXT((IFERROR(INDEX('Level Engine'!$AE$9:$AE$55,MATCH('King Node Model'!$AL$51,'Level Engine'!$AA$9:$AA$55,0)),0))/1000,"+#,##0;-#,##0")&amp;"K"&amp;", vs "&amp;TEXT((IFERROR(INDEX('Level Engine'!$AE$9:$AE$55,MATCH(IF(IFERROR(INDEX('Level Engine'!$AG$9:$AG$55,MATCH('King Node Model'!$AL$51,'Level Engine'!$AA$9:$AA$55,0)),"S")="R",'King Node Model'!$AL$51-5,'King Node Model'!$AL$51+5),'Level Engine'!$AA$9:$AA$55,0)),0))/1000,"+#,##0;-#,##0")&amp;"K"&amp;" at "&amp;TEXT(IF(IFERROR(INDEX('Level Engine'!$AG$9:$AG$55,MATCH('King Node Model'!$AL$51,'Level Engine'!$AA$9:$AA$55,0)),"S")="R",'King Node Model'!$AL$51-5,'King Node Model'!$AL$51+5),"0")&amp;")"&amp;CHAR(10)&amp;"• Positive gamma, positive GEX at the strike: cliffs break more than they hold"&amp;CHAR(10)&amp;"• Next DEX cushion "&amp;TEXT(IF(ABS(IFERROR(INDEX('Level Engine'!$AE$9:$AE$55,MATCH(IF(IFERROR(INDEX('Level Engine'!$AG$9:$AG$55,MATCH('King Node Model'!$AL$51,'Level Engine'!$AA$9:$AA$55,0)),"S")="R",'King Node Model'!$AL$51+5,'King Node Model'!$AL$51-5),'Level Engine'!$AA$9:$AA$55,0)),0))&gt;=ABS(IFERROR(INDEX('Level Engine'!$AE$9:$AE$55,MATCH(IF(IFERROR(INDEX('Level Engine'!$AG$9:$AG$55,MATCH('King Node Model'!$AL$51,'Level Engine'!$AA$9:$AA$55,0)),"S")="R",'King Node Model'!$AL$51+10,'King Node Model'!$AL$51-10),'Level Engine'!$AA$9:$AA$55,0)),0)),IF(IFERROR(INDEX('Level Engine'!$AG$9:$AG$55,MATCH('King Node Model'!$AL$51,'Level Engine'!$AA$9:$AA$55,0)),"S")="R",'King Node Model'!$AL$51+5,'King Node Model'!$AL$51-5),IF(IFERROR(INDEX('Level Engine'!$AG$9:$AG$55,MATCH('King Node Model'!$AL$51,'Level Engine'!$AA$9:$AA$55,0)),"S")="R",'King Node Model'!$AL$51+10,'King Node Model'!$AL$51-10)),"0")&amp;" ("&amp;TEXT((IFERROR(INDEX('Level Engine'!$AE$9:$AE$55,MATCH(IF(ABS(IFERROR(INDEX('Level Engine'!$AE$9:$AE$55,MATCH(IF(IFERROR(INDEX('Level Engine'!$AG$9:$AG$55,MATCH('King Node Model'!$AL$51,'Level Engine'!$AA$9:$AA$55,0)),"S")="R",'King Node Model'!$AL$51+5,'King Node Model'!$AL$51-5),'Level Engine'!$AA$9:$AA$55,0)),0))&gt;=ABS(IFERROR(INDEX('Level Engine'!$AE$9:$AE$55,MATCH(IF(IFERROR(INDEX('Level Engine'!$AG$9:$AG$55,MATCH('King Node Model'!$AL$51,'Level Engine'!$AA$9:$AA$55,0)),"S")="R",'King Node Model'!$AL$51+10,'King Node Model'!$AL$51-10),'Level Engine'!$AA$9:$AA$55,0)),0)),IF(IFERROR(INDEX('Level Engine'!$AG$9:$AG$55,MATCH('King Node Model'!$AL$51,'Level Engine'!$AA$9:$AA$55,0)),"S")="R",'King Node Model'!$AL$51+5,'King Node Model'!$AL$51-5),IF(IFERROR(INDEX('Level Engine'!$AG$9:$AG$55,MATCH('King Node Model'!$AL$51,'Level Engine'!$AA$9:$AA$55,0)),"S")="R",'King Node Model'!$AL$51+10,'King Node Model'!$AL$51-10)),'Level Engine'!$AA$9:$AA$55,0)),0))/1000,"+#,##0;-#,##0")&amp;"K"&amp;")",""))</f>
        <v/>
      </c>
      <c r="DF54" t="str">
        <f>IF(AND($E54&lt;&gt;"",N(IFERROR(INDEX('Level Engine'!$KM$9:$KM$55,MATCH('King Node Model'!$AL$51,'Level Engine'!$AA$9:$AA$55,0)),""))=1,N(IFERROR(INDEX('Level Engine'!$KK$9:$KK$55,MATCH('King Node Model'!$AL$51,'Level Engine'!$AA$9:$AA$55,0)),""))&lt;&gt;1),"SAFE·Level safe — put wall + Max Zomma + DOM"&amp;IF(IFERROR(INDEX('Level Engine'!$KI$9:$KI$55,MATCH('King Node Model'!$AL$51,'Level Engine'!$AA$9:$AA$55,0)),"")&lt;&gt;"",CHAR(10)&amp;"• Overridden: "&amp;SUBSTITUTE(SUBSTITUTE(SUBSTITUTE(SUBSTITUTE(SUBSTITUTE(SUBSTITUTE(SUBSTITUTE(SUBSTITUTE(SUBSTITUTE(SUBSTITUTE(SUBSTITUTE(SUBSTITUTE(SUBSTITUTE(SUBSTITUTE(SUBSTITUTE(SUBSTITUTE(SUBSTITUTE(TRIM(IFERROR(INDEX('Level Engine'!$KI$9:$KI$55,MATCH('King Node Model'!$AL$51,'Level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54" t="str">
        <f>IF($E54="","",IF(IFERROR(INDEX('Level Engine'!$KX$9:$KX$55,MATCH('King Node Model'!$AL$51,'Level Engine'!$AA$9:$AA$55,0)),0)=1,"• "&amp;IF(IFERROR(INDEX('Level Engine'!$KW$9:$KW$55,MATCH('King Node Model'!$AL$51,'Level Engine'!$AA$9:$AA$55,0)),0)=1,"DEX falls off above ("&amp;TEXT(IFERROR(INDEX('Level Engine'!$KU$9:$KU$55,MATCH('King Node Model'!$AL$51,'Level Engine'!$AA$9:$AA$55,0)),0),"0%")&amp;") more sharply than below ("&amp;TEXT(IFERROR(INDEX('Level Engine'!$KV$9:$KV$55,MATCH('King Node Model'!$AL$51,'Level Engine'!$AA$9:$AA$55,0)),0),"0%")&amp;"), but "&amp;TEXT('King Node Model'!$AL$51-5,"0")&amp;" below is a reversal level with more DEX","DEX falls off below ("&amp;TEXT(IFERROR(INDEX('Level Engine'!$KV$9:$KV$55,MATCH('King Node Model'!$AL$51,'Level Engine'!$AA$9:$AA$55,0)),0),"0%")&amp;") more sharply than above ("&amp;TEXT(IFERROR(INDEX('Level Engine'!$KU$9:$KU$55,MATCH('King Node Model'!$AL$51,'Level Engine'!$AA$9:$AA$55,0)),0),"0%")&amp;"), but "&amp;TEXT('King Node Model'!$AL$51+5,"0")&amp;" above is a reversal level with more DEX")&amp;" — DEX lean warning not applied",IF(IFERROR(INDEX('Level Engine'!$KZ$9:$KZ$55,MATCH('King Node Model'!$AL$51,'Level Engine'!$AA$9:$AA$55,0)),0)=1,"• DEX falls off more sharply above ("&amp;TEXT(IFERROR(INDEX('Level Engine'!$KU$9:$KU$55,MATCH('King Node Model'!$AL$51,'Level Engine'!$AA$9:$AA$55,0)),0),"0%")&amp;") than below ("&amp;TEXT(IFERROR(INDEX('Level Engine'!$KV$9:$KV$55,MATCH('King Node Model'!$AL$51,'Level Engine'!$AA$9:$AA$55,0)),0),"0%")&amp;") — clean bounces less likely in positive gamma · however DEX supportive","")))</f>
        <v/>
      </c>
      <c r="DH54" t="str">
        <f>IF($DF54&lt;&gt;"",$DF54,(IF(AND($E54&lt;&gt;"",$DB54="",N(IFERROR(INDEX('Level Engine'!$JI$9:$JI$55,MATCH('King Node Model'!$AL$51,'Level Engine'!$AA$9:$AA$55,0)),""))=1),"SAFE·Level safe — all backers confirmed"&amp;CHAR(10)&amp;"• Reversal"&amp;IF(ISNUMBER(SEARCH("chop edge",$E54))," (chop edge)","")&amp;" ✓ · Vanna "&amp;IFERROR(INDEX('Level Engine'!$JV$9:$JV$55,MATCH('King Node Model'!$AL$51,'Level Engine'!$AA$9:$AA$55,0)),"")&amp;" on arrival ✓ · DEX "&amp;TEXT(N(IFERROR(INDEX('Level Engine'!$AE$9:$AE$55,MATCH('King Node Model'!$AL$51,'Level Engine'!$AA$9:$AA$55,0)),""))/1000,"+0;-0")&amp;"K ✓"&amp;IF(IFERROR(INDEX('Level Engine'!$KI$9:$KI$55,MATCH('King Node Model'!$AL$51,'Level Engine'!$AA$9:$AA$55,0)),"")&lt;&gt;"",CHAR(10)&amp;"• Overridden: "&amp;SUBSTITUTE(SUBSTITUTE(SUBSTITUTE(SUBSTITUTE(SUBSTITUTE(SUBSTITUTE(SUBSTITUTE(SUBSTITUTE(SUBSTITUTE(SUBSTITUTE(TRIM(IFERROR(INDEX('Level Engine'!$KI$9:$KI$55,MATCH('King Node Model'!$AL$51,'Level Engine'!$AA$9:$AA$55,0)),""))," "," · "),"HIGHIVFALL","IV High + ATM IV falling (melt-up risk)"),"LOWIVFALL","Low IV + ATM IV falling"),"CHOPEDGEIV","chop-edge IV"),"AMPLIFY","gamma peak"),"TROUGH","trough"),"SANDWICH","sandwich"),"BUMP","speed bump"),"ZACCEL","zomma ACCEL"),"EDGE","γSh edge"),""),IF(AND($E54&lt;&gt;"",$DB54="",IFERROR(INDEX('Level Engine'!$JS$9:$JS$55,MATCH('King Node Model'!$AL$51,'Level Engine'!$AA$9:$AA$55,0)),0)=1),"SAFE·Level is safe"&amp;CHAR(10)&amp;"• Positive gamma · GEX "&amp;TEXT(IFERROR(INDEX('Level Engine'!$AB$9:$AB$55,MATCH('King Node Model'!$AL$51,'Level Engine'!$AA$9:$AA$55,0)),0)/1000000,"+0.00;-0.00")&amp;"M"&amp;IF(IFERROR(INDEX('Level Engine'!$AB$9:$AB$55,MATCH('King Node Model'!$AL$51,'Level Engine'!$AA$9:$AA$55,0)),0)=MAX('Level Engine'!$AB$9:$AB$55),", largest on board","")&amp;CHAR(10)&amp;"• Zomma "&amp;TEXT(IFERROR(INDEX('Level Engine'!$AF$9:$AF$55,MATCH('King Node Model'!$AL$51,'Level Engine'!$AA$9:$AA$55,0)),0)/1000000,"+0.0;-0.0")&amp;"M, largest on board · "&amp;IF(IFERROR(INDEX('Level Engine'!$AF$9:$AF$55,MATCH('King Node Model'!$AL$51,'Level Engine'!$AA$9:$AA$55,0)),0)&lt;0,"falling","rising")&amp;" IV strengthens gamma"&amp;IF(IFERROR(INDEX('Level Engine'!$IY$9:$IY$55,MATCH('King Node Model'!$AL$51,'Level Engine'!$AA$9:$AA$55,0)),"")="SELL",CHAR(10)&amp;"• Vanna SELL "&amp;TEXT(IFERROR(INDEX('Level Engine'!$AD$9:$AD$55,MATCH('King Node Model'!$AL$51,'Level Engine'!$AA$9:$AA$55,0)),0)/1000000,"+0.00;-0.00")&amp;"M outweighed while IV "&amp;IF(IFERROR(INDEX('Level Engine'!$AF$9:$AF$55,MATCH('King Node Model'!$AL$51,'Level Engine'!$AA$9:$AA$55,0)),0)&lt;0,"falls","rises"),"")&amp;IF(N(IFERROR(INDEX('Level Engine'!$JF$9:$JF$55,MATCH('King Node Model'!$AL$51,'Level Engine'!$AA$9:$AA$55,0)),0))&gt;N(IFERROR(INDEX('Level Engine'!$JE$9:$JE$55,MATCH('King Node Model'!$AL$51,'Level Engine'!$AA$9:$AA$55,0)),0)),CHAR(10)&amp;"• Call-heavy · "&amp;TEXT(IFERROR(INDEX('Level Engine'!$JF$9:$JF$55,MATCH('King Node Model'!$AL$51,'Level Engine'!$AA$9:$AA$55,0)),0),"#,##0")&amp;" calls vs "&amp;TEXT(IFERROR(INDEX('Level Engine'!$JE$9:$JE$55,MATCH('King Node Model'!$AL$51,'Level Engine'!$AA$9:$AA$55,0)),0),"#,##0")&amp;" puts",""),$DB54)))&amp;IF(AND($E54&lt;&gt;"",$DB54="",OR('King Node Model'!$A$8&lt;&gt;"Pos",N('Level Engine'!$BG$72)=1),IFERROR(INDEX('Level Engine'!$HM$9:$HM$55,MATCH('King Node Model'!$AL$51,'Level Engine'!$AA$9:$AA$55,0)),0)=1,IFERROR(INDEX('Level Engine'!$JO$9:$JO$55,MATCH('King Node Model'!$AL$51,'Level Engine'!$AA$9:$AA$55,0)),0)&lt;&gt;1),IF(AND($DB54="",N(IFERROR(INDEX('Level Engine'!$JI$9:$JI$55,MATCH('King Node Model'!$AL$51,'Level Engine'!$AA$9:$AA$55,0)),0))&lt;&gt;1),"SAFE·Level safe"&amp;CHAR(10),CHAR(10))&amp;"• Trough · weak bounce — positive-gamma rule, not applied in negative/fragile gamma","")&amp;IF(AND($E54&lt;&gt;"",$DB54="",ISNUMBER('King Node Model'!$AL$51),OR('King Node Model'!$A$8="Neg",N('Level Engine'!$BG$72)=1),ABS(N('King Node Model'!$AL$51)-'Level Engine'!$B$4)&gt;'Level Engine'!$BG$98,OR('King Node Model'!$AL$51='Level Engine'!$BG$105,'King Node Model'!$AL$51='Level Engine'!$BG$87)),IF(AND($DB54="",N(IFERROR(INDEX('Level Engine'!$JI$9:$JI$55,MATCH('King Node Model'!$AL$51,'Level Engine'!$AA$9:$AA$55,0)),0))&lt;&gt;1,NOT(AND($E54&lt;&gt;"",$DB54="",OR('King Node Model'!$A$8&lt;&gt;"Pos",N('Level Engine'!$BG$72)=1),IFERROR(INDEX('Level Engine'!$HM$9:$HM$55,MATCH('King Node Model'!$AL$51,'Level Engine'!$AA$9:$AA$55,0)),0)=1,IFERROR(INDEX('Level Engine'!$JO$9:$JO$55,MATCH('King Node Model'!$AL$51,'Level Engine'!$AA$9:$AA$55,0)),0)&lt;&gt;1))),"SAFE·Level safe"&amp;CHAR(10),CHAR(10))&amp;"• ζ "&amp;IF('King Node Model'!$AL$51='Level Engine'!$BG$105,"Max Zomma: zomma read as IV rising","Min Zomma: zomma read as IV falling")&amp;" on arrival (Max/Min rule)",""))</f>
        <v/>
      </c>
      <c r="DI54" t="str">
        <f>IF(AND(AND('King Node Model'!$A$8="Pos",IFERROR(IFERROR(INDEX('Level Engine'!$CZ$9:$CZ$55,MATCH('King Node Model'!$AL$51,'Level Engine'!$AA$9:$AA$55,0)),0)=1,FALSE),N(IFERROR(INDEX('Level Engine'!$AB$9:$AB$55,MATCH('King Node Model'!$AL$51,'Level Engine'!$AA$9:$AA$55,0)),0))&lt;0),NOT(ISNUMBER(SEARCH("REVERSAL",(('King Node Model'!Y51)&amp;IF(AND($E54&lt;&gt;"",IFERROR(INDEX('Level Engine'!$JR$9:$JR$55,MATCH('King Node Model'!$AL$51,'Level Engine'!$AA$9:$AA$55,0)),0)=1),"  · vanna-latched","")))))),"REVERSAL · ","")&amp;SUBSTITUTE(SUBSTITUTE(SUBSTITUTE(SUBSTITUTE((('King Node Model'!Y51)&amp;IF(AND($E54&lt;&gt;"",IFERROR(INDEX('Level Engine'!$JR$9:$JR$55,MATCH('King Node Model'!$AL$51,'Level Engine'!$AA$9:$AA$55,0)),0)=1),"  · vanna-latched","")),"dEdge Cliff",IF(AND('King Node Model'!$A$8="Pos",IFERROR(IFERROR(INDEX('Level Engine'!$CZ$9:$CZ$55,MATCH('King Node Model'!$AL$51,'Level Engine'!$AA$9:$AA$55,0)),0)=1,FALSE),N(IFERROR(INDEX('Level Engine'!$AB$9:$AB$55,MATCH('King Node Model'!$AL$51,'Level Engine'!$AA$9:$AA$55,0)),0))&lt;0),"Put Wall · dEdge Cliff","dEdge Cliff"))," · accelerates",IF(AND('King Node Model'!$A$8="Pos",IFERROR(IFERROR(INDEX('Level Engine'!$CZ$9:$CZ$55,MATCH('King Node Model'!$AL$51,'Level Engine'!$AA$9:$AA$55,0)),0)=1,FALSE),N(IFERROR(INDEX('Level Engine'!$AB$9:$AB$55,MATCH('King Node Model'!$AL$51,'Level Engine'!$AA$9:$AA$55,0)),0))&lt;0),""," · accelerates")),"REVERSAL · ",IF(AND('King Node Model'!$A$8="Pos",IFERROR(IFERROR(INDEX('Level Engine'!$CZ$9:$CZ$55,MATCH('King Node Model'!$AL$51,'Level Engine'!$AA$9:$AA$55,0)),0)=1,FALSE),N(IFERROR(INDEX('Level Engine'!$AB$9:$AB$55,MATCH('King Node Model'!$AL$51,'Level Engine'!$AA$9:$AA$55,0)),0))&gt;0,N('Level Engine'!$BG$109)=1),"","REVERSAL · ")),"REVERSAL",IF(AND('King Node Model'!$A$8="Pos",IFERROR(IFERROR(INDEX('Level Engine'!$CZ$9:$CZ$55,MATCH('King Node Model'!$AL$51,'Level Engine'!$AA$9:$AA$55,0)),0)=1,FALSE),N(IFERROR(INDEX('Level Engine'!$AB$9:$AB$55,MATCH('King Node Model'!$AL$51,'Level Engine'!$AA$9:$AA$55,0)),0))&gt;0,N('Level Engine'!$BG$109)=1),"","REVERSAL"))</f>
        <v/>
      </c>
      <c r="DK54" t="str">
        <f>IF(AND(ISNUMBER($AL54),OR($AL54='King Node Model'!$AL$42,$AL54='King Node Model'!$AL$43,$AL54='King Node Model'!$AL$44)),IFERROR(MATCH($AL54,'Level Engine'!$W$9:$W$14,0),""),"")</f>
        <v/>
      </c>
      <c r="DL54" t="str">
        <f>IF(AND(ISNUMBER($AL54),OR($AL54='King Node Model'!$AL$49,$AL54='King Node Model'!$AL$50,$AL54='King Node Model'!$AL$51)),IFERROR(MATCH($AL54,'Level Engine'!$W$18:$W$23,0),""),"")</f>
        <v/>
      </c>
      <c r="DM54">
        <f>IF(AND(ISNUMBER($AL54),IFERROR(INDEX('Level Engine'!$LC$9:$LC$55,MATCH($AL54,'Level Engine'!$AA$9:$AA$55,0)),0)=1,OR($AL54=$AN$3,IFERROR(INDEX('Level Engine'!$LB$9:$LB$55,MATCH($AL54,'Level Engine'!$AA$9:$AA$55,0)),0)=1)),1,0)</f>
        <v>0</v>
      </c>
      <c r="DN54" t="str">
        <f>IFERROR(CHOOSE(INDEX('Level Engine'!$LM$9:$LM$55,MATCH('King Node Model'!$AL$51,'Level Engine'!$AA$9:$AA$55,0))+1,"","TAKE PROFIT · DON'T BUY"&amp;INDEX('Level Engine'!$LQ$9:$LQ$55,MATCH('King Node Model'!$AL$51,'Level Engine'!$AA$9:$AA$55,0)),"TAKE PROFIT · DON'T SHORT"&amp;INDEX('Level Engine'!$LQ$9:$LQ$55,MATCH('King Node Model'!$AL$51,'Level Engine'!$AA$9:$AA$55,0))),"")</f>
        <v/>
      </c>
      <c r="DO54" t="str">
        <f>IF(AND($DV54&lt;&gt;"",$DB54=""),IF(LEFT($DX54,4)="SAFE",$DX54&amp;CHAR(10)&amp;$DV54,IF($DX54="","SAFE·Level safe"&amp;CHAR(10)&amp;$DV54,$DX54&amp;CHAR(10)&amp;$DV54)),$DX54)</f>
        <v/>
      </c>
      <c r="DP54" t="str">
        <f>IFERROR(IF(AND(INDEX('Level Engine'!$LR$9:$LR$55,MATCH('King Node Model'!$AL$51,'Level Engine'!$AA$9:$AA$55,0))=1,INDEX('Level Engine'!$HP$9:$HP$55,MATCH('King Node Model'!$AL$51,'Level Engine'!$AA$9:$AA$55,0))&lt;&gt;1),"• Next to sandwich "&amp;IF(IFERROR(INDEX('Level Engine'!$EU$9:$EU$55,MATCH('King Node Model'!$AL$51+5,'Level Engine'!$AA$9:$AA$55,0)),0)=1,'King Node Model'!$AL$51+5,'King Node Model'!$AL$51-5)&amp;" · zomma "&amp;TEXT(INDEX('Level Engine'!$AF$9:$AF$55,MATCH('King Node Model'!$AL$51,'Level Engine'!$AA$9:$AA$55,0))/1000000,"+0.0")&amp;"M ✓"&amp;CHAR(10)&amp;"• Sandwich support: no-reversal warning doesn't apply"&amp;IF(IFERROR(INDEX('Level Engine'!$MB$9:$MB$55,MATCH('King Node Model'!$AL$51,'Level Engine'!$AA$9:$AA$55,0)),0)=1,CHAR(10)&amp;"• HELD — SAND✓ lock: keeps its row until a 3-pt break or +5 pts"&amp;IF(IFERROR(INDEX('Level Engine'!$JV$9:$JV$55,MATCH('King Node Model'!$AL$51,'Level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Model'!$AL$51,'Level Engine'!$AA$9:$AA$55,0)),""))),CHAR(10)&amp;"• Zomma ACCEL building (held through the lock)",""),""),""),"")</f>
        <v/>
      </c>
      <c r="DQ54" t="str">
        <f>IF($DN54="",$DP54,IF($DP54="",$DN54,$DN54&amp;CHAR(10)&amp;$DP54))</f>
        <v/>
      </c>
      <c r="DR54" t="str">
        <f>IF(IFERROR(INDEX('Level Engine'!$MS$9:$MS$55,MATCH('King Node Model'!$AL$51,'Level Engine'!$AA$9:$AA$55,0)),"")="",IFERROR(IF(INDEX('Level Engine'!$LS$9:$LS$55,MATCH('King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Engine'!$AA$9:$AA$55,0))/1000000,"+0.00;-0.00")&amp;"M — needs ≥ "&amp;TEXT('Level Engine'!$BG$144/1000000,"0.0")&amp;"M, not a SAND✓ level",IF(AND(INDEX('Level Engine'!$LR$9:$LR$55,MATCH('King Node Model'!$AL$51,'Level Engine'!$AA$9:$AA$55,0))=1,INDEX('Level Engine'!$HP$9:$HP$55,MATCH('King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Engine'!$AA$9:$AA$55,0))/1000000,"+0.0;-0.0")&amp;"M — SAND✓ but overridden by the warnings listed above","")),""),IF((IFERROR(IF(INDEX('Level Engine'!$LS$9:$LS$55,MATCH('King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Engine'!$AA$9:$AA$55,0))/1000000,"+0.00;-0.00")&amp;"M — needs ≥ "&amp;TEXT('Level Engine'!$BG$144/1000000,"0.0")&amp;"M, not a SAND✓ level",IF(AND(INDEX('Level Engine'!$LR$9:$LR$55,MATCH('King Node Model'!$AL$51,'Level Engine'!$AA$9:$AA$55,0))=1,INDEX('Level Engine'!$HP$9:$HP$55,MATCH('King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Engine'!$AA$9:$AA$55,0))/1000000,"+0.0;-0.0")&amp;"M — SAND✓ but overridden by the warnings listed above","")),""))="",IFERROR(INDEX('Level Engine'!$MS$9:$MS$55,MATCH('King Node Model'!$AL$51,'Level Engine'!$AA$9:$AA$55,0)),""),(IFERROR(IF(INDEX('Level Engine'!$LS$9:$LS$55,MATCH('King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Engine'!$AA$9:$AA$55,0))/1000000,"+0.00;-0.00")&amp;"M — needs ≥ "&amp;TEXT('Level Engine'!$BG$144/1000000,"0.0")&amp;"M, not a SAND✓ level",IF(AND(INDEX('Level Engine'!$LR$9:$LR$55,MATCH('King Node Model'!$AL$51,'Level Engine'!$AA$9:$AA$55,0))=1,INDEX('Level Engine'!$HP$9:$HP$55,MATCH('King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Engine'!$AA$9:$AA$55,0))/1000000,"+0.0;-0.0")&amp;"M — SAND✓ but overridden by the warnings listed above","")),""))&amp;CHAR(10)&amp;IFERROR(INDEX('Level Engine'!$MS$9:$MS$55,MATCH('King Node Model'!$AL$51,'Level Engine'!$AA$9:$AA$55,0)),"")))</f>
        <v/>
      </c>
      <c r="DS54" t="str">
        <f>IF($DQ54="",$DO54,IF(LEFT($DO54,4)="SAFE",LEFT($DO54,FIND(CHAR(10),$DO54&amp;CHAR(10))-1)&amp;CHAR(10)&amp;$DQ54&amp;MID($DO54,FIND(CHAR(10),$DO54&amp;CHAR(10)),9999),IF(AND($DO54="",$DP54&lt;&gt;""),"SAFE·Level safe"&amp;CHAR(10)&amp;$DQ54,$DQ54&amp;CHAR(10)&amp;$DO54)))</f>
        <v/>
      </c>
      <c r="DU54" t="str">
        <f>IF(AND($E54&lt;&gt;"",NOT(AND('King Node Model'!$A$8&lt;&gt;"Neg",N('Level Engine'!$BG$72)&lt;&gt;1)),AND(OR(AND(ISNUMBER(IFERROR(INDEX('Level Engine'!$AC$9:$AC$55,MATCH('King Node Model'!$AL$51,'Level Engine'!$AA$9:$AA$55,0)),"")),IFERROR(INDEX('Level Engine'!$AC$9:$AC$55,MATCH('King Node Model'!$AL$51,'Level Engine'!$AA$9:$AA$55,0)),"")=MAX('Level Engine'!$AC$9:$AC$55)),AND(ISNUMBER(IFERROR(INDEX('Level Engine'!$AB$9:$AB$55,MATCH('King Node Model'!$AL$51,'Level Engine'!$AA$9:$AA$55,0)),"")),IFERROR(INDEX('Level Engine'!$AB$9:$AB$55,MATCH('King Node Model'!$AL$51,'Level Engine'!$AA$9:$AA$55,0)),"")=MIN('Level Engine'!$AB$9:$AB$55))),NOT(AND(AND(ISNUMBER(IFERROR(INDEX('Level Engine'!$AC$9:$AC$55,MATCH('King Node Model'!$AL$51,'Level Engine'!$AA$9:$AA$55,0)),"")),IFERROR(INDEX('Level Engine'!$AC$9:$AC$55,MATCH('King Node Model'!$AL$51,'Level Engine'!$AA$9:$AA$55,0)),"")=MAX('Level Engine'!$AC$9:$AC$55)),AND(ISNUMBER(IFERROR(INDEX('Level Engine'!$AB$9:$AB$55,MATCH('King Node Model'!$AL$51,'Level Engine'!$AA$9:$AA$55,0)),"")),IFERROR(INDEX('Level Engine'!$AB$9:$AB$55,MATCH('King Node Model'!$AL$51,'Level Engine'!$AA$9:$AA$55,0)),"")=MIN('Level Engine'!$AB$9:$AB$55)))),IFERROR(INDEX('Level Engine'!$AG$9:$AG$55,MATCH('King Node Model'!$AL$51,'Level Engine'!$AA$9:$AA$55,0)),"")="S",IFERROR(INDEX('Level Engine'!$AB$9:$AB$55,MATCH('King Node Model'!$AL$51,'Level Engine'!$AA$9:$AA$55,0)),0)&lt;0,NOT(OR('King Node Model'!$AL$51=$AN$16,'King Node Model'!$AL$51=$AN$17,'King Node Model'!$AL$51=$AN$18)),IFERROR(INDEX('Level Engine'!$JO$9:$JO$55,MATCH('King Node Model'!$AL$51,'Level Engine'!$AA$9:$AA$55,0)),0)&lt;&gt;1),AND(OR('King Node Model'!$A$8="Neg",N('Level Engine'!$BG$72)=1),ISNUMBER(IFERROR(INDEX('Level Engine'!$AB$9:$AB$55,MATCH('King Node Model'!$AL$51,'Level Engine'!$AA$9:$AA$55,0)),"")),IFERROR(INDEX('Level Engine'!$AB$9:$AB$55,MATCH('King Node Model'!$AL$51,'Level Engine'!$AA$9:$AA$55,0)),"")=MIN('Level Engine'!$AB$9:$AB$55),'King Node Model'!$AL$51='Level Engine'!$BG$105)),$DG54,$DG54)</f>
      </c>
      <c r="DV54" t="str">
        <f>IF(IFERROR(INDEX('Level Engine'!$MU$9:$MU$55,MATCH('King Node Model'!$AL$51,'Level Engine'!$AA$9:$AA$55,0)),"")="",$DU54,IFERROR(INDEX('Level Engine'!$MU$9:$MU$55,MATCH('King Node Model'!$AL$51,'Level Engine'!$AA$9:$AA$55,0)),"")&amp;IF($DU54="","",CHAR(10)&amp;$DU54))</f>
      </c>
      <c r="DX54" t="str">
        <f>IF(IFERROR(INDEX('Level Engine'!$MZ$9:$MZ$55,MATCH('King Node Model'!$AL$51,'Level Engine'!$AA$9:$AA$55,0)),"")="",$DH54,IF(OR($DH54="",LEFT($DH54,4)="SAFE"),"UNSAFE·Level at risk"&amp;CHAR(10)&amp;IFERROR(INDEX('Level Engine'!$MZ$9:$MZ$55,MATCH('King Node Model'!$AL$51,'Level Engine'!$AA$9:$AA$55,0)),""),IF(LEFT($DH54,6)="UNSAFE","UNSAFE·Level at risk"&amp;CHAR(10)&amp;IFERROR(INDEX('Level Engine'!$MZ$9:$MZ$55,MATCH('King Node Model'!$AL$51,'Level Engine'!$AA$9:$AA$55,0)),"")&amp;MID($DH54,FIND(CHAR(10),$DH54&amp;CHAR(10)),9999),IFERROR(INDEX('Level Engine'!$MZ$9:$MZ$55,MATCH('King Node Model'!$AL$51,'Level Engine'!$AA$9:$AA$55,0)),"")&amp;CHAR(10)&amp;$DH54)))</f>
      </c>
      <c r="EA54">
        <f>IF($E54="",0,IF(IFERROR(INDEX('Level Engine'!$NJ$9:$NJ$55,MATCH('King Node Model'!$AL$51,'Level Engine'!$AA$9:$AA$55,0)),0)=1,1,0))</f>
      </c>
    </row>
    <row r="55" spans="1:123" ht="15" customHeight="1" thickBot="1" x14ac:dyDescent="0.3">
      <c r="A55" s="7" t="str">
        <f>IF(AND(ISNUMBER($AM55),$AM55&lt;0,ISNUMBER($AO55),$AO$1&gt;0),REPT("█",ROUND($AO55/$AO$1*26,0)),"")</f>
        <v/>
      </c>
      <c r="B55" s="8"/>
      <c r="C55" s="9"/>
      <c r="D55" t="str">
        <f>IF(NOT(ISNUMBER($AL55)),"",IF(IFERROR(INDEX('Level Engine'!$FS$9:$FS$55,MATCH($AL55,'Level Engine'!$AA$9:$AA$55,0)),0)=1,"⊙",""))&amp;IF(AND('Level Engine'!$GJ$4=1,OR($AL55='Level Engine'!$GJ$1,$AL55='Level Engine'!$GJ$2)),"","")</f>
        <v/>
      </c>
      <c r="E55" s="75"/>
      <c r="F55" s="75"/>
      <c r="G55" s="75"/>
      <c r="H55" s="75"/>
      <c r="I55" s="75"/>
      <c r="J55" s="75"/>
      <c r="K55" s="75"/>
      <c r="L55" s="75"/>
      <c r="M55" s="75"/>
      <c r="N55" s="75"/>
      <c r="P55" s="479"/>
      <c r="Q55" s="10"/>
      <c r="S55" s="10"/>
      <c r="T55" s="481"/>
      <c r="U55" s="481"/>
      <c r="X55" s="10"/>
      <c r="Y55" s="10"/>
      <c r="AM55" s="10"/>
      <c r="AO55" s="10"/>
      <c r="CO55" t="str">
        <f>IF(NOT(ISNUMBER($AL55)),"",IF(NOT(ISNUMBER(IFERROR(INDEX('Level Engine'!$FT$9:$FT$55,MATCH($AL55,'Level Engine'!$AA$9:$AA$55,0)),""))),"",IF(IFERROR(INDEX('Level Engine'!$FT$9:$FT$55,MATCH($AL55,'Level Engine'!$AA$9:$AA$55,0)),"")&lt;0,0,2)+IF(ABS(IFERROR(INDEX('Level Engine'!$FT$9:$FT$55,MATCH($AL55,'Level Engine'!$AA$9:$AA$55,0)),""))&gt;='Level Engine'!$FT$2,2,1)))</f>
        <v/>
      </c>
      <c r="DK55" t="str">
        <f>IF(AND(ISNUMBER($AL55),OR($AL55='King Node Model'!$AL$42,$AL55='King Node Model'!$AL$43,$AL55='King Node Model'!$AL$44)),IFERROR(MATCH($AL55,'Level Engine'!$W$9:$W$14,0),""),"")</f>
        <v/>
      </c>
      <c r="DL55" t="str">
        <f>IF(AND(ISNUMBER($AL55),OR($AL55='King Node Model'!$AL$49,$AL55='King Node Model'!$AL$50,$AL55='King Node Model'!$AL$51)),IFERROR(MATCH($AL55,'Level Engine'!$W$18:$W$23,0),""),"")</f>
        <v/>
      </c>
      <c r="DM55">
        <f>IF(AND(ISNUMBER($AL55),IFERROR(INDEX('Level Engine'!$LC$9:$LC$55,MATCH($AL55,'Level Engine'!$AA$9:$AA$55,0)),0)=1,OR($AL55=$AN$3,IFERROR(INDEX('Level Engine'!$LB$9:$LB$55,MATCH($AL55,'Level Engine'!$AA$9:$AA$55,0)),0)=1)),1,0)</f>
        <v>0</v>
      </c>
    </row>
    <row r="56" spans="1:123" ht="15" customHeight="1" x14ac:dyDescent="0.25">
      <c r="A56" s="7"/>
      <c r="B56" s="8"/>
      <c r="C56" s="9"/>
      <c r="D56" t="str">
        <f>IF(NOT(ISNUMBER($AL56)),"",IF(IFERROR(INDEX('Level Engine'!$FS$9:$FS$55,MATCH($AL56,'Level Engine'!$AA$9:$AA$55,0)),0)=1,"⊙",""))&amp;IF(AND('Level Engine'!$GJ$4=1,OR($AL56='Level Engine'!$GJ$1,$AL56='Level Engine'!$GJ$2)),"","")</f>
        <v/>
      </c>
      <c r="E56" s="524" t="s">
        <v>44</v>
      </c>
      <c r="K56" t="s">
        <v>2091</v>
      </c>
      <c r="N56" s="12"/>
      <c r="P56" s="479"/>
      <c r="Q56" s="10"/>
      <c r="S56" s="10"/>
      <c r="T56" s="481"/>
      <c r="U56" s="481"/>
      <c r="X56" s="10"/>
      <c r="Y56" s="10"/>
      <c r="AM56" s="10"/>
      <c r="AO56" s="10"/>
      <c r="CO56" t="str">
        <f>IF(NOT(ISNUMBER($AL56)),"",IF(NOT(ISNUMBER(IFERROR(INDEX('Level Engine'!$FT$9:$FT$55,MATCH($AL56,'Level Engine'!$AA$9:$AA$55,0)),""))),"",IF(IFERROR(INDEX('Level Engine'!$FT$9:$FT$55,MATCH($AL56,'Level Engine'!$AA$9:$AA$55,0)),"")&lt;0,0,2)+IF(ABS(IFERROR(INDEX('Level Engine'!$FT$9:$FT$55,MATCH($AL56,'Level Engine'!$AA$9:$AA$55,0)),""))&gt;='Level Engine'!$FT$2,2,1)))</f>
        <v/>
      </c>
      <c r="DK56" t="str">
        <f>IF(AND(ISNUMBER($AL56),OR($AL56='King Node Model'!$AL$42,$AL56='King Node Model'!$AL$43,$AL56='King Node Model'!$AL$44)),IFERROR(MATCH($AL56,'Level Engine'!$W$9:$W$14,0),""),"")</f>
        <v/>
      </c>
      <c r="DL56" t="str">
        <f>IF(AND(ISNUMBER($AL56),OR($AL56='King Node Model'!$AL$49,$AL56='King Node Model'!$AL$50,$AL56='King Node Model'!$AL$51)),IFERROR(MATCH($AL56,'Level Engine'!$W$18:$W$23,0),""),"")</f>
        <v/>
      </c>
      <c r="DM56">
        <f>IF(AND(ISNUMBER($AL56),IFERROR(INDEX('Level Engine'!$LC$9:$LC$55,MATCH($AL56,'Level Engine'!$AA$9:$AA$55,0)),0)=1,OR($AL56=$AN$3,IFERROR(INDEX('Level Engine'!$LB$9:$LB$55,MATCH($AL56,'Level Engine'!$AA$9:$AA$55,0)),0)=1)),1,0)</f>
        <v>0</v>
      </c>
    </row>
    <row r="57" spans="1:123" ht="15" customHeight="1" x14ac:dyDescent="0.25">
      <c r="A57" s="7"/>
      <c r="B57" s="8"/>
      <c r="C57" s="9"/>
      <c r="D57" t="str">
        <f>IF(NOT(ISNUMBER($AL57)),"",IF(IFERROR(INDEX('Level Engine'!$FS$9:$FS$55,MATCH($AL57,'Level Engine'!$AA$9:$AA$55,0)),0)=1,"⊙",""))&amp;IF(AND('Level Engine'!$GJ$4=1,OR($AL57='Level Engine'!$GJ$1,$AL57='Level Engine'!$GJ$2)),"","")</f>
        <v/>
      </c>
      <c r="E57" s="525" t="s">
        <v>33</v>
      </c>
      <c r="F57" s="78" t="s">
        <v>34</v>
      </c>
      <c r="G57" s="78" t="s">
        <v>45</v>
      </c>
      <c r="H57" s="78" t="s">
        <v>35</v>
      </c>
      <c r="I57" s="78" t="s">
        <v>46</v>
      </c>
      <c r="J57" s="78" t="s">
        <v>47</v>
      </c>
      <c r="K57" s="79" t="s">
        <v>33</v>
      </c>
      <c r="L57" s="77" t="s">
        <v>34</v>
      </c>
      <c r="M57" s="77" t="s">
        <v>18</v>
      </c>
      <c r="N57" s="51" t="s">
        <v>17</v>
      </c>
      <c r="P57" s="479"/>
      <c r="Q57" s="10"/>
      <c r="S57" s="10"/>
      <c r="T57" s="481"/>
      <c r="U57" s="481"/>
      <c r="X57" s="10"/>
      <c r="Y57" s="10"/>
      <c r="AM57" s="10"/>
      <c r="AO57" s="10"/>
      <c r="CO57" t="str">
        <f>IF(NOT(ISNUMBER($AL57)),"",IF(NOT(ISNUMBER(IFERROR(INDEX('Level Engine'!$FT$9:$FT$55,MATCH($AL57,'Level Engine'!$AA$9:$AA$55,0)),""))),"",IF(IFERROR(INDEX('Level Engine'!$FT$9:$FT$55,MATCH($AL57,'Level Engine'!$AA$9:$AA$55,0)),"")&lt;0,0,2)+IF(ABS(IFERROR(INDEX('Level Engine'!$FT$9:$FT$55,MATCH($AL57,'Level Engine'!$AA$9:$AA$55,0)),""))&gt;='Level Engine'!$FT$2,2,1)))</f>
        <v/>
      </c>
      <c r="DK57" t="str">
        <f>IF(AND(ISNUMBER($AL57),OR($AL57='King Node Model'!$AL$42,$AL57='King Node Model'!$AL$43,$AL57='King Node Model'!$AL$44)),IFERROR(MATCH($AL57,'Level Engine'!$W$9:$W$14,0),""),"")</f>
        <v/>
      </c>
      <c r="DL57" t="str">
        <f>IF(AND(ISNUMBER($AL57),OR($AL57='King Node Model'!$AL$49,$AL57='King Node Model'!$AL$50,$AL57='King Node Model'!$AL$51)),IFERROR(MATCH($AL57,'Level Engine'!$W$18:$W$23,0),""),"")</f>
        <v/>
      </c>
      <c r="DM57">
        <f>IF(AND(ISNUMBER($AL57),IFERROR(INDEX('Level Engine'!$LC$9:$LC$55,MATCH($AL57,'Level Engine'!$AA$9:$AA$55,0)),0)=1,OR($AL57=$AN$3,IFERROR(INDEX('Level Engine'!$LB$9:$LB$55,MATCH($AL57,'Level Engine'!$AA$9:$AA$55,0)),0)=1)),1,0)</f>
        <v>0</v>
      </c>
    </row>
    <row r="58" spans="1:123" ht="15" customHeight="1" x14ac:dyDescent="0.25">
      <c r="A58" s="7"/>
      <c r="B58" s="8"/>
      <c r="C58" s="9"/>
      <c r="D58" t="str">
        <f>IF(NOT(ISNUMBER($AL58)),"",IF(IFERROR(INDEX('Level Engine'!$FS$9:$FS$55,MATCH($AL58,'Level Engine'!$AA$9:$AA$55,0)),0)=1,"⊙",""))&amp;IF(AND('Level Engine'!$GJ$4=1,OR($AL58='Level Engine'!$GJ$1,$AL58='Level Engine'!$GJ$2)),"","")</f>
        <v/>
      </c>
      <c r="E58" s="526">
        <f>'King Node Model'!S63</f>
        <v>7800</v>
      </c>
      <c r="F58" s="81">
        <f>'King Node Model'!T63</f>
        <v>24.609999999999673</v>
      </c>
      <c r="G58" s="82">
        <f>'King Node Model'!U63</f>
        <v>3752257</v>
      </c>
      <c r="H58" s="82">
        <f>'King Node Model'!V63</f>
        <v>-80182</v>
      </c>
      <c r="I58" s="83" t="str">
        <f>'King Node Model'!W63</f>
        <v>R</v>
      </c>
      <c r="J58" s="80" t="str">
        <f>'King Node Model'!X63</f>
        <v>ACCELERANT</v>
      </c>
      <c r="K58" s="84">
        <f t="array" ref="K58">IF(SUMPRODUCT(('Level Engine'!$DT$9:$DT$55=1)*('Level Engine'!$AA$9:$AA$55&lt;&gt;"")*('Level Engine'!$AA$9:$AA$55&lt;'King Node Model'!$B$4))=0,"-",MAX(IF(('Level Engine'!$DT$9:$DT$55=1)*('Level Engine'!$AA$9:$AA$55&lt;'King Node Model'!$B$4),'Level Engine'!$AA$9:$AA$55)))</f>
        <v>7770</v>
      </c>
      <c r="L58" s="80">
        <f>IF($K58="-","-",ROUND($K58-'King Node Model'!$B$4,0))</f>
        <v>-5</v>
      </c>
      <c r="M58" s="80">
        <f>IF($K58="-","-",IFERROR(INDEX('Level Engine'!$BL$9:$BL$55,MATCH($K58,'Level Engine'!$AA$9:$AA$55,0)),"-"))</f>
        <v>232</v>
      </c>
      <c r="N58" s="51">
        <f>IF($K58="-","-",IFERROR(INDEX('Level Engine'!$AD$9:$AD$55,MATCH($K58,'Level Engine'!$AA$9:$AA$55,0)),"-"))</f>
        <v>2025848</v>
      </c>
      <c r="Q58" s="10"/>
      <c r="S58" s="10"/>
      <c r="T58" s="481"/>
      <c r="U58" s="481"/>
      <c r="X58" s="10"/>
      <c r="Y58" s="10"/>
      <c r="AM58" s="10"/>
      <c r="AO58" s="10"/>
      <c r="CO58" t="str">
        <f>IF(NOT(ISNUMBER($AL58)),"",IF(NOT(ISNUMBER(IFERROR(INDEX('Level Engine'!$FT$9:$FT$55,MATCH($AL58,'Level Engine'!$AA$9:$AA$55,0)),""))),"",IF(IFERROR(INDEX('Level Engine'!$FT$9:$FT$55,MATCH($AL58,'Level Engine'!$AA$9:$AA$55,0)),"")&lt;0,0,2)+IF(ABS(IFERROR(INDEX('Level Engine'!$FT$9:$FT$55,MATCH($AL58,'Level Engine'!$AA$9:$AA$55,0)),""))&gt;='Level Engine'!$FT$2,2,1)))</f>
        <v/>
      </c>
      <c r="DK58" t="str">
        <f>IF(AND(ISNUMBER($AL58),OR($AL58='King Node Model'!$AL$42,$AL58='King Node Model'!$AL$43,$AL58='King Node Model'!$AL$44)),IFERROR(MATCH($AL58,'Level Engine'!$W$9:$W$14,0),""),"")</f>
        <v/>
      </c>
      <c r="DL58" t="str">
        <f>IF(AND(ISNUMBER($AL58),OR($AL58='King Node Model'!$AL$49,$AL58='King Node Model'!$AL$50,$AL58='King Node Model'!$AL$51)),IFERROR(MATCH($AL58,'Level Engine'!$W$18:$W$23,0),""),"")</f>
        <v/>
      </c>
      <c r="DM58">
        <f>IF(AND(ISNUMBER($AL58),IFERROR(INDEX('Level Engine'!$LC$9:$LC$55,MATCH($AL58,'Level Engine'!$AA$9:$AA$55,0)),0)=1,OR($AL58=$AN$3,IFERROR(INDEX('Level Engine'!$LB$9:$LB$55,MATCH($AL58,'Level Engine'!$AA$9:$AA$55,0)),0)=1)),1,0)</f>
        <v>0</v>
      </c>
    </row>
    <row r="59" spans="1:123" ht="15" customHeight="1" x14ac:dyDescent="0.25">
      <c r="A59" s="7"/>
      <c r="B59" s="8"/>
      <c r="C59" s="9"/>
      <c r="D59" t="str">
        <f>IF(NOT(ISNUMBER($AL59)),"",IF(IFERROR(INDEX('Level Engine'!$FS$9:$FS$55,MATCH($AL59,'Level Engine'!$AA$9:$AA$55,0)),0)=1,"⊙",""))&amp;IF(AND('Level Engine'!$GJ$4=1,OR($AL59='Level Engine'!$GJ$1,$AL59='Level Engine'!$GJ$2)),"","")</f>
        <v/>
      </c>
      <c r="E59" s="527">
        <f>'King Node Model'!S64</f>
        <v>7750</v>
      </c>
      <c r="F59" s="81">
        <f>'King Node Model'!T64</f>
        <v>-25.390000000000327</v>
      </c>
      <c r="G59" s="82">
        <f>'King Node Model'!U64</f>
        <v>3240730</v>
      </c>
      <c r="H59" s="82">
        <f>'King Node Model'!V64</f>
        <v>-1614015</v>
      </c>
      <c r="I59" s="83" t="str">
        <f>'King Node Model'!W64</f>
        <v>S</v>
      </c>
      <c r="J59" s="80" t="str">
        <f>'King Node Model'!X64</f>
        <v>ACCELERANT</v>
      </c>
      <c r="K59" s="84" t="str">
        <f t="array" ref="K59">IF(SUMPRODUCT(('Level Engine'!$DT$9:$DT$55=1)*('Level Engine'!$AA$9:$AA$55&lt;&gt;"")*('Level Engine'!$AA$9:$AA$55&gt;'King Node Model'!$B$4))=0,"-",MIN(IF(('Level Engine'!$DT$9:$DT$55=1)*('Level Engine'!$AA$9:$AA$55&gt;'King Node Model'!$B$4)*('Level Engine'!$AA$9:$AA$55&lt;&gt;""),'Level Engine'!$AA$9:$AA$55)))</f>
        <v>-</v>
      </c>
      <c r="L59" s="80" t="str">
        <f>IF($K59="-","-",ROUND($K59-'King Node Model'!$B$4,0))</f>
        <v>-</v>
      </c>
      <c r="M59" s="80" t="str">
        <f>IF($K59="-","-",IFERROR(INDEX('Level Engine'!$BL$9:$BL$55,MATCH($K59,'Level Engine'!$AA$9:$AA$55,0)),"-"))</f>
        <v>-</v>
      </c>
      <c r="N59" s="51" t="str">
        <f>IF($K59="-","-",IFERROR(INDEX('Level Engine'!$AD$9:$AD$55,MATCH($K59,'Level Engine'!$AA$9:$AA$55,0)),"-"))</f>
        <v>-</v>
      </c>
      <c r="Q59" s="10"/>
      <c r="S59" s="10"/>
      <c r="T59" s="481"/>
      <c r="U59" s="481"/>
      <c r="X59" s="10"/>
      <c r="Y59" s="10"/>
      <c r="AM59" s="10"/>
      <c r="AO59" s="10"/>
      <c r="CO59" t="str">
        <f>IF(NOT(ISNUMBER($AL59)),"",IF(NOT(ISNUMBER(IFERROR(INDEX('Level Engine'!$FT$9:$FT$55,MATCH($AL59,'Level Engine'!$AA$9:$AA$55,0)),""))),"",IF(IFERROR(INDEX('Level Engine'!$FT$9:$FT$55,MATCH($AL59,'Level Engine'!$AA$9:$AA$55,0)),"")&lt;0,0,2)+IF(ABS(IFERROR(INDEX('Level Engine'!$FT$9:$FT$55,MATCH($AL59,'Level Engine'!$AA$9:$AA$55,0)),""))&gt;='Level Engine'!$FT$2,2,1)))</f>
        <v/>
      </c>
      <c r="DK59" t="str">
        <f>IF(AND(ISNUMBER($AL59),OR($AL59='King Node Model'!$AL$42,$AL59='King Node Model'!$AL$43,$AL59='King Node Model'!$AL$44)),IFERROR(MATCH($AL59,'Level Engine'!$W$9:$W$14,0),""),"")</f>
        <v/>
      </c>
      <c r="DL59" t="str">
        <f>IF(AND(ISNUMBER($AL59),OR($AL59='King Node Model'!$AL$49,$AL59='King Node Model'!$AL$50,$AL59='King Node Model'!$AL$51)),IFERROR(MATCH($AL59,'Level Engine'!$W$18:$W$23,0),""),"")</f>
        <v/>
      </c>
      <c r="DM59">
        <f>IF(AND(ISNUMBER($AL59),IFERROR(INDEX('Level Engine'!$LC$9:$LC$55,MATCH($AL59,'Level Engine'!$AA$9:$AA$55,0)),0)=1,OR($AL59=$AN$3,IFERROR(INDEX('Level Engine'!$LB$9:$LB$55,MATCH($AL59,'Level Engine'!$AA$9:$AA$55,0)),0)=1)),1,0)</f>
        <v>0</v>
      </c>
    </row>
    <row r="60" spans="1:123" ht="15" customHeight="1" x14ac:dyDescent="0.25">
      <c r="A60" s="7"/>
      <c r="B60" s="8"/>
      <c r="C60" s="9"/>
      <c r="D60" t="str">
        <f>IF(NOT(ISNUMBER($AL60)),"",IF(IFERROR(INDEX('Level Engine'!$FS$9:$FS$55,MATCH($AL60,'Level Engine'!$AA$9:$AA$55,0)),0)=1,"⊙",""))&amp;IF(AND('Level Engine'!$GJ$4=1,OR($AL60='Level Engine'!$GJ$1,$AL60='Level Engine'!$GJ$2)),"","")</f>
        <v/>
      </c>
      <c r="E60" s="528">
        <f>'King Node Model'!S65</f>
        <v>7730</v>
      </c>
      <c r="F60" s="81">
        <f>'King Node Model'!T65</f>
        <v>-45.390000000000327</v>
      </c>
      <c r="G60" s="82">
        <f>'King Node Model'!U65</f>
        <v>900491</v>
      </c>
      <c r="H60" s="82">
        <f>'King Node Model'!V65</f>
        <v>-9171</v>
      </c>
      <c r="I60" s="83" t="str">
        <f>'King Node Model'!W65</f>
        <v>S</v>
      </c>
      <c r="J60" s="80" t="str">
        <f>'King Node Model'!X65</f>
        <v>ACCELERANT</v>
      </c>
      <c r="K60" s="85"/>
      <c r="L60" s="80"/>
      <c r="N60" s="12"/>
      <c r="Q60" s="10"/>
      <c r="S60" s="10"/>
      <c r="T60" s="481"/>
      <c r="U60" s="481"/>
      <c r="X60" s="10"/>
      <c r="Y60" s="10"/>
      <c r="AM60" s="10"/>
      <c r="AO60" s="10"/>
      <c r="CO60" t="str">
        <f>IF(NOT(ISNUMBER($AL60)),"",IF(NOT(ISNUMBER(IFERROR(INDEX('Level Engine'!$FT$9:$FT$55,MATCH($AL60,'Level Engine'!$AA$9:$AA$55,0)),""))),"",IF(IFERROR(INDEX('Level Engine'!$FT$9:$FT$55,MATCH($AL60,'Level Engine'!$AA$9:$AA$55,0)),"")&lt;0,0,2)+IF(ABS(IFERROR(INDEX('Level Engine'!$FT$9:$FT$55,MATCH($AL60,'Level Engine'!$AA$9:$AA$55,0)),""))&gt;='Level Engine'!$FT$2,2,1)))</f>
        <v/>
      </c>
      <c r="DK60" t="str">
        <f>IF(AND(ISNUMBER($AL60),OR($AL60='King Node Model'!$AL$42,$AL60='King Node Model'!$AL$43,$AL60='King Node Model'!$AL$44)),IFERROR(MATCH($AL60,'Level Engine'!$W$9:$W$14,0),""),"")</f>
        <v/>
      </c>
      <c r="DL60" t="str">
        <f>IF(AND(ISNUMBER($AL60),OR($AL60='King Node Model'!$AL$49,$AL60='King Node Model'!$AL$50,$AL60='King Node Model'!$AL$51)),IFERROR(MATCH($AL60,'Level Engine'!$W$18:$W$23,0),""),"")</f>
        <v/>
      </c>
      <c r="DM60">
        <f>IF(AND(ISNUMBER($AL60),IFERROR(INDEX('Level Engine'!$LC$9:$LC$55,MATCH($AL60,'Level Engine'!$AA$9:$AA$55,0)),0)=1,OR($AL60=$AN$3,IFERROR(INDEX('Level Engine'!$LB$9:$LB$55,MATCH($AL60,'Level Engine'!$AA$9:$AA$55,0)),0)=1)),1,0)</f>
        <v>0</v>
      </c>
    </row>
    <row r="61" spans="1:123" ht="15" customHeight="1" x14ac:dyDescent="0.25">
      <c r="A61" s="7"/>
      <c r="B61" s="8"/>
      <c r="C61" s="9"/>
      <c r="D61" t="str">
        <f>IF(NOT(ISNUMBER($AL61)),"",IF(IFERROR(INDEX('Level Engine'!$FS$9:$FS$55,MATCH($AL61,'Level Engine'!$AA$9:$AA$55,0)),0)=1,"⊙",""))&amp;IF(AND('Level Engine'!$GJ$4=1,OR($AL61='Level Engine'!$GJ$1,$AL61='Level Engine'!$GJ$2)),"","")</f>
        <v/>
      </c>
      <c r="E61" s="529">
        <f>'King Node Model'!S66</f>
        <v>7825</v>
      </c>
      <c r="F61" s="81">
        <f>'King Node Model'!T66</f>
        <v>49.609999999999673</v>
      </c>
      <c r="G61" s="82">
        <f>'King Node Model'!U66</f>
        <v>680164</v>
      </c>
      <c r="H61" s="82">
        <f>'King Node Model'!V66</f>
        <v>538591</v>
      </c>
      <c r="I61" s="83" t="str">
        <f>'King Node Model'!W66</f>
        <v>R</v>
      </c>
      <c r="J61" s="80" t="str">
        <f>'King Node Model'!X66</f>
        <v>FRAGILE</v>
      </c>
      <c r="K61" s="85"/>
      <c r="L61" s="80"/>
      <c r="N61" s="12"/>
      <c r="Q61" s="10"/>
      <c r="S61" s="10"/>
      <c r="T61" s="481"/>
      <c r="U61" s="481"/>
      <c r="X61" s="10"/>
      <c r="Y61" s="10"/>
      <c r="AM61" s="10"/>
      <c r="AO61" s="10"/>
      <c r="CO61" t="str">
        <f>IF(NOT(ISNUMBER($AL61)),"",IF(NOT(ISNUMBER(IFERROR(INDEX('Level Engine'!$FT$9:$FT$55,MATCH($AL61,'Level Engine'!$AA$9:$AA$55,0)),""))),"",IF(IFERROR(INDEX('Level Engine'!$FT$9:$FT$55,MATCH($AL61,'Level Engine'!$AA$9:$AA$55,0)),"")&lt;0,0,2)+IF(ABS(IFERROR(INDEX('Level Engine'!$FT$9:$FT$55,MATCH($AL61,'Level Engine'!$AA$9:$AA$55,0)),""))&gt;='Level Engine'!$FT$2,2,1)))</f>
        <v/>
      </c>
      <c r="DK61" t="str">
        <f>IF(AND(ISNUMBER($AL61),OR($AL61='King Node Model'!$AL$42,$AL61='King Node Model'!$AL$43,$AL61='King Node Model'!$AL$44)),IFERROR(MATCH($AL61,'Level Engine'!$W$9:$W$14,0),""),"")</f>
        <v/>
      </c>
      <c r="DL61" t="str">
        <f>IF(AND(ISNUMBER($AL61),OR($AL61='King Node Model'!$AL$49,$AL61='King Node Model'!$AL$50,$AL61='King Node Model'!$AL$51)),IFERROR(MATCH($AL61,'Level Engine'!$W$18:$W$23,0),""),"")</f>
        <v/>
      </c>
      <c r="DM61">
        <f>IF(AND(ISNUMBER($AL61),IFERROR(INDEX('Level Engine'!$LC$9:$LC$55,MATCH($AL61,'Level Engine'!$AA$9:$AA$55,0)),0)=1,OR($AL61=$AN$3,IFERROR(INDEX('Level Engine'!$LB$9:$LB$55,MATCH($AL61,'Level Engine'!$AA$9:$AA$55,0)),0)=1)),1,0)</f>
        <v>0</v>
      </c>
    </row>
    <row r="62" spans="1:123" ht="15" customHeight="1" x14ac:dyDescent="0.25">
      <c r="A62" s="7"/>
      <c r="B62" s="8"/>
      <c r="C62" s="9"/>
      <c r="D62" t="str">
        <f>IF(NOT(ISNUMBER($AL62)),"",IF(IFERROR(INDEX('Level Engine'!$FS$9:$FS$55,MATCH($AL62,'Level Engine'!$AA$9:$AA$55,0)),0)=1,"⊙",""))&amp;IF(AND('Level Engine'!$GJ$4=1,OR($AL62='Level Engine'!$GJ$1,$AL62='Level Engine'!$GJ$2)),"","")</f>
        <v/>
      </c>
      <c r="E62" s="86"/>
      <c r="F62" s="20"/>
      <c r="G62" s="19"/>
      <c r="H62" s="19"/>
      <c r="I62" s="19"/>
      <c r="J62" s="19"/>
      <c r="K62" s="19"/>
      <c r="L62" s="19"/>
      <c r="M62" s="19"/>
      <c r="N62" s="19"/>
      <c r="Q62" s="10"/>
      <c r="S62" s="10"/>
      <c r="T62" s="481"/>
      <c r="U62" s="481"/>
      <c r="W62" s="571"/>
      <c r="X62" s="571"/>
      <c r="Y62" s="571"/>
      <c r="Z62" s="571"/>
      <c r="AM62" s="10"/>
      <c r="AO62" s="10"/>
      <c r="CO62" t="str">
        <f>IF(NOT(ISNUMBER($AL62)),"",IF(NOT(ISNUMBER(IFERROR(INDEX('Level Engine'!$FT$9:$FT$55,MATCH($AL62,'Level Engine'!$AA$9:$AA$55,0)),""))),"",IF(IFERROR(INDEX('Level Engine'!$FT$9:$FT$55,MATCH($AL62,'Level Engine'!$AA$9:$AA$55,0)),"")&lt;0,0,2)+IF(ABS(IFERROR(INDEX('Level Engine'!$FT$9:$FT$55,MATCH($AL62,'Level Engine'!$AA$9:$AA$55,0)),""))&gt;='Level Engine'!$FT$2,2,1)))</f>
        <v/>
      </c>
      <c r="DK62" t="str">
        <f>IF(AND(ISNUMBER($AL62),OR($AL62='King Node Model'!$AL$42,$AL62='King Node Model'!$AL$43,$AL62='King Node Model'!$AL$44)),IFERROR(MATCH($AL62,'Level Engine'!$W$9:$W$14,0),""),"")</f>
        <v/>
      </c>
      <c r="DL62" t="str">
        <f>IF(AND(ISNUMBER($AL62),OR($AL62='King Node Model'!$AL$49,$AL62='King Node Model'!$AL$50,$AL62='King Node Model'!$AL$51)),IFERROR(MATCH($AL62,'Level Engine'!$W$18:$W$23,0),""),"")</f>
        <v/>
      </c>
      <c r="DM62">
        <f>IF(AND(ISNUMBER($AL62),IFERROR(INDEX('Level Engine'!$LC$9:$LC$55,MATCH($AL62,'Level Engine'!$AA$9:$AA$55,0)),0)=1,OR($AL62=$AN$3,IFERROR(INDEX('Level Engine'!$LB$9:$LB$55,MATCH($AL62,'Level Engine'!$AA$9:$AA$55,0)),0)=1)),1,0)</f>
        <v>0</v>
      </c>
    </row>
    <row r="63" spans="1:123" ht="15" customHeight="1" x14ac:dyDescent="0.25">
      <c r="A63" s="24"/>
      <c r="B63" s="8"/>
      <c r="C63" s="530"/>
      <c r="D63" t="str">
        <f>IF(NOT(ISNUMBER($AL63)),"",IF(IFERROR(INDEX('Level Engine'!$FS$9:$FS$55,MATCH($AL63,'Level Engine'!$AA$9:$AA$55,0)),0)=1,"⊙",""))&amp;IF(AND('Level Engine'!$GJ$4=1,OR($AL63='Level Engine'!$GJ$1,$AL63='Level Engine'!$GJ$2)),"","")</f>
        <v/>
      </c>
      <c r="E63" s="18" t="s">
        <v>48</v>
      </c>
      <c r="F63" s="594"/>
      <c r="G63" s="594"/>
      <c r="H63" s="594"/>
      <c r="J63" s="18" t="s">
        <v>49</v>
      </c>
      <c r="K63" s="19"/>
      <c r="L63" s="34"/>
      <c r="Q63" s="10"/>
      <c r="S63" s="10"/>
      <c r="T63" s="481"/>
      <c r="U63" s="481"/>
      <c r="V63" s="2"/>
      <c r="W63" s="31" t="str">
        <f>'King Node Model'!K26</f>
        <v>Updated 17:39:36</v>
      </c>
      <c r="CO63" t="str">
        <f>IF(NOT(ISNUMBER($AL63)),"",IF(NOT(ISNUMBER(IFERROR(INDEX('Level Engine'!$FT$9:$FT$55,MATCH($AL63,'Level Engine'!$AA$9:$AA$55,0)),""))),"",IF(IFERROR(INDEX('Level Engine'!$FT$9:$FT$55,MATCH($AL63,'Level Engine'!$AA$9:$AA$55,0)),"")&lt;0,0,2)+IF(ABS(IFERROR(INDEX('Level Engine'!$FT$9:$FT$55,MATCH($AL63,'Level Engine'!$AA$9:$AA$55,0)),""))&gt;='Level Engine'!$FT$2,2,1)))</f>
        <v/>
      </c>
      <c r="DK63" t="str">
        <f>IF(AND(ISNUMBER($AL63),OR($AL63='King Node Model'!$AL$42,$AL63='King Node Model'!$AL$43,$AL63='King Node Model'!$AL$44)),IFERROR(MATCH($AL63,'Level Engine'!$W$9:$W$14,0),""),"")</f>
        <v/>
      </c>
      <c r="DL63" t="str">
        <f>IF(AND(ISNUMBER($AL63),OR($AL63='King Node Model'!$AL$49,$AL63='King Node Model'!$AL$50,$AL63='King Node Model'!$AL$51)),IFERROR(MATCH($AL63,'Level Engine'!$W$18:$W$23,0),""),"")</f>
        <v/>
      </c>
      <c r="DM63">
        <f>IF(AND(ISNUMBER($AL63),IFERROR(INDEX('Level Engine'!$LC$9:$LC$55,MATCH($AL63,'Level Engine'!$AA$9:$AA$55,0)),0)=1,OR($AL63=$AN$3,IFERROR(INDEX('Level Engine'!$LB$9:$LB$55,MATCH($AL63,'Level Engine'!$AA$9:$AA$55,0)),0)=1)),1,0)</f>
        <v>0</v>
      </c>
    </row>
    <row r="64" spans="1:123" ht="15" customHeight="1" x14ac:dyDescent="0.25">
      <c r="A64" s="24"/>
      <c r="B64" s="8"/>
      <c r="C64" s="531"/>
      <c r="D64" t="str">
        <f>IF(NOT(ISNUMBER($AL64)),"",IF(IFERROR(INDEX('Level Engine'!$FS$9:$FS$55,MATCH($AL64,'Level Engine'!$AA$9:$AA$55,0)),0)=1,"⊙",""))&amp;IF(AND('Level Engine'!$GJ$4=1,OR($AL64='Level Engine'!$GJ$1,$AL64='Level Engine'!$GJ$2)),"","")</f>
        <v/>
      </c>
      <c r="E64" s="87" t="s">
        <v>50</v>
      </c>
      <c r="F64" s="88" t="str">
        <f>'GEX Depth'!C54</f>
        <v>FALLING / AT TROUGH</v>
      </c>
      <c r="H64" s="12"/>
      <c r="J64" s="21"/>
      <c r="K64" s="89" t="s">
        <v>51</v>
      </c>
      <c r="L64" s="90" t="s">
        <v>52</v>
      </c>
      <c r="Q64" s="10"/>
      <c r="S64" s="10"/>
      <c r="T64" s="481"/>
      <c r="U64" s="481"/>
      <c r="CO64" t="str">
        <f>IF(NOT(ISNUMBER($AL64)),"",IF(NOT(ISNUMBER(IFERROR(INDEX('Level Engine'!$FT$9:$FT$55,MATCH($AL64,'Level Engine'!$AA$9:$AA$55,0)),""))),"",IF(IFERROR(INDEX('Level Engine'!$FT$9:$FT$55,MATCH($AL64,'Level Engine'!$AA$9:$AA$55,0)),"")&lt;0,0,2)+IF(ABS(IFERROR(INDEX('Level Engine'!$FT$9:$FT$55,MATCH($AL64,'Level Engine'!$AA$9:$AA$55,0)),""))&gt;='Level Engine'!$FT$2,2,1)))</f>
        <v/>
      </c>
      <c r="DK64" t="str">
        <f>IF(AND(ISNUMBER($AL64),OR($AL64='King Node Model'!$AL$42,$AL64='King Node Model'!$AL$43,$AL64='King Node Model'!$AL$44)),IFERROR(MATCH($AL64,'Level Engine'!$W$9:$W$14,0),""),"")</f>
        <v/>
      </c>
      <c r="DL64" t="str">
        <f>IF(AND(ISNUMBER($AL64),OR($AL64='King Node Model'!$AL$49,$AL64='King Node Model'!$AL$50,$AL64='King Node Model'!$AL$51)),IFERROR(MATCH($AL64,'Level Engine'!$W$18:$W$23,0),""),"")</f>
        <v/>
      </c>
      <c r="DM64">
        <f>IF(AND(ISNUMBER($AL64),IFERROR(INDEX('Level Engine'!$LC$9:$LC$55,MATCH($AL64,'Level Engine'!$AA$9:$AA$55,0)),0)=1,OR($AL64=$AN$3,IFERROR(INDEX('Level Engine'!$LB$9:$LB$55,MATCH($AL64,'Level Engine'!$AA$9:$AA$55,0)),0)=1)),1,0)</f>
        <v>0</v>
      </c>
    </row>
    <row r="65" spans="1:21" ht="15" customHeight="1" x14ac:dyDescent="0.25">
      <c r="A65" s="91"/>
      <c r="B65" s="92"/>
      <c r="C65" s="93"/>
      <c r="E65" s="94" t="s">
        <v>53</v>
      </c>
      <c r="F65" s="95">
        <f>'GEX Depth'!C55</f>
        <v>4035</v>
      </c>
      <c r="G65" s="96"/>
      <c r="H65" s="97"/>
      <c r="I65" s="78"/>
      <c r="J65" s="94" t="s">
        <v>54</v>
      </c>
      <c r="K65" s="98">
        <f>'King Node Model'!X27</f>
        <v>7770</v>
      </c>
      <c r="L65" s="99" t="str">
        <f>'King Node Model'!Y27</f>
        <v>wall · 7770–7780</v>
      </c>
      <c r="Q65" s="10"/>
      <c r="R65" s="100"/>
      <c r="S65" s="10"/>
      <c r="T65" s="481"/>
      <c r="U65" s="481"/>
    </row>
    <row r="66" spans="1:21" ht="15" customHeight="1" x14ac:dyDescent="0.25">
      <c r="A66" s="595"/>
      <c r="B66" s="595"/>
      <c r="C66" s="595"/>
      <c r="E66" s="87" t="s">
        <v>55</v>
      </c>
      <c r="F66" s="102">
        <f>'GEX Depth'!E55</f>
        <v>0</v>
      </c>
      <c r="G66" s="103"/>
      <c r="H66" s="104"/>
      <c r="I66" s="105"/>
      <c r="J66" s="35" t="s">
        <v>56</v>
      </c>
      <c r="K66" s="106">
        <f>'King Node Model'!X28</f>
        <v>7780</v>
      </c>
      <c r="L66" s="107" t="str">
        <f>'King Node Model'!Y28</f>
        <v>wall · 7770–7780</v>
      </c>
    </row>
    <row r="67" spans="1:21" ht="15" customHeight="1" x14ac:dyDescent="0.25">
      <c r="A67" s="596" t="s">
        <v>57</v>
      </c>
      <c r="B67" s="596"/>
      <c r="C67" s="596"/>
      <c r="E67" s="35" t="s">
        <v>58</v>
      </c>
      <c r="F67" s="108" t="str">
        <f>'GEX Depth'!C56</f>
        <v>UP</v>
      </c>
      <c r="G67" s="109"/>
      <c r="H67" s="110"/>
      <c r="I67" s="105"/>
      <c r="J67" s="80"/>
    </row>
    <row r="68" spans="1:21" ht="15" customHeight="1" x14ac:dyDescent="0.25">
      <c r="A68" s="597" t="s">
        <v>59</v>
      </c>
      <c r="B68" s="597"/>
      <c r="C68" s="597"/>
      <c r="E68" s="111"/>
      <c r="F68" s="112"/>
      <c r="G68" s="113"/>
      <c r="H68" s="113"/>
      <c r="I68" s="114"/>
      <c r="J68" s="111"/>
      <c r="K68" s="101"/>
    </row>
    <row r="69" spans="1:21" ht="15" customHeight="1" x14ac:dyDescent="0.25">
      <c r="A69" s="605" t="s">
        <v>60</v>
      </c>
      <c r="B69" s="605"/>
      <c r="C69" s="605"/>
      <c r="D69" s="115"/>
      <c r="E69" s="38" t="s">
        <v>61</v>
      </c>
      <c r="F69" s="116"/>
      <c r="G69" s="117"/>
      <c r="H69" s="117"/>
      <c r="I69" s="118"/>
      <c r="J69" s="119"/>
      <c r="K69" s="34"/>
    </row>
    <row r="70" spans="1:21" ht="15" customHeight="1" x14ac:dyDescent="0.25">
      <c r="A70" s="606" t="s">
        <v>62</v>
      </c>
      <c r="B70" s="606"/>
      <c r="C70" s="606"/>
      <c r="D70" s="115"/>
      <c r="E70" s="121" t="s">
        <v>2143</v>
      </c>
      <c r="I70" s="122" t="s">
        <v>2144</v>
      </c>
      <c r="K70" s="12"/>
    </row>
    <row r="71" spans="1:21" ht="15" customHeight="1" x14ac:dyDescent="0.25">
      <c r="A71" s="607" t="s">
        <v>2092</v>
      </c>
      <c r="B71" s="608"/>
      <c r="C71" s="608"/>
      <c r="D71" s="115"/>
      <c r="E71" s="123">
        <f>IF('King Node Model'!$T$25="-","",'King Node Model'!$T$25)</f>
        <v>7795</v>
      </c>
      <c r="F71" s="124">
        <f>IF('King Node Model'!$U$25="-","",'King Node Model'!$U$25)</f>
        <v>1459310</v>
      </c>
      <c r="G71" s="125">
        <f>IF(ISNUMBER('King Node Model'!$T$25),'King Node Model'!$T$25-'King Node Model'!$B$4,"")</f>
        <v>19.609999999999673</v>
      </c>
      <c r="I71" s="126">
        <f>IF('King Node Model'!$T$28="-","",'King Node Model'!$T$28)</f>
        <v>7770</v>
      </c>
      <c r="J71" s="124">
        <f>IF('King Node Model'!$U$28="-","",'King Node Model'!$U$28)</f>
        <v>4471438</v>
      </c>
      <c r="K71" s="127">
        <f>IF(ISNUMBER('King Node Model'!$T$28),'King Node Model'!$T$28-'King Node Model'!$B$4,"")</f>
        <v>-5.3900000000003274</v>
      </c>
    </row>
    <row r="72" spans="1:21" ht="15" customHeight="1" x14ac:dyDescent="0.25">
      <c r="A72" s="606" t="s">
        <v>65</v>
      </c>
      <c r="B72" s="606"/>
      <c r="C72" s="606"/>
      <c r="D72" s="115"/>
      <c r="E72" s="123">
        <f>IF('King Node Model'!$T$26="-","",'King Node Model'!$T$26)</f>
        <v>7805</v>
      </c>
      <c r="F72" s="124">
        <f>IF('King Node Model'!$U$26="-","",'King Node Model'!$U$26)</f>
        <v>874234</v>
      </c>
      <c r="G72" s="125">
        <f>IF(ISNUMBER('King Node Model'!$T$26),'King Node Model'!$T$26-'King Node Model'!$B$4,"")</f>
        <v>29.609999999999673</v>
      </c>
      <c r="I72" s="126">
        <f>IF('King Node Model'!$T$29="-","",'King Node Model'!$T$29)</f>
        <v>7775</v>
      </c>
      <c r="J72" s="124">
        <f>IF('King Node Model'!$U$29="-","",'King Node Model'!$U$29)</f>
        <v>4056043</v>
      </c>
      <c r="K72" s="127">
        <f>IF(ISNUMBER('King Node Model'!$T$29),'King Node Model'!$T$29-'King Node Model'!$B$4,"")</f>
        <v>-0.39000000000032742</v>
      </c>
    </row>
    <row r="73" spans="1:21" ht="27" customHeight="1" x14ac:dyDescent="0.25">
      <c r="A73" s="604" t="s">
        <v>66</v>
      </c>
      <c r="B73" s="604"/>
      <c r="C73" s="604"/>
      <c r="D73" s="115"/>
      <c r="E73" s="128">
        <f>IF('King Node Model'!$T$27="-","",'King Node Model'!$T$27)</f>
        <v>7810</v>
      </c>
      <c r="F73" s="129">
        <f>IF('King Node Model'!$U$27="-","",'King Node Model'!$U$27)</f>
        <v>756012</v>
      </c>
      <c r="G73" s="130">
        <f>IF(ISNUMBER('King Node Model'!$T$27),'King Node Model'!$T$27-'King Node Model'!$B$4,"")</f>
        <v>34.609999999999673</v>
      </c>
      <c r="H73" s="13"/>
      <c r="I73" s="131">
        <f>IF('King Node Model'!$T$30="-","",'King Node Model'!$T$30)</f>
        <v>7780</v>
      </c>
      <c r="J73" s="129">
        <f>IF('King Node Model'!$U$30="-","",'King Node Model'!$U$30)</f>
        <v>4038999</v>
      </c>
      <c r="K73" s="132">
        <f>IF(ISNUMBER('King Node Model'!$T$30),'King Node Model'!$T$30-'King Node Model'!$B$4,"")</f>
        <v>4.6099999999996726</v>
      </c>
    </row>
    <row r="74" spans="1:21" ht="15" customHeight="1" thickBot="1" x14ac:dyDescent="0.3">
      <c r="A74" s="120" t="s">
        <v>67</v>
      </c>
      <c r="E74" s="133"/>
      <c r="F74" s="133"/>
      <c r="G74" s="133"/>
      <c r="H74" s="133"/>
      <c r="I74" s="133"/>
      <c r="J74" s="133"/>
      <c r="K74" s="133"/>
    </row>
    <row r="75" spans="1:21" ht="15" customHeight="1" x14ac:dyDescent="0.25">
      <c r="A75" s="120" t="s">
        <v>1526</v>
      </c>
      <c r="E75" s="535" t="s">
        <v>2120</v>
      </c>
      <c r="F75" s="536"/>
      <c r="G75" s="536"/>
      <c r="H75" s="537"/>
    </row>
    <row r="76" spans="1:21" ht="30.75" customHeight="1" x14ac:dyDescent="0.25">
      <c r="A76" s="598" t="s">
        <v>2093</v>
      </c>
      <c r="B76" s="598"/>
      <c r="C76" s="598"/>
      <c r="E76" s="547" t="s">
        <v>33</v>
      </c>
      <c r="F76" s="546" t="s">
        <v>2121</v>
      </c>
      <c r="G76" s="546" t="s">
        <v>34</v>
      </c>
      <c r="H76" s="548" t="s">
        <v>2122</v>
      </c>
    </row>
    <row r="77" spans="1:21" ht="15" customHeight="1" x14ac:dyDescent="0.25">
      <c r="A77" s="120" t="s">
        <v>1569</v>
      </c>
      <c r="E77" s="538" t="s">
        <v>2123</v>
      </c>
      <c r="F77" s="539">
        <v>7799</v>
      </c>
      <c r="G77" s="540">
        <f>IF(ISNUMBER(F77),F77-'King Node Model'!$B$4,"")</f>
        <v>23.609999999999673</v>
      </c>
      <c r="H77" s="541" t="s">
        <v>2782</v>
      </c>
    </row>
    <row r="78" spans="1:21" ht="15" customHeight="1" x14ac:dyDescent="0.25">
      <c r="A78" s="120" t="s">
        <v>1570</v>
      </c>
      <c r="E78" s="538" t="s">
        <v>2124</v>
      </c>
      <c r="F78" s="539">
        <v>7805</v>
      </c>
      <c r="G78" s="540">
        <f>IF(ISNUMBER(F78),F78-'King Node Model'!$B$4,"")</f>
        <v>29.609999999999673</v>
      </c>
      <c r="H78" s="541" t="s">
        <v>2782</v>
      </c>
    </row>
    <row r="79" spans="1:21" ht="15" customHeight="1" thickBot="1" x14ac:dyDescent="0.3">
      <c r="A79" s="120" t="s">
        <v>1571</v>
      </c>
      <c r="E79" s="542" t="s">
        <v>2125</v>
      </c>
      <c r="F79" s="543">
        <v>7775</v>
      </c>
      <c r="G79" s="544">
        <f>IF(ISNUMBER(F79),F79-'King Node Model'!$B$4,"")</f>
        <v>-0.39000000000032742</v>
      </c>
      <c r="H79" s="545" t="s">
        <v>2782</v>
      </c>
    </row>
    <row r="80" spans="1:21" ht="15" customHeight="1" x14ac:dyDescent="0.25">
      <c r="A80" s="120" t="s">
        <v>1572</v>
      </c>
    </row>
    <row r="81" spans="1:1" ht="15" customHeight="1" x14ac:dyDescent="0.25">
      <c r="A81" s="120" t="s">
        <v>1573</v>
      </c>
    </row>
    <row r="82" spans="1:1" ht="15" customHeight="1" x14ac:dyDescent="0.25">
      <c r="A82" s="120" t="s">
        <v>1574</v>
      </c>
    </row>
    <row r="83" spans="1:1" ht="15" customHeight="1" x14ac:dyDescent="0.25">
      <c r="A83" s="120" t="s">
        <v>1575</v>
      </c>
    </row>
    <row r="84" spans="1:1" ht="15" customHeight="1" x14ac:dyDescent="0.25">
      <c r="A84" s="120" t="s">
        <v>1576</v>
      </c>
    </row>
  </sheetData>
  <mergeCells count="63">
    <mergeCell ref="Q54:U54"/>
    <mergeCell ref="F38:N38"/>
    <mergeCell ref="E40:M40"/>
    <mergeCell ref="N40:O40"/>
    <mergeCell ref="G34:H34"/>
    <mergeCell ref="M34:N34"/>
    <mergeCell ref="E41:O41"/>
    <mergeCell ref="E48:O48"/>
    <mergeCell ref="A76:C76"/>
    <mergeCell ref="G36:H36"/>
    <mergeCell ref="I34:J34"/>
    <mergeCell ref="I36:J36"/>
    <mergeCell ref="G37:N37"/>
    <mergeCell ref="E34:F34"/>
    <mergeCell ref="A73:C73"/>
    <mergeCell ref="A69:C69"/>
    <mergeCell ref="A70:C70"/>
    <mergeCell ref="A71:C71"/>
    <mergeCell ref="A72:C72"/>
    <mergeCell ref="W62:Z62"/>
    <mergeCell ref="F63:H63"/>
    <mergeCell ref="A66:C66"/>
    <mergeCell ref="A67:C67"/>
    <mergeCell ref="A68:C68"/>
    <mergeCell ref="E25:F25"/>
    <mergeCell ref="G25:J25"/>
    <mergeCell ref="K25:N25"/>
    <mergeCell ref="E26:N26"/>
    <mergeCell ref="E27:N27"/>
    <mergeCell ref="W23:Z23"/>
    <mergeCell ref="F14:N14"/>
    <mergeCell ref="F15:N15"/>
    <mergeCell ref="F16:N16"/>
    <mergeCell ref="F17:N17"/>
    <mergeCell ref="F18:N18"/>
    <mergeCell ref="Q17:S17"/>
    <mergeCell ref="R18:S18"/>
    <mergeCell ref="R19:S19"/>
    <mergeCell ref="R20:S20"/>
    <mergeCell ref="R22:S22"/>
    <mergeCell ref="R23:S23"/>
    <mergeCell ref="F19:N19"/>
    <mergeCell ref="F10:N10"/>
    <mergeCell ref="F11:N11"/>
    <mergeCell ref="F13:N13"/>
    <mergeCell ref="W22:Z22"/>
    <mergeCell ref="F12:N12"/>
    <mergeCell ref="Q3:S3"/>
    <mergeCell ref="Q10:S10"/>
    <mergeCell ref="A1:C1"/>
    <mergeCell ref="E1:J1"/>
    <mergeCell ref="L1:N1"/>
    <mergeCell ref="E3:F3"/>
    <mergeCell ref="G3:H3"/>
    <mergeCell ref="I3:J3"/>
    <mergeCell ref="K3:N3"/>
    <mergeCell ref="E4:F4"/>
    <mergeCell ref="G4:H4"/>
    <mergeCell ref="I4:J4"/>
    <mergeCell ref="E5:I5"/>
    <mergeCell ref="M5:N5"/>
    <mergeCell ref="E6:N6"/>
    <mergeCell ref="G8:N8"/>
  </mergeCells>
  <conditionalFormatting sqref="G37:N37">
    <cfRule type="expression" dxfId="293" priority="5001">
      <formula>ISNUMBER(SEARCH("BUY",$G$37))</formula>
    </cfRule>
    <cfRule type="expression" dxfId="292" priority="5002">
      <formula>ISNUMBER(SEARCH("SELL",$G$37))</formula>
    </cfRule>
  </conditionalFormatting>
  <conditionalFormatting sqref="B3:B49">
    <cfRule type="expression" dxfId="343" priority="9001">
      <formula>$DZ3=1</formula>
    </cfRule>
  </conditionalFormatting>
  <conditionalFormatting sqref="E45:O47">
    <cfRule type="expression" dxfId="344" priority="9002">
      <formula>AND($EA45=1,$AP45&lt;&gt;"RASP")</formula>
    </cfRule>
  </conditionalFormatting>
  <conditionalFormatting sqref="E45:E47">
    <cfRule type="expression" dxfId="345" priority="9003">
      <formula>AND($EA45=1,$AP45&lt;&gt;"RASP")</formula>
    </cfRule>
  </conditionalFormatting>
  <conditionalFormatting sqref="O45:O47">
    <cfRule type="expression" dxfId="346" priority="9004">
      <formula>AND($EA45=1,$AP45&lt;&gt;"RASP")</formula>
    </cfRule>
  </conditionalFormatting>
  <conditionalFormatting sqref="E52:O54">
    <cfRule type="expression" dxfId="344" priority="9005">
      <formula>AND($EA52=1,$AP52&lt;&gt;"RASP")</formula>
    </cfRule>
  </conditionalFormatting>
  <conditionalFormatting sqref="E52:E54">
    <cfRule type="expression" dxfId="345" priority="9006">
      <formula>AND($EA52=1,$AP52&lt;&gt;"RASP")</formula>
    </cfRule>
  </conditionalFormatting>
  <conditionalFormatting sqref="O52:O54">
    <cfRule type="expression" dxfId="346" priority="9007">
      <formula>AND($EA52=1,$AP52&lt;&gt;"RASP")</formula>
    </cfRule>
  </conditionalFormatting>
  <conditionalFormatting sqref="E43:O44">
    <cfRule type="expression" dxfId="344" priority="9008">
      <formula>AND($EA43=1,$AP43&lt;&gt;"RASP")</formula>
    </cfRule>
  </conditionalFormatting>
  <conditionalFormatting sqref="E43:E44">
    <cfRule type="expression" dxfId="345" priority="9009">
      <formula>AND($EA43=1,$AP43&lt;&gt;"RASP")</formula>
    </cfRule>
  </conditionalFormatting>
  <conditionalFormatting sqref="O43:O44">
    <cfRule type="expression" dxfId="346" priority="9010">
      <formula>AND($EA43=1,$AP43&lt;&gt;"RASP")</formula>
    </cfRule>
  </conditionalFormatting>
  <conditionalFormatting sqref="E50:O51">
    <cfRule type="expression" dxfId="344" priority="9011">
      <formula>AND($EA50=1,$AP50&lt;&gt;"RASP")</formula>
    </cfRule>
  </conditionalFormatting>
  <conditionalFormatting sqref="E50:E51">
    <cfRule type="expression" dxfId="345" priority="9012">
      <formula>AND($EA50=1,$AP50&lt;&gt;"RASP")</formula>
    </cfRule>
  </conditionalFormatting>
  <conditionalFormatting sqref="O50:O51">
    <cfRule type="expression" dxfId="346" priority="9013">
      <formula>AND($EA50=1,$AP50&lt;&gt;"RASP")</formula>
    </cfRule>
  </conditionalFormatting>
  <conditionalFormatting sqref="A3:C64">
    <cfRule type="expression" dxfId="342" priority="1">
      <formula>$DM3=1</formula>
    </cfRule>
  </conditionalFormatting>
  <conditionalFormatting sqref="E39:O39">
    <cfRule type="expression" dxfId="341" priority="6">
      <formula>$AP$40="BLUE"</formula>
    </cfRule>
  </conditionalFormatting>
  <conditionalFormatting sqref="E55:O55">
    <cfRule type="expression" dxfId="340" priority="7">
      <formula>$AP$40="BLUE"</formula>
    </cfRule>
  </conditionalFormatting>
  <conditionalFormatting sqref="D40:D54">
    <cfRule type="expression" dxfId="339" priority="8">
      <formula>$AP$40="BLUE"</formula>
    </cfRule>
  </conditionalFormatting>
  <conditionalFormatting sqref="P40:P54">
    <cfRule type="expression" dxfId="338" priority="9">
      <formula>$AP$40="BLUE"</formula>
    </cfRule>
  </conditionalFormatting>
  <conditionalFormatting sqref="K50:K54">
    <cfRule type="expression" dxfId="337" priority="12">
      <formula>ISNUMBER(SEARCH("IV FALL REINFORCED",K50))</formula>
    </cfRule>
  </conditionalFormatting>
  <conditionalFormatting sqref="L50:L54">
    <cfRule type="expression" dxfId="336" priority="13">
      <formula>AND(LEFT(L50,4)="SAFE",NOT(AND($DH50="",$DG50&lt;&gt;"")))</formula>
    </cfRule>
  </conditionalFormatting>
  <conditionalFormatting sqref="E50:E54">
    <cfRule type="expression" dxfId="335" priority="20">
      <formula>AND(LEFT($L50,4)="SAFE",NOT(AND($DH50="",$DG50&lt;&gt;"")))</formula>
    </cfRule>
  </conditionalFormatting>
  <conditionalFormatting sqref="E50:O51">
    <cfRule type="expression" dxfId="334" priority="14">
      <formula>$AP50="GREEN"</formula>
    </cfRule>
  </conditionalFormatting>
  <conditionalFormatting sqref="E50:E51">
    <cfRule type="expression" dxfId="333" priority="16">
      <formula>$AP50="GREEN"</formula>
    </cfRule>
  </conditionalFormatting>
  <conditionalFormatting sqref="O50:O51">
    <cfRule type="expression" dxfId="332" priority="18">
      <formula>$AP50="GREEN"</formula>
    </cfRule>
  </conditionalFormatting>
  <conditionalFormatting sqref="H43:H47 H50:H54">
    <cfRule type="expression" dxfId="331" priority="18092">
      <formula>OR(ISNUMBER(SEARCH("P-OI",H43)),ISNUMBER(SEARCH("C-OI",H43)))</formula>
    </cfRule>
  </conditionalFormatting>
  <conditionalFormatting sqref="A3:A64 C3:C64">
    <cfRule type="expression" dxfId="330" priority="67">
      <formula>$CO3=2</formula>
    </cfRule>
    <cfRule type="expression" dxfId="329" priority="69">
      <formula>$CO3=1</formula>
    </cfRule>
    <cfRule type="expression" dxfId="328" priority="71">
      <formula>$CO3=4</formula>
    </cfRule>
    <cfRule type="expression" dxfId="327" priority="73">
      <formula>$CO3=3</formula>
    </cfRule>
  </conditionalFormatting>
  <conditionalFormatting sqref="F19:F20">
    <cfRule type="expression" dxfId="326" priority="18055">
      <formula>ISNUMBER(SEARCH("RISING CALL SKEW",F19))</formula>
    </cfRule>
  </conditionalFormatting>
  <conditionalFormatting sqref="Q25:Q33 Q35:Q40 Q43:Q51 Q53">
    <cfRule type="expression" dxfId="325" priority="18047">
      <formula>ISNUMBER(SEARCH("thin",$BQ25))</formula>
    </cfRule>
    <cfRule type="expression" dxfId="324" priority="18049">
      <formula>ISNUMBER(SEARCH("ceil",$BQ25))</formula>
    </cfRule>
    <cfRule type="expression" dxfId="323" priority="18051">
      <formula>ISNUMBER(SEARCH("floor",$BQ25))</formula>
    </cfRule>
  </conditionalFormatting>
  <conditionalFormatting sqref="L50">
    <cfRule type="expression" dxfId="322" priority="545">
      <formula>ISNUMBER(SEARCH("UNSAFE",L50))</formula>
    </cfRule>
  </conditionalFormatting>
  <conditionalFormatting sqref="I50">
    <cfRule type="expression" dxfId="321" priority="547">
      <formula>$AE50&gt;=0.4</formula>
    </cfRule>
    <cfRule type="colorScale" priority="549">
      <colorScale>
        <cfvo type="num" val="2"/>
        <cfvo type="num" val="5"/>
        <cfvo type="num" val="8"/>
        <color rgb="FFFFFFFF"/>
        <color rgb="FFFFE082"/>
        <color rgb="FFE8A33D"/>
      </colorScale>
    </cfRule>
  </conditionalFormatting>
  <conditionalFormatting sqref="E50:O50 E52:O54">
    <cfRule type="expression" dxfId="320" priority="553">
      <formula>$AP50="RASP"</formula>
    </cfRule>
  </conditionalFormatting>
  <conditionalFormatting sqref="E50 E52:E54">
    <cfRule type="expression" dxfId="319" priority="559">
      <formula>$AP50="RASP"</formula>
    </cfRule>
  </conditionalFormatting>
  <conditionalFormatting sqref="M50">
    <cfRule type="expression" dxfId="318" priority="573">
      <formula>ISNUMBER(SEARCH("UNSAFE",M50))</formula>
    </cfRule>
    <cfRule type="expression" dxfId="317" priority="1257">
      <formula>ISNUMBER(SEARCH("REVERSAL",M50))</formula>
    </cfRule>
  </conditionalFormatting>
  <conditionalFormatting sqref="E50:O50">
    <cfRule type="expression" dxfId="316" priority="577">
      <formula>ISNUMBER(SEARCH("PIN",$M50))</formula>
    </cfRule>
  </conditionalFormatting>
  <conditionalFormatting sqref="L51">
    <cfRule type="expression" dxfId="315" priority="583">
      <formula>ISNUMBER(SEARCH("UNSAFE",L51))</formula>
    </cfRule>
  </conditionalFormatting>
  <conditionalFormatting sqref="I51">
    <cfRule type="expression" dxfId="314" priority="585">
      <formula>$AE51&gt;=0.4</formula>
    </cfRule>
    <cfRule type="colorScale" priority="587">
      <colorScale>
        <cfvo type="num" val="2"/>
        <cfvo type="num" val="5"/>
        <cfvo type="num" val="8"/>
        <color rgb="FFFFFFFF"/>
        <color rgb="FFFFE082"/>
        <color rgb="FFE8A33D"/>
      </colorScale>
    </cfRule>
  </conditionalFormatting>
  <conditionalFormatting sqref="E51:O51">
    <cfRule type="expression" dxfId="313" priority="591">
      <formula>$AP51="RASP"</formula>
    </cfRule>
  </conditionalFormatting>
  <conditionalFormatting sqref="E51">
    <cfRule type="expression" dxfId="312" priority="597">
      <formula>$AP51="RASP"</formula>
    </cfRule>
  </conditionalFormatting>
  <conditionalFormatting sqref="M51">
    <cfRule type="expression" dxfId="311" priority="611">
      <formula>ISNUMBER(SEARCH("UNSAFE",M51))</formula>
    </cfRule>
    <cfRule type="expression" dxfId="310" priority="1259">
      <formula>ISNUMBER(SEARCH("REVERSAL",M51))</formula>
    </cfRule>
  </conditionalFormatting>
  <conditionalFormatting sqref="E51:O51">
    <cfRule type="expression" dxfId="309" priority="615">
      <formula>ISNUMBER(SEARCH("PIN",$M51))</formula>
    </cfRule>
  </conditionalFormatting>
  <conditionalFormatting sqref="N57">
    <cfRule type="expression" dxfId="308" priority="135">
      <formula>$AP57="RASP"</formula>
    </cfRule>
  </conditionalFormatting>
  <conditionalFormatting sqref="N57">
    <cfRule type="expression" dxfId="307" priority="141">
      <formula>$AP57="RASP"</formula>
    </cfRule>
  </conditionalFormatting>
  <conditionalFormatting sqref="N57">
    <cfRule type="expression" dxfId="306" priority="147">
      <formula>ISNUMBER(SEARCH("PIN",$L57))</formula>
    </cfRule>
  </conditionalFormatting>
  <conditionalFormatting sqref="N59">
    <cfRule type="expression" dxfId="305" priority="155">
      <formula>$AP59="RASP"</formula>
    </cfRule>
  </conditionalFormatting>
  <conditionalFormatting sqref="N59">
    <cfRule type="expression" dxfId="304" priority="161">
      <formula>$AP59="RASP"</formula>
    </cfRule>
  </conditionalFormatting>
  <conditionalFormatting sqref="N59">
    <cfRule type="expression" dxfId="303" priority="167">
      <formula>ISNUMBER(SEARCH("PIN",$L59))</formula>
    </cfRule>
  </conditionalFormatting>
  <conditionalFormatting sqref="N58">
    <cfRule type="expression" dxfId="302" priority="175">
      <formula>$AP58="RASP"</formula>
    </cfRule>
  </conditionalFormatting>
  <conditionalFormatting sqref="N58">
    <cfRule type="expression" dxfId="301" priority="181">
      <formula>$AP58="RASP"</formula>
    </cfRule>
  </conditionalFormatting>
  <conditionalFormatting sqref="N58">
    <cfRule type="expression" dxfId="300" priority="187">
      <formula>ISNUMBER(SEARCH("PIN",$L58))</formula>
    </cfRule>
  </conditionalFormatting>
  <conditionalFormatting sqref="E52:O52">
    <cfRule type="expression" dxfId="299" priority="217">
      <formula>ISNUMBER(SEARCH("PIN",$M52))</formula>
    </cfRule>
  </conditionalFormatting>
  <conditionalFormatting sqref="L52">
    <cfRule type="expression" dxfId="298" priority="221">
      <formula>ISNUMBER(SEARCH("UNSAFE",L52))</formula>
    </cfRule>
  </conditionalFormatting>
  <conditionalFormatting sqref="L53">
    <cfRule type="expression" dxfId="297" priority="225">
      <formula>ISNUMBER(SEARCH("UNSAFE",L53))</formula>
    </cfRule>
  </conditionalFormatting>
  <conditionalFormatting sqref="L54">
    <cfRule type="expression" dxfId="296" priority="229">
      <formula>ISNUMBER(SEARCH("UNSAFE",L54))</formula>
    </cfRule>
  </conditionalFormatting>
  <conditionalFormatting sqref="L45">
    <cfRule type="expression" dxfId="295" priority="233">
      <formula>ISNUMBER(SEARCH("UNSAFE",L45))</formula>
    </cfRule>
  </conditionalFormatting>
  <conditionalFormatting sqref="L46">
    <cfRule type="expression" dxfId="294" priority="237">
      <formula>ISNUMBER(SEARCH("UNSAFE",L46))</formula>
    </cfRule>
  </conditionalFormatting>
  <conditionalFormatting sqref="G8">
    <cfRule type="expression" dxfId="293" priority="239">
      <formula>ISNUMBER(SEARCH("BUY",$G$8))</formula>
    </cfRule>
    <cfRule type="expression" dxfId="292" priority="241">
      <formula>ISNUMBER(SEARCH("SELL",$G$8))</formula>
    </cfRule>
  </conditionalFormatting>
  <conditionalFormatting sqref="F23:M23">
    <cfRule type="expression" dxfId="291" priority="243">
      <formula>F23="Pos"</formula>
    </cfRule>
    <cfRule type="expression" dxfId="290" priority="245">
      <formula>F23="Neg"</formula>
    </cfRule>
  </conditionalFormatting>
  <conditionalFormatting sqref="I45:I47">
    <cfRule type="expression" dxfId="289" priority="247">
      <formula>$AE45&gt;=0.4</formula>
    </cfRule>
    <cfRule type="colorScale" priority="249">
      <colorScale>
        <cfvo type="num" val="2"/>
        <cfvo type="num" val="5"/>
        <cfvo type="num" val="8"/>
        <color rgb="FFFFFFFF"/>
        <color rgb="FFFFE082"/>
        <color rgb="FFE8A33D"/>
      </colorScale>
    </cfRule>
  </conditionalFormatting>
  <conditionalFormatting sqref="I52:I54">
    <cfRule type="expression" dxfId="288" priority="251">
      <formula>$AE52&gt;=0.4</formula>
    </cfRule>
    <cfRule type="colorScale" priority="253">
      <colorScale>
        <cfvo type="num" val="2"/>
        <cfvo type="num" val="5"/>
        <cfvo type="num" val="8"/>
        <color rgb="FFFFFFFF"/>
        <color rgb="FFFFE082"/>
        <color rgb="FFE8A33D"/>
      </colorScale>
    </cfRule>
  </conditionalFormatting>
  <conditionalFormatting sqref="E6:N6">
    <cfRule type="expression" dxfId="287" priority="255">
      <formula>LEN(TRIM($E$6))&gt;0</formula>
    </cfRule>
  </conditionalFormatting>
  <conditionalFormatting sqref="E45:O47">
    <cfRule type="expression" dxfId="286" priority="259">
      <formula>$AP45="RASP"</formula>
    </cfRule>
  </conditionalFormatting>
  <conditionalFormatting sqref="E45:E47">
    <cfRule type="expression" dxfId="285" priority="265">
      <formula>$AP45="RASP"</formula>
    </cfRule>
  </conditionalFormatting>
  <conditionalFormatting sqref="M45">
    <cfRule type="expression" dxfId="284" priority="285">
      <formula>ISNUMBER(SEARCH("UNSAFE",M45))</formula>
    </cfRule>
    <cfRule type="expression" dxfId="283" priority="1251">
      <formula>ISNUMBER(SEARCH("REVERSAL",M45))</formula>
    </cfRule>
  </conditionalFormatting>
  <conditionalFormatting sqref="M46">
    <cfRule type="expression" dxfId="282" priority="287">
      <formula>ISNUMBER(SEARCH("UNSAFE",M46))</formula>
    </cfRule>
    <cfRule type="expression" dxfId="281" priority="1253">
      <formula>ISNUMBER(SEARCH("REVERSAL",M46))</formula>
    </cfRule>
  </conditionalFormatting>
  <conditionalFormatting sqref="M47">
    <cfRule type="expression" dxfId="280" priority="289">
      <formula>ISNUMBER(SEARCH("UNSAFE",M47))</formula>
    </cfRule>
    <cfRule type="expression" dxfId="279" priority="1255">
      <formula>ISNUMBER(SEARCH("REVERSAL",M47))</formula>
    </cfRule>
  </conditionalFormatting>
  <conditionalFormatting sqref="M52">
    <cfRule type="expression" dxfId="278" priority="291">
      <formula>ISNUMBER(SEARCH("UNSAFE",M52))</formula>
    </cfRule>
    <cfRule type="expression" dxfId="277" priority="1261">
      <formula>ISNUMBER(SEARCH("REVERSAL",M52))</formula>
    </cfRule>
  </conditionalFormatting>
  <conditionalFormatting sqref="M53">
    <cfRule type="expression" dxfId="276" priority="293">
      <formula>ISNUMBER(SEARCH("UNSAFE",M53))</formula>
    </cfRule>
    <cfRule type="expression" dxfId="275" priority="1263">
      <formula>ISNUMBER(SEARCH("REVERSAL",M53))</formula>
    </cfRule>
  </conditionalFormatting>
  <conditionalFormatting sqref="M54">
    <cfRule type="expression" dxfId="274" priority="295">
      <formula>ISNUMBER(SEARCH("UNSAFE",M54))</formula>
    </cfRule>
    <cfRule type="expression" dxfId="273" priority="1265">
      <formula>ISNUMBER(SEARCH("REVERSAL",M54))</formula>
    </cfRule>
  </conditionalFormatting>
  <conditionalFormatting sqref="F18:F21">
    <cfRule type="expression" dxfId="272" priority="297">
      <formula>ISNUMBER(SEARCH("BIDDING",F18))</formula>
    </cfRule>
  </conditionalFormatting>
  <conditionalFormatting sqref="L47">
    <cfRule type="expression" dxfId="271" priority="301">
      <formula>ISNUMBER(SEARCH("UNSAFE",L47))</formula>
    </cfRule>
  </conditionalFormatting>
  <conditionalFormatting sqref="E37:N37">
    <cfRule type="expression" dxfId="270" priority="303">
      <formula>ISNUMBER(SEARCH("CHOP",$E$37))</formula>
    </cfRule>
    <cfRule type="expression" dxfId="269" priority="305">
      <formula>ISNUMBER(SEARCH("TREND",$E$37))</formula>
    </cfRule>
  </conditionalFormatting>
  <conditionalFormatting sqref="E25:N25">
    <cfRule type="expression" dxfId="268" priority="307">
      <formula>ISNUMBER(SEARCH("-",$E$25))</formula>
    </cfRule>
    <cfRule type="expression" dxfId="267" priority="309">
      <formula>NOT(ISNUMBER(SEARCH("-",$E$25)))</formula>
    </cfRule>
  </conditionalFormatting>
  <conditionalFormatting sqref="E26:N26">
    <cfRule type="expression" dxfId="266" priority="313">
      <formula>ISNUMBER(SEARCH("▼",LEFT($E$26,IFERROR(FIND("  ·  ",$E$26)-1,LEN($E$26)))))</formula>
    </cfRule>
    <cfRule type="expression" dxfId="265" priority="315">
      <formula>ISNUMBER(SEARCH("▲",LEFT($E$26,IFERROR(FIND("  ·  ",$E$26)-1,LEN($E$26)))))</formula>
    </cfRule>
  </conditionalFormatting>
  <conditionalFormatting sqref="E45:O45">
    <cfRule type="expression" dxfId="264" priority="317">
      <formula>ISNUMBER(SEARCH("PIN",$M45))</formula>
    </cfRule>
  </conditionalFormatting>
  <conditionalFormatting sqref="E46:O46">
    <cfRule type="expression" dxfId="263" priority="319">
      <formula>ISNUMBER(SEARCH("PIN",$M46))</formula>
    </cfRule>
  </conditionalFormatting>
  <conditionalFormatting sqref="E47:O47">
    <cfRule type="expression" dxfId="262" priority="321">
      <formula>ISNUMBER(SEARCH("PIN",$M47))</formula>
    </cfRule>
  </conditionalFormatting>
  <conditionalFormatting sqref="E53:O53">
    <cfRule type="expression" dxfId="261" priority="323">
      <formula>ISNUMBER(SEARCH("PIN",$M53))</formula>
    </cfRule>
  </conditionalFormatting>
  <conditionalFormatting sqref="E54:O54">
    <cfRule type="expression" dxfId="260" priority="325">
      <formula>ISNUMBER(SEARCH("PIN",$M54))</formula>
    </cfRule>
  </conditionalFormatting>
  <conditionalFormatting sqref="L43">
    <cfRule type="expression" dxfId="259" priority="87">
      <formula>ISNUMBER(SEARCH("UNSAFE",L43))</formula>
    </cfRule>
  </conditionalFormatting>
  <conditionalFormatting sqref="I43">
    <cfRule type="expression" dxfId="258" priority="89">
      <formula>$AE43&gt;=0.4</formula>
    </cfRule>
    <cfRule type="colorScale" priority="91">
      <colorScale>
        <cfvo type="num" val="2"/>
        <cfvo type="num" val="5"/>
        <cfvo type="num" val="8"/>
        <color rgb="FFFFFFFF"/>
        <color rgb="FFFFE082"/>
        <color rgb="FFE8A33D"/>
      </colorScale>
    </cfRule>
  </conditionalFormatting>
  <conditionalFormatting sqref="E43:O43">
    <cfRule type="expression" dxfId="257" priority="95">
      <formula>$AP43="RASP"</formula>
    </cfRule>
  </conditionalFormatting>
  <conditionalFormatting sqref="E43">
    <cfRule type="expression" dxfId="256" priority="101">
      <formula>$AP43="RASP"</formula>
    </cfRule>
  </conditionalFormatting>
  <conditionalFormatting sqref="M43">
    <cfRule type="expression" dxfId="255" priority="115">
      <formula>ISNUMBER(SEARCH("UNSAFE",M43))</formula>
    </cfRule>
    <cfRule type="expression" dxfId="254" priority="1247">
      <formula>ISNUMBER(SEARCH("REVERSAL",M43))</formula>
    </cfRule>
  </conditionalFormatting>
  <conditionalFormatting sqref="E43:O43">
    <cfRule type="expression" dxfId="253" priority="119">
      <formula>ISNUMBER(SEARCH("PIN",$M43))</formula>
    </cfRule>
  </conditionalFormatting>
  <conditionalFormatting sqref="L44">
    <cfRule type="expression" dxfId="252" priority="45">
      <formula>ISNUMBER(SEARCH("UNSAFE",L44))</formula>
    </cfRule>
  </conditionalFormatting>
  <conditionalFormatting sqref="I44">
    <cfRule type="expression" dxfId="251" priority="47">
      <formula>$AE44&gt;=0.4</formula>
    </cfRule>
    <cfRule type="colorScale" priority="49">
      <colorScale>
        <cfvo type="num" val="2"/>
        <cfvo type="num" val="5"/>
        <cfvo type="num" val="8"/>
        <color rgb="FFFFFFFF"/>
        <color rgb="FFFFE082"/>
        <color rgb="FFE8A33D"/>
      </colorScale>
    </cfRule>
  </conditionalFormatting>
  <conditionalFormatting sqref="E44:F44 H44:O44">
    <cfRule type="expression" dxfId="250" priority="53">
      <formula>$AP44="RASP"</formula>
    </cfRule>
  </conditionalFormatting>
  <conditionalFormatting sqref="E44">
    <cfRule type="expression" dxfId="249" priority="59">
      <formula>$AP44="RASP"</formula>
    </cfRule>
  </conditionalFormatting>
  <conditionalFormatting sqref="M44">
    <cfRule type="expression" dxfId="248" priority="1249">
      <formula>ISNUMBER(SEARCH("REVERSAL",M44))</formula>
    </cfRule>
    <cfRule type="expression" dxfId="247" priority="18059">
      <formula>ISNUMBER(SEARCH("UNSAFE",M44))</formula>
    </cfRule>
  </conditionalFormatting>
  <conditionalFormatting sqref="E44:F44 H44:O44">
    <cfRule type="expression" dxfId="246" priority="77">
      <formula>ISNUMBER(SEARCH("PIN",$M44))</formula>
    </cfRule>
  </conditionalFormatting>
  <conditionalFormatting sqref="K43">
    <cfRule type="expression" dxfId="245" priority="1847">
      <formula>OR(ISNUMBER(SEARCH("building",K43)),ISNUMBER(SEARCH("WEAKENING",K43)))</formula>
    </cfRule>
    <cfRule type="expression" dxfId="244" priority="1849">
      <formula>OR(ISNUMBER(SEARCH("fading",K43)),ISNUMBER(SEARCH("STRENGTHENING",K43)))</formula>
    </cfRule>
  </conditionalFormatting>
  <conditionalFormatting sqref="K44">
    <cfRule type="expression" dxfId="243" priority="1851">
      <formula>OR(ISNUMBER(SEARCH("building",K44)),ISNUMBER(SEARCH("WEAKENING",K44)))</formula>
    </cfRule>
    <cfRule type="expression" dxfId="242" priority="1853">
      <formula>OR(ISNUMBER(SEARCH("fading",K44)),ISNUMBER(SEARCH("STRENGTHENING",K44)))</formula>
    </cfRule>
  </conditionalFormatting>
  <conditionalFormatting sqref="K45:K47">
    <cfRule type="expression" dxfId="241" priority="1855">
      <formula>OR(ISNUMBER(SEARCH("building",K45)),ISNUMBER(SEARCH("WEAKENING",K45)))</formula>
    </cfRule>
    <cfRule type="expression" dxfId="240" priority="1857">
      <formula>OR(ISNUMBER(SEARCH("fading",K45)),ISNUMBER(SEARCH("STRENGTHENING",K45)))</formula>
    </cfRule>
  </conditionalFormatting>
  <conditionalFormatting sqref="K50">
    <cfRule type="expression" dxfId="239" priority="1859">
      <formula>OR(ISNUMBER(SEARCH("building",K50)),ISNUMBER(SEARCH("WEAKENING",K50)))</formula>
    </cfRule>
    <cfRule type="expression" dxfId="238" priority="1861">
      <formula>OR(ISNUMBER(SEARCH("fading",K50)),ISNUMBER(SEARCH("STRENGTHENING",K50)))</formula>
    </cfRule>
  </conditionalFormatting>
  <conditionalFormatting sqref="K51">
    <cfRule type="expression" dxfId="237" priority="1863">
      <formula>OR(ISNUMBER(SEARCH("building",K51)),ISNUMBER(SEARCH("WEAKENING",K51)))</formula>
    </cfRule>
    <cfRule type="expression" dxfId="236" priority="1865">
      <formula>OR(ISNUMBER(SEARCH("fading",K51)),ISNUMBER(SEARCH("STRENGTHENING",K51)))</formula>
    </cfRule>
  </conditionalFormatting>
  <conditionalFormatting sqref="K52:K54">
    <cfRule type="expression" dxfId="235" priority="1867">
      <formula>OR(ISNUMBER(SEARCH("building",K52)),ISNUMBER(SEARCH("WEAKENING",K52)))</formula>
    </cfRule>
    <cfRule type="expression" dxfId="234" priority="1869">
      <formula>OR(ISNUMBER(SEARCH("fading",K52)),ISNUMBER(SEARCH("STRENGTHENING",K52)))</formula>
    </cfRule>
  </conditionalFormatting>
  <conditionalFormatting sqref="Q25:U33 Q35:U40 Q43:U51">
    <cfRule type="expression" dxfId="233" priority="18053">
      <formula>OR($T25="g1",$T25="g2",$T25="g3")</formula>
    </cfRule>
  </conditionalFormatting>
  <conditionalFormatting sqref="G44">
    <cfRule type="expression" dxfId="232" priority="35">
      <formula>$AP44="RASP"</formula>
    </cfRule>
  </conditionalFormatting>
  <conditionalFormatting sqref="G44">
    <cfRule type="expression" dxfId="231" priority="41">
      <formula>ISNUMBER(SEARCH("PIN",$M44))</formula>
    </cfRule>
  </conditionalFormatting>
  <conditionalFormatting sqref="A3:A64">
    <cfRule type="expression" dxfId="230" priority="85">
      <formula>AND(ISNUMBER($AL3),$AY3=1,$AZ3=0)</formula>
    </cfRule>
  </conditionalFormatting>
  <conditionalFormatting sqref="A3:C64">
    <cfRule type="expression" dxfId="229" priority="65">
      <formula>$AZ3=1</formula>
    </cfRule>
  </conditionalFormatting>
  <conditionalFormatting sqref="A3:A64 C3:C64">
    <cfRule type="expression" dxfId="228" priority="105">
      <formula>AND($BB3=1,$B$2&lt;&gt;"Hide unsafe")</formula>
    </cfRule>
  </conditionalFormatting>
  <conditionalFormatting sqref="E28">
    <cfRule type="expression" dxfId="227" priority="18063">
      <formula>ISNUMBER(SEARCH("SPOT DOWN / VOL UP",$E$28))</formula>
    </cfRule>
  </conditionalFormatting>
  <conditionalFormatting sqref="F18">
    <cfRule type="expression" dxfId="226" priority="18065">
      <formula>OR(LEFT($F$18,24)="Rising vol (unconfirmed)",LEFT($F$18,22)="Rising vol (confirmed)")</formula>
    </cfRule>
  </conditionalFormatting>
  <conditionalFormatting sqref="J47:K47">
    <cfRule type="expression" dxfId="225" priority="31">
      <formula>ISNUMBER(SEARCH("PIN",$M47))</formula>
    </cfRule>
  </conditionalFormatting>
  <conditionalFormatting sqref="M47">
    <cfRule type="expression" dxfId="224" priority="25">
      <formula>ISNUMBER(SEARCH("UNSAFE",M47))</formula>
    </cfRule>
    <cfRule type="expression" dxfId="223" priority="29">
      <formula>ISNUMBER(SEARCH("REVERSAL",M47))</formula>
    </cfRule>
  </conditionalFormatting>
  <conditionalFormatting sqref="M47">
    <cfRule type="expression" dxfId="222" priority="27">
      <formula>ISNUMBER(SEARCH("PIN",$M47))</formula>
    </cfRule>
  </conditionalFormatting>
  <conditionalFormatting sqref="L47">
    <cfRule type="expression" dxfId="221" priority="21">
      <formula>ISNUMBER(SEARCH("UNSAFE",L47))</formula>
    </cfRule>
  </conditionalFormatting>
  <conditionalFormatting sqref="L47">
    <cfRule type="expression" dxfId="220" priority="23">
      <formula>ISNUMBER(SEARCH("PIN",$M47))</formula>
    </cfRule>
  </conditionalFormatting>
  <conditionalFormatting sqref="J43:J47 J50:J54">
    <cfRule type="expression" dxfId="219" priority="18050">
      <formula>ISNUMBER(SEARCH("✓",J43))</formula>
    </cfRule>
    <cfRule type="expression" dxfId="218" priority="18052">
      <formula>ISNUMBER(SEARCH("✗",J43))</formula>
    </cfRule>
    <cfRule type="expression" dxfId="217" priority="18067">
      <formula>ISNUMBER(SEARCH("SELL",J43))</formula>
    </cfRule>
    <cfRule type="expression" dxfId="216" priority="18068">
      <formula>ISNUMBER(SEARCH("TURNING +",J43))</formula>
    </cfRule>
    <cfRule type="expression" dxfId="215" priority="18064">
      <formula>ISNUMBER(SEARCH("TURNING -",J43))</formula>
    </cfRule>
    <cfRule type="expression" dxfId="214" priority="18069">
      <formula>ISNUMBER(SEARCH("BUY",J43))</formula>
    </cfRule>
  </conditionalFormatting>
  <conditionalFormatting sqref="E52:O54">
    <cfRule type="expression" dxfId="213" priority="18071">
      <formula>$AP52="GREEN"</formula>
    </cfRule>
  </conditionalFormatting>
  <conditionalFormatting sqref="E52:E54">
    <cfRule type="expression" dxfId="212" priority="18073">
      <formula>$AP52="GREEN"</formula>
    </cfRule>
  </conditionalFormatting>
  <conditionalFormatting sqref="M54">
    <cfRule type="expression" dxfId="211" priority="15">
      <formula>ISNUMBER(SEARCH("PIN",$M54))</formula>
    </cfRule>
  </conditionalFormatting>
  <conditionalFormatting sqref="M54">
    <cfRule type="expression" dxfId="210" priority="17">
      <formula>ISNUMBER(SEARCH("UNSAFE",M54))</formula>
    </cfRule>
    <cfRule type="expression" dxfId="209" priority="19">
      <formula>ISNUMBER(SEARCH("REVERSAL",M54))</formula>
    </cfRule>
  </conditionalFormatting>
  <conditionalFormatting sqref="D43:D47 D50:D54">
    <cfRule type="expression" dxfId="208" priority="18075">
      <formula>$AP43="RASP"</formula>
    </cfRule>
  </conditionalFormatting>
  <conditionalFormatting sqref="D52:D54">
    <cfRule type="expression" dxfId="207" priority="18077">
      <formula>$AP52="GREEN"</formula>
    </cfRule>
  </conditionalFormatting>
  <conditionalFormatting sqref="N43">
    <cfRule type="expression" dxfId="206" priority="18079">
      <formula>ISNUMBER(SEARCH("VOMMA",N43))</formula>
    </cfRule>
  </conditionalFormatting>
  <conditionalFormatting sqref="N44">
    <cfRule type="expression" dxfId="205" priority="18081">
      <formula>ISNUMBER(SEARCH("VOMMA",N44))</formula>
    </cfRule>
  </conditionalFormatting>
  <conditionalFormatting sqref="N45:N47">
    <cfRule type="expression" dxfId="204" priority="18083">
      <formula>ISNUMBER(SEARCH("VOMMA",N45))</formula>
    </cfRule>
  </conditionalFormatting>
  <conditionalFormatting sqref="N50">
    <cfRule type="expression" dxfId="203" priority="18085">
      <formula>ISNUMBER(SEARCH("VOMMA",N50))</formula>
    </cfRule>
  </conditionalFormatting>
  <conditionalFormatting sqref="N51">
    <cfRule type="expression" dxfId="202" priority="18087">
      <formula>ISNUMBER(SEARCH("VOMMA",N51))</formula>
    </cfRule>
  </conditionalFormatting>
  <conditionalFormatting sqref="N52:N54">
    <cfRule type="expression" dxfId="201" priority="18089">
      <formula>ISNUMBER(SEARCH("VOMMA",N52))</formula>
    </cfRule>
  </conditionalFormatting>
  <conditionalFormatting sqref="O50 O52:O54">
    <cfRule type="expression" dxfId="200" priority="552">
      <formula>$AP50="RASP"</formula>
    </cfRule>
  </conditionalFormatting>
  <conditionalFormatting sqref="O51">
    <cfRule type="expression" dxfId="199" priority="590">
      <formula>$AP51="RASP"</formula>
    </cfRule>
  </conditionalFormatting>
  <conditionalFormatting sqref="O45:O47">
    <cfRule type="expression" dxfId="198" priority="258">
      <formula>$AP45="RASP"</formula>
    </cfRule>
  </conditionalFormatting>
  <conditionalFormatting sqref="O43">
    <cfRule type="expression" dxfId="197" priority="94">
      <formula>$AP43="RASP"</formula>
    </cfRule>
  </conditionalFormatting>
  <conditionalFormatting sqref="O44">
    <cfRule type="expression" dxfId="196" priority="52">
      <formula>$AP44="RASP"</formula>
    </cfRule>
  </conditionalFormatting>
  <conditionalFormatting sqref="O52:O54">
    <cfRule type="expression" dxfId="195" priority="18070">
      <formula>$AP52="GREEN"</formula>
    </cfRule>
  </conditionalFormatting>
  <conditionalFormatting sqref="B3:B64">
    <cfRule type="expression" dxfId="194" priority="18097">
      <formula>ISNUMBER(SEARCH(" P-OI",$B3))</formula>
    </cfRule>
    <cfRule type="expression" dxfId="193" priority="18098">
      <formula>ISNUMBER(SEARCH(" C-OI",$B3))</formula>
    </cfRule>
  </conditionalFormatting>
  <conditionalFormatting sqref="B3:B64">
    <cfRule type="expression" dxfId="192" priority="10">
      <formula>ISNUMBER(SEARCH("◄",$B3))</formula>
    </cfRule>
  </conditionalFormatting>
  <conditionalFormatting sqref="A3:C64">
    <cfRule type="expression" dxfId="191" priority="11">
      <formula>ISNUMBER(SEARCH("◄",$B3))</formula>
    </cfRule>
  </conditionalFormatting>
  <conditionalFormatting sqref="D50:D51">
    <cfRule type="expression" dxfId="190" priority="30015">
      <formula>$AP50="GREEN"</formula>
    </cfRule>
  </conditionalFormatting>
  <conditionalFormatting sqref="P50:P51">
    <cfRule type="expression" dxfId="189" priority="30016">
      <formula>$AP50="GREEN"</formula>
    </cfRule>
  </conditionalFormatting>
  <conditionalFormatting sqref="E45:O47">
    <cfRule type="expression" dxfId="188" priority="30017">
      <formula>$AP45="GREEN"</formula>
    </cfRule>
  </conditionalFormatting>
  <conditionalFormatting sqref="E45:E47 P45:P47">
    <cfRule type="expression" dxfId="187" priority="30018">
      <formula>$AP45="GREEN"</formula>
    </cfRule>
  </conditionalFormatting>
  <conditionalFormatting sqref="D45:D47 O45:O47">
    <cfRule type="expression" dxfId="186" priority="30019">
      <formula>$AP45="GREEN"</formula>
    </cfRule>
  </conditionalFormatting>
  <conditionalFormatting sqref="E45:E47 L45:L47">
    <cfRule type="expression" dxfId="185" priority="30020">
      <formula>AND(LEFT($L45,4)="SAFE",NOT(AND($DH45="",$DG45&lt;&gt;"")))</formula>
    </cfRule>
  </conditionalFormatting>
  <dataValidations disablePrompts="1" count="1">
    <dataValidation type="list" allowBlank="1" showInputMessage="1" showErrorMessage="1" sqref="B2">
      <formula1>"Show unsafe,Hide unsafe"</formula1>
    </dataValidation>
  </dataValidations>
  <pageMargins left="0.75" right="0.75" top="1" bottom="1" header="0.511811023622047" footer="0.511811023622047"/>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expression" priority="18090" id="{169FB3FC-DDD9-4FB2-B1EC-4AECE59201A4}">
            <xm:f>AND(NOT(AND($B$2="Hide unsafe",$BB3=1)),ISNUMBER($AL3),OR($AL3='King Node Model'!$AO$20,$AL3='King Node Model'!$AO$21,$AL3='King Node Model'!$AO$22))</xm:f>
            <x14:dxf>
              <fill>
                <patternFill>
                  <bgColor rgb="FF9FCC7E"/>
                </patternFill>
              </fill>
            </x14:dxf>
          </x14:cfRule>
          <x14:cfRule type="expression" priority="18091" id="{CC7D2F8C-E1EB-4022-9405-D3A90716F726}">
            <xm:f>AND(NOT(AND($B$2="Hide unsafe",$BB3=1)),ISNUMBER($AL3),OR($AL3='King Node Model'!$AO$17,$AL3='King Node Model'!$AO$18,$AL3='King Node Model'!$AO$19))</xm:f>
            <x14:dxf>
              <fill>
                <patternFill>
                  <bgColor rgb="FFE98AA4"/>
                </patternFill>
              </fill>
            </x14:dxf>
          </x14:cfRule>
          <xm:sqref>A3:C64</xm:sqref>
        </x14:conditionalFormatting>
        <x14:conditionalFormatting xmlns:xm="http://schemas.microsoft.com/office/excel/2006/main">
          <x14:cfRule type="expression" priority="18066" id="{F4D473F3-96C4-45CA-9191-141039CB6070}">
            <xm:f>AND(OR(ISNUMBER(SEARCH("SELL",J43)),ISNUMBER(SEARCH("BUY",J43)),ISNUMBER(SEARCH("TURNING",J43))),ABS(IFERROR(INDEX('Level Engine'!$AD$9:$AD$55,MATCH(--LEFT($E43,4),'Level Engine'!$AA$9:$AA$55,0)),1E+99))&lt;'Level Engine'!$BG$81)</xm:f>
            <x14:dxf>
              <font>
                <color rgb="FF0070C0"/>
              </font>
            </x14:dxf>
          </x14:cfRule>
          <xm:sqref>J43:J47 J50:J54</xm:sqref>
        </x14:conditionalFormatting>
        <x14:conditionalFormatting xmlns:xm="http://schemas.microsoft.com/office/excel/2006/main">
          <x14:cfRule type="expression" priority="195" stopIfTrue="1" id="{1988C387-4BB5-4555-BCCE-25F6F5CC9EA2}">
            <xm:f>AND(NOT(AND($B$2="Hide unsafe",$BB3=1)),ISNUMBER($AL3),$AL3='King Node Model'!$F$24,OR($AL3='King Node Model'!$AL$42,$AL3='King Node Model'!$AL$43,$AL3='King Node Model'!$AL$44),IFERROR(INDEX('Level Engine'!$IU$9:$IU$55,MATCH($AL3,'Level Engine'!$AA$9:$AA$55,0)),0)=1,UPPER('Level Engine'!$D$5)&lt;&gt;"DOWN")</xm:f>
            <x14:dxf>
              <fill>
                <patternFill>
                  <bgColor rgb="FFE98AA4"/>
                </patternFill>
              </fill>
              <border diagonalUp="0" diagonalDown="0">
                <left/>
                <right/>
                <top style="dashed">
                  <color rgb="FFE98AA4"/>
                </top>
                <bottom style="dashed">
                  <color rgb="FFE98AA4"/>
                </bottom>
              </border>
            </x14:dxf>
          </x14:cfRule>
          <xm:sqref>A3:C64</xm:sqref>
        </x14:conditionalFormatting>
        <x14:conditionalFormatting xmlns:xm="http://schemas.microsoft.com/office/excel/2006/main">
          <x14:cfRule type="expression" priority="201" id="{841AAA4E-4527-436A-B571-89ADE9EB127C}">
            <xm:f>AND(AND(AND(NOT(AND($B$2="Hide unsafe",$BB3=1)),AND(AND(ISNUMBER($AL3),OR(AND($AL3&gt;=$AQ$22,$AL3&lt;=$AR$22,$AS$22=1),$AL3=$AQ$22,$AL3=$AR$22,$AL3=$AQ$23,$AL3=$AR$23,$AL3=$AQ$24,$AL3=$AR$24),NOT(OR($AL3=$AN$5,$AL3=$AN$6,$AL3=$AN$7,$AL3=$AN$8,$AL3=$AN$10,$AL3=$AN$11))),NOT(OR(AND('King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Model'!$AL$51)),NOT(AND(OR($AL3&lt;$AM$2,COUNTIF('Level Engine'!$W$18:$W$23,$AL3)&gt;0,$AL3='King Node Model'!$AL$49,$AL3='King Node Model'!$AL$50),$AL3&lt;&gt;'King Node Model'!$AL$42,$AL3&lt;&gt;'King Node Model'!$AL$43)))</xm:f>
            <x14:dxf>
              <fill>
                <patternFill>
                  <bgColor rgb="FFE98AA4"/>
                </patternFill>
              </fill>
              <border diagonalUp="0" diagonalDown="0">
                <left/>
                <right/>
                <top style="thin">
                  <color rgb="FFC00000"/>
                </top>
                <bottom style="thin">
                  <color rgb="FFC00000"/>
                </bottom>
              </border>
            </x14:dxf>
          </x14:cfRule>
          <xm:sqref>A3:C64</xm:sqref>
        </x14:conditionalFormatting>
        <x14:conditionalFormatting xmlns:xm="http://schemas.microsoft.com/office/excel/2006/main">
          <x14:cfRule type="expression" priority="197" id="{9277409D-02DA-4891-80B3-AE7659E61BDD}">
            <xm:f>AND(AND(AND(NOT(AND($B$2="Hide unsafe",$BB3=1)),AND(AND(ISNUMBER($AL3),OR(AND($AL3&gt;=$AQ$22,$AL3&lt;=$AR$22,$AS$22=1),$AL3=$AQ$22,$AL3=$AR$22,$AL3=$AQ$23,$AL3=$AR$23,$AL3=$AQ$24,$AL3=$AR$24,$AL3='King Node Model'!$AL$42,$AL3='King Node Model'!$AL$43),OR($AL3=$AN$5,$AL3=$AN$6,$AL3=$AN$7,$AL3=$AN$8,$AL3=$AN$10,$AL3=$AN$11)),NOT(OR(AND('King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Model'!$AL$51)),NOT(AND(OR($AL3&lt;$AM$2,COUNTIF('Level Engine'!$W$18:$W$23,$AL3)&gt;0,$AL3='King Node Model'!$AL$49,$AL3='King Node Model'!$AL$50),$AL3&lt;&gt;'King Node Model'!$AL$42,$AL3&lt;&gt;'King Node Model'!$AL$43)))</xm:f>
            <x14:dxf>
              <fill>
                <patternFill>
                  <bgColor rgb="FFE98AA4"/>
                </patternFill>
              </fill>
              <border diagonalUp="0" diagonalDown="0">
                <left/>
                <right/>
                <top style="thin">
                  <color rgb="FFC00000"/>
                </top>
                <bottom style="thin">
                  <color rgb="FFC00000"/>
                </bottom>
              </border>
            </x14:dxf>
          </x14:cfRule>
          <xm:sqref>A3:C64</xm:sqref>
        </x14:conditionalFormatting>
        <x14:conditionalFormatting xmlns:xm="http://schemas.microsoft.com/office/excel/2006/main">
          <x14:cfRule type="expression" priority="189" id="{37E326CC-2C9A-4BDA-BA90-1C72C7FEC545}">
            <xm:f>AND(ISNUMBER($AL3),ABS($AL3-$AM$2)&lt;=2.5,NOT(OR($AL3='King Node Model'!$AL$42,$AL3='King Node Model'!$AL$43,$AL3='King Node Model'!$AL$49,$AL3='King Node Model'!$AL$50)))</xm:f>
            <x14:dxf>
              <font>
                <b/>
                <color rgb="FF0070C0"/>
              </font>
              <border diagonalUp="0" diagonalDown="0">
                <left style="thick">
                  <color rgb="FF111827"/>
                </left>
                <right/>
                <top/>
                <bottom/>
              </border>
            </x14:dxf>
          </x14:cfRule>
          <xm:sqref>A3:A64</xm:sqref>
        </x14:conditionalFormatting>
        <x14:conditionalFormatting xmlns:xm="http://schemas.microsoft.com/office/excel/2006/main">
          <x14:cfRule type="expression" priority="191" id="{435E0117-552F-42B1-B79B-E8422DACC8FE}">
            <xm:f>AND(ISNUMBER($AL3),ABS($AL3-$AM$2)&lt;=2.5,NOT(OR($AL3='King Node Model'!$AL$42,$AL3='King Node Model'!$AL$43,$AL3='King Node Model'!$AL$49,$AL3='King Node Model'!$AL$50)))</xm:f>
            <x14:dxf>
              <font>
                <b/>
                <color rgb="FF0070C0"/>
              </font>
              <border diagonalUp="0" diagonalDown="0">
                <left/>
                <right style="thick">
                  <color rgb="FF111827"/>
                </right>
                <top/>
                <bottom/>
              </border>
            </x14:dxf>
          </x14:cfRule>
          <xm:sqref>C3:C64</xm:sqref>
        </x14:conditionalFormatting>
        <x14:conditionalFormatting xmlns:xm="http://schemas.microsoft.com/office/excel/2006/main">
          <x14:cfRule type="expression" priority="18061" id="{CE000000-0000-4000-8000-000000000001}">
            <xm:f>AND(NOT(AND($B$2="Hide unsafe",$BB3=1)),AND(ISNUMBER($AL3),OR(AND(ISNUMBER(SEARCH("chop edge",$E$52)),$AL3='King Node Model'!$AL$49),AND(ISNUMBER(SEARCH("chop edge",$E$53)),$AL3='King Node Model'!$AL$50)),OR(ABS($AL3-$AN$5)&lt;=5,ABS($AL3-$AN$6)&lt;=5,ABS($AL3-$AN$7)&lt;=5,ABS($AL3-$AN$8)&lt;=5,ABS($AL3-$AN$10)&lt;=5,ABS($AL3-$AN$11)&lt;=5)))</xm:f>
            <x14:dxf>
              <fill>
                <patternFill>
                  <bgColor rgb="FF9FCC7E"/>
                </patternFill>
              </fill>
            </x14:dxf>
          </x14:cfRule>
          <xm:sqref>A3:C64</xm:sqref>
        </x14:conditionalFormatting>
        <x14:conditionalFormatting xmlns:xm="http://schemas.microsoft.com/office/excel/2006/main">
          <x14:cfRule type="expression" priority="83" id="{CE000000-0000-4000-8000-000000000002}">
            <xm:f>AND(NOT(AND($B$2="Hide unsafe",$BB3=1)),AND(ISNUMBER($AL3),OR(AND(ISNUMBER(SEARCH("chop edge",$E$45)),$AL3='King Node Model'!$AL$42),AND(ISNUMBER(SEARCH("chop edge",$E$46)),$AL3='King Node Model'!$AL$43)),OR(ABS($AL3-$AN$5)&lt;=5,ABS($AL3-$AN$6)&lt;=5,ABS($AL3-$AN$7)&lt;=5,ABS($AL3-$AN$8)&lt;=5,ABS($AL3-$AN$10)&lt;=5,ABS($AL3-$AN$11)&lt;=5)))</xm:f>
            <x14:dxf>
              <fill>
                <patternFill>
                  <bgColor rgb="FFE98AA4"/>
                </patternFill>
              </fill>
            </x14:dxf>
          </x14:cfRule>
          <xm:sqref>A3:C64</xm:sqref>
        </x14:conditionalFormatting>
        <x14:conditionalFormatting xmlns:xm="http://schemas.microsoft.com/office/excel/2006/main">
          <x14:cfRule type="expression" priority="43" id="{36427A3D-C46E-42B4-911E-EF47B8E22E07}">
            <xm:f>AND(NOT(AND($B$2="Hide unsafe",$BB3=1)),AND(ISNUMBER($AL3),'King Node Model'!$A$8&lt;&gt;"Neg",OR(AND('King Node Model'!$AL$49&lt;&gt;'King Node Model'!$AN$70,IFERROR(INDEX('Level Engine'!$IB$9:$IB$55,MATCH('King Node Model'!$AL$49,'Level Engine'!$AA$9:$AA$55,0)),0)&lt;&gt;1,IFERROR(INDEX('Level Engine'!$AT$9:$AT$55,MATCH('King Node Model'!$AL$49,'Level Engine'!$AA$9:$AA$55,0)),"")&lt;&gt;IFERROR(INDEX('Level Engine'!$AU$9:$AU$55,MATCH('King Node Model'!$AL$49,'Level Engine'!$AA$9:$AA$55,0)),""),OR($AL3=IFERROR(INDEX('Level Engine'!$AT$9:$AT$55,MATCH('King Node Model'!$AL$49,'Level Engine'!$AA$9:$AA$55,0)),""),AND($AL3=IFERROR(INDEX('Level Engine'!$AU$9:$AU$55,MATCH('King Node Model'!$AL$49,'Level Engine'!$AA$9:$AA$55,0)),""),IFERROR(INDEX('Level Engine'!$CZ$9:$CZ$55,MATCH('King Node Model'!$AL$49,'Level Engine'!$AA$9:$AA$55,0)),0)&lt;&gt;1))),AND('King Node Model'!$AL$50&lt;&gt;'King Node Model'!$AN$70,IFERROR(INDEX('Level Engine'!$IB$9:$IB$55,MATCH('King Node Model'!$AL$50,'Level Engine'!$AA$9:$AA$55,0)),0)&lt;&gt;1,IFERROR(INDEX('Level Engine'!$AT$9:$AT$55,MATCH('King Node Model'!$AL$50,'Level Engine'!$AA$9:$AA$55,0)),"")&lt;&gt;IFERROR(INDEX('Level Engine'!$AU$9:$AU$55,MATCH('King Node Model'!$AL$50,'Level Engine'!$AA$9:$AA$55,0)),""),OR($AL3=IFERROR(INDEX('Level Engine'!$AT$9:$AT$55,MATCH('King Node Model'!$AL$50,'Level Engine'!$AA$9:$AA$55,0)),""),AND($AL3=IFERROR(INDEX('Level Engine'!$AU$9:$AU$55,MATCH('King Node Model'!$AL$50,'Level Engine'!$AA$9:$AA$55,0)),""),IFERROR(INDEX('Level Engine'!$CZ$9:$CZ$55,MATCH('King Node Model'!$AL$50,'Level Engine'!$AA$9:$AA$55,0)),0)&lt;&gt;1))))))</xm:f>
            <x14:dxf>
              <fill>
                <patternFill>
                  <bgColor rgb="FF9FCC7E"/>
                </patternFill>
              </fill>
            </x14:dxf>
          </x14:cfRule>
          <x14:cfRule type="expression" priority="63" id="{1B3CD5DE-EC20-424F-91F6-7CE0C764976F}">
            <xm:f>AND(NOT(AND($B$2="Hide unsafe",$BB3=1)),AND(ISNUMBER($AL3),'King Node Model'!$A$8&lt;&gt;"Neg",OR(AND('King Node Model'!$AL$42&lt;&gt;'King Node Model'!$AO$70,IFERROR(INDEX('Level Engine'!$IB$9:$IB$55,MATCH('King Node Model'!$AL$42,'Level Engine'!$AA$9:$AA$55,0)),0)&lt;&gt;1,IFERROR(INDEX('Level Engine'!$AT$9:$AT$55,MATCH('King Node Model'!$AL$42,'Level Engine'!$AA$9:$AA$55,0)),"")&lt;&gt;IFERROR(INDEX('Level Engine'!$AU$9:$AU$55,MATCH('King Node Model'!$AL$42,'Level Engine'!$AA$9:$AA$55,0)),""),OR($AL3=IFERROR(INDEX('Level Engine'!$AT$9:$AT$55,MATCH('King Node Model'!$AL$42,'Level Engine'!$AA$9:$AA$55,0)),""),$AL3=IFERROR(INDEX('Level Engine'!$AU$9:$AU$55,MATCH('King Node Model'!$AL$42,'Level Engine'!$AA$9:$AA$55,0)),""))),AND('King Node Model'!$AL$43&lt;&gt;'King Node Model'!$AO$70,IFERROR(INDEX('Level Engine'!$IB$9:$IB$55,MATCH('King Node Model'!$AL$43,'Level Engine'!$AA$9:$AA$55,0)),0)&lt;&gt;1,IFERROR(INDEX('Level Engine'!$AT$9:$AT$55,MATCH('King Node Model'!$AL$43,'Level Engine'!$AA$9:$AA$55,0)),"")&lt;&gt;IFERROR(INDEX('Level Engine'!$AU$9:$AU$55,MATCH('King Node Model'!$AL$43,'Level Engine'!$AA$9:$AA$55,0)),""),OR($AL3=IFERROR(INDEX('Level Engine'!$AT$9:$AT$55,MATCH('King Node Model'!$AL$43,'Level Engine'!$AA$9:$AA$55,0)),""),$AL3=IFERROR(INDEX('Level Engine'!$AU$9:$AU$55,MATCH('King Node Model'!$AL$43,'Level Engine'!$AA$9:$AA$55,0)),""))))))</xm:f>
            <x14:dxf>
              <fill>
                <patternFill>
                  <bgColor rgb="FFE98AA4"/>
                </patternFill>
              </fill>
            </x14:dxf>
          </x14:cfRule>
          <x14:cfRule type="expression" priority="199" id="{79C34087-F057-4CB7-801F-230D00DA8C69}">
            <xm:f>AND(NOT(AND($B$2="Hide unsafe",$BB3=1)),AND(ISNUMBER($AL3),ABS($AL3-$AM$2)&lt;=2.5,OR($AL3='King Node Model'!$AL$42,$AL3='King Node Model'!$AL$43)))</xm:f>
            <x14:dxf>
              <fill>
                <patternFill>
                  <bgColor rgb="FFE98AA4"/>
                </patternFill>
              </fill>
            </x14:dxf>
          </x14:cfRule>
          <x14:cfRule type="expression" priority="219" id="{0D892E08-5DE1-4398-887D-A5D2542CCF21}">
            <xm:f>AND(NOT(AND($B$2="Hide unsafe",$BB3=1)),AND(ISNUMBER($AL3),ABS($AL3-$AM$2)&lt;=2.5,OR($AL3='King Node Model'!$AL$49,$AL3='King Node Model'!$AL$50)))</xm:f>
            <x14:dxf>
              <fill>
                <patternFill>
                  <bgColor rgb="FF9FCC7E"/>
                </patternFill>
              </fill>
            </x14:dxf>
          </x14:cfRule>
          <xm:sqref>A3:C64</xm:sqref>
        </x14:conditionalFormatting>
        <x14:conditionalFormatting xmlns:xm="http://schemas.microsoft.com/office/excel/2006/main">
          <x14:cfRule type="expression" priority="621" id="{FBF18428-5F62-446B-8C26-8E5F33E7A74D}">
            <xm:f>AND(AND(AND(NOT(AND($B$2="Hide unsafe",$BB3=1)),AND(AND(ISNUMBER($AL3),OR(AND($AL3&gt;=$AQ$22,$AL3&lt;=$AR$22,$AS$22=1),$AL3=$AQ$22,$AL3=$AR$22,$AL3=$AQ$23,$AL3=$AR$23,$AL3=$AQ$24,$AL3=$AR$24),NOT(OR($AL3='King Node Model'!$AL$42,$AL3='King Node Model'!$AL$43))),NOT(OR(AND('King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Model'!$AL$51)),NOT(AND(OR($AL3&lt;$AM$2,COUNTIF('Level Engine'!$W$18:$W$23,$AL3)&gt;0,$AL3='King Node Model'!$AL$49,$AL3='King Node Model'!$AL$50),$AL3&lt;&gt;'King Node Model'!$AL$42,$AL3&lt;&gt;'King Node Model'!$AL$43)))</xm:f>
            <x14:dxf>
              <fill>
                <patternFill>
                  <bgColor rgb="FFE98AA4"/>
                </patternFill>
              </fill>
            </x14:dxf>
          </x14:cfRule>
          <x14:cfRule type="expression" priority="623" id="{1C2C93D5-547E-4E0C-B5EE-96F89895292F}">
            <xm:f>AND(AND(AND(NOT(AND($B$2="Hide unsafe",$BB3=1)),AND(AND(ISNUMBER($AL3),OR(AND($AL3&gt;='King Node Model'!$AM$20,$AL3&lt;='King Node Model'!$AN$20,$AS$23=1),$AL3='King Node Model'!$AM$20,$AL3='King Node Model'!$AN$20,$AL3='King Node Model'!$AM$21,$AL3='King Node Model'!$AN$21,$AL3='King Node Model'!$AM$22,$AL3='King Node Model'!$AN$22),NOT(OR($AL3='King Node Model'!$AL$49,$AL3='King Node Model'!$AL$50))),NOT(OR(AND('King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Model'!$AL$51)),NOT(AND(OR($AL3&gt;$AM$2,COUNTIF('Level Engine'!$W$9:$W$14,$AL3)&gt;0,$AL3='King Node Model'!$AL$42,$AL3='King Node Model'!$AL$43),$AL3&lt;&gt;'King Node Model'!$AL$49,$AL3&lt;&gt;'King Node Model'!$AL$50)))</xm:f>
            <x14:dxf>
              <fill>
                <patternFill>
                  <bgColor rgb="FF9FCC7E"/>
                </patternFill>
              </fill>
            </x14:dxf>
          </x14:cfRule>
          <xm:sqref>A3:C64</xm:sqref>
        </x14:conditionalFormatting>
        <x14:conditionalFormatting xmlns:xm="http://schemas.microsoft.com/office/excel/2006/main">
          <x14:cfRule type="expression" priority="193" id="{63418F6A-1FD1-438A-98F2-1C42BB5E8354}">
            <xm:f>AND(AND(AND(NOT(AND($B$2="Hide unsafe",$BB3=1)),AND(AND(ISNUMBER($AL3),OR(AND($AL3&gt;='King Node Model'!$AM$20,$AL3&lt;='King Node Model'!$AN$20,$AS$23=1),$AL3='King Node Model'!$AM$20,$AL3='King Node Model'!$AN$20,$AL3='King Node Model'!$AM$21,$AL3='King Node Model'!$AN$21,$AL3='King Node Model'!$AM$22,$AL3='King Node Model'!$AN$22,$AL3='King Node Model'!$AL$49,$AL3='King Node Model'!$AL$50),OR($AL3=$AN$5,$AL3=$AN$6,$AL3=$AN$7,$AL3=$AN$8,$AL3=$AN$10,$AL3=$AN$11)),NOT(OR(AND('King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Model'!$AL$51)),NOT(AND(OR($AL3&gt;$AM$2,COUNTIF('Level Engine'!$W$9:$W$14,$AL3)&gt;0,$AL3='King Node Model'!$AL$42,$AL3='King Node Model'!$AL$43),$AL3&lt;&gt;'King Node Model'!$AL$49,$AL3&lt;&gt;'King Node Model'!$AL$50)))</xm:f>
            <x14:dxf>
              <fill>
                <patternFill>
                  <bgColor rgb="FF9FCC7E"/>
                </patternFill>
              </fill>
              <border diagonalUp="0" diagonalDown="0">
                <left/>
                <right/>
                <top style="thin">
                  <color rgb="FF548235"/>
                </top>
                <bottom style="thin">
                  <color rgb="FF548235"/>
                </bottom>
              </border>
            </x14:dxf>
          </x14:cfRule>
          <xm:sqref>A3:C64</xm:sqref>
        </x14:conditionalFormatting>
        <x14:conditionalFormatting xmlns:xm="http://schemas.microsoft.com/office/excel/2006/main">
          <x14:cfRule type="expression" priority="203" id="{AB3A12D0-C6D1-4D43-A960-BD2D2C6F4137}">
            <xm:f>AND(AND(AND(NOT(AND($B$2="Hide unsafe",$BB3=1)),AND(AND(ISNUMBER($AL3),OR(AND($AL3&gt;='King Node Model'!$AM$20,$AL3&lt;='King Node Model'!$AN$20,$AS$23=1),$AL3='King Node Model'!$AM$20,$AL3='King Node Model'!$AN$20,$AL3='King Node Model'!$AM$21,$AL3='King Node Model'!$AN$21,$AL3='King Node Model'!$AM$22,$AL3='King Node Model'!$AN$22),NOT(OR($AL3=$AN$5,$AL3=$AN$6,$AL3=$AN$7,$AL3=$AN$8,$AL3=$AN$10,$AL3=$AN$11))),NOT(AND(ISNUMBER('King Node Model'!$F$24),$AL3='King Node Model'!$F$24,IFERROR(INDEX('Level Engine'!$JN$9:$JN$55,MATCH($AL3,'Level Engine'!$AA$9:$AA$55,0)),0)&lt;&gt;1,$AL3&lt;&gt;'King Node Model'!$AL$49,$AL3&lt;&gt;'King Node Model'!$AL$50)))),OR(COUNTIF('Level Engine'!$W$9:$W$14,$AL3)&gt;0,COUNTIF('Level Engine'!$W$18:$W$23,$AL3)&gt;0,$AL3='King Node Model'!$AL$42,$AL3='King Node Model'!$AL$43,$AL3='King Node Model'!$AL$44,$AL3='King Node Model'!$AL$49,$AL3='King Node Model'!$AL$50,$AL3='King Node Model'!$AL$51)),NOT(AND(OR($AL3&gt;$AM$2,COUNTIF('Level Engine'!$W$9:$W$14,$AL3)&gt;0,$AL3='King Node Model'!$AL$42,$AL3='King Node Model'!$AL$43),$AL3&lt;&gt;'King Node Model'!$AL$49,$AL3&lt;&gt;'King Node Model'!$AL$50)))</xm:f>
            <x14:dxf>
              <fill>
                <patternFill>
                  <bgColor rgb="FF9FCC7E"/>
                </patternFill>
              </fill>
              <border diagonalUp="0" diagonalDown="0">
                <left/>
                <right/>
                <top style="thin">
                  <color rgb="FF548235"/>
                </top>
                <bottom style="thin">
                  <color rgb="FF548235"/>
                </bottom>
              </border>
            </x14:dxf>
          </x14:cfRule>
          <xm:sqref>A3:C64</xm:sqref>
        </x14:conditionalFormatting>
        <x14:conditionalFormatting xmlns:xm="http://schemas.microsoft.com/office/excel/2006/main">
          <x14:cfRule type="expression" priority="337" id="{76167C49-EDB3-4A1D-A27A-1CC6F9F67FA7}">
            <xm:f>MAX('King Node Model'!$C$29:$C$75)&gt;=-MIN('King Node Model'!$C$29:$C$75)</xm:f>
            <x14:dxf>
              <border diagonalUp="0" diagonalDown="0">
                <left style="thick">
                  <color rgb="FFC2185B"/>
                </left>
                <right style="thick">
                  <color rgb="FFC2185B"/>
                </right>
                <top style="thick">
                  <color rgb="FFC2185B"/>
                </top>
                <bottom style="thick">
                  <color rgb="FFC2185B"/>
                </bottom>
              </border>
            </x14:dxf>
          </x14:cfRule>
          <xm:sqref>E34:F34</xm:sqref>
        </x14:conditionalFormatting>
        <x14:conditionalFormatting xmlns:xm="http://schemas.microsoft.com/office/excel/2006/main">
          <x14:cfRule type="expression" priority="339" id="{6E4376C7-F0B4-4562-B676-8781F7A6C1F5}">
            <xm:f>-MIN('King Node Model'!$C$29:$C$75)&gt;MAX('King Node Model'!$C$29:$C$75)</xm:f>
            <x14:dxf>
              <border diagonalUp="0" diagonalDown="0">
                <left style="thick">
                  <color rgb="FFC2185B"/>
                </left>
                <right style="thick">
                  <color rgb="FFC2185B"/>
                </right>
                <top style="thick">
                  <color rgb="FFC2185B"/>
                </top>
                <bottom style="thick">
                  <color rgb="FFC2185B"/>
                </bottom>
              </border>
            </x14:dxf>
          </x14:cfRule>
          <xm:sqref>G34:H34</xm:sqref>
        </x14:conditionalFormatting>
        <x14:conditionalFormatting xmlns:xm="http://schemas.microsoft.com/office/excel/2006/main">
          <x14:cfRule type="expression" priority="30021" id="{CE000000-0000-4000-8000-0000000107A1}">
            <xm:f>AND(NOT(AND($B$2="Hide unsafe",$BB3=1)),ISNUMBER($AL3),IFERROR(INDEX('Level Engine'!$LL$9:$LL$55,MATCH($AL3,'Level Engine'!$AA$9:$AA$55,0)),0)=1)</xm:f>
            <x14:dxf>
              <fill>
                <patternFill>
                  <bgColor rgb="FF9FCC7E"/>
                </patternFill>
              </fill>
            </x14:dxf>
          </x14:cfRule>
          <x14:cfRule type="expression" priority="30022" id="{CE000000-0000-4000-8000-0000000107A2}">
            <xm:f>AND(NOT(AND($B$2="Hide unsafe",$BB3=1)),ISNUMBER($AL3),IFERROR(INDEX('Level Engine'!$LL$9:$LL$55,MATCH($AL3,'Level Engine'!$AA$9:$AA$55,0)),0)=2)</xm:f>
            <x14:dxf>
              <fill>
                <patternFill>
                  <bgColor rgb="FFE98AA4"/>
                </patternFill>
              </fill>
            </x14:dxf>
          </x14:cfRule>
          <xm:sqref>A3:C64</xm:sqref>
        </x14:conditionalFormatting>
        <x14:conditionalFormatting xmlns:xm="http://schemas.microsoft.com/office/excel/2006/main">
          <x14:cfRule type="expression" priority="2" id="{CE000000-0000-4000-8000-0000000107B1}">
            <xm:f>AND(ISNUMBER($AL3),IFERROR(INDEX('Level Engine'!$LM$9:$LM$55,MATCH($AL3,'Level Engine'!$AA$9:$AA$55,0)),0)&gt;0)</xm:f>
            <x14:dxf>
              <fill>
                <patternFill>
                  <bgColor rgb="FFFAC775"/>
                </patternFill>
              </fill>
            </x14:dxf>
          </x14:cfRule>
          <xm:sqref>A3:C64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0"/>
  <sheetViews>
    <sheetView showGridLines="0" topLeftCell="C4" zoomScaleNormal="100" workbookViewId="0">
      <selection activeCell="U16" sqref="U16"/>
    </sheetView>
  </sheetViews>
  <sheetFormatPr defaultColWidth="8.7109375" defaultRowHeight="15" x14ac:dyDescent="0.25"/>
  <cols>
    <col min="1" max="1" width="30" style="1" customWidth="1"/>
    <col min="2" max="2" width="14" style="1" customWidth="1"/>
    <col min="3" max="3" width="30" style="1" customWidth="1"/>
    <col min="4" max="4" width="6" style="1" customWidth="1"/>
    <col min="5" max="5" width="21" style="1" customWidth="1"/>
    <col min="6" max="6" width="7.42578125" style="1" customWidth="1"/>
    <col min="7" max="7" width="12" style="1" customWidth="1"/>
    <col min="8" max="8" width="17" style="1" customWidth="1"/>
    <col min="9" max="9" width="6" style="1" customWidth="1"/>
    <col min="10" max="10" width="30" style="1" customWidth="1"/>
    <col min="11" max="11" width="18" style="1" customWidth="1"/>
    <col min="12" max="12" width="14.7109375" style="1" customWidth="1"/>
    <col min="13" max="13" width="18" style="1" customWidth="1"/>
    <col min="14" max="14" width="8" style="1" customWidth="1"/>
    <col min="15" max="18" width="13" style="1" hidden="1" customWidth="1"/>
    <col min="19" max="19" width="3" style="1" customWidth="1"/>
    <col min="24" max="24" width="15" style="1" customWidth="1"/>
    <col min="25" max="25" width="8" style="1" customWidth="1"/>
    <col min="26" max="26" width="16" style="1" customWidth="1"/>
    <col min="28" max="28" width="13" style="1" hidden="1" customWidth="1"/>
  </cols>
  <sheetData>
    <row r="1" spans="1:18" ht="21" customHeight="1" x14ac:dyDescent="0.35">
      <c r="A1" s="558" t="s">
        <v>0</v>
      </c>
      <c r="B1" s="558"/>
      <c r="C1" s="558"/>
      <c r="E1" s="559" t="s">
        <v>1</v>
      </c>
      <c r="F1" s="559"/>
      <c r="G1" s="559"/>
      <c r="H1" s="559"/>
      <c r="I1" s="559"/>
      <c r="J1" s="559"/>
      <c r="L1" s="560" t="str">
        <f>'King Node Model'!K26</f>
        <v>Updated 17:39:36</v>
      </c>
      <c r="M1" s="560"/>
      <c r="N1" s="560"/>
      <c r="P1" s="1">
        <f>MAX(MAX('King Node Model'!C29:C75),-MIN('King Node Model'!C29:C75))</f>
        <v>3137174</v>
      </c>
      <c r="Q1" s="3">
        <f>'King Node Model'!T22</f>
        <v>7825</v>
      </c>
      <c r="R1" s="1">
        <f>MAX('King Node Model'!B29:B75)</f>
        <v>4471438</v>
      </c>
    </row>
    <row r="2" spans="1:18" ht="15" customHeight="1" x14ac:dyDescent="0.25">
      <c r="A2" s="4" t="s">
        <v>2</v>
      </c>
      <c r="C2" s="5" t="s">
        <v>3</v>
      </c>
      <c r="P2" s="6">
        <f>'King Node Model'!B4</f>
        <v>7775.39</v>
      </c>
      <c r="Q2" s="3">
        <f>'King Node Model'!T23</f>
        <v>7770</v>
      </c>
    </row>
    <row r="3" spans="1:18" ht="15.75" customHeight="1" x14ac:dyDescent="0.25">
      <c r="A3" s="7" t="str">
        <f t="shared" ref="A3:A49" si="0">IF(AND(ISNUMBER($P3),$P3&lt;0,ISNUMBER($R3),$R$1&gt;0),REPT("█",ROUND($R3/$R$1*26,0)),"")</f>
        <v/>
      </c>
      <c r="B3" s="8" t="str">
        <f>TEXT(IF(ABS($O3-$P$2)&lt;=2.5,$P$2,$O3),"0")&amp;IF($O3=$Q$1," ★","")&amp;IF($O3=$Q$2," ★","")&amp;IF($O3=$Q$3," ◆","")&amp;IF(AND(ISNUMBER($Q$4),$O3=$Q$4)," ⓏⒼ","")&amp;IF(OR($O3='Level Engine'!$CP$4,$O3='Level Engine'!$CP$5,$O3='Level Engine'!$CP$6,$O3='Level Engine'!$CP$7)," ☄","")&amp;IF(OR($O3=$Q$5,$O3=$Q$8)," ║1","")&amp;IF(OR($O3=$Q$6,$O3=$Q$9)," ║2","")&amp;IF(OR($O3=$Q$7,$O3=$Q$10)," ║3","")&amp;IF(OR($O3=$Q$11,$O3=$Q$14)," ▣1","")&amp;IF(OR($O3=$Q$12,$O3=$Q$15)," ▣2","")&amp;IF(OR($O3=$Q$13,$O3=$Q$16)," ▣3","")&amp;IF(OR(AND($O3=$Q$17,$Q$25=1),AND($O3=$Q$18,$Q$26=1),AND($O3=$Q$19,$Q$27=1),AND($O3=$Q$20,$Q$28=1),AND($O3=$Q$21,$Q$29=1),AND($O3=$Q$22,$Q$30=1))," ⚠","")&amp;IF(ABS($O3-$P$2)&lt;=2.5," ◄","")</f>
        <v>7885</v>
      </c>
      <c r="C3" s="9" t="str">
        <f t="shared" ref="C3:C49" si="1">IF(AND(ISNUMBER($P3),$P3&gt;0,ISNUMBER($R3),$R$1&gt;0),REPT("█",ROUND($R3/$R$1*26,0)),"")</f>
        <v/>
      </c>
      <c r="E3" s="620" t="str">
        <f>"SPOT   "&amp;TEXT('King Node Model'!$B$4,"#,##0.0")</f>
        <v>SPOT   7,775.4</v>
      </c>
      <c r="F3" s="620"/>
      <c r="G3" s="621" t="str">
        <f>"REGIME   "&amp;'King Node Model'!$A$8</f>
        <v>REGIME   Neg</v>
      </c>
      <c r="H3" s="621"/>
      <c r="I3" s="621" t="str">
        <f>"GAMMA FLIP   "&amp;TEXT('King Node Model'!$D$26,"0")</f>
        <v>GAMMA FLIP   7805</v>
      </c>
      <c r="J3" s="621"/>
      <c r="K3" s="622" t="str">
        <f>"ZERO GAMMA   "&amp;IF(ISNUMBER('King Node Model'!$D$27),TEXT('King Node Model'!$D$27,"0"),"—")</f>
        <v>ZERO GAMMA   7775</v>
      </c>
      <c r="L3" s="622"/>
      <c r="M3" s="622"/>
      <c r="N3" s="622"/>
      <c r="O3" s="1">
        <f>'King Node Model'!A29</f>
        <v>7885</v>
      </c>
      <c r="P3" s="10">
        <f>'King Node Model'!C29</f>
        <v>32827</v>
      </c>
      <c r="Q3" s="3">
        <f>'King Node Model'!B23</f>
        <v>7770</v>
      </c>
      <c r="R3" s="10">
        <f>'King Node Model'!B29</f>
        <v>33280</v>
      </c>
    </row>
    <row r="4" spans="1:18" ht="15" customHeight="1" x14ac:dyDescent="0.25">
      <c r="A4" s="7" t="str">
        <f t="shared" si="0"/>
        <v/>
      </c>
      <c r="B4" s="8" t="str">
        <f>TEXT(IF(ABS($O4-$P$2)&lt;=2.5,$P$2,$O4),"0")&amp;IF($O4=$Q$1," ★","")&amp;IF($O4=$Q$2," ★","")&amp;IF($O4=$Q$3," ◆","")&amp;IF(AND(ISNUMBER($Q$4),$O4=$Q$4)," ⓏⒼ","")&amp;IF(OR($O4='Level Engine'!$CP$4,$O4='Level Engine'!$CP$5,$O4='Level Engine'!$CP$6,$O4='Level Engine'!$CP$7)," ☄","")&amp;IF(OR($O4=$Q$5,$O4=$Q$8)," ║1","")&amp;IF(OR($O4=$Q$6,$O4=$Q$9)," ║2","")&amp;IF(OR($O4=$Q$7,$O4=$Q$10)," ║3","")&amp;IF(OR($O4=$Q$11,$O4=$Q$14)," ▣1","")&amp;IF(OR($O4=$Q$12,$O4=$Q$15)," ▣2","")&amp;IF(OR($O4=$Q$13,$O4=$Q$16)," ▣3","")&amp;IF(OR(AND($O4=$Q$17,$Q$25=1),AND($O4=$Q$18,$Q$26=1),AND($O4=$Q$19,$Q$27=1),AND($O4=$Q$20,$Q$28=1),AND($O4=$Q$21,$Q$29=1),AND($O4=$Q$22,$Q$30=1))," ⚠","")&amp;IF(ABS($O4-$P$2)&lt;=2.5," ◄","")</f>
        <v>7880</v>
      </c>
      <c r="C4" s="9" t="str">
        <f t="shared" si="1"/>
        <v/>
      </c>
      <c r="E4" s="623" t="str">
        <f>"VIX   "&amp;TEXT('King Node Model'!$B$5,"0.0")</f>
        <v>VIX   15.4</v>
      </c>
      <c r="F4" s="623"/>
      <c r="G4" s="562" t="str">
        <f>"VVIX   "&amp;TEXT('King Node Model'!$D$5,"0.0")</f>
        <v>VVIX   86.6</v>
      </c>
      <c r="H4" s="562"/>
      <c r="I4" s="562" t="str">
        <f>"VIX1D   "&amp;TEXT('King Node Model'!$F$5,"0.0")</f>
        <v>VIX1D   8.5</v>
      </c>
      <c r="J4" s="562"/>
      <c r="K4" s="11"/>
      <c r="N4" s="134"/>
      <c r="O4" s="1">
        <f>'King Node Model'!A30</f>
        <v>7880</v>
      </c>
      <c r="P4" s="10">
        <f>'King Node Model'!C30</f>
        <v>75905</v>
      </c>
      <c r="Q4" s="10">
        <f>'King Node Model'!D26</f>
        <v>7805</v>
      </c>
      <c r="R4" s="10">
        <f>'King Node Model'!B30</f>
        <v>76929</v>
      </c>
    </row>
    <row r="5" spans="1:18" ht="15" customHeight="1" x14ac:dyDescent="0.25">
      <c r="A5" s="7" t="str">
        <f t="shared" si="0"/>
        <v/>
      </c>
      <c r="B5" s="8" t="str">
        <f>TEXT(IF(ABS($O5-$P$2)&lt;=2.5,$P$2,$O5),"0")&amp;IF($O5=$Q$1," ★","")&amp;IF($O5=$Q$2," ★","")&amp;IF($O5=$Q$3," ◆","")&amp;IF(AND(ISNUMBER($Q$4),$O5=$Q$4)," ⓏⒼ","")&amp;IF(OR($O5='Level Engine'!$CP$4,$O5='Level Engine'!$CP$5,$O5='Level Engine'!$CP$6,$O5='Level Engine'!$CP$7)," ☄","")&amp;IF(OR($O5=$Q$5,$O5=$Q$8)," ║1","")&amp;IF(OR($O5=$Q$6,$O5=$Q$9)," ║2","")&amp;IF(OR($O5=$Q$7,$O5=$Q$10)," ║3","")&amp;IF(OR($O5=$Q$11,$O5=$Q$14)," ▣1","")&amp;IF(OR($O5=$Q$12,$O5=$Q$15)," ▣2","")&amp;IF(OR($O5=$Q$13,$O5=$Q$16)," ▣3","")&amp;IF(OR(AND($O5=$Q$17,$Q$25=1),AND($O5=$Q$18,$Q$26=1),AND($O5=$Q$19,$Q$27=1),AND($O5=$Q$20,$Q$28=1),AND($O5=$Q$21,$Q$29=1),AND($O5=$Q$22,$Q$30=1))," ⚠","")&amp;IF(ABS($O5-$P$2)&lt;=2.5," ◄","")</f>
        <v>7875</v>
      </c>
      <c r="C5" s="9" t="str">
        <f t="shared" si="1"/>
        <v/>
      </c>
      <c r="E5" s="624" t="str">
        <f>"IV REGIME   "&amp;'King Node Model'!$P$9&amp;IF('King Node Model'!$P$10="","","     "&amp;UPPER('King Node Model'!$P$10)&amp;" IV")</f>
        <v>IV REGIME   Recovery Day with Local Wiggle     LOW IV</v>
      </c>
      <c r="F5" s="624"/>
      <c r="G5" s="624"/>
      <c r="H5" s="624"/>
      <c r="I5" s="624"/>
      <c r="J5" s="624"/>
      <c r="K5" s="624"/>
      <c r="L5" s="624"/>
      <c r="M5" s="624"/>
      <c r="N5" s="624"/>
      <c r="O5" s="1">
        <f>'King Node Model'!A31</f>
        <v>7875</v>
      </c>
      <c r="P5" s="10">
        <f>'King Node Model'!C31</f>
        <v>55016</v>
      </c>
      <c r="Q5" s="3">
        <f>'King Node Model'!T25</f>
        <v>7795</v>
      </c>
      <c r="R5" s="10">
        <f>'King Node Model'!B31</f>
        <v>57578</v>
      </c>
    </row>
    <row r="6" spans="1:18" ht="18.75" customHeight="1" x14ac:dyDescent="0.25">
      <c r="A6" s="7" t="str">
        <f t="shared" si="0"/>
        <v/>
      </c>
      <c r="B6" s="8" t="str">
        <f>TEXT(IF(ABS($O6-$P$2)&lt;=2.5,$P$2,$O6),"0")&amp;IF($O6=$Q$1," ★","")&amp;IF($O6=$Q$2," ★","")&amp;IF($O6=$Q$3," ◆","")&amp;IF(AND(ISNUMBER($Q$4),$O6=$Q$4)," ⓏⒼ","")&amp;IF(OR($O6='Level Engine'!$CP$4,$O6='Level Engine'!$CP$5,$O6='Level Engine'!$CP$6,$O6='Level Engine'!$CP$7)," ☄","")&amp;IF(OR($O6=$Q$5,$O6=$Q$8)," ║1","")&amp;IF(OR($O6=$Q$6,$O6=$Q$9)," ║2","")&amp;IF(OR($O6=$Q$7,$O6=$Q$10)," ║3","")&amp;IF(OR($O6=$Q$11,$O6=$Q$14)," ▣1","")&amp;IF(OR($O6=$Q$12,$O6=$Q$15)," ▣2","")&amp;IF(OR($O6=$Q$13,$O6=$Q$16)," ▣3","")&amp;IF(OR(AND($O6=$Q$17,$Q$25=1),AND($O6=$Q$18,$Q$26=1),AND($O6=$Q$19,$Q$27=1),AND($O6=$Q$20,$Q$28=1),AND($O6=$Q$21,$Q$29=1),AND($O6=$Q$22,$Q$30=1))," ⚠","")&amp;IF(ABS($O6-$P$2)&lt;=2.5," ◄","")</f>
        <v>7870</v>
      </c>
      <c r="C6" s="9" t="str">
        <f t="shared" si="1"/>
        <v>█</v>
      </c>
      <c r="E6" s="625" t="str">
        <f>IF('King Node Model'!S52&lt;&gt;"",'King Node Model'!S52,IF('King Node Model'!S38&lt;&gt;"",'King Node Model'!S38,""))</f>
        <v>⚠  DEX peaks in the middle at 7800! The market is engineered to chop!</v>
      </c>
      <c r="F6" s="625"/>
      <c r="G6" s="625"/>
      <c r="H6" s="625"/>
      <c r="I6" s="625"/>
      <c r="J6" s="625"/>
      <c r="K6" s="625"/>
      <c r="L6" s="625"/>
      <c r="M6" s="625"/>
      <c r="N6" s="625"/>
      <c r="O6" s="1">
        <f>'King Node Model'!A32</f>
        <v>7870</v>
      </c>
      <c r="P6" s="10">
        <f>'King Node Model'!C32</f>
        <v>84051</v>
      </c>
      <c r="Q6" s="3">
        <f>'King Node Model'!T26</f>
        <v>7805</v>
      </c>
      <c r="R6" s="10">
        <f>'King Node Model'!B32</f>
        <v>86951</v>
      </c>
    </row>
    <row r="7" spans="1:18" ht="15" customHeight="1" x14ac:dyDescent="0.25">
      <c r="A7" s="7" t="str">
        <f t="shared" si="0"/>
        <v/>
      </c>
      <c r="B7" s="8" t="str">
        <f>TEXT(IF(ABS($O7-$P$2)&lt;=2.5,$P$2,$O7),"0")&amp;IF($O7=$Q$1," ★","")&amp;IF($O7=$Q$2," ★","")&amp;IF($O7=$Q$3," ◆","")&amp;IF(AND(ISNUMBER($Q$4),$O7=$Q$4)," ⓏⒼ","")&amp;IF(OR($O7='Level Engine'!$CP$4,$O7='Level Engine'!$CP$5,$O7='Level Engine'!$CP$6,$O7='Level Engine'!$CP$7)," ☄","")&amp;IF(OR($O7=$Q$5,$O7=$Q$8)," ║1","")&amp;IF(OR($O7=$Q$6,$O7=$Q$9)," ║2","")&amp;IF(OR($O7=$Q$7,$O7=$Q$10)," ║3","")&amp;IF(OR($O7=$Q$11,$O7=$Q$14)," ▣1","")&amp;IF(OR($O7=$Q$12,$O7=$Q$15)," ▣2","")&amp;IF(OR($O7=$Q$13,$O7=$Q$16)," ▣3","")&amp;IF(OR(AND($O7=$Q$17,$Q$25=1),AND($O7=$Q$18,$Q$26=1),AND($O7=$Q$19,$Q$27=1),AND($O7=$Q$20,$Q$28=1),AND($O7=$Q$21,$Q$29=1),AND($O7=$Q$22,$Q$30=1))," ⚠","")&amp;IF(ABS($O7-$P$2)&lt;=2.5," ◄","")</f>
        <v>7865</v>
      </c>
      <c r="C7" s="9" t="str">
        <f t="shared" si="1"/>
        <v>█</v>
      </c>
      <c r="E7" s="13"/>
      <c r="F7" s="13"/>
      <c r="G7" s="13"/>
      <c r="H7" s="13"/>
      <c r="I7" s="13"/>
      <c r="J7" s="13"/>
      <c r="K7" s="13"/>
      <c r="L7" s="13"/>
      <c r="M7" s="13"/>
      <c r="N7" s="13"/>
      <c r="O7" s="1">
        <f>'King Node Model'!A33</f>
        <v>7865</v>
      </c>
      <c r="P7" s="10">
        <f>'King Node Model'!C33</f>
        <v>101554</v>
      </c>
      <c r="Q7" s="3">
        <f>'King Node Model'!T27</f>
        <v>7810</v>
      </c>
      <c r="R7" s="10">
        <f>'King Node Model'!B33</f>
        <v>104698</v>
      </c>
    </row>
    <row r="8" spans="1:18" ht="15" customHeight="1" x14ac:dyDescent="0.25">
      <c r="A8" s="7" t="str">
        <f t="shared" si="0"/>
        <v/>
      </c>
      <c r="B8" s="8" t="str">
        <f>TEXT(IF(ABS($O8-$P$2)&lt;=2.5,$P$2,$O8),"0")&amp;IF($O8=$Q$1," ★","")&amp;IF($O8=$Q$2," ★","")&amp;IF($O8=$Q$3," ◆","")&amp;IF(AND(ISNUMBER($Q$4),$O8=$Q$4)," ⓏⒼ","")&amp;IF(OR($O8='Level Engine'!$CP$4,$O8='Level Engine'!$CP$5,$O8='Level Engine'!$CP$6,$O8='Level Engine'!$CP$7)," ☄","")&amp;IF(OR($O8=$Q$5,$O8=$Q$8)," ║1","")&amp;IF(OR($O8=$Q$6,$O8=$Q$9)," ║2","")&amp;IF(OR($O8=$Q$7,$O8=$Q$10)," ║3","")&amp;IF(OR($O8=$Q$11,$O8=$Q$14)," ▣1","")&amp;IF(OR($O8=$Q$12,$O8=$Q$15)," ▣2","")&amp;IF(OR($O8=$Q$13,$O8=$Q$16)," ▣3","")&amp;IF(OR(AND($O8=$Q$17,$Q$25=1),AND($O8=$Q$18,$Q$26=1),AND($O8=$Q$19,$Q$27=1),AND($O8=$Q$20,$Q$28=1),AND($O8=$Q$21,$Q$29=1),AND($O8=$Q$22,$Q$30=1))," ⚠","")&amp;IF(ABS($O8-$P$2)&lt;=2.5," ◄","")</f>
        <v>7860</v>
      </c>
      <c r="C8" s="9" t="str">
        <f t="shared" si="1"/>
        <v>█</v>
      </c>
      <c r="E8" s="18" t="s">
        <v>4</v>
      </c>
      <c r="F8" s="19"/>
      <c r="G8" s="626" t="str">
        <f>'King Node Model'!A20</f>
        <v>BUY-LEAN REGIME  -  buy dips per matrix guidance.</v>
      </c>
      <c r="H8" s="626"/>
      <c r="I8" s="626"/>
      <c r="J8" s="626"/>
      <c r="K8" s="626"/>
      <c r="L8" s="626"/>
      <c r="M8" s="626"/>
      <c r="N8" s="626"/>
      <c r="O8" s="1">
        <f>'King Node Model'!A34</f>
        <v>7860</v>
      </c>
      <c r="P8" s="10">
        <f>'King Node Model'!C34</f>
        <v>89475</v>
      </c>
      <c r="Q8" s="3">
        <f>'King Node Model'!T28</f>
        <v>7770</v>
      </c>
      <c r="R8" s="10">
        <f>'King Node Model'!B34</f>
        <v>95407</v>
      </c>
    </row>
    <row r="9" spans="1:18" ht="15" customHeight="1" x14ac:dyDescent="0.25">
      <c r="A9" s="7" t="str">
        <f t="shared" si="0"/>
        <v/>
      </c>
      <c r="B9" s="8" t="str">
        <f>TEXT(IF(ABS($O9-$P$2)&lt;=2.5,$P$2,$O9),"0")&amp;IF($O9=$Q$1," ★","")&amp;IF($O9=$Q$2," ★","")&amp;IF($O9=$Q$3," ◆","")&amp;IF(AND(ISNUMBER($Q$4),$O9=$Q$4)," ⓏⒼ","")&amp;IF(OR($O9='Level Engine'!$CP$4,$O9='Level Engine'!$CP$5,$O9='Level Engine'!$CP$6,$O9='Level Engine'!$CP$7)," ☄","")&amp;IF(OR($O9=$Q$5,$O9=$Q$8)," ║1","")&amp;IF(OR($O9=$Q$6,$O9=$Q$9)," ║2","")&amp;IF(OR($O9=$Q$7,$O9=$Q$10)," ║3","")&amp;IF(OR($O9=$Q$11,$O9=$Q$14)," ▣1","")&amp;IF(OR($O9=$Q$12,$O9=$Q$15)," ▣2","")&amp;IF(OR($O9=$Q$13,$O9=$Q$16)," ▣3","")&amp;IF(OR(AND($O9=$Q$17,$Q$25=1),AND($O9=$Q$18,$Q$26=1),AND($O9=$Q$19,$Q$27=1),AND($O9=$Q$20,$Q$28=1),AND($O9=$Q$21,$Q$29=1),AND($O9=$Q$22,$Q$30=1))," ⚠","")&amp;IF(ABS($O9-$P$2)&lt;=2.5," ◄","")</f>
        <v>7855</v>
      </c>
      <c r="C9" s="9" t="str">
        <f t="shared" si="1"/>
        <v>█</v>
      </c>
      <c r="E9" s="22" t="s">
        <v>5</v>
      </c>
      <c r="F9" s="569" t="str">
        <f>'King Node Model'!C11</f>
        <v>Low-Vol Grind-Up / Melt-Up — Dealers Comfortable with Upside Drift</v>
      </c>
      <c r="G9" s="569"/>
      <c r="H9" s="569"/>
      <c r="I9" s="569"/>
      <c r="J9" s="569"/>
      <c r="K9" s="569"/>
      <c r="L9" s="569"/>
      <c r="M9" s="569"/>
      <c r="N9" s="569"/>
      <c r="O9" s="1">
        <f>'King Node Model'!A35</f>
        <v>7855</v>
      </c>
      <c r="P9" s="10">
        <f>'King Node Model'!C35</f>
        <v>75167</v>
      </c>
      <c r="Q9" s="3">
        <f>'King Node Model'!T29</f>
        <v>7775</v>
      </c>
      <c r="R9" s="10">
        <f>'King Node Model'!B35</f>
        <v>87098</v>
      </c>
    </row>
    <row r="10" spans="1:18" ht="15" customHeight="1" x14ac:dyDescent="0.25">
      <c r="A10" s="7" t="str">
        <f t="shared" si="0"/>
        <v/>
      </c>
      <c r="B10" s="8" t="str">
        <f>TEXT(IF(ABS($O10-$P$2)&lt;=2.5,$P$2,$O10),"0")&amp;IF($O10=$Q$1," ★","")&amp;IF($O10=$Q$2," ★","")&amp;IF($O10=$Q$3," ◆","")&amp;IF(AND(ISNUMBER($Q$4),$O10=$Q$4)," ⓏⒼ","")&amp;IF(OR($O10='Level Engine'!$CP$4,$O10='Level Engine'!$CP$5,$O10='Level Engine'!$CP$6,$O10='Level Engine'!$CP$7)," ☄","")&amp;IF(OR($O10=$Q$5,$O10=$Q$8)," ║1","")&amp;IF(OR($O10=$Q$6,$O10=$Q$9)," ║2","")&amp;IF(OR($O10=$Q$7,$O10=$Q$10)," ║3","")&amp;IF(OR($O10=$Q$11,$O10=$Q$14)," ▣1","")&amp;IF(OR($O10=$Q$12,$O10=$Q$15)," ▣2","")&amp;IF(OR($O10=$Q$13,$O10=$Q$16)," ▣3","")&amp;IF(OR(AND($O10=$Q$17,$Q$25=1),AND($O10=$Q$18,$Q$26=1),AND($O10=$Q$19,$Q$27=1),AND($O10=$Q$20,$Q$28=1),AND($O10=$Q$21,$Q$29=1),AND($O10=$Q$22,$Q$30=1))," ⚠","")&amp;IF(ABS($O10-$P$2)&lt;=2.5," ◄","")</f>
        <v>7850 ▣1</v>
      </c>
      <c r="C10" s="9" t="str">
        <f t="shared" si="1"/>
        <v>██</v>
      </c>
      <c r="E10" s="22" t="s">
        <v>6</v>
      </c>
      <c r="F10" s="569" t="str">
        <f>'King Node Model'!C12</f>
        <v>Short ATM/near-ATM calls (dominant gamma) + Long OTM puts</v>
      </c>
      <c r="G10" s="569"/>
      <c r="H10" s="569"/>
      <c r="I10" s="569"/>
      <c r="J10" s="569"/>
      <c r="K10" s="569"/>
      <c r="L10" s="569"/>
      <c r="M10" s="569"/>
      <c r="N10" s="569"/>
      <c r="O10" s="1">
        <f>'King Node Model'!A36</f>
        <v>7850</v>
      </c>
      <c r="P10" s="10">
        <f>'King Node Model'!C36</f>
        <v>214075</v>
      </c>
      <c r="Q10" s="3">
        <f>'King Node Model'!T30</f>
        <v>7780</v>
      </c>
      <c r="R10" s="10">
        <f>'King Node Model'!B36</f>
        <v>351467</v>
      </c>
    </row>
    <row r="11" spans="1:18" ht="15" customHeight="1" x14ac:dyDescent="0.25">
      <c r="A11" s="7" t="str">
        <f t="shared" si="0"/>
        <v/>
      </c>
      <c r="B11" s="8" t="str">
        <f>TEXT(IF(ABS($O11-$P$2)&lt;=2.5,$P$2,$O11),"0")&amp;IF($O11=$Q$1," ★","")&amp;IF($O11=$Q$2," ★","")&amp;IF($O11=$Q$3," ◆","")&amp;IF(AND(ISNUMBER($Q$4),$O11=$Q$4)," ⓏⒼ","")&amp;IF(OR($O11='Level Engine'!$CP$4,$O11='Level Engine'!$CP$5,$O11='Level Engine'!$CP$6,$O11='Level Engine'!$CP$7)," ☄","")&amp;IF(OR($O11=$Q$5,$O11=$Q$8)," ║1","")&amp;IF(OR($O11=$Q$6,$O11=$Q$9)," ║2","")&amp;IF(OR($O11=$Q$7,$O11=$Q$10)," ║3","")&amp;IF(OR($O11=$Q$11,$O11=$Q$14)," ▣1","")&amp;IF(OR($O11=$Q$12,$O11=$Q$15)," ▣2","")&amp;IF(OR($O11=$Q$13,$O11=$Q$16)," ▣3","")&amp;IF(OR(AND($O11=$Q$17,$Q$25=1),AND($O11=$Q$18,$Q$26=1),AND($O11=$Q$19,$Q$27=1),AND($O11=$Q$20,$Q$28=1),AND($O11=$Q$21,$Q$29=1),AND($O11=$Q$22,$Q$30=1))," ⚠","")&amp;IF(ABS($O11-$P$2)&lt;=2.5," ◄","")</f>
        <v>7845</v>
      </c>
      <c r="C11" s="9" t="str">
        <f t="shared" si="1"/>
        <v>█</v>
      </c>
      <c r="E11" s="22" t="s">
        <v>7</v>
      </c>
      <c r="F11" s="570" t="str">
        <f>'King Node Model'!C13</f>
        <v>BUY the dip dominant. Pro-cyclical hedging — buying into strength, chase accelerates on rallies. Ride the trend — on IV spike trend changes to dominant selling.</v>
      </c>
      <c r="G11" s="570"/>
      <c r="H11" s="570"/>
      <c r="I11" s="570"/>
      <c r="J11" s="570"/>
      <c r="K11" s="570"/>
      <c r="L11" s="570"/>
      <c r="M11" s="570"/>
      <c r="N11" s="570"/>
      <c r="O11" s="1">
        <f>'King Node Model'!A37</f>
        <v>7845</v>
      </c>
      <c r="P11" s="10">
        <f>'King Node Model'!C37</f>
        <v>92046</v>
      </c>
      <c r="Q11" s="1">
        <f>IFERROR(INDEX('King Node Model'!$A$29:$A$75,MATCH(LARGE('King Node Model'!$AU$29:$AU$75,1),'King Node Model'!$AU$29:$AU$75,0)),"-")</f>
        <v>7850</v>
      </c>
      <c r="R11" s="10">
        <f>'King Node Model'!B37</f>
        <v>101575</v>
      </c>
    </row>
    <row r="12" spans="1:18" ht="15" customHeight="1" x14ac:dyDescent="0.25">
      <c r="A12" s="7" t="str">
        <f t="shared" si="0"/>
        <v/>
      </c>
      <c r="B12" s="8" t="str">
        <f>TEXT(IF(ABS($O12-$P$2)&lt;=2.5,$P$2,$O12),"0")&amp;IF($O12=$Q$1," ★","")&amp;IF($O12=$Q$2," ★","")&amp;IF($O12=$Q$3," ◆","")&amp;IF(AND(ISNUMBER($Q$4),$O12=$Q$4)," ⓏⒼ","")&amp;IF(OR($O12='Level Engine'!$CP$4,$O12='Level Engine'!$CP$5,$O12='Level Engine'!$CP$6,$O12='Level Engine'!$CP$7)," ☄","")&amp;IF(OR($O12=$Q$5,$O12=$Q$8)," ║1","")&amp;IF(OR($O12=$Q$6,$O12=$Q$9)," ║2","")&amp;IF(OR($O12=$Q$7,$O12=$Q$10)," ║3","")&amp;IF(OR($O12=$Q$11,$O12=$Q$14)," ▣1","")&amp;IF(OR($O12=$Q$12,$O12=$Q$15)," ▣2","")&amp;IF(OR($O12=$Q$13,$O12=$Q$16)," ▣3","")&amp;IF(OR(AND($O12=$Q$17,$Q$25=1),AND($O12=$Q$18,$Q$26=1),AND($O12=$Q$19,$Q$27=1),AND($O12=$Q$20,$Q$28=1),AND($O12=$Q$21,$Q$29=1),AND($O12=$Q$22,$Q$30=1))," ⚠","")&amp;IF(ABS($O12-$P$2)&lt;=2.5," ◄","")</f>
        <v>7840</v>
      </c>
      <c r="C12" s="9" t="str">
        <f t="shared" si="1"/>
        <v>██</v>
      </c>
      <c r="E12" s="22" t="s">
        <v>8</v>
      </c>
      <c r="F12" s="569" t="str">
        <f>'King Node Model'!C14</f>
        <v>BUY on Pullback. Pullbacks are generally shallow.</v>
      </c>
      <c r="G12" s="569"/>
      <c r="H12" s="569"/>
      <c r="I12" s="569"/>
      <c r="J12" s="569"/>
      <c r="K12" s="569"/>
      <c r="L12" s="569"/>
      <c r="M12" s="569"/>
      <c r="N12" s="569"/>
      <c r="O12" s="1">
        <f>'King Node Model'!A38</f>
        <v>7840</v>
      </c>
      <c r="P12" s="10">
        <f>'King Node Model'!C38</f>
        <v>225627</v>
      </c>
      <c r="Q12" s="1">
        <f>IFERROR(INDEX('King Node Model'!$A$29:$A$75,MATCH(LARGE('King Node Model'!$AU$29:$AU$75,2),'King Node Model'!$AU$29:$AU$75,0)),"-")</f>
        <v>7830</v>
      </c>
      <c r="R12" s="10">
        <f>'King Node Model'!B38</f>
        <v>265851</v>
      </c>
    </row>
    <row r="13" spans="1:18" ht="15" customHeight="1" x14ac:dyDescent="0.25">
      <c r="A13" s="7" t="str">
        <f t="shared" si="0"/>
        <v/>
      </c>
      <c r="B13" s="8" t="str">
        <f>TEXT(IF(ABS($O13-$P$2)&lt;=2.5,$P$2,$O13),"0")&amp;IF($O13=$Q$1," ★","")&amp;IF($O13=$Q$2," ★","")&amp;IF($O13=$Q$3," ◆","")&amp;IF(AND(ISNUMBER($Q$4),$O13=$Q$4)," ⓏⒼ","")&amp;IF(OR($O13='Level Engine'!$CP$4,$O13='Level Engine'!$CP$5,$O13='Level Engine'!$CP$6,$O13='Level Engine'!$CP$7)," ☄","")&amp;IF(OR($O13=$Q$5,$O13=$Q$8)," ║1","")&amp;IF(OR($O13=$Q$6,$O13=$Q$9)," ║2","")&amp;IF(OR($O13=$Q$7,$O13=$Q$10)," ║3","")&amp;IF(OR($O13=$Q$11,$O13=$Q$14)," ▣1","")&amp;IF(OR($O13=$Q$12,$O13=$Q$15)," ▣2","")&amp;IF(OR($O13=$Q$13,$O13=$Q$16)," ▣3","")&amp;IF(OR(AND($O13=$Q$17,$Q$25=1),AND($O13=$Q$18,$Q$26=1),AND($O13=$Q$19,$Q$27=1),AND($O13=$Q$20,$Q$28=1),AND($O13=$Q$21,$Q$29=1),AND($O13=$Q$22,$Q$30=1))," ⚠","")&amp;IF(ABS($O13-$P$2)&lt;=2.5," ◄","")</f>
        <v>7835</v>
      </c>
      <c r="C13" s="9" t="str">
        <f t="shared" si="1"/>
        <v>█</v>
      </c>
      <c r="E13" s="22" t="s">
        <v>9</v>
      </c>
      <c r="F13" s="569" t="str">
        <f>'King Node Model'!C15</f>
        <v>Trend Day - Pos Speed grind.</v>
      </c>
      <c r="G13" s="569"/>
      <c r="H13" s="569"/>
      <c r="I13" s="569"/>
      <c r="J13" s="569"/>
      <c r="K13" s="569"/>
      <c r="L13" s="569"/>
      <c r="M13" s="569"/>
      <c r="N13" s="569"/>
      <c r="O13" s="1">
        <f>'King Node Model'!A39</f>
        <v>7835</v>
      </c>
      <c r="P13" s="10">
        <f>'King Node Model'!C39</f>
        <v>176610</v>
      </c>
      <c r="Q13" s="1">
        <f>IFERROR(INDEX('King Node Model'!$A$29:$A$75,MATCH(LARGE('King Node Model'!$AU$29:$AU$75,3),'King Node Model'!$AU$29:$AU$75,0)),"-")</f>
        <v>7825</v>
      </c>
      <c r="R13" s="10">
        <f>'King Node Model'!B39</f>
        <v>229319</v>
      </c>
    </row>
    <row r="14" spans="1:18" ht="24.75" customHeight="1" x14ac:dyDescent="0.25">
      <c r="A14" s="7" t="str">
        <f t="shared" si="0"/>
        <v/>
      </c>
      <c r="B14" s="8" t="str">
        <f>TEXT(IF(ABS($O14-$P$2)&lt;=2.5,$P$2,$O14),"0")&amp;IF($O14=$Q$1," ★","")&amp;IF($O14=$Q$2," ★","")&amp;IF($O14=$Q$3," ◆","")&amp;IF(AND(ISNUMBER($Q$4),$O14=$Q$4)," ⓏⒼ","")&amp;IF(OR($O14='Level Engine'!$CP$4,$O14='Level Engine'!$CP$5,$O14='Level Engine'!$CP$6,$O14='Level Engine'!$CP$7)," ☄","")&amp;IF(OR($O14=$Q$5,$O14=$Q$8)," ║1","")&amp;IF(OR($O14=$Q$6,$O14=$Q$9)," ║2","")&amp;IF(OR($O14=$Q$7,$O14=$Q$10)," ║3","")&amp;IF(OR($O14=$Q$11,$O14=$Q$14)," ▣1","")&amp;IF(OR($O14=$Q$12,$O14=$Q$15)," ▣2","")&amp;IF(OR($O14=$Q$13,$O14=$Q$16)," ▣3","")&amp;IF(OR(AND($O14=$Q$17,$Q$25=1),AND($O14=$Q$18,$Q$26=1),AND($O14=$Q$19,$Q$27=1),AND($O14=$Q$20,$Q$28=1),AND($O14=$Q$21,$Q$29=1),AND($O14=$Q$22,$Q$30=1))," ⚠","")&amp;IF(ABS($O14-$P$2)&lt;=2.5," ◄","")</f>
        <v>7830 ▣2</v>
      </c>
      <c r="C14" s="9" t="str">
        <f t="shared" si="1"/>
        <v>███</v>
      </c>
      <c r="E14" s="22" t="s">
        <v>10</v>
      </c>
      <c r="F14" s="570" t="str">
        <f>'King Node Model'!C16</f>
        <v>Trend Day , Pull backs are enteries</v>
      </c>
      <c r="G14" s="570"/>
      <c r="H14" s="570"/>
      <c r="I14" s="570"/>
      <c r="J14" s="570"/>
      <c r="K14" s="570"/>
      <c r="L14" s="570"/>
      <c r="M14" s="570"/>
      <c r="N14" s="570"/>
      <c r="O14" s="1">
        <f>'King Node Model'!A40</f>
        <v>7830</v>
      </c>
      <c r="P14" s="10">
        <f>'King Node Model'!C40</f>
        <v>437700</v>
      </c>
      <c r="Q14" s="1">
        <f>IFERROR(INDEX('King Node Model'!$A$29:$A$75,MATCH(LARGE('King Node Model'!$AV$29:$AV$75,1),'King Node Model'!$AV$29:$AV$75,0)),"-")</f>
        <v>7720</v>
      </c>
      <c r="R14" s="10">
        <f>'King Node Model'!B40</f>
        <v>560967</v>
      </c>
    </row>
    <row r="15" spans="1:18" ht="31.5" customHeight="1" x14ac:dyDescent="0.25">
      <c r="A15" s="7" t="str">
        <f t="shared" si="0"/>
        <v/>
      </c>
      <c r="B15" s="8" t="str">
        <f>TEXT(IF(ABS($O15-$P$2)&lt;=2.5,$P$2,$O15),"0")&amp;IF($O15=$Q$1," ★","")&amp;IF($O15=$Q$2," ★","")&amp;IF($O15=$Q$3," ◆","")&amp;IF(AND(ISNUMBER($Q$4),$O15=$Q$4)," ⓏⒼ","")&amp;IF(OR($O15='Level Engine'!$CP$4,$O15='Level Engine'!$CP$5,$O15='Level Engine'!$CP$6,$O15='Level Engine'!$CP$7)," ☄","")&amp;IF(OR($O15=$Q$5,$O15=$Q$8)," ║1","")&amp;IF(OR($O15=$Q$6,$O15=$Q$9)," ║2","")&amp;IF(OR($O15=$Q$7,$O15=$Q$10)," ║3","")&amp;IF(OR($O15=$Q$11,$O15=$Q$14)," ▣1","")&amp;IF(OR($O15=$Q$12,$O15=$Q$15)," ▣2","")&amp;IF(OR($O15=$Q$13,$O15=$Q$16)," ▣3","")&amp;IF(OR(AND($O15=$Q$17,$Q$25=1),AND($O15=$Q$18,$Q$26=1),AND($O15=$Q$19,$Q$27=1),AND($O15=$Q$20,$Q$28=1),AND($O15=$Q$21,$Q$29=1),AND($O15=$Q$22,$Q$30=1))," ⚠","")&amp;IF(ABS($O15-$P$2)&lt;=2.5," ◄","")</f>
        <v>7825 ★ ▣3</v>
      </c>
      <c r="C15" s="9" t="str">
        <f t="shared" si="1"/>
        <v>████</v>
      </c>
      <c r="E15" s="23" t="s">
        <v>11</v>
      </c>
      <c r="F15" s="574" t="str">
        <f>IF('King Node Model'!$H$8="","— no charm data in this archive",IFERROR(INDEX(IF('King Node Model'!$H$8="Pos",Matrix!$Q$2:$Q$79,Matrix!$P$2:$P$79),MATCH('King Node Model'!$J$8,Matrix!$A$2:$A$79,0)),"no match"))</f>
        <v>Charm sells, small but active. Mild headwind on the chase — caps rallies, deepens dips slightly. Melt-up still wins. BUY-the-pullback per row. Grind slower than typical melt-up.</v>
      </c>
      <c r="G15" s="574"/>
      <c r="H15" s="574"/>
      <c r="I15" s="574"/>
      <c r="J15" s="574"/>
      <c r="K15" s="574"/>
      <c r="L15" s="574"/>
      <c r="M15" s="574"/>
      <c r="N15" s="574"/>
      <c r="O15" s="1">
        <f>'King Node Model'!A41</f>
        <v>7825</v>
      </c>
      <c r="P15" s="10">
        <f>'King Node Model'!C41</f>
        <v>538591</v>
      </c>
      <c r="Q15" s="1">
        <f>IFERROR(INDEX('King Node Model'!$A$29:$A$75,MATCH(LARGE('King Node Model'!$AV$29:$AV$75,2),'King Node Model'!$AV$29:$AV$75,0)),"-")</f>
        <v>7700</v>
      </c>
      <c r="R15" s="10">
        <f>'King Node Model'!B41</f>
        <v>680164</v>
      </c>
    </row>
    <row r="16" spans="1:18" ht="15" customHeight="1" x14ac:dyDescent="0.25">
      <c r="A16" s="7" t="str">
        <f t="shared" si="0"/>
        <v/>
      </c>
      <c r="B16" s="8" t="str">
        <f>TEXT(IF(ABS($O16-$P$2)&lt;=2.5,$P$2,$O16),"0")&amp;IF($O16=$Q$1," ★","")&amp;IF($O16=$Q$2," ★","")&amp;IF($O16=$Q$3," ◆","")&amp;IF(AND(ISNUMBER($Q$4),$O16=$Q$4)," ⓏⒼ","")&amp;IF(OR($O16='Level Engine'!$CP$4,$O16='Level Engine'!$CP$5,$O16='Level Engine'!$CP$6,$O16='Level Engine'!$CP$7)," ☄","")&amp;IF(OR($O16=$Q$5,$O16=$Q$8)," ║1","")&amp;IF(OR($O16=$Q$6,$O16=$Q$9)," ║2","")&amp;IF(OR($O16=$Q$7,$O16=$Q$10)," ║3","")&amp;IF(OR($O16=$Q$11,$O16=$Q$14)," ▣1","")&amp;IF(OR($O16=$Q$12,$O16=$Q$15)," ▣2","")&amp;IF(OR($O16=$Q$13,$O16=$Q$16)," ▣3","")&amp;IF(OR(AND($O16=$Q$17,$Q$25=1),AND($O16=$Q$18,$Q$26=1),AND($O16=$Q$19,$Q$27=1),AND($O16=$Q$20,$Q$28=1),AND($O16=$Q$21,$Q$29=1),AND($O16=$Q$22,$Q$30=1))," ⚠","")&amp;IF(ABS($O16-$P$2)&lt;=2.5," ◄","")</f>
        <v>7820</v>
      </c>
      <c r="C16" s="9" t="str">
        <f t="shared" si="1"/>
        <v>███</v>
      </c>
      <c r="E16" s="22"/>
      <c r="F16" s="25" t="s">
        <v>14</v>
      </c>
      <c r="G16" s="25" t="s">
        <v>15</v>
      </c>
      <c r="H16" s="25" t="s">
        <v>16</v>
      </c>
      <c r="I16" s="25" t="s">
        <v>17</v>
      </c>
      <c r="J16" s="25" t="s">
        <v>18</v>
      </c>
      <c r="K16" s="25" t="s">
        <v>19</v>
      </c>
      <c r="L16" s="25" t="s">
        <v>20</v>
      </c>
      <c r="M16" s="26" t="s">
        <v>11</v>
      </c>
      <c r="N16" s="12"/>
      <c r="O16" s="1">
        <f>'King Node Model'!A42</f>
        <v>7820</v>
      </c>
      <c r="P16" s="10">
        <f>'King Node Model'!C42</f>
        <v>188525</v>
      </c>
      <c r="Q16" s="1">
        <f>IFERROR(INDEX('King Node Model'!$A$29:$A$75,MATCH(LARGE('King Node Model'!$AV$29:$AV$75,3),'King Node Model'!$AV$29:$AV$75,0)),"-")</f>
        <v>7750</v>
      </c>
      <c r="R16" s="10">
        <f>'King Node Model'!B42</f>
        <v>494366</v>
      </c>
    </row>
    <row r="17" spans="1:28" ht="15" customHeight="1" x14ac:dyDescent="0.25">
      <c r="A17" s="7" t="str">
        <f t="shared" si="0"/>
        <v/>
      </c>
      <c r="B17" s="8" t="str">
        <f>TEXT(IF(ABS($O17-$P$2)&lt;=2.5,$P$2,$O17),"0")&amp;IF($O17=$Q$1," ★","")&amp;IF($O17=$Q$2," ★","")&amp;IF($O17=$Q$3," ◆","")&amp;IF(AND(ISNUMBER($Q$4),$O17=$Q$4)," ⓏⒼ","")&amp;IF(OR($O17='Level Engine'!$CP$4,$O17='Level Engine'!$CP$5,$O17='Level Engine'!$CP$6,$O17='Level Engine'!$CP$7)," ☄","")&amp;IF(OR($O17=$Q$5,$O17=$Q$8)," ║1","")&amp;IF(OR($O17=$Q$6,$O17=$Q$9)," ║2","")&amp;IF(OR($O17=$Q$7,$O17=$Q$10)," ║3","")&amp;IF(OR($O17=$Q$11,$O17=$Q$14)," ▣1","")&amp;IF(OR($O17=$Q$12,$O17=$Q$15)," ▣2","")&amp;IF(OR($O17=$Q$13,$O17=$Q$16)," ▣3","")&amp;IF(OR(AND($O17=$Q$17,$Q$25=1),AND($O17=$Q$18,$Q$26=1),AND($O17=$Q$19,$Q$27=1),AND($O17=$Q$20,$Q$28=1),AND($O17=$Q$21,$Q$29=1),AND($O17=$Q$22,$Q$30=1))," ⚠","")&amp;IF(ABS($O17-$P$2)&lt;=2.5," ◄","")</f>
        <v>7815</v>
      </c>
      <c r="C17" s="9" t="str">
        <f t="shared" si="1"/>
        <v>██</v>
      </c>
      <c r="E17" s="28" t="s">
        <v>21</v>
      </c>
      <c r="F17" s="29" t="str">
        <f>'King Node Model'!A8</f>
        <v>Neg</v>
      </c>
      <c r="G17" s="29" t="str">
        <f>'King Node Model'!B8</f>
        <v>Pos</v>
      </c>
      <c r="H17" s="29" t="str">
        <f>'King Node Model'!C8</f>
        <v>Neg</v>
      </c>
      <c r="I17" s="29" t="str">
        <f>'King Node Model'!D8</f>
        <v>Pos</v>
      </c>
      <c r="J17" s="29" t="str">
        <f>'King Node Model'!E8</f>
        <v>Pos</v>
      </c>
      <c r="K17" s="29" t="str">
        <f>'King Node Model'!F8</f>
        <v>Pos</v>
      </c>
      <c r="L17" s="29" t="str">
        <f>'King Node Model'!G8</f>
        <v>Pos</v>
      </c>
      <c r="M17" s="30" t="str">
        <f>IF('King Node Model'!H8="","—",'King Node Model'!H8)</f>
        <v>Pos</v>
      </c>
      <c r="N17" s="15"/>
      <c r="O17" s="1">
        <f>'King Node Model'!A43</f>
        <v>7815</v>
      </c>
      <c r="P17" s="10">
        <f>'King Node Model'!C43</f>
        <v>248997</v>
      </c>
      <c r="Q17" s="3">
        <f>'King Node Model'!AL42</f>
        <v>7780</v>
      </c>
      <c r="R17" s="10">
        <f>'King Node Model'!B43</f>
        <v>358734</v>
      </c>
      <c r="S17" s="2"/>
      <c r="T17" s="573" t="str">
        <f>'King Node Model'!K26</f>
        <v>Updated 17:39:36</v>
      </c>
      <c r="U17" s="573"/>
      <c r="V17" s="573"/>
      <c r="W17" s="573"/>
    </row>
    <row r="18" spans="1:28" ht="15" customHeight="1" x14ac:dyDescent="0.25">
      <c r="A18" s="7" t="str">
        <f t="shared" si="0"/>
        <v/>
      </c>
      <c r="B18" s="8" t="str">
        <f>TEXT(IF(ABS($O18-$P$2)&lt;=2.5,$P$2,$O18),"0")&amp;IF($O18=$Q$1," ★","")&amp;IF($O18=$Q$2," ★","")&amp;IF($O18=$Q$3," ◆","")&amp;IF(AND(ISNUMBER($Q$4),$O18=$Q$4)," ⓏⒼ","")&amp;IF(OR($O18='Level Engine'!$CP$4,$O18='Level Engine'!$CP$5,$O18='Level Engine'!$CP$6,$O18='Level Engine'!$CP$7)," ☄","")&amp;IF(OR($O18=$Q$5,$O18=$Q$8)," ║1","")&amp;IF(OR($O18=$Q$6,$O18=$Q$9)," ║2","")&amp;IF(OR($O18=$Q$7,$O18=$Q$10)," ║3","")&amp;IF(OR($O18=$Q$11,$O18=$Q$14)," ▣1","")&amp;IF(OR($O18=$Q$12,$O18=$Q$15)," ▣2","")&amp;IF(OR($O18=$Q$13,$O18=$Q$16)," ▣3","")&amp;IF(OR(AND($O18=$Q$17,$Q$25=1),AND($O18=$Q$18,$Q$26=1),AND($O18=$Q$19,$Q$27=1),AND($O18=$Q$20,$Q$28=1),AND($O18=$Q$21,$Q$29=1),AND($O18=$Q$22,$Q$30=1))," ⚠","")&amp;IF(ABS($O18-$P$2)&lt;=2.5," ◄","")</f>
        <v>7810 ║3</v>
      </c>
      <c r="C18" s="9" t="str">
        <f t="shared" si="1"/>
        <v>████</v>
      </c>
      <c r="D18" s="12"/>
      <c r="E18" s="18" t="s">
        <v>22</v>
      </c>
      <c r="F18" s="19"/>
      <c r="G18" s="19"/>
      <c r="H18" s="19"/>
      <c r="I18" s="19"/>
      <c r="J18" s="19"/>
      <c r="K18" s="19"/>
      <c r="L18" s="19"/>
      <c r="M18" s="19"/>
      <c r="N18" s="34"/>
      <c r="O18" s="1">
        <f>'King Node Model'!A44</f>
        <v>7810</v>
      </c>
      <c r="P18" s="10">
        <f>'King Node Model'!C44</f>
        <v>353277</v>
      </c>
      <c r="Q18" s="32">
        <f>'King Node Model'!AL43</f>
        <v>7805</v>
      </c>
      <c r="R18" s="10">
        <f>'King Node Model'!B44</f>
        <v>756012</v>
      </c>
      <c r="T18" s="557" t="s">
        <v>23</v>
      </c>
      <c r="U18" s="557"/>
      <c r="V18" s="557"/>
      <c r="W18" s="557"/>
    </row>
    <row r="19" spans="1:28" ht="15.75" customHeight="1" x14ac:dyDescent="0.25">
      <c r="A19" s="7" t="str">
        <f t="shared" si="0"/>
        <v/>
      </c>
      <c r="B19" s="8" t="str">
        <f>TEXT(IF(ABS($O19-$P$2)&lt;=2.5,$P$2,$O19),"0")&amp;IF($O19=$Q$1," ★","")&amp;IF($O19=$Q$2," ★","")&amp;IF($O19=$Q$3," ◆","")&amp;IF(AND(ISNUMBER($Q$4),$O19=$Q$4)," ⓏⒼ","")&amp;IF(OR($O19='Level Engine'!$CP$4,$O19='Level Engine'!$CP$5,$O19='Level Engine'!$CP$6,$O19='Level Engine'!$CP$7)," ☄","")&amp;IF(OR($O19=$Q$5,$O19=$Q$8)," ║1","")&amp;IF(OR($O19=$Q$6,$O19=$Q$9)," ║2","")&amp;IF(OR($O19=$Q$7,$O19=$Q$10)," ║3","")&amp;IF(OR($O19=$Q$11,$O19=$Q$14)," ▣1","")&amp;IF(OR($O19=$Q$12,$O19=$Q$15)," ▣2","")&amp;IF(OR($O19=$Q$13,$O19=$Q$16)," ▣3","")&amp;IF(OR(AND($O19=$Q$17,$Q$25=1),AND($O19=$Q$18,$Q$26=1),AND($O19=$Q$19,$Q$27=1),AND($O19=$Q$20,$Q$28=1),AND($O19=$Q$21,$Q$29=1),AND($O19=$Q$22,$Q$30=1))," ⚠","")&amp;IF(ABS($O19-$P$2)&lt;=2.5," ◄","")</f>
        <v>7805 ⓏⒼ ║2 ⚠</v>
      </c>
      <c r="C19" s="9" t="str">
        <f t="shared" si="1"/>
        <v>█████</v>
      </c>
      <c r="D19" s="12"/>
      <c r="E19" s="627" t="str">
        <f>"NET GEX   "&amp;TEXT(SUM('King Node Model'!C29:C75),"+#,##0;-#,##0")</f>
        <v>NET GEX   -10,899,872</v>
      </c>
      <c r="F19" s="627"/>
      <c r="G19" s="627"/>
      <c r="H19" s="627"/>
      <c r="N19" s="12"/>
      <c r="O19" s="1">
        <f>'King Node Model'!A45</f>
        <v>7805</v>
      </c>
      <c r="P19" s="10">
        <f>'King Node Model'!C45</f>
        <v>308525</v>
      </c>
      <c r="Q19" s="1">
        <f>'King Node Model'!AL44</f>
        <v>7800</v>
      </c>
      <c r="R19" s="10">
        <f>'King Node Model'!B45</f>
        <v>874234</v>
      </c>
      <c r="T19" s="577" t="s">
        <v>24</v>
      </c>
      <c r="U19" s="577"/>
      <c r="V19" s="580">
        <f>IF(ISNUMBER('Technical Analysis'!$J$5),'Technical Analysis'!$J$5,"")</f>
        <v>7827</v>
      </c>
      <c r="W19" s="580"/>
    </row>
    <row r="20" spans="1:28" ht="15" customHeight="1" x14ac:dyDescent="0.25">
      <c r="A20" s="7" t="str">
        <f t="shared" si="0"/>
        <v>██████████████████████</v>
      </c>
      <c r="B20" s="8" t="str">
        <f>TEXT(IF(ABS($O20-$P$2)&lt;=2.5,$P$2,$O20),"0")&amp;IF($O20=$Q$1," ★","")&amp;IF($O20=$Q$2," ★","")&amp;IF($O20=$Q$3," ◆","")&amp;IF(AND(ISNUMBER($Q$4),$O20=$Q$4)," ⓏⒼ","")&amp;IF(OR($O20='Level Engine'!$CP$4,$O20='Level Engine'!$CP$5,$O20='Level Engine'!$CP$6,$O20='Level Engine'!$CP$7)," ☄","")&amp;IF(OR($O20=$Q$5,$O20=$Q$8)," ║1","")&amp;IF(OR($O20=$Q$6,$O20=$Q$9)," ║2","")&amp;IF(OR($O20=$Q$7,$O20=$Q$10)," ║3","")&amp;IF(OR($O20=$Q$11,$O20=$Q$14)," ▣1","")&amp;IF(OR($O20=$Q$12,$O20=$Q$15)," ▣2","")&amp;IF(OR($O20=$Q$13,$O20=$Q$16)," ▣3","")&amp;IF(OR(AND($O20=$Q$17,$Q$25=1),AND($O20=$Q$18,$Q$26=1),AND($O20=$Q$19,$Q$27=1),AND($O20=$Q$20,$Q$28=1),AND($O20=$Q$21,$Q$29=1),AND($O20=$Q$22,$Q$30=1))," ⚠","")&amp;IF(ABS($O20-$P$2)&lt;=2.5," ◄","")</f>
        <v>7800 ⚠</v>
      </c>
      <c r="C20" s="9" t="str">
        <f t="shared" si="1"/>
        <v/>
      </c>
      <c r="D20" s="12"/>
      <c r="E20" s="21"/>
      <c r="N20" s="12"/>
      <c r="O20" s="1">
        <f>'King Node Model'!A46</f>
        <v>7800</v>
      </c>
      <c r="P20" s="10">
        <f>'King Node Model'!C46</f>
        <v>-80182</v>
      </c>
      <c r="Q20" s="32">
        <f>'King Node Model'!AL49</f>
        <v>7775</v>
      </c>
      <c r="R20" s="10">
        <f>'King Node Model'!B46</f>
        <v>3752257</v>
      </c>
      <c r="T20" s="577" t="s">
        <v>25</v>
      </c>
      <c r="U20" s="577"/>
      <c r="V20" s="578">
        <f>'King Node Model'!B4</f>
        <v>7775.39</v>
      </c>
      <c r="W20" s="578"/>
    </row>
    <row r="21" spans="1:28" ht="33.75" customHeight="1" x14ac:dyDescent="0.25">
      <c r="A21" s="7" t="str">
        <f t="shared" si="0"/>
        <v/>
      </c>
      <c r="B21" s="8" t="str">
        <f>TEXT(IF(ABS($O21-$P$2)&lt;=2.5,$P$2,$O21),"0")&amp;IF($O21=$Q$1," ★","")&amp;IF($O21=$Q$2," ★","")&amp;IF($O21=$Q$3," ◆","")&amp;IF(AND(ISNUMBER($Q$4),$O21=$Q$4)," ⓏⒼ","")&amp;IF(OR($O21='Level Engine'!$CP$4,$O21='Level Engine'!$CP$5,$O21='Level Engine'!$CP$6,$O21='Level Engine'!$CP$7)," ☄","")&amp;IF(OR($O21=$Q$5,$O21=$Q$8)," ║1","")&amp;IF(OR($O21=$Q$6,$O21=$Q$9)," ║2","")&amp;IF(OR($O21=$Q$7,$O21=$Q$10)," ║3","")&amp;IF(OR($O21=$Q$11,$O21=$Q$14)," ▣1","")&amp;IF(OR($O21=$Q$12,$O21=$Q$15)," ▣2","")&amp;IF(OR($O21=$Q$13,$O21=$Q$16)," ▣3","")&amp;IF(OR(AND($O21=$Q$17,$Q$25=1),AND($O21=$Q$18,$Q$26=1),AND($O21=$Q$19,$Q$27=1),AND($O21=$Q$20,$Q$28=1),AND($O21=$Q$21,$Q$29=1),AND($O21=$Q$22,$Q$30=1))," ⚠","")&amp;IF(ABS($O21-$P$2)&lt;=2.5," ◄","")</f>
        <v>7795 ║1</v>
      </c>
      <c r="C21" s="9" t="str">
        <f t="shared" si="1"/>
        <v>████████</v>
      </c>
      <c r="D21" s="12"/>
      <c r="E21" s="628" t="str">
        <f>IF(AND(ISNUMBER('King Node Model'!$T$22),ISNUMBER('King Node Model'!$B$4)),"★ MAX GEX   "&amp;TEXT('King Node Model'!$T$22,"0")&amp;CHAR(10)&amp;TEXT(MAX('King Node Model'!C29:C75),"+#,##0")&amp;" · "&amp;TEXT('King Node Model'!$T$22-'King Node Model'!$B$4,"+0;-0")&amp;" pts","★ MAX GEX   —"&amp;CHAR(10)&amp;"no data")</f>
        <v>★ MAX GEX   7825
+538,591 · +50 pts</v>
      </c>
      <c r="F21" s="628"/>
      <c r="G21" s="629" t="str">
        <f>IF(AND(ISNUMBER('King Node Model'!$T$23),ISNUMBER('King Node Model'!$B$4)),"★ MIN GEX   "&amp;TEXT('King Node Model'!$T$23,"0")&amp;CHAR(10)&amp;TEXT(MIN('King Node Model'!C29:C75),"+#,##0;-#,##0")&amp;" · "&amp;TEXT('King Node Model'!$T$23-'King Node Model'!$B$4,"+0;-0")&amp;" pts","★ MIN GEX   —"&amp;CHAR(10)&amp;"no data")</f>
        <v>★ MIN GEX   7770
-3,137,174 · -5 pts</v>
      </c>
      <c r="H21" s="629"/>
      <c r="I21" s="630" t="str">
        <f>IF(AND(ISNUMBER('King Node Model'!$D$26),ISNUMBER('King Node Model'!$B$4)),"FLIP   "&amp;TEXT('King Node Model'!$D$26,"0")&amp;CHAR(10)&amp;TEXT('King Node Model'!$D$26-'King Node Model'!$B$4,"+0;-0")&amp;" pts","FLIP   —"&amp;CHAR(10)&amp;"no flip in range")</f>
        <v>FLIP   7805
+30 pts</v>
      </c>
      <c r="J21" s="630"/>
      <c r="K21" s="629" t="str">
        <f>IF(AND(ISNUMBER('King Node Model'!$F$24),ISNUMBER('King Node Model'!$B$4)),"MIN VEX   "&amp;TEXT('King Node Model'!$F$24,"0")&amp;CHAR(10)&amp;TEXT(MIN('King Node Model'!F29:F75),"+#,##0;-#,##0")&amp;" · "&amp;TEXT('King Node Model'!$F$24-'King Node Model'!$B$4,"+0;-0")&amp;" pts","MIN VEX   —"&amp;CHAR(10)&amp;"no data")</f>
        <v>MIN VEX   7780
-699,070 · +5 pts</v>
      </c>
      <c r="L21" s="629"/>
      <c r="M21" s="631" t="str">
        <f>IF(AND(ISNUMBER('King Node Model'!$B$23),ISNUMBER('King Node Model'!$B$4)),"◆ MAX GAMMA   "&amp;TEXT('King Node Model'!$B$23,"0")&amp;CHAR(10)&amp;TEXT(MAX('King Node Model'!B29:B75),"#,##0")&amp;" · "&amp;TEXT('King Node Model'!$B$23-'King Node Model'!$B$4,"+0;-0")&amp;" pts","◆ MAX GAMMA   —"&amp;CHAR(10)&amp;"no data")</f>
        <v>◆ MAX GAMMA   7770
4,471,438 · -5 pts</v>
      </c>
      <c r="N21" s="631"/>
      <c r="O21" s="1">
        <f>'King Node Model'!A47</f>
        <v>7795</v>
      </c>
      <c r="P21" s="10">
        <f>'King Node Model'!C47</f>
        <v>46251</v>
      </c>
      <c r="Q21" s="1">
        <f>'King Node Model'!AL50</f>
        <v>7770</v>
      </c>
      <c r="R21" s="10">
        <f>'King Node Model'!B47</f>
        <v>1459310</v>
      </c>
      <c r="T21" s="577" t="s">
        <v>26</v>
      </c>
      <c r="U21" s="577"/>
      <c r="V21" s="579">
        <f>IF($V$19="","",$V$19-'King Node Model'!$B$4)</f>
        <v>51.609999999999673</v>
      </c>
      <c r="W21" s="579"/>
    </row>
    <row r="22" spans="1:28" ht="15" customHeight="1" x14ac:dyDescent="0.25">
      <c r="A22" s="7" t="str">
        <f t="shared" si="0"/>
        <v>████████████</v>
      </c>
      <c r="B22" s="8" t="str">
        <f>TEXT(IF(ABS($O22-$P$2)&lt;=2.5,$P$2,$O22),"0")&amp;IF($O22=$Q$1," ★","")&amp;IF($O22=$Q$2," ★","")&amp;IF($O22=$Q$3," ◆","")&amp;IF(AND(ISNUMBER($Q$4),$O22=$Q$4)," ⓏⒼ","")&amp;IF(OR($O22='Level Engine'!$CP$4,$O22='Level Engine'!$CP$5,$O22='Level Engine'!$CP$6,$O22='Level Engine'!$CP$7)," ☄","")&amp;IF(OR($O22=$Q$5,$O22=$Q$8)," ║1","")&amp;IF(OR($O22=$Q$6,$O22=$Q$9)," ║2","")&amp;IF(OR($O22=$Q$7,$O22=$Q$10)," ║3","")&amp;IF(OR($O22=$Q$11,$O22=$Q$14)," ▣1","")&amp;IF(OR($O22=$Q$12,$O22=$Q$15)," ▣2","")&amp;IF(OR($O22=$Q$13,$O22=$Q$16)," ▣3","")&amp;IF(OR(AND($O22=$Q$17,$Q$25=1),AND($O22=$Q$18,$Q$26=1),AND($O22=$Q$19,$Q$27=1),AND($O22=$Q$20,$Q$28=1),AND($O22=$Q$21,$Q$29=1),AND($O22=$Q$22,$Q$30=1))," ⚠","")&amp;IF(ABS($O22-$P$2)&lt;=2.5," ◄","")</f>
        <v>7790</v>
      </c>
      <c r="C22" s="9" t="str">
        <f t="shared" si="1"/>
        <v/>
      </c>
      <c r="D22" s="12"/>
      <c r="E22" s="135"/>
      <c r="F22" s="13"/>
      <c r="G22" s="13"/>
      <c r="H22" s="13"/>
      <c r="I22" s="13"/>
      <c r="J22" s="13"/>
      <c r="K22" s="13"/>
      <c r="L22" s="13"/>
      <c r="M22" s="13"/>
      <c r="N22" s="15"/>
      <c r="O22" s="1">
        <f>'King Node Model'!A48</f>
        <v>7790</v>
      </c>
      <c r="P22" s="10">
        <f>'King Node Model'!C48</f>
        <v>-302758</v>
      </c>
      <c r="Q22" s="1" t="str">
        <f>'King Node Model'!AL51</f>
        <v/>
      </c>
      <c r="R22" s="10">
        <f>'King Node Model'!B48</f>
        <v>1987754</v>
      </c>
      <c r="T22" s="577" t="s">
        <v>27</v>
      </c>
      <c r="U22" s="577"/>
      <c r="V22" s="580"/>
      <c r="W22" s="580"/>
    </row>
    <row r="23" spans="1:28" ht="15.75" customHeight="1" x14ac:dyDescent="0.25">
      <c r="A23" s="7" t="str">
        <f t="shared" si="0"/>
        <v>█████████</v>
      </c>
      <c r="B23" s="8" t="str">
        <f>TEXT(IF(ABS($O23-$P$2)&lt;=2.5,$P$2,$O23),"0")&amp;IF($O23=$Q$1," ★","")&amp;IF($O23=$Q$2," ★","")&amp;IF($O23=$Q$3," ◆","")&amp;IF(AND(ISNUMBER($Q$4),$O23=$Q$4)," ⓏⒼ","")&amp;IF(OR($O23='Level Engine'!$CP$4,$O23='Level Engine'!$CP$5,$O23='Level Engine'!$CP$6,$O23='Level Engine'!$CP$7)," ☄","")&amp;IF(OR($O23=$Q$5,$O23=$Q$8)," ║1","")&amp;IF(OR($O23=$Q$6,$O23=$Q$9)," ║2","")&amp;IF(OR($O23=$Q$7,$O23=$Q$10)," ║3","")&amp;IF(OR($O23=$Q$11,$O23=$Q$14)," ▣1","")&amp;IF(OR($O23=$Q$12,$O23=$Q$15)," ▣2","")&amp;IF(OR($O23=$Q$13,$O23=$Q$16)," ▣3","")&amp;IF(OR(AND($O23=$Q$17,$Q$25=1),AND($O23=$Q$18,$Q$26=1),AND($O23=$Q$19,$Q$27=1),AND($O23=$Q$20,$Q$28=1),AND($O23=$Q$21,$Q$29=1),AND($O23=$Q$22,$Q$30=1))," ⚠","")&amp;IF(ABS($O23-$P$2)&lt;=2.5," ◄","")</f>
        <v>7785</v>
      </c>
      <c r="C23" s="9" t="str">
        <f t="shared" si="1"/>
        <v/>
      </c>
      <c r="D23" s="12"/>
      <c r="E23" s="18" t="s">
        <v>28</v>
      </c>
      <c r="F23" s="19"/>
      <c r="G23" s="19"/>
      <c r="H23" s="19"/>
      <c r="I23" s="19"/>
      <c r="J23" s="19"/>
      <c r="K23" s="19"/>
      <c r="L23" s="19"/>
      <c r="M23" s="19"/>
      <c r="N23" s="34"/>
      <c r="O23" s="1">
        <f>'King Node Model'!A49</f>
        <v>7785</v>
      </c>
      <c r="P23" s="10">
        <f>'King Node Model'!C49</f>
        <v>-60487</v>
      </c>
      <c r="Q23" s="3">
        <f>'King Node Model'!F24</f>
        <v>7780</v>
      </c>
      <c r="R23" s="10">
        <f>'King Node Model'!B49</f>
        <v>1617739</v>
      </c>
      <c r="T23" s="632" t="s">
        <v>29</v>
      </c>
      <c r="U23" s="632"/>
      <c r="V23" s="633" t="str">
        <f>IF(OR($V$19="",$V$22=""),"",MROUND($V$22+$V$19-'King Node Model'!$B$4,0.25))</f>
        <v/>
      </c>
      <c r="W23" s="633"/>
    </row>
    <row r="24" spans="1:28" ht="15" customHeight="1" x14ac:dyDescent="0.25">
      <c r="A24" s="7" t="str">
        <f t="shared" si="0"/>
        <v>███████████████████████</v>
      </c>
      <c r="B24" s="8" t="str">
        <f>TEXT(IF(ABS($O24-$P$2)&lt;=2.5,$P$2,$O24),"0")&amp;IF($O24=$Q$1," ★","")&amp;IF($O24=$Q$2," ★","")&amp;IF($O24=$Q$3," ◆","")&amp;IF(AND(ISNUMBER($Q$4),$O24=$Q$4)," ⓏⒼ","")&amp;IF(OR($O24='Level Engine'!$CP$4,$O24='Level Engine'!$CP$5,$O24='Level Engine'!$CP$6,$O24='Level Engine'!$CP$7)," ☄","")&amp;IF(OR($O24=$Q$5,$O24=$Q$8)," ║1","")&amp;IF(OR($O24=$Q$6,$O24=$Q$9)," ║2","")&amp;IF(OR($O24=$Q$7,$O24=$Q$10)," ║3","")&amp;IF(OR($O24=$Q$11,$O24=$Q$14)," ▣1","")&amp;IF(OR($O24=$Q$12,$O24=$Q$15)," ▣2","")&amp;IF(OR($O24=$Q$13,$O24=$Q$16)," ▣3","")&amp;IF(OR(AND($O24=$Q$17,$Q$25=1),AND($O24=$Q$18,$Q$26=1),AND($O24=$Q$19,$Q$27=1),AND($O24=$Q$20,$Q$28=1),AND($O24=$Q$21,$Q$29=1),AND($O24=$Q$22,$Q$30=1))," ⚠","")&amp;IF(ABS($O24-$P$2)&lt;=2.5," ◄","")</f>
        <v>7780 ║3 ⚠</v>
      </c>
      <c r="C24" s="9" t="str">
        <f t="shared" si="1"/>
        <v/>
      </c>
      <c r="D24" s="12"/>
      <c r="E24" s="21"/>
      <c r="N24" s="12"/>
      <c r="O24" s="1">
        <f>'King Node Model'!A50</f>
        <v>7780</v>
      </c>
      <c r="P24" s="10">
        <f>'King Node Model'!C50</f>
        <v>-2299593</v>
      </c>
      <c r="R24" s="10">
        <f>'King Node Model'!B50</f>
        <v>4038999</v>
      </c>
      <c r="T24" s="634" t="s">
        <v>30</v>
      </c>
      <c r="U24" s="634"/>
      <c r="V24" s="634"/>
      <c r="W24" s="634"/>
    </row>
    <row r="25" spans="1:28" ht="17.25" customHeight="1" x14ac:dyDescent="0.25">
      <c r="A25" s="7" t="str">
        <f t="shared" si="0"/>
        <v>████████████████████████</v>
      </c>
      <c r="B25" s="8" t="str">
        <f>TEXT(IF(ABS($O25-$P$2)&lt;=2.5,$P$2,$O25),"0")&amp;IF($O25=$Q$1," ★","")&amp;IF($O25=$Q$2," ★","")&amp;IF($O25=$Q$3," ◆","")&amp;IF(AND(ISNUMBER($Q$4),$O25=$Q$4)," ⓏⒼ","")&amp;IF(OR($O25='Level Engine'!$CP$4,$O25='Level Engine'!$CP$5,$O25='Level Engine'!$CP$6,$O25='Level Engine'!$CP$7)," ☄","")&amp;IF(OR($O25=$Q$5,$O25=$Q$8)," ║1","")&amp;IF(OR($O25=$Q$6,$O25=$Q$9)," ║2","")&amp;IF(OR($O25=$Q$7,$O25=$Q$10)," ║3","")&amp;IF(OR($O25=$Q$11,$O25=$Q$14)," ▣1","")&amp;IF(OR($O25=$Q$12,$O25=$Q$15)," ▣2","")&amp;IF(OR($O25=$Q$13,$O25=$Q$16)," ▣3","")&amp;IF(OR(AND($O25=$Q$17,$Q$25=1),AND($O25=$Q$18,$Q$26=1),AND($O25=$Q$19,$Q$27=1),AND($O25=$Q$20,$Q$28=1),AND($O25=$Q$21,$Q$29=1),AND($O25=$Q$22,$Q$30=1))," ⚠","")&amp;IF(ABS($O25-$P$2)&lt;=2.5," ◄","")</f>
        <v>7775 ║2 ◄</v>
      </c>
      <c r="C25" s="9" t="str">
        <f t="shared" si="1"/>
        <v/>
      </c>
      <c r="D25" s="12"/>
      <c r="E25" s="635" t="str">
        <f>IF('King Node Model'!$B$4="","",IF(ISNUMBER(SEARCH("Choppy",'King Node Model'!$S$38)),IF(AND(ISNUMBER('King Node Model'!$AL$49),ISNUMBER('King Node Model'!$AL$42),'King Node Model'!$AL$49&lt;&gt;'King Node Model'!$AL$42),"CHOP — Range "&amp;TEXT('King Node Model'!$AL$49,"0")&amp;"–"&amp;TEXT('King Node Model'!$AL$42,"0")&amp;". Scalp edges: long "&amp;TEXT('King Node Model'!$AL$49,"0")&amp;" / short "&amp;TEXT('King Node Model'!$AL$42,"0")&amp;"; node "&amp;TEXT('King Node Model'!$B$23,"0")&amp;" pins, expect whip","CHOP — Pinned to node "&amp;TEXT('King Node Model'!$B$23,"0")&amp;". Scalp around it, expect whip; wait for a clean edge"),IF(OR('King Node Model'!$A$8="Neg",N('Level Engine'!$BG$72)=1),IF(AND(ISNUMBER('King Node Model'!$D$26),'King Node Model'!$B$4&lt;'King Node Model'!$D$26),"TREND down — sell rallies into "&amp;IF(ISNUMBER('King Node Model'!$AL$42),TEXT('King Node Model'!$AL$42,"0")&amp;IF('King Node Model'!$AL$42='King Node Model'!$B$23," (node)",""),"flip "&amp;TEXT('King Node Model'!$D$26,"0"))&amp;", target "&amp;IF(ISNUMBER('King Node Model'!$AL$49),TEXT('King Node Model'!$AL$49,"0")&amp;IF(AND(ISNUMBER('King Node Model'!$AL$50),'King Node Model'!$AL$50&lt;&gt;'King Node Model'!$AL$49)," → "&amp;TEXT('King Node Model'!$AL$50,"0"),""),"open below — ride the trend"),"TREND up — buy dips to "&amp;IF(ISNUMBER('King Node Model'!$AL$49),TEXT('King Node Model'!$AL$49,"0")&amp;IF('King Node Model'!$AL$49='King Node Model'!$B$23," (node)",""),"flip "&amp;TEXT('King Node Model'!$D$26,"0"))&amp;", target "&amp;IF(ISNUMBER('King Node Model'!$AL$42),TEXT('King Node Model'!$AL$42,"0")&amp;IF(AND(ISNUMBER('King Node Model'!$AL$43),'King Node Model'!$AL$43&lt;&gt;'King Node Model'!$AL$42)," → "&amp;TEXT('King Node Model'!$AL$43,"0"),""),"open above — ride the trend")),IF(AND(ISNUMBER('King Node Model'!$B$23),ISNUMBER('King Node Model'!$T$28),IFERROR(ABS('King Node Model'!$B$23-'King Node Model'!$T$28)&lt;=30,FALSE())),"PIN — mean-revert to "&amp;TEXT('King Node Model'!$B$23,"0")&amp;" node.   LONG "&amp;TEXT('King Node Model'!$T$28,"0")&amp;" → "&amp;TEXT('King Node Model'!$B$23,"0")&amp;"   ·   SHORT "&amp;TEXT('King Node Model'!$B$23,"0")&amp;" → Range","PIN — node "&amp;TEXT('King Node Model'!$B$23,"0")&amp;"; no near put wall within 30 pts, trade the node, wait for an edge"))))</f>
        <v>TREND down — sell rallies into 7780, target 7775 → 7770</v>
      </c>
      <c r="F25" s="635"/>
      <c r="G25" s="635"/>
      <c r="H25" s="635"/>
      <c r="I25" s="635"/>
      <c r="J25" s="635"/>
      <c r="K25" s="635"/>
      <c r="L25" s="635"/>
      <c r="M25" s="635"/>
      <c r="N25" s="136"/>
      <c r="O25" s="1">
        <f>'King Node Model'!A51</f>
        <v>7775</v>
      </c>
      <c r="P25" s="10">
        <f>'King Node Model'!C51</f>
        <v>-49207</v>
      </c>
      <c r="Q25" s="1">
        <f>IF('Master Dashboard'!$AP$45="RASP",1,0)</f>
        <v>1</v>
      </c>
      <c r="R25" s="10">
        <f>'King Node Model'!B51</f>
        <v>4056043</v>
      </c>
    </row>
    <row r="26" spans="1:28" ht="15" customHeight="1" x14ac:dyDescent="0.25">
      <c r="A26" s="7" t="str">
        <f t="shared" si="0"/>
        <v>██████████████████████████</v>
      </c>
      <c r="B26" s="8" t="str">
        <f>TEXT(IF(ABS($O26-$P$2)&lt;=2.5,$P$2,$O26),"0")&amp;IF($O26=$Q$1," ★","")&amp;IF($O26=$Q$2," ★","")&amp;IF($O26=$Q$3," ◆","")&amp;IF(AND(ISNUMBER($Q$4),$O26=$Q$4)," ⓏⒼ","")&amp;IF(OR($O26='Level Engine'!$CP$4,$O26='Level Engine'!$CP$5,$O26='Level Engine'!$CP$6,$O26='Level Engine'!$CP$7)," ☄","")&amp;IF(OR($O26=$Q$5,$O26=$Q$8)," ║1","")&amp;IF(OR($O26=$Q$6,$O26=$Q$9)," ║2","")&amp;IF(OR($O26=$Q$7,$O26=$Q$10)," ║3","")&amp;IF(OR($O26=$Q$11,$O26=$Q$14)," ▣1","")&amp;IF(OR($O26=$Q$12,$O26=$Q$15)," ▣2","")&amp;IF(OR($O26=$Q$13,$O26=$Q$16)," ▣3","")&amp;IF(OR(AND($O26=$Q$17,$Q$25=1),AND($O26=$Q$18,$Q$26=1),AND($O26=$Q$19,$Q$27=1),AND($O26=$Q$20,$Q$28=1),AND($O26=$Q$21,$Q$29=1),AND($O26=$Q$22,$Q$30=1))," ⚠","")&amp;IF(ABS($O26-$P$2)&lt;=2.5," ◄","")</f>
        <v>7770 ★ ◆ ║1</v>
      </c>
      <c r="C26" s="9" t="str">
        <f t="shared" si="1"/>
        <v/>
      </c>
      <c r="D26" s="12"/>
      <c r="E26" s="35" t="str">
        <f>IF(COUNTIF($M$31:$M$33,"*SHORT*")+COUNTIF($M$36:$M$38,"*LONG*")&gt;0,"Vomma trigger","")</f>
        <v/>
      </c>
      <c r="F26" s="612" t="str">
        <f>IF(COUNTIF($M$31:$M$33,"*SHORT*")+COUNTIF($M$36:$M$38,"*LONG*")&gt;0,'GEX Depth'!$C$54,"")</f>
        <v/>
      </c>
      <c r="G26" s="612"/>
      <c r="H26" s="612"/>
      <c r="I26" s="612"/>
      <c r="J26" s="612"/>
      <c r="K26" s="612"/>
      <c r="L26" s="612"/>
      <c r="M26" s="612"/>
      <c r="N26" s="612"/>
      <c r="O26" s="1">
        <f>'King Node Model'!A52</f>
        <v>7770</v>
      </c>
      <c r="P26" s="10">
        <f>'King Node Model'!C52</f>
        <v>-3137174</v>
      </c>
      <c r="Q26" s="1">
        <f>IF('Master Dashboard'!$AP$46="RASP",1,0)</f>
        <v>1</v>
      </c>
      <c r="R26" s="10">
        <f>'King Node Model'!B52</f>
        <v>4471438</v>
      </c>
    </row>
    <row r="27" spans="1:28" ht="15" customHeight="1" x14ac:dyDescent="0.25">
      <c r="A27" s="7" t="str">
        <f t="shared" si="0"/>
        <v>███████████</v>
      </c>
      <c r="B27" s="8" t="str">
        <f>TEXT(IF(ABS($O27-$P$2)&lt;=2.5,$P$2,$O27),"0")&amp;IF($O27=$Q$1," ★","")&amp;IF($O27=$Q$2," ★","")&amp;IF($O27=$Q$3," ◆","")&amp;IF(AND(ISNUMBER($Q$4),$O27=$Q$4)," ⓏⒼ","")&amp;IF(OR($O27='Level Engine'!$CP$4,$O27='Level Engine'!$CP$5,$O27='Level Engine'!$CP$6,$O27='Level Engine'!$CP$7)," ☄","")&amp;IF(OR($O27=$Q$5,$O27=$Q$8)," ║1","")&amp;IF(OR($O27=$Q$6,$O27=$Q$9)," ║2","")&amp;IF(OR($O27=$Q$7,$O27=$Q$10)," ║3","")&amp;IF(OR($O27=$Q$11,$O27=$Q$14)," ▣1","")&amp;IF(OR($O27=$Q$12,$O27=$Q$15)," ▣2","")&amp;IF(OR($O27=$Q$13,$O27=$Q$16)," ▣3","")&amp;IF(OR(AND($O27=$Q$17,$Q$25=1),AND($O27=$Q$18,$Q$26=1),AND($O27=$Q$19,$Q$27=1),AND($O27=$Q$20,$Q$28=1),AND($O27=$Q$21,$Q$29=1),AND($O27=$Q$22,$Q$30=1))," ⚠","")&amp;IF(ABS($O27-$P$2)&lt;=2.5," ◄","")</f>
        <v>7765</v>
      </c>
      <c r="C27" s="9" t="str">
        <f t="shared" si="1"/>
        <v/>
      </c>
      <c r="E27" s="75"/>
      <c r="F27" s="75"/>
      <c r="G27" s="75"/>
      <c r="H27" s="75"/>
      <c r="I27" s="75"/>
      <c r="J27" s="75"/>
      <c r="K27" s="75"/>
      <c r="L27" s="75"/>
      <c r="M27" s="75"/>
      <c r="N27" s="75"/>
      <c r="O27" s="1">
        <f>'King Node Model'!A53</f>
        <v>7765</v>
      </c>
      <c r="P27" s="10">
        <f>'King Node Model'!C53</f>
        <v>-1477513</v>
      </c>
      <c r="Q27" s="1">
        <f>IF('Master Dashboard'!$AP$47="RASP",1,0)</f>
        <v>1</v>
      </c>
      <c r="R27" s="10">
        <f>'King Node Model'!B53</f>
        <v>1894098</v>
      </c>
    </row>
    <row r="28" spans="1:28" ht="15" customHeight="1" x14ac:dyDescent="0.25">
      <c r="A28" s="7" t="str">
        <f t="shared" si="0"/>
        <v>████████████</v>
      </c>
      <c r="B28" s="8" t="str">
        <f>TEXT(IF(ABS($O28-$P$2)&lt;=2.5,$P$2,$O28),"0")&amp;IF($O28=$Q$1," ★","")&amp;IF($O28=$Q$2," ★","")&amp;IF($O28=$Q$3," ◆","")&amp;IF(AND(ISNUMBER($Q$4),$O28=$Q$4)," ⓏⒼ","")&amp;IF(OR($O28='Level Engine'!$CP$4,$O28='Level Engine'!$CP$5,$O28='Level Engine'!$CP$6,$O28='Level Engine'!$CP$7)," ☄","")&amp;IF(OR($O28=$Q$5,$O28=$Q$8)," ║1","")&amp;IF(OR($O28=$Q$6,$O28=$Q$9)," ║2","")&amp;IF(OR($O28=$Q$7,$O28=$Q$10)," ║3","")&amp;IF(OR($O28=$Q$11,$O28=$Q$14)," ▣1","")&amp;IF(OR($O28=$Q$12,$O28=$Q$15)," ▣2","")&amp;IF(OR($O28=$Q$13,$O28=$Q$16)," ▣3","")&amp;IF(OR(AND($O28=$Q$17,$Q$25=1),AND($O28=$Q$18,$Q$26=1),AND($O28=$Q$19,$Q$27=1),AND($O28=$Q$20,$Q$28=1),AND($O28=$Q$21,$Q$29=1),AND($O28=$Q$22,$Q$30=1))," ⚠","")&amp;IF(ABS($O28-$P$2)&lt;=2.5," ◄","")</f>
        <v>7760</v>
      </c>
      <c r="C28" s="9" t="str">
        <f t="shared" si="1"/>
        <v/>
      </c>
      <c r="D28" s="12"/>
      <c r="E28" s="76" t="s">
        <v>31</v>
      </c>
      <c r="L28" s="636" t="str">
        <f>IF(OR(ISNUMBER(SEARCH("Choppy",'King Node Model'!$S$38)),'King Node Model'!$S$52&lt;&gt;""),"⚠ DEX CHOPPY","")</f>
        <v>⚠ DEX CHOPPY</v>
      </c>
      <c r="M28" s="636"/>
      <c r="N28" s="636"/>
      <c r="O28" s="1">
        <f>'King Node Model'!A54</f>
        <v>7760</v>
      </c>
      <c r="P28" s="10">
        <f>'King Node Model'!C54</f>
        <v>-1166250</v>
      </c>
      <c r="Q28" s="1">
        <f>IF('Master Dashboard'!$AP$52="RASP",1,0)</f>
        <v>0</v>
      </c>
      <c r="R28" s="10">
        <f>'King Node Model'!B54</f>
        <v>2069312</v>
      </c>
      <c r="S28" s="39"/>
      <c r="T28" s="40"/>
      <c r="U28" s="40"/>
      <c r="V28" s="40"/>
    </row>
    <row r="29" spans="1:28" ht="15" customHeight="1" x14ac:dyDescent="0.25">
      <c r="A29" s="7" t="str">
        <f t="shared" si="0"/>
        <v>███████</v>
      </c>
      <c r="B29" s="8" t="str">
        <f>TEXT(IF(ABS($O29-$P$2)&lt;=2.5,$P$2,$O29),"0")&amp;IF($O29=$Q$1," ★","")&amp;IF($O29=$Q$2," ★","")&amp;IF($O29=$Q$3," ◆","")&amp;IF(AND(ISNUMBER($Q$4),$O29=$Q$4)," ⓏⒼ","")&amp;IF(OR($O29='Level Engine'!$CP$4,$O29='Level Engine'!$CP$5,$O29='Level Engine'!$CP$6,$O29='Level Engine'!$CP$7)," ☄","")&amp;IF(OR($O29=$Q$5,$O29=$Q$8)," ║1","")&amp;IF(OR($O29=$Q$6,$O29=$Q$9)," ║2","")&amp;IF(OR($O29=$Q$7,$O29=$Q$10)," ║3","")&amp;IF(OR($O29=$Q$11,$O29=$Q$14)," ▣1","")&amp;IF(OR($O29=$Q$12,$O29=$Q$15)," ▣2","")&amp;IF(OR($O29=$Q$13,$O29=$Q$16)," ▣3","")&amp;IF(OR(AND($O29=$Q$17,$Q$25=1),AND($O29=$Q$18,$Q$26=1),AND($O29=$Q$19,$Q$27=1),AND($O29=$Q$20,$Q$28=1),AND($O29=$Q$21,$Q$29=1),AND($O29=$Q$22,$Q$30=1))," ⚠","")&amp;IF(ABS($O29-$P$2)&lt;=2.5," ◄","")</f>
        <v>7755</v>
      </c>
      <c r="C29" s="9" t="str">
        <f t="shared" si="1"/>
        <v/>
      </c>
      <c r="D29" s="12"/>
      <c r="E29" s="637" t="s">
        <v>32</v>
      </c>
      <c r="F29" s="637"/>
      <c r="G29" s="637"/>
      <c r="H29" s="637"/>
      <c r="I29" s="637"/>
      <c r="J29" s="637"/>
      <c r="K29" s="637"/>
      <c r="L29" s="637"/>
      <c r="M29" s="637"/>
      <c r="N29" s="637"/>
      <c r="O29" s="1">
        <f>'King Node Model'!A55</f>
        <v>7755</v>
      </c>
      <c r="P29" s="10">
        <f>'King Node Model'!C55</f>
        <v>-393911</v>
      </c>
      <c r="Q29" s="1">
        <f>IF('Master Dashboard'!$AP$53="RASP",1,0)</f>
        <v>0</v>
      </c>
      <c r="R29" s="10">
        <f>'King Node Model'!B55</f>
        <v>1134998</v>
      </c>
      <c r="S29" s="39"/>
      <c r="T29" s="41"/>
      <c r="U29" s="42"/>
      <c r="V29" s="40"/>
      <c r="W29" s="1"/>
      <c r="X29" s="41"/>
    </row>
    <row r="30" spans="1:28" ht="15" customHeight="1" x14ac:dyDescent="0.25">
      <c r="A30" s="7" t="str">
        <f t="shared" si="0"/>
        <v>███████████████████</v>
      </c>
      <c r="B30" s="8" t="str">
        <f>TEXT(IF(ABS($O30-$P$2)&lt;=2.5,$P$2,$O30),"0")&amp;IF($O30=$Q$1," ★","")&amp;IF($O30=$Q$2," ★","")&amp;IF($O30=$Q$3," ◆","")&amp;IF(AND(ISNUMBER($Q$4),$O30=$Q$4)," ⓏⒼ","")&amp;IF(OR($O30='Level Engine'!$CP$4,$O30='Level Engine'!$CP$5,$O30='Level Engine'!$CP$6,$O30='Level Engine'!$CP$7)," ☄","")&amp;IF(OR($O30=$Q$5,$O30=$Q$8)," ║1","")&amp;IF(OR($O30=$Q$6,$O30=$Q$9)," ║2","")&amp;IF(OR($O30=$Q$7,$O30=$Q$10)," ║3","")&amp;IF(OR($O30=$Q$11,$O30=$Q$14)," ▣1","")&amp;IF(OR($O30=$Q$12,$O30=$Q$15)," ▣2","")&amp;IF(OR($O30=$Q$13,$O30=$Q$16)," ▣3","")&amp;IF(OR(AND($O30=$Q$17,$Q$25=1),AND($O30=$Q$18,$Q$26=1),AND($O30=$Q$19,$Q$27=1),AND($O30=$Q$20,$Q$28=1),AND($O30=$Q$21,$Q$29=1),AND($O30=$Q$22,$Q$30=1))," ⚠","")&amp;IF(ABS($O30-$P$2)&lt;=2.5," ◄","")</f>
        <v>7750 ▣3</v>
      </c>
      <c r="C30" s="9" t="str">
        <f t="shared" si="1"/>
        <v/>
      </c>
      <c r="D30" s="12"/>
      <c r="E30" s="47" t="s">
        <v>33</v>
      </c>
      <c r="F30" s="44" t="s">
        <v>34</v>
      </c>
      <c r="G30" s="44" t="s">
        <v>35</v>
      </c>
      <c r="H30" s="44" t="s">
        <v>36</v>
      </c>
      <c r="I30" s="44" t="s">
        <v>37</v>
      </c>
      <c r="J30" s="44" t="s">
        <v>38</v>
      </c>
      <c r="K30" s="44" t="s">
        <v>42</v>
      </c>
      <c r="L30" s="44" t="s">
        <v>40</v>
      </c>
      <c r="M30" s="137" t="s">
        <v>19</v>
      </c>
      <c r="N30" s="137" t="s">
        <v>41</v>
      </c>
      <c r="O30" s="1">
        <f>'King Node Model'!A56</f>
        <v>7750</v>
      </c>
      <c r="P30" s="10">
        <f>'King Node Model'!C56</f>
        <v>-1614015</v>
      </c>
      <c r="Q30" s="1">
        <f>IF('Master Dashboard'!$AP$54="RASP",1,0)</f>
        <v>0</v>
      </c>
      <c r="R30" s="10">
        <f>'King Node Model'!B56</f>
        <v>3240730</v>
      </c>
      <c r="S30" s="39"/>
      <c r="T30" s="46"/>
      <c r="U30" s="138"/>
      <c r="V30" s="46"/>
      <c r="W30" s="46"/>
      <c r="X30" s="47"/>
      <c r="Y30" s="44"/>
      <c r="Z30" s="44"/>
    </row>
    <row r="31" spans="1:28" ht="39.75" customHeight="1" x14ac:dyDescent="0.25">
      <c r="A31" s="7" t="str">
        <f t="shared" si="0"/>
        <v>███████</v>
      </c>
      <c r="B31" s="8" t="str">
        <f>TEXT(IF(ABS($O31-$P$2)&lt;=2.5,$P$2,$O31),"0")&amp;IF($O31=$Q$1," ★","")&amp;IF($O31=$Q$2," ★","")&amp;IF($O31=$Q$3," ◆","")&amp;IF(AND(ISNUMBER($Q$4),$O31=$Q$4)," ⓏⒼ","")&amp;IF(OR($O31='Level Engine'!$CP$4,$O31='Level Engine'!$CP$5,$O31='Level Engine'!$CP$6,$O31='Level Engine'!$CP$7)," ☄","")&amp;IF(OR($O31=$Q$5,$O31=$Q$8)," ║1","")&amp;IF(OR($O31=$Q$6,$O31=$Q$9)," ║2","")&amp;IF(OR($O31=$Q$7,$O31=$Q$10)," ║3","")&amp;IF(OR($O31=$Q$11,$O31=$Q$14)," ▣1","")&amp;IF(OR($O31=$Q$12,$O31=$Q$15)," ▣2","")&amp;IF(OR($O31=$Q$13,$O31=$Q$16)," ▣3","")&amp;IF(OR(AND($O31=$Q$17,$Q$25=1),AND($O31=$Q$18,$Q$26=1),AND($O31=$Q$19,$Q$27=1),AND($O31=$Q$20,$Q$28=1),AND($O31=$Q$21,$Q$29=1),AND($O31=$Q$22,$Q$30=1))," ⚠","")&amp;IF(ABS($O31-$P$2)&lt;=2.5," ◄","")</f>
        <v>7745</v>
      </c>
      <c r="C31" s="9" t="str">
        <f t="shared" si="1"/>
        <v/>
      </c>
      <c r="D31" s="12"/>
      <c r="E31" s="52" t="str">
        <f>'King Node Model'!S42</f>
        <v>7780 ⟂</v>
      </c>
      <c r="F31" s="53">
        <f>'King Node Model'!T42</f>
        <v>4.6099999999996726</v>
      </c>
      <c r="G31" s="139">
        <f>'King Node Model'!U42</f>
        <v>-2299593</v>
      </c>
      <c r="H31" s="49" t="str">
        <f>'King Node Model'!V42</f>
        <v>Dex Zom Dex↓ Zsh P-OI</v>
      </c>
      <c r="I31" s="140">
        <f>'King Node Model'!W42</f>
        <v>5</v>
      </c>
      <c r="J31" s="49" t="str">
        <f>'King Node Model'!X42</f>
        <v>STRUCT · stable · ACCEL fading · Neg gamma ↓ (firmer resistance)</v>
      </c>
      <c r="K31" s="141" t="str">
        <f>IF($E31="","",IF('King Node Model'!$AK42=1,"▲ ",IF('King Node Model'!$AK42=-1,"▼ ","▬ "))&amp;IF('King Node Model'!$AJ42="","",IF('King Node Model'!$AJ42&lt;0,"FRAGILE ",IF('King Node Model'!$AK42=-1,"WEAKENING ",IF('King Node Model'!$AK42=1,"STRENGTHENING ","STEADY ")))&amp;TEXT('King Node Model'!$AJ42,"0.00")))</f>
        <v>▲ STRENGTHENING 1.00</v>
      </c>
      <c r="L31" s="83" t="str">
        <f>'King Node Model'!Y42</f>
        <v>REVERSAL · Cluster · accelerates ‹nearest›</v>
      </c>
      <c r="M31" s="64" t="str">
        <f>IF('King Node Model'!$AL$42="","",IF(IFERROR(INDEX('Level Engine'!$AX$9:$AX$55,MATCH('King Node Model'!$AL$42,'Level Engine'!$AA$9:$AA$55,0)),0)=1,"VOMMA CAP","—"))</f>
        <v>—</v>
      </c>
      <c r="N31" s="142" t="str">
        <f>IFERROR(IF(AND($M31="VOMMA CAP",ABS($F31)&lt;=10,ISNUMBER(SEARCH("SHORT trigger",'GEX Depth'!$C$54))),"⚡ SHORT",""),"")</f>
        <v/>
      </c>
      <c r="O31" s="143">
        <f>'King Node Model'!A57</f>
        <v>7745</v>
      </c>
      <c r="P31" s="10">
        <f>'King Node Model'!C57</f>
        <v>-1009366</v>
      </c>
      <c r="R31" s="10">
        <f>'King Node Model'!B57</f>
        <v>1233853</v>
      </c>
      <c r="S31" s="39"/>
      <c r="T31" s="1"/>
      <c r="U31" s="1"/>
      <c r="V31" s="1"/>
      <c r="W31" s="1"/>
      <c r="X31" s="52"/>
      <c r="Y31" s="53"/>
      <c r="Z31" s="49"/>
      <c r="AB31" s="1">
        <f>'King Node Model'!AW42</f>
        <v>0</v>
      </c>
    </row>
    <row r="32" spans="1:28" ht="39.75" customHeight="1" x14ac:dyDescent="0.25">
      <c r="A32" s="7" t="str">
        <f t="shared" si="0"/>
        <v>████</v>
      </c>
      <c r="B32" s="8" t="str">
        <f>TEXT(IF(ABS($O32-$P$2)&lt;=2.5,$P$2,$O32),"0")&amp;IF($O32=$Q$1," ★","")&amp;IF($O32=$Q$2," ★","")&amp;IF($O32=$Q$3," ◆","")&amp;IF(AND(ISNUMBER($Q$4),$O32=$Q$4)," ⓏⒼ","")&amp;IF(OR($O32='Level Engine'!$CP$4,$O32='Level Engine'!$CP$5,$O32='Level Engine'!$CP$6,$O32='Level Engine'!$CP$7)," ☄","")&amp;IF(OR($O32=$Q$5,$O32=$Q$8)," ║1","")&amp;IF(OR($O32=$Q$6,$O32=$Q$9)," ║2","")&amp;IF(OR($O32=$Q$7,$O32=$Q$10)," ║3","")&amp;IF(OR($O32=$Q$11,$O32=$Q$14)," ▣1","")&amp;IF(OR($O32=$Q$12,$O32=$Q$15)," ▣2","")&amp;IF(OR($O32=$Q$13,$O32=$Q$16)," ▣3","")&amp;IF(OR(AND($O32=$Q$17,$Q$25=1),AND($O32=$Q$18,$Q$26=1),AND($O32=$Q$19,$Q$27=1),AND($O32=$Q$20,$Q$28=1),AND($O32=$Q$21,$Q$29=1),AND($O32=$Q$22,$Q$30=1))," ⚠","")&amp;IF(ABS($O32-$P$2)&lt;=2.5," ◄","")</f>
        <v>7740</v>
      </c>
      <c r="C32" s="9" t="str">
        <f t="shared" si="1"/>
        <v/>
      </c>
      <c r="D32" s="12"/>
      <c r="E32" s="144" t="str">
        <f>'King Node Model'!S43</f>
        <v>7805</v>
      </c>
      <c r="F32" s="145">
        <f>'King Node Model'!T43</f>
        <v>29.609999999999673</v>
      </c>
      <c r="G32" s="146">
        <f>'King Node Model'!U43</f>
        <v>308525</v>
      </c>
      <c r="H32" s="56" t="str">
        <f>'King Node Model'!V43</f>
        <v>Gxp Gfx oEdge</v>
      </c>
      <c r="I32" s="147">
        <f>'King Node Model'!W43</f>
        <v>3</v>
      </c>
      <c r="J32" s="56" t="str">
        <f>'King Node Model'!X43</f>
        <v>STRUCT · stable</v>
      </c>
      <c r="K32" s="56" t="str">
        <f>IF($E32="","",IF('King Node Model'!$AK43=1,"▲ ",IF('King Node Model'!$AK43=-1,"▼ ","▬ "))&amp;IF('King Node Model'!$AJ43="","",IF('King Node Model'!$AJ43&lt;0,"FRAGILE ",IF('King Node Model'!$AK43=-1,"WEAKENING ",IF('King Node Model'!$AK43=1,"STRENGTHENING ","STEADY ")))&amp;TEXT('King Node Model'!$AJ43,"0.00")))</f>
        <v>▲ STRENGTHENING 1.00</v>
      </c>
      <c r="L32" s="148" t="str">
        <f>'King Node Model'!Y43</f>
        <v>REVERSAL · Cluster</v>
      </c>
      <c r="M32" s="59" t="str">
        <f>IF('King Node Model'!$AL$43="","",IF(IFERROR(INDEX('Level Engine'!$AX$9:$AX$55,MATCH('King Node Model'!$AL$43,'Level Engine'!$AA$9:$AA$55,0)),0)=1,"VOMMA CAP","—"))</f>
        <v>—</v>
      </c>
      <c r="N32" s="149" t="str">
        <f>IFERROR(IF(AND($M32="VOMMA CAP",ABS($F32)&lt;=10,ISNUMBER(SEARCH("SHORT trigger",'GEX Depth'!$C$54))),"⚡ SHORT",""),"")</f>
        <v/>
      </c>
      <c r="O32" s="150">
        <f>'King Node Model'!A58</f>
        <v>7740</v>
      </c>
      <c r="P32" s="10">
        <f>'King Node Model'!C58</f>
        <v>-252679</v>
      </c>
      <c r="R32" s="10">
        <f>'King Node Model'!B58</f>
        <v>619804</v>
      </c>
      <c r="S32" s="39"/>
      <c r="T32" s="1"/>
      <c r="U32" s="1"/>
      <c r="V32" s="1"/>
      <c r="W32" s="1"/>
      <c r="X32" s="52"/>
      <c r="Y32" s="53"/>
      <c r="Z32" s="49"/>
      <c r="AB32" s="1">
        <f>'King Node Model'!AW43</f>
        <v>0</v>
      </c>
    </row>
    <row r="33" spans="1:28" ht="39.75" customHeight="1" x14ac:dyDescent="0.25">
      <c r="A33" s="7" t="str">
        <f t="shared" si="0"/>
        <v>██</v>
      </c>
      <c r="B33" s="8" t="str">
        <f>TEXT(IF(ABS($O33-$P$2)&lt;=2.5,$P$2,$O33),"0")&amp;IF($O33=$Q$1," ★","")&amp;IF($O33=$Q$2," ★","")&amp;IF($O33=$Q$3," ◆","")&amp;IF(AND(ISNUMBER($Q$4),$O33=$Q$4)," ⓏⒼ","")&amp;IF(OR($O33='Level Engine'!$CP$4,$O33='Level Engine'!$CP$5,$O33='Level Engine'!$CP$6,$O33='Level Engine'!$CP$7)," ☄","")&amp;IF(OR($O33=$Q$5,$O33=$Q$8)," ║1","")&amp;IF(OR($O33=$Q$6,$O33=$Q$9)," ║2","")&amp;IF(OR($O33=$Q$7,$O33=$Q$10)," ║3","")&amp;IF(OR($O33=$Q$11,$O33=$Q$14)," ▣1","")&amp;IF(OR($O33=$Q$12,$O33=$Q$15)," ▣2","")&amp;IF(OR($O33=$Q$13,$O33=$Q$16)," ▣3","")&amp;IF(OR(AND($O33=$Q$17,$Q$25=1),AND($O33=$Q$18,$Q$26=1),AND($O33=$Q$19,$Q$27=1),AND($O33=$Q$20,$Q$28=1),AND($O33=$Q$21,$Q$29=1),AND($O33=$Q$22,$Q$30=1))," ⚠","")&amp;IF(ABS($O33-$P$2)&lt;=2.5," ◄","")</f>
        <v>7735</v>
      </c>
      <c r="C33" s="9" t="str">
        <f t="shared" si="1"/>
        <v/>
      </c>
      <c r="D33" s="12"/>
      <c r="E33" s="52" t="str">
        <f>'King Node Model'!S44</f>
        <v>7800</v>
      </c>
      <c r="F33" s="151">
        <f>'King Node Model'!T44</f>
        <v>24.609999999999673</v>
      </c>
      <c r="G33" s="152">
        <f>'King Node Model'!U44</f>
        <v>-80182</v>
      </c>
      <c r="H33" s="49" t="str">
        <f>'King Node Model'!V44</f>
        <v>Vex Dex Dex↓ Spi Gfx</v>
      </c>
      <c r="I33" s="153">
        <f>'King Node Model'!W44</f>
        <v>5</v>
      </c>
      <c r="J33" s="49" t="str">
        <f>'King Node Model'!X44</f>
        <v>STRUCT · stable</v>
      </c>
      <c r="K33" s="49" t="str">
        <f>IF($E33="","",IF('King Node Model'!$AK44=1,"▲ ",IF('King Node Model'!$AK44=-1,"▼ ","▬ "))&amp;IF('King Node Model'!$AJ44="","",IF('King Node Model'!$AJ44&lt;0,"FRAGILE ",IF('King Node Model'!$AK44=-1,"WEAKENING ",IF('King Node Model'!$AK44=1,"STRENGTHENING ","STEADY ")))&amp;TEXT('King Node Model'!$AJ44,"0.00")))</f>
        <v>▲ STRENGTHENING 1.00</v>
      </c>
      <c r="L33" s="154" t="str">
        <f>'King Node Model'!Y44</f>
        <v>⚡ ⊙ PIN</v>
      </c>
      <c r="M33" s="50" t="str">
        <f>IF('King Node Model'!$AL$44="","",IF(IFERROR(INDEX('Level Engine'!$AX$9:$AX$55,MATCH('King Node Model'!$AL$44,'Level Engine'!$AA$9:$AA$55,0)),0)=1,"VOMMA CAP","—"))</f>
        <v>VOMMA CAP</v>
      </c>
      <c r="N33" s="155" t="str">
        <f>IFERROR(IF(AND($M33="VOMMA CAP",ABS($F33)&lt;=10,ISNUMBER(SEARCH("SHORT trigger",'GEX Depth'!$C$54))),"⚡ SHORT",""),"")</f>
        <v/>
      </c>
      <c r="O33" s="150">
        <f>'King Node Model'!A59</f>
        <v>7735</v>
      </c>
      <c r="P33" s="10">
        <f>'King Node Model'!C59</f>
        <v>-277071</v>
      </c>
      <c r="R33" s="10">
        <f>'King Node Model'!B59</f>
        <v>379726</v>
      </c>
      <c r="S33" s="39"/>
      <c r="T33" s="40"/>
      <c r="U33" s="42"/>
      <c r="V33" s="40"/>
      <c r="W33" s="1"/>
      <c r="AB33" s="1">
        <f>'King Node Model'!AW44</f>
        <v>0</v>
      </c>
    </row>
    <row r="34" spans="1:28" ht="15" customHeight="1" x14ac:dyDescent="0.25">
      <c r="A34" s="7" t="str">
        <f t="shared" si="0"/>
        <v>█████</v>
      </c>
      <c r="B34" s="8" t="str">
        <f>TEXT(IF(ABS($O34-$P$2)&lt;=2.5,$P$2,$O34),"0")&amp;IF($O34=$Q$1," ★","")&amp;IF($O34=$Q$2," ★","")&amp;IF($O34=$Q$3," ◆","")&amp;IF(AND(ISNUMBER($Q$4),$O34=$Q$4)," ⓏⒼ","")&amp;IF(OR($O34='Level Engine'!$CP$4,$O34='Level Engine'!$CP$5,$O34='Level Engine'!$CP$6,$O34='Level Engine'!$CP$7)," ☄","")&amp;IF(OR($O34=$Q$5,$O34=$Q$8)," ║1","")&amp;IF(OR($O34=$Q$6,$O34=$Q$9)," ║2","")&amp;IF(OR($O34=$Q$7,$O34=$Q$10)," ║3","")&amp;IF(OR($O34=$Q$11,$O34=$Q$14)," ▣1","")&amp;IF(OR($O34=$Q$12,$O34=$Q$15)," ▣2","")&amp;IF(OR($O34=$Q$13,$O34=$Q$16)," ▣3","")&amp;IF(OR(AND($O34=$Q$17,$Q$25=1),AND($O34=$Q$18,$Q$26=1),AND($O34=$Q$19,$Q$27=1),AND($O34=$Q$20,$Q$28=1),AND($O34=$Q$21,$Q$29=1),AND($O34=$Q$22,$Q$30=1))," ⚠","")&amp;IF(ABS($O34-$P$2)&lt;=2.5," ◄","")</f>
        <v>7730</v>
      </c>
      <c r="C34" s="9" t="str">
        <f t="shared" si="1"/>
        <v/>
      </c>
      <c r="D34" s="12"/>
      <c r="E34" s="638" t="s">
        <v>43</v>
      </c>
      <c r="F34" s="638"/>
      <c r="G34" s="638"/>
      <c r="H34" s="638"/>
      <c r="I34" s="638"/>
      <c r="J34" s="638"/>
      <c r="K34" s="638"/>
      <c r="L34" s="638"/>
      <c r="M34" s="638"/>
      <c r="N34" s="638"/>
      <c r="O34" s="1">
        <f>'King Node Model'!A60</f>
        <v>7730</v>
      </c>
      <c r="P34" s="10">
        <f>'King Node Model'!C60</f>
        <v>-9171</v>
      </c>
      <c r="R34" s="10">
        <f>'King Node Model'!B60</f>
        <v>900491</v>
      </c>
      <c r="S34" s="39"/>
      <c r="T34" s="41"/>
      <c r="U34" s="41"/>
      <c r="V34" s="41"/>
      <c r="W34" s="41"/>
      <c r="X34" s="41"/>
    </row>
    <row r="35" spans="1:28" ht="15" customHeight="1" x14ac:dyDescent="0.25">
      <c r="A35" s="7" t="str">
        <f t="shared" si="0"/>
        <v>███</v>
      </c>
      <c r="B35" s="8" t="str">
        <f>TEXT(IF(ABS($O35-$P$2)&lt;=2.5,$P$2,$O35),"0")&amp;IF($O35=$Q$1," ★","")&amp;IF($O35=$Q$2," ★","")&amp;IF($O35=$Q$3," ◆","")&amp;IF(AND(ISNUMBER($Q$4),$O35=$Q$4)," ⓏⒼ","")&amp;IF(OR($O35='Level Engine'!$CP$4,$O35='Level Engine'!$CP$5,$O35='Level Engine'!$CP$6,$O35='Level Engine'!$CP$7)," ☄","")&amp;IF(OR($O35=$Q$5,$O35=$Q$8)," ║1","")&amp;IF(OR($O35=$Q$6,$O35=$Q$9)," ║2","")&amp;IF(OR($O35=$Q$7,$O35=$Q$10)," ║3","")&amp;IF(OR($O35=$Q$11,$O35=$Q$14)," ▣1","")&amp;IF(OR($O35=$Q$12,$O35=$Q$15)," ▣2","")&amp;IF(OR($O35=$Q$13,$O35=$Q$16)," ▣3","")&amp;IF(OR(AND($O35=$Q$17,$Q$25=1),AND($O35=$Q$18,$Q$26=1),AND($O35=$Q$19,$Q$27=1),AND($O35=$Q$20,$Q$28=1),AND($O35=$Q$21,$Q$29=1),AND($O35=$Q$22,$Q$30=1))," ⚠","")&amp;IF(ABS($O35-$P$2)&lt;=2.5," ◄","")</f>
        <v>7725</v>
      </c>
      <c r="C35" s="9" t="str">
        <f t="shared" si="1"/>
        <v/>
      </c>
      <c r="D35" s="12"/>
      <c r="E35" s="47" t="s">
        <v>33</v>
      </c>
      <c r="F35" s="44" t="s">
        <v>34</v>
      </c>
      <c r="G35" s="44" t="s">
        <v>35</v>
      </c>
      <c r="H35" s="44" t="s">
        <v>36</v>
      </c>
      <c r="I35" s="44" t="s">
        <v>37</v>
      </c>
      <c r="J35" s="44" t="s">
        <v>38</v>
      </c>
      <c r="K35" s="44" t="s">
        <v>42</v>
      </c>
      <c r="L35" s="44" t="s">
        <v>40</v>
      </c>
      <c r="M35" s="137" t="s">
        <v>19</v>
      </c>
      <c r="N35" s="137" t="s">
        <v>41</v>
      </c>
      <c r="O35" s="1">
        <f>'King Node Model'!A61</f>
        <v>7725</v>
      </c>
      <c r="P35" s="10">
        <f>'King Node Model'!C61</f>
        <v>-134113</v>
      </c>
      <c r="R35" s="10">
        <f>'King Node Model'!B61</f>
        <v>516893</v>
      </c>
      <c r="T35" s="46"/>
      <c r="U35" s="46"/>
      <c r="V35" s="46"/>
      <c r="W35" s="46"/>
      <c r="X35" s="47"/>
      <c r="Y35" s="44"/>
      <c r="Z35" s="44"/>
    </row>
    <row r="36" spans="1:28" ht="39.75" customHeight="1" x14ac:dyDescent="0.25">
      <c r="A36" s="7" t="str">
        <f t="shared" si="0"/>
        <v>███████</v>
      </c>
      <c r="B36" s="8" t="str">
        <f>TEXT(IF(ABS($O36-$P$2)&lt;=2.5,$P$2,$O36),"0")&amp;IF($O36=$Q$1," ★","")&amp;IF($O36=$Q$2," ★","")&amp;IF($O36=$Q$3," ◆","")&amp;IF(AND(ISNUMBER($Q$4),$O36=$Q$4)," ⓏⒼ","")&amp;IF(OR($O36='Level Engine'!$CP$4,$O36='Level Engine'!$CP$5,$O36='Level Engine'!$CP$6,$O36='Level Engine'!$CP$7)," ☄","")&amp;IF(OR($O36=$Q$5,$O36=$Q$8)," ║1","")&amp;IF(OR($O36=$Q$6,$O36=$Q$9)," ║2","")&amp;IF(OR($O36=$Q$7,$O36=$Q$10)," ║3","")&amp;IF(OR($O36=$Q$11,$O36=$Q$14)," ▣1","")&amp;IF(OR($O36=$Q$12,$O36=$Q$15)," ▣2","")&amp;IF(OR($O36=$Q$13,$O36=$Q$16)," ▣3","")&amp;IF(OR(AND($O36=$Q$17,$Q$25=1),AND($O36=$Q$18,$Q$26=1),AND($O36=$Q$19,$Q$27=1),AND($O36=$Q$20,$Q$28=1),AND($O36=$Q$21,$Q$29=1),AND($O36=$Q$22,$Q$30=1))," ⚠","")&amp;IF(ABS($O36-$P$2)&lt;=2.5," ◄","")</f>
        <v>7720 ▣1</v>
      </c>
      <c r="C36" s="9" t="str">
        <f t="shared" si="1"/>
        <v/>
      </c>
      <c r="D36" s="12"/>
      <c r="E36" s="52" t="str">
        <f>'King Node Model'!S49</f>
        <v>7775 (wall 7770-7780) ‹chop edge›</v>
      </c>
      <c r="F36" s="53">
        <f>'King Node Model'!T49</f>
        <v>-0.39000000000032742</v>
      </c>
      <c r="G36" s="139">
        <f>'King Node Model'!U49</f>
        <v>-49207</v>
      </c>
      <c r="H36" s="49" t="str">
        <f>'King Node Model'!V49</f>
        <v>iDex Vgf ZG dEdge C-OI</v>
      </c>
      <c r="I36" s="140">
        <f>'King Node Model'!W49</f>
        <v>5</v>
      </c>
      <c r="J36" s="49" t="str">
        <f>'King Node Model'!X49</f>
        <v>STRUCT · stable</v>
      </c>
      <c r="K36" s="141" t="str">
        <f>IF($E36="","",IF('King Node Model'!$AK49=1,"▲ ",IF('King Node Model'!$AK49=-1,"▼ ","▬ "))&amp;IF('King Node Model'!$AJ49="","",IF('King Node Model'!$AJ49&lt;0,"FRAGILE ",IF('King Node Model'!$AK49=-1,"WEAKENING ",IF('King Node Model'!$AK49=1,"STRENGTHENING ","STEADY ")))&amp;TEXT('King Node Model'!$AJ49,"0.00")))</f>
        <v>▲ STRENGTHENING 1.00</v>
      </c>
      <c r="L36" s="83" t="str">
        <f>'King Node Model'!Y49</f>
        <v>REVERSAL · dEdge Cliff · slows ‹nearest›</v>
      </c>
      <c r="M36" s="156" t="str">
        <f>IF('King Node Model'!$AL$49="","",IF(IFERROR(INDEX('Level Engine'!$AX$9:$AX$55,MATCH('King Node Model'!$AL$49,'Level Engine'!$AA$9:$AA$55,0)),0)=1,"VOMMA BID","—"))</f>
        <v>—</v>
      </c>
      <c r="N36" s="142" t="str">
        <f>IFERROR(IF(AND($M36="VOMMA BID",ABS($F36)&lt;=10,ISNUMBER(SEARCH("LONG trigger",'GEX Depth'!$C$54))),"⚡ LONG",""),"")</f>
        <v/>
      </c>
      <c r="O36" s="143">
        <f>'King Node Model'!A62</f>
        <v>7720</v>
      </c>
      <c r="P36" s="10">
        <f>'King Node Model'!C62</f>
        <v>-913709</v>
      </c>
      <c r="R36" s="10">
        <f>'King Node Model'!B62</f>
        <v>1152307</v>
      </c>
      <c r="T36" s="1"/>
      <c r="U36" s="1"/>
      <c r="V36" s="1"/>
      <c r="W36" s="1"/>
      <c r="X36" s="52"/>
      <c r="Y36" s="53"/>
      <c r="Z36" s="49"/>
      <c r="AB36" s="1">
        <f>'King Node Model'!AW45</f>
        <v>0</v>
      </c>
    </row>
    <row r="37" spans="1:28" ht="39.75" customHeight="1" x14ac:dyDescent="0.25">
      <c r="A37" s="7" t="str">
        <f t="shared" si="0"/>
        <v>█</v>
      </c>
      <c r="B37" s="8" t="str">
        <f>TEXT(IF(ABS($O37-$P$2)&lt;=2.5,$P$2,$O37),"0")&amp;IF($O37=$Q$1," ★","")&amp;IF($O37=$Q$2," ★","")&amp;IF($O37=$Q$3," ◆","")&amp;IF(AND(ISNUMBER($Q$4),$O37=$Q$4)," ⓏⒼ","")&amp;IF(OR($O37='Level Engine'!$CP$4,$O37='Level Engine'!$CP$5,$O37='Level Engine'!$CP$6,$O37='Level Engine'!$CP$7)," ☄","")&amp;IF(OR($O37=$Q$5,$O37=$Q$8)," ║1","")&amp;IF(OR($O37=$Q$6,$O37=$Q$9)," ║2","")&amp;IF(OR($O37=$Q$7,$O37=$Q$10)," ║3","")&amp;IF(OR($O37=$Q$11,$O37=$Q$14)," ▣1","")&amp;IF(OR($O37=$Q$12,$O37=$Q$15)," ▣2","")&amp;IF(OR($O37=$Q$13,$O37=$Q$16)," ▣3","")&amp;IF(OR(AND($O37=$Q$17,$Q$25=1),AND($O37=$Q$18,$Q$26=1),AND($O37=$Q$19,$Q$27=1),AND($O37=$Q$20,$Q$28=1),AND($O37=$Q$21,$Q$29=1),AND($O37=$Q$22,$Q$30=1))," ⚠","")&amp;IF(ABS($O37-$P$2)&lt;=2.5," ◄","")</f>
        <v>7715</v>
      </c>
      <c r="C37" s="9" t="str">
        <f t="shared" si="1"/>
        <v/>
      </c>
      <c r="D37" s="12"/>
      <c r="E37" s="144" t="str">
        <f>'King Node Model'!S50</f>
        <v>7770 (wall 7770-7780) ◆ ★</v>
      </c>
      <c r="F37" s="145">
        <f>'King Node Model'!T50</f>
        <v>-5.3900000000003274</v>
      </c>
      <c r="G37" s="146">
        <f>'King Node Model'!U50</f>
        <v>-3137174</v>
      </c>
      <c r="H37" s="56" t="str">
        <f>'King Node Model'!V50</f>
        <v>Zom Dex↓ Vgf</v>
      </c>
      <c r="I37" s="157">
        <f>'King Node Model'!W50</f>
        <v>3</v>
      </c>
      <c r="J37" s="56" t="str">
        <f>'King Node Model'!X50</f>
        <v>STRUCT · stable · ACCEL fading · Neg gamma ↓ (firmer support)</v>
      </c>
      <c r="K37" s="56" t="str">
        <f>IF($E37="","",IF('King Node Model'!$AK50=1,"▲ ",IF('King Node Model'!$AK50=-1,"▼ ","▬ "))&amp;IF('King Node Model'!$AJ50="","",IF('King Node Model'!$AJ50&lt;0,"FRAGILE ",IF('King Node Model'!$AK50=-1,"WEAKENING ",IF('King Node Model'!$AK50=1,"STRENGTHENING ","STEADY ")))&amp;TEXT('King Node Model'!$AJ50,"0.00")))</f>
        <v>▲ STRENGTHENING 1.00</v>
      </c>
      <c r="L37" s="148" t="str">
        <f>'King Node Model'!Y50</f>
        <v>REVERSAL · DOM · accelerates</v>
      </c>
      <c r="M37" s="67" t="str">
        <f>IF('King Node Model'!$AL$50="","",IF(IFERROR(INDEX('Level Engine'!$AX$9:$AX$55,MATCH('King Node Model'!$AL$50,'Level Engine'!$AA$9:$AA$55,0)),0)=1,"VOMMA BID","—"))</f>
        <v>—</v>
      </c>
      <c r="N37" s="149" t="str">
        <f>IFERROR(IF(AND($M37="VOMMA BID",ABS($F37)&lt;=10,ISNUMBER(SEARCH("LONG trigger",'GEX Depth'!$C$54))),"⚡ LONG",""),"")</f>
        <v/>
      </c>
      <c r="O37" s="150">
        <f>'King Node Model'!A63</f>
        <v>7715</v>
      </c>
      <c r="P37" s="10">
        <f>'King Node Model'!C63</f>
        <v>-76852</v>
      </c>
      <c r="R37" s="10">
        <f>'King Node Model'!B63</f>
        <v>246293</v>
      </c>
      <c r="T37" s="1"/>
      <c r="U37" s="1"/>
      <c r="V37" s="1"/>
      <c r="W37" s="1"/>
      <c r="X37" s="52"/>
      <c r="Y37" s="53"/>
      <c r="Z37" s="49"/>
      <c r="AB37" s="1">
        <f>'King Node Model'!AW46</f>
        <v>0</v>
      </c>
    </row>
    <row r="38" spans="1:28" ht="39.75" customHeight="1" x14ac:dyDescent="0.25">
      <c r="A38" s="7" t="str">
        <f t="shared" si="0"/>
        <v>█</v>
      </c>
      <c r="B38" s="8" t="str">
        <f>TEXT(IF(ABS($O38-$P$2)&lt;=2.5,$P$2,$O38),"0")&amp;IF($O38=$Q$1," ★","")&amp;IF($O38=$Q$2," ★","")&amp;IF($O38=$Q$3," ◆","")&amp;IF(AND(ISNUMBER($Q$4),$O38=$Q$4)," ⓏⒼ","")&amp;IF(OR($O38='Level Engine'!$CP$4,$O38='Level Engine'!$CP$5,$O38='Level Engine'!$CP$6,$O38='Level Engine'!$CP$7)," ☄","")&amp;IF(OR($O38=$Q$5,$O38=$Q$8)," ║1","")&amp;IF(OR($O38=$Q$6,$O38=$Q$9)," ║2","")&amp;IF(OR($O38=$Q$7,$O38=$Q$10)," ║3","")&amp;IF(OR($O38=$Q$11,$O38=$Q$14)," ▣1","")&amp;IF(OR($O38=$Q$12,$O38=$Q$15)," ▣2","")&amp;IF(OR($O38=$Q$13,$O38=$Q$16)," ▣3","")&amp;IF(OR(AND($O38=$Q$17,$Q$25=1),AND($O38=$Q$18,$Q$26=1),AND($O38=$Q$19,$Q$27=1),AND($O38=$Q$20,$Q$28=1),AND($O38=$Q$21,$Q$29=1),AND($O38=$Q$22,$Q$30=1))," ⚠","")&amp;IF(ABS($O38-$P$2)&lt;=2.5," ◄","")</f>
        <v>7710</v>
      </c>
      <c r="C38" s="9" t="str">
        <f t="shared" si="1"/>
        <v/>
      </c>
      <c r="D38" s="12"/>
      <c r="E38" s="52" t="str">
        <f>'King Node Model'!S51</f>
        <v/>
      </c>
      <c r="F38" s="151" t="str">
        <f>'King Node Model'!T51</f>
        <v/>
      </c>
      <c r="G38" s="152" t="str">
        <f>'King Node Model'!U51</f>
        <v/>
      </c>
      <c r="H38" s="49" t="str">
        <f>'King Node Model'!V51</f>
        <v/>
      </c>
      <c r="I38" s="153" t="str">
        <f>'King Node Model'!W51</f>
        <v/>
      </c>
      <c r="J38" s="49" t="str">
        <f>'King Node Model'!X51</f>
        <v/>
      </c>
      <c r="K38" s="49" t="str">
        <f>IF($E38="","",IF('King Node Model'!$AK51=1,"▲ ",IF('King Node Model'!$AK51=-1,"▼ ","▬ "))&amp;IF('King Node Model'!$AJ51="","",IF('King Node Model'!$AJ51&lt;0,"FRAGILE ",IF('King Node Model'!$AK51=-1,"WEAKENING ",IF('King Node Model'!$AK51=1,"STRENGTHENING ","STEADY ")))&amp;TEXT('King Node Model'!$AJ51,"0.00")))</f>
        <v/>
      </c>
      <c r="L38" s="154" t="str">
        <f>'King Node Model'!Y51</f>
        <v/>
      </c>
      <c r="M38" s="65" t="str">
        <f>IF('King Node Model'!$AL$51="","",IF(IFERROR(INDEX('Level Engine'!$AX$9:$AX$55,MATCH('King Node Model'!$AL$51,'Level Engine'!$AA$9:$AA$55,0)),0)=1,"VOMMA BID","—"))</f>
        <v/>
      </c>
      <c r="N38" s="155" t="str">
        <f>IFERROR(IF(AND($M38="VOMMA BID",ABS($F38)&lt;=10,ISNUMBER(SEARCH("LONG trigger",'GEX Depth'!$C$54))),"⚡ LONG",""),"")</f>
        <v/>
      </c>
      <c r="O38" s="150">
        <f>'King Node Model'!A64</f>
        <v>7710</v>
      </c>
      <c r="P38" s="10">
        <f>'King Node Model'!C64</f>
        <v>-132005</v>
      </c>
      <c r="R38" s="10">
        <f>'King Node Model'!B64</f>
        <v>182333</v>
      </c>
      <c r="T38" s="1"/>
      <c r="U38" s="1"/>
      <c r="V38" s="1"/>
      <c r="W38" s="1"/>
      <c r="X38" s="52"/>
      <c r="Y38" s="53"/>
      <c r="Z38" s="49"/>
      <c r="AB38" s="1">
        <f>'King Node Model'!AW47</f>
        <v>0</v>
      </c>
    </row>
    <row r="39" spans="1:28" ht="15" customHeight="1" x14ac:dyDescent="0.25">
      <c r="A39" s="7" t="str">
        <f t="shared" si="0"/>
        <v>██</v>
      </c>
      <c r="B39" s="8" t="str">
        <f>TEXT(IF(ABS($O39-$P$2)&lt;=2.5,$P$2,$O39),"0")&amp;IF($O39=$Q$1," ★","")&amp;IF($O39=$Q$2," ★","")&amp;IF($O39=$Q$3," ◆","")&amp;IF(AND(ISNUMBER($Q$4),$O39=$Q$4)," ⓏⒼ","")&amp;IF(OR($O39='Level Engine'!$CP$4,$O39='Level Engine'!$CP$5,$O39='Level Engine'!$CP$6,$O39='Level Engine'!$CP$7)," ☄","")&amp;IF(OR($O39=$Q$5,$O39=$Q$8)," ║1","")&amp;IF(OR($O39=$Q$6,$O39=$Q$9)," ║2","")&amp;IF(OR($O39=$Q$7,$O39=$Q$10)," ║3","")&amp;IF(OR($O39=$Q$11,$O39=$Q$14)," ▣1","")&amp;IF(OR($O39=$Q$12,$O39=$Q$15)," ▣2","")&amp;IF(OR($O39=$Q$13,$O39=$Q$16)," ▣3","")&amp;IF(OR(AND($O39=$Q$17,$Q$25=1),AND($O39=$Q$18,$Q$26=1),AND($O39=$Q$19,$Q$27=1),AND($O39=$Q$20,$Q$28=1),AND($O39=$Q$21,$Q$29=1),AND($O39=$Q$22,$Q$30=1))," ⚠","")&amp;IF(ABS($O39-$P$2)&lt;=2.5," ◄","")</f>
        <v>7705</v>
      </c>
      <c r="C39" s="9" t="str">
        <f t="shared" si="1"/>
        <v/>
      </c>
      <c r="E39" s="75"/>
      <c r="F39" s="75"/>
      <c r="G39" s="75"/>
      <c r="H39" s="75"/>
      <c r="I39" s="75"/>
      <c r="J39" s="75"/>
      <c r="K39" s="75"/>
      <c r="L39" s="75"/>
      <c r="M39" s="75"/>
      <c r="N39" s="75"/>
      <c r="O39" s="1">
        <f>'King Node Model'!A65</f>
        <v>7705</v>
      </c>
      <c r="P39" s="10">
        <f>'King Node Model'!C65</f>
        <v>-70311</v>
      </c>
      <c r="R39" s="10">
        <f>'King Node Model'!B65</f>
        <v>399334</v>
      </c>
    </row>
    <row r="40" spans="1:28" ht="15" customHeight="1" x14ac:dyDescent="0.25">
      <c r="A40" s="7" t="str">
        <f t="shared" si="0"/>
        <v>██</v>
      </c>
      <c r="B40" s="8" t="str">
        <f>TEXT(IF(ABS($O40-$P$2)&lt;=2.5,$P$2,$O40),"0")&amp;IF($O40=$Q$1," ★","")&amp;IF($O40=$Q$2," ★","")&amp;IF($O40=$Q$3," ◆","")&amp;IF(AND(ISNUMBER($Q$4),$O40=$Q$4)," ⓏⒼ","")&amp;IF(OR($O40='Level Engine'!$CP$4,$O40='Level Engine'!$CP$5,$O40='Level Engine'!$CP$6,$O40='Level Engine'!$CP$7)," ☄","")&amp;IF(OR($O40=$Q$5,$O40=$Q$8)," ║1","")&amp;IF(OR($O40=$Q$6,$O40=$Q$9)," ║2","")&amp;IF(OR($O40=$Q$7,$O40=$Q$10)," ║3","")&amp;IF(OR($O40=$Q$11,$O40=$Q$14)," ▣1","")&amp;IF(OR($O40=$Q$12,$O40=$Q$15)," ▣2","")&amp;IF(OR($O40=$Q$13,$O40=$Q$16)," ▣3","")&amp;IF(OR(AND($O40=$Q$17,$Q$25=1),AND($O40=$Q$18,$Q$26=1),AND($O40=$Q$19,$Q$27=1),AND($O40=$Q$20,$Q$28=1),AND($O40=$Q$21,$Q$29=1),AND($O40=$Q$22,$Q$30=1))," ⚠","")&amp;IF(ABS($O40-$P$2)&lt;=2.5," ◄","")</f>
        <v>7700 ▣2</v>
      </c>
      <c r="C40" s="9" t="str">
        <f t="shared" si="1"/>
        <v/>
      </c>
      <c r="D40" s="12"/>
      <c r="E40" s="76" t="s">
        <v>44</v>
      </c>
      <c r="N40" s="12"/>
      <c r="O40" s="1">
        <f>'King Node Model'!A66</f>
        <v>7700</v>
      </c>
      <c r="P40" s="10">
        <f>'King Node Model'!C66</f>
        <v>-274698</v>
      </c>
      <c r="R40" s="10">
        <f>'King Node Model'!B66</f>
        <v>414842</v>
      </c>
    </row>
    <row r="41" spans="1:28" ht="15" customHeight="1" x14ac:dyDescent="0.25">
      <c r="A41" s="7" t="str">
        <f t="shared" si="0"/>
        <v/>
      </c>
      <c r="B41" s="8" t="str">
        <f>TEXT(IF(ABS($O41-$P$2)&lt;=2.5,$P$2,$O41),"0")&amp;IF($O41=$Q$1," ★","")&amp;IF($O41=$Q$2," ★","")&amp;IF($O41=$Q$3," ◆","")&amp;IF(AND(ISNUMBER($Q$4),$O41=$Q$4)," ⓏⒼ","")&amp;IF(OR($O41='Level Engine'!$CP$4,$O41='Level Engine'!$CP$5,$O41='Level Engine'!$CP$6,$O41='Level Engine'!$CP$7)," ☄","")&amp;IF(OR($O41=$Q$5,$O41=$Q$8)," ║1","")&amp;IF(OR($O41=$Q$6,$O41=$Q$9)," ║2","")&amp;IF(OR($O41=$Q$7,$O41=$Q$10)," ║3","")&amp;IF(OR($O41=$Q$11,$O41=$Q$14)," ▣1","")&amp;IF(OR($O41=$Q$12,$O41=$Q$15)," ▣2","")&amp;IF(OR($O41=$Q$13,$O41=$Q$16)," ▣3","")&amp;IF(OR(AND($O41=$Q$17,$Q$25=1),AND($O41=$Q$18,$Q$26=1),AND($O41=$Q$19,$Q$27=1),AND($O41=$Q$20,$Q$28=1),AND($O41=$Q$21,$Q$29=1),AND($O41=$Q$22,$Q$30=1))," ⚠","")&amp;IF(ABS($O41-$P$2)&lt;=2.5," ◄","")</f>
        <v>7695</v>
      </c>
      <c r="C41" s="9" t="str">
        <f t="shared" si="1"/>
        <v/>
      </c>
      <c r="D41" s="12"/>
      <c r="E41" s="77" t="s">
        <v>33</v>
      </c>
      <c r="F41" s="78" t="s">
        <v>34</v>
      </c>
      <c r="G41" s="78" t="s">
        <v>45</v>
      </c>
      <c r="H41" s="78" t="s">
        <v>35</v>
      </c>
      <c r="I41" s="78" t="s">
        <v>46</v>
      </c>
      <c r="J41" s="78" t="s">
        <v>47</v>
      </c>
      <c r="N41" s="12"/>
      <c r="O41" s="1">
        <f>'King Node Model'!A67</f>
        <v>7695</v>
      </c>
      <c r="P41" s="10">
        <f>'King Node Model'!C67</f>
        <v>-63476</v>
      </c>
      <c r="R41" s="10">
        <f>'King Node Model'!B67</f>
        <v>72674</v>
      </c>
    </row>
    <row r="42" spans="1:28" ht="15" customHeight="1" x14ac:dyDescent="0.25">
      <c r="A42" s="7" t="str">
        <f t="shared" si="0"/>
        <v/>
      </c>
      <c r="B42" s="8" t="str">
        <f>TEXT(IF(ABS($O42-$P$2)&lt;=2.5,$P$2,$O42),"0")&amp;IF($O42=$Q$1," ★","")&amp;IF($O42=$Q$2," ★","")&amp;IF($O42=$Q$3," ◆","")&amp;IF(AND(ISNUMBER($Q$4),$O42=$Q$4)," ⓏⒼ","")&amp;IF(OR($O42='Level Engine'!$CP$4,$O42='Level Engine'!$CP$5,$O42='Level Engine'!$CP$6,$O42='Level Engine'!$CP$7)," ☄","")&amp;IF(OR($O42=$Q$5,$O42=$Q$8)," ║1","")&amp;IF(OR($O42=$Q$6,$O42=$Q$9)," ║2","")&amp;IF(OR($O42=$Q$7,$O42=$Q$10)," ║3","")&amp;IF(OR($O42=$Q$11,$O42=$Q$14)," ▣1","")&amp;IF(OR($O42=$Q$12,$O42=$Q$15)," ▣2","")&amp;IF(OR($O42=$Q$13,$O42=$Q$16)," ▣3","")&amp;IF(OR(AND($O42=$Q$17,$Q$25=1),AND($O42=$Q$18,$Q$26=1),AND($O42=$Q$19,$Q$27=1),AND($O42=$Q$20,$Q$28=1),AND($O42=$Q$21,$Q$29=1),AND($O42=$Q$22,$Q$30=1))," ⚠","")&amp;IF(ABS($O42-$P$2)&lt;=2.5," ◄","")</f>
        <v>7690</v>
      </c>
      <c r="C42" s="9" t="str">
        <f t="shared" si="1"/>
        <v/>
      </c>
      <c r="D42" s="12"/>
      <c r="E42" s="80">
        <f>'King Node Model'!S63</f>
        <v>7800</v>
      </c>
      <c r="F42" s="81">
        <f>'King Node Model'!T63</f>
        <v>24.609999999999673</v>
      </c>
      <c r="G42" s="82">
        <f>'King Node Model'!U63</f>
        <v>3752257</v>
      </c>
      <c r="H42" s="82">
        <f>'King Node Model'!V63</f>
        <v>-80182</v>
      </c>
      <c r="I42" s="83" t="str">
        <f>'King Node Model'!W63</f>
        <v>R</v>
      </c>
      <c r="J42" s="80" t="str">
        <f>'King Node Model'!X63</f>
        <v>ACCELERANT</v>
      </c>
      <c r="N42" s="12"/>
      <c r="O42" s="1">
        <f>'King Node Model'!A68</f>
        <v>7690</v>
      </c>
      <c r="P42" s="10">
        <f>'King Node Model'!C68</f>
        <v>-58328</v>
      </c>
      <c r="R42" s="10">
        <f>'King Node Model'!B68</f>
        <v>74724</v>
      </c>
    </row>
    <row r="43" spans="1:28" ht="15" customHeight="1" x14ac:dyDescent="0.25">
      <c r="A43" s="7" t="str">
        <f t="shared" si="0"/>
        <v/>
      </c>
      <c r="B43" s="8" t="str">
        <f>TEXT(IF(ABS($O43-$P$2)&lt;=2.5,$P$2,$O43),"0")&amp;IF($O43=$Q$1," ★","")&amp;IF($O43=$Q$2," ★","")&amp;IF($O43=$Q$3," ◆","")&amp;IF(AND(ISNUMBER($Q$4),$O43=$Q$4)," ⓏⒼ","")&amp;IF(OR($O43='Level Engine'!$CP$4,$O43='Level Engine'!$CP$5,$O43='Level Engine'!$CP$6,$O43='Level Engine'!$CP$7)," ☄","")&amp;IF(OR($O43=$Q$5,$O43=$Q$8)," ║1","")&amp;IF(OR($O43=$Q$6,$O43=$Q$9)," ║2","")&amp;IF(OR($O43=$Q$7,$O43=$Q$10)," ║3","")&amp;IF(OR($O43=$Q$11,$O43=$Q$14)," ▣1","")&amp;IF(OR($O43=$Q$12,$O43=$Q$15)," ▣2","")&amp;IF(OR($O43=$Q$13,$O43=$Q$16)," ▣3","")&amp;IF(OR(AND($O43=$Q$17,$Q$25=1),AND($O43=$Q$18,$Q$26=1),AND($O43=$Q$19,$Q$27=1),AND($O43=$Q$20,$Q$28=1),AND($O43=$Q$21,$Q$29=1),AND($O43=$Q$22,$Q$30=1))," ⚠","")&amp;IF(ABS($O43-$P$2)&lt;=2.5," ◄","")</f>
        <v>7685</v>
      </c>
      <c r="C43" s="9" t="str">
        <f t="shared" si="1"/>
        <v/>
      </c>
      <c r="D43" s="12"/>
      <c r="E43" s="80">
        <f>'King Node Model'!S64</f>
        <v>7750</v>
      </c>
      <c r="F43" s="81">
        <f>'King Node Model'!T64</f>
        <v>-25.390000000000327</v>
      </c>
      <c r="G43" s="82">
        <f>'King Node Model'!U64</f>
        <v>3240730</v>
      </c>
      <c r="H43" s="82">
        <f>'King Node Model'!V64</f>
        <v>-1614015</v>
      </c>
      <c r="I43" s="83" t="str">
        <f>'King Node Model'!W64</f>
        <v>S</v>
      </c>
      <c r="J43" s="80" t="str">
        <f>'King Node Model'!X64</f>
        <v>ACCELERANT</v>
      </c>
      <c r="K43" s="89"/>
      <c r="L43" s="89"/>
      <c r="N43" s="12"/>
      <c r="O43" s="1">
        <f>'King Node Model'!A69</f>
        <v>7685</v>
      </c>
      <c r="P43" s="10">
        <f>'King Node Model'!C69</f>
        <v>-63513</v>
      </c>
      <c r="R43" s="10">
        <f>'King Node Model'!B69</f>
        <v>67289</v>
      </c>
    </row>
    <row r="44" spans="1:28" ht="15" customHeight="1" x14ac:dyDescent="0.25">
      <c r="A44" s="7" t="str">
        <f t="shared" si="0"/>
        <v>█</v>
      </c>
      <c r="B44" s="8" t="str">
        <f>TEXT(IF(ABS($O44-$P$2)&lt;=2.5,$P$2,$O44),"0")&amp;IF($O44=$Q$1," ★","")&amp;IF($O44=$Q$2," ★","")&amp;IF($O44=$Q$3," ◆","")&amp;IF(AND(ISNUMBER($Q$4),$O44=$Q$4)," ⓏⒼ","")&amp;IF(OR($O44='Level Engine'!$CP$4,$O44='Level Engine'!$CP$5,$O44='Level Engine'!$CP$6,$O44='Level Engine'!$CP$7)," ☄","")&amp;IF(OR($O44=$Q$5,$O44=$Q$8)," ║1","")&amp;IF(OR($O44=$Q$6,$O44=$Q$9)," ║2","")&amp;IF(OR($O44=$Q$7,$O44=$Q$10)," ║3","")&amp;IF(OR($O44=$Q$11,$O44=$Q$14)," ▣1","")&amp;IF(OR($O44=$Q$12,$O44=$Q$15)," ▣2","")&amp;IF(OR($O44=$Q$13,$O44=$Q$16)," ▣3","")&amp;IF(OR(AND($O44=$Q$17,$Q$25=1),AND($O44=$Q$18,$Q$26=1),AND($O44=$Q$19,$Q$27=1),AND($O44=$Q$20,$Q$28=1),AND($O44=$Q$21,$Q$29=1),AND($O44=$Q$22,$Q$30=1))," ⚠","")&amp;IF(ABS($O44-$P$2)&lt;=2.5," ◄","")</f>
        <v>7680</v>
      </c>
      <c r="C44" s="9" t="str">
        <f t="shared" si="1"/>
        <v/>
      </c>
      <c r="D44" s="12"/>
      <c r="E44" s="80">
        <f>'King Node Model'!S65</f>
        <v>7730</v>
      </c>
      <c r="F44" s="81">
        <f>'King Node Model'!T65</f>
        <v>-45.390000000000327</v>
      </c>
      <c r="G44" s="82">
        <f>'King Node Model'!U65</f>
        <v>900491</v>
      </c>
      <c r="H44" s="82">
        <f>'King Node Model'!V65</f>
        <v>-9171</v>
      </c>
      <c r="I44" s="83" t="str">
        <f>'King Node Model'!W65</f>
        <v>S</v>
      </c>
      <c r="J44" s="80" t="str">
        <f>'King Node Model'!X65</f>
        <v>ACCELERANT</v>
      </c>
      <c r="K44" s="158"/>
      <c r="L44" s="80"/>
      <c r="N44" s="12"/>
      <c r="O44" s="1">
        <f>'King Node Model'!A70</f>
        <v>7680</v>
      </c>
      <c r="P44" s="10">
        <f>'King Node Model'!C70</f>
        <v>-113930</v>
      </c>
      <c r="R44" s="10">
        <f>'King Node Model'!B70</f>
        <v>128040</v>
      </c>
    </row>
    <row r="45" spans="1:28" ht="15" customHeight="1" x14ac:dyDescent="0.25">
      <c r="A45" s="7" t="str">
        <f t="shared" si="0"/>
        <v>█</v>
      </c>
      <c r="B45" s="8" t="str">
        <f>TEXT(IF(ABS($O45-$P$2)&lt;=2.5,$P$2,$O45),"0")&amp;IF($O45=$Q$1," ★","")&amp;IF($O45=$Q$2," ★","")&amp;IF($O45=$Q$3," ◆","")&amp;IF(AND(ISNUMBER($Q$4),$O45=$Q$4)," ⓏⒼ","")&amp;IF(OR($O45='Level Engine'!$CP$4,$O45='Level Engine'!$CP$5,$O45='Level Engine'!$CP$6,$O45='Level Engine'!$CP$7)," ☄","")&amp;IF(OR($O45=$Q$5,$O45=$Q$8)," ║1","")&amp;IF(OR($O45=$Q$6,$O45=$Q$9)," ║2","")&amp;IF(OR($O45=$Q$7,$O45=$Q$10)," ║3","")&amp;IF(OR($O45=$Q$11,$O45=$Q$14)," ▣1","")&amp;IF(OR($O45=$Q$12,$O45=$Q$15)," ▣2","")&amp;IF(OR($O45=$Q$13,$O45=$Q$16)," ▣3","")&amp;IF(OR(AND($O45=$Q$17,$Q$25=1),AND($O45=$Q$18,$Q$26=1),AND($O45=$Q$19,$Q$27=1),AND($O45=$Q$20,$Q$28=1),AND($O45=$Q$21,$Q$29=1),AND($O45=$Q$22,$Q$30=1))," ⚠","")&amp;IF(ABS($O45-$P$2)&lt;=2.5," ◄","")</f>
        <v>7675</v>
      </c>
      <c r="C45" s="9" t="str">
        <f t="shared" si="1"/>
        <v/>
      </c>
      <c r="D45" s="12"/>
      <c r="E45" s="80">
        <f>'King Node Model'!S66</f>
        <v>7825</v>
      </c>
      <c r="F45" s="81">
        <f>'King Node Model'!T66</f>
        <v>49.609999999999673</v>
      </c>
      <c r="G45" s="82">
        <f>'King Node Model'!U66</f>
        <v>680164</v>
      </c>
      <c r="H45" s="82">
        <f>'King Node Model'!V66</f>
        <v>538591</v>
      </c>
      <c r="I45" s="83" t="str">
        <f>'King Node Model'!W66</f>
        <v>R</v>
      </c>
      <c r="J45" s="80" t="str">
        <f>'King Node Model'!X66</f>
        <v>FRAGILE</v>
      </c>
      <c r="K45" s="158"/>
      <c r="L45" s="80"/>
      <c r="N45" s="12"/>
      <c r="O45" s="1">
        <f>'King Node Model'!A71</f>
        <v>7675</v>
      </c>
      <c r="P45" s="10">
        <f>'King Node Model'!C71</f>
        <v>-52061</v>
      </c>
      <c r="R45" s="10">
        <f>'King Node Model'!B71</f>
        <v>100523</v>
      </c>
    </row>
    <row r="46" spans="1:28" ht="15" customHeight="1" x14ac:dyDescent="0.25">
      <c r="A46" s="7" t="str">
        <f t="shared" si="0"/>
        <v/>
      </c>
      <c r="B46" s="8" t="str">
        <f>TEXT(IF(ABS($O46-$P$2)&lt;=2.5,$P$2,$O46),"0")&amp;IF($O46=$Q$1," ★","")&amp;IF($O46=$Q$2," ★","")&amp;IF($O46=$Q$3," ◆","")&amp;IF(AND(ISNUMBER($Q$4),$O46=$Q$4)," ⓏⒼ","")&amp;IF(OR($O46='Level Engine'!$CP$4,$O46='Level Engine'!$CP$5,$O46='Level Engine'!$CP$6,$O46='Level Engine'!$CP$7)," ☄","")&amp;IF(OR($O46=$Q$5,$O46=$Q$8)," ║1","")&amp;IF(OR($O46=$Q$6,$O46=$Q$9)," ║2","")&amp;IF(OR($O46=$Q$7,$O46=$Q$10)," ║3","")&amp;IF(OR($O46=$Q$11,$O46=$Q$14)," ▣1","")&amp;IF(OR($O46=$Q$12,$O46=$Q$15)," ▣2","")&amp;IF(OR($O46=$Q$13,$O46=$Q$16)," ▣3","")&amp;IF(OR(AND($O46=$Q$17,$Q$25=1),AND($O46=$Q$18,$Q$26=1),AND($O46=$Q$19,$Q$27=1),AND($O46=$Q$20,$Q$28=1),AND($O46=$Q$21,$Q$29=1),AND($O46=$Q$22,$Q$30=1))," ⚠","")&amp;IF(ABS($O46-$P$2)&lt;=2.5," ◄","")</f>
        <v>7670</v>
      </c>
      <c r="C46" s="9" t="str">
        <f t="shared" si="1"/>
        <v/>
      </c>
      <c r="E46" s="86"/>
      <c r="F46" s="20"/>
      <c r="G46" s="19"/>
      <c r="H46" s="19"/>
      <c r="I46" s="19"/>
      <c r="J46" s="19"/>
      <c r="K46" s="19"/>
      <c r="L46" s="19"/>
      <c r="M46" s="19"/>
      <c r="N46" s="19"/>
      <c r="O46" s="1">
        <f>'King Node Model'!A72</f>
        <v>7670</v>
      </c>
      <c r="P46" s="10">
        <f>'King Node Model'!C72</f>
        <v>-56259</v>
      </c>
      <c r="R46" s="10">
        <f>'King Node Model'!B72</f>
        <v>69522</v>
      </c>
    </row>
    <row r="47" spans="1:28" ht="15" customHeight="1" x14ac:dyDescent="0.25">
      <c r="A47" s="7" t="str">
        <f t="shared" si="0"/>
        <v/>
      </c>
      <c r="B47" s="8" t="str">
        <f>TEXT(IF(ABS($O47-$P$2)&lt;=2.5,$P$2,$O47),"0")&amp;IF($O47=$Q$1," ★","")&amp;IF($O47=$Q$2," ★","")&amp;IF($O47=$Q$3," ◆","")&amp;IF(AND(ISNUMBER($Q$4),$O47=$Q$4)," ⓏⒼ","")&amp;IF(OR($O47='Level Engine'!$CP$4,$O47='Level Engine'!$CP$5,$O47='Level Engine'!$CP$6,$O47='Level Engine'!$CP$7)," ☄","")&amp;IF(OR($O47=$Q$5,$O47=$Q$8)," ║1","")&amp;IF(OR($O47=$Q$6,$O47=$Q$9)," ║2","")&amp;IF(OR($O47=$Q$7,$O47=$Q$10)," ║3","")&amp;IF(OR($O47=$Q$11,$O47=$Q$14)," ▣1","")&amp;IF(OR($O47=$Q$12,$O47=$Q$15)," ▣2","")&amp;IF(OR($O47=$Q$13,$O47=$Q$16)," ▣3","")&amp;IF(OR(AND($O47=$Q$17,$Q$25=1),AND($O47=$Q$18,$Q$26=1),AND($O47=$Q$19,$Q$27=1),AND($O47=$Q$20,$Q$28=1),AND($O47=$Q$21,$Q$29=1),AND($O47=$Q$22,$Q$30=1))," ⚠","")&amp;IF(ABS($O47-$P$2)&lt;=2.5," ◄","")</f>
        <v>7665</v>
      </c>
      <c r="C47" s="9" t="str">
        <f t="shared" si="1"/>
        <v/>
      </c>
      <c r="E47" s="18" t="s">
        <v>48</v>
      </c>
      <c r="F47" s="19"/>
      <c r="G47" s="19"/>
      <c r="H47" s="34"/>
      <c r="J47" s="18" t="s">
        <v>49</v>
      </c>
      <c r="K47" s="19"/>
      <c r="L47" s="34"/>
      <c r="O47" s="1">
        <f>'King Node Model'!A73</f>
        <v>7665</v>
      </c>
      <c r="P47" s="10">
        <f>'King Node Model'!C73</f>
        <v>-58278</v>
      </c>
      <c r="R47" s="10">
        <f>'King Node Model'!B73</f>
        <v>64859</v>
      </c>
      <c r="S47" s="2"/>
      <c r="T47" s="573" t="str">
        <f>'King Node Model'!K26</f>
        <v>Updated 17:39:36</v>
      </c>
      <c r="U47" s="573"/>
      <c r="V47" s="573"/>
      <c r="W47" s="573"/>
    </row>
    <row r="48" spans="1:28" ht="15" customHeight="1" x14ac:dyDescent="0.25">
      <c r="A48" s="7" t="str">
        <f t="shared" si="0"/>
        <v/>
      </c>
      <c r="B48" s="8" t="str">
        <f>TEXT(IF(ABS($O48-$P$2)&lt;=2.5,$P$2,$O48),"0")&amp;IF($O48=$Q$1," ★","")&amp;IF($O48=$Q$2," ★","")&amp;IF($O48=$Q$3," ◆","")&amp;IF(AND(ISNUMBER($Q$4),$O48=$Q$4)," ⓏⒼ","")&amp;IF(OR($O48='Level Engine'!$CP$4,$O48='Level Engine'!$CP$5,$O48='Level Engine'!$CP$6,$O48='Level Engine'!$CP$7)," ☄","")&amp;IF(OR($O48=$Q$5,$O48=$Q$8)," ║1","")&amp;IF(OR($O48=$Q$6,$O48=$Q$9)," ║2","")&amp;IF(OR($O48=$Q$7,$O48=$Q$10)," ║3","")&amp;IF(OR($O48=$Q$11,$O48=$Q$14)," ▣1","")&amp;IF(OR($O48=$Q$12,$O48=$Q$15)," ▣2","")&amp;IF(OR($O48=$Q$13,$O48=$Q$16)," ▣3","")&amp;IF(OR(AND($O48=$Q$17,$Q$25=1),AND($O48=$Q$18,$Q$26=1),AND($O48=$Q$19,$Q$27=1),AND($O48=$Q$20,$Q$28=1),AND($O48=$Q$21,$Q$29=1),AND($O48=$Q$22,$Q$30=1))," ⚠","")&amp;IF(ABS($O48-$P$2)&lt;=2.5," ◄","")</f>
        <v>7660</v>
      </c>
      <c r="C48" s="9" t="str">
        <f t="shared" si="1"/>
        <v/>
      </c>
      <c r="E48" s="87" t="s">
        <v>50</v>
      </c>
      <c r="F48" s="639" t="str">
        <f>'GEX Depth'!C54</f>
        <v>FALLING / AT TROUGH</v>
      </c>
      <c r="G48" s="639"/>
      <c r="H48" s="639"/>
      <c r="J48" s="21"/>
      <c r="K48" s="89" t="s">
        <v>51</v>
      </c>
      <c r="L48" s="90" t="s">
        <v>52</v>
      </c>
      <c r="O48" s="1">
        <f>'King Node Model'!A74</f>
        <v>7660</v>
      </c>
      <c r="P48" s="10">
        <f>'King Node Model'!C74</f>
        <v>-25233</v>
      </c>
      <c r="R48" s="10">
        <f>'King Node Model'!B74</f>
        <v>29797</v>
      </c>
    </row>
    <row r="49" spans="1:18" ht="15" customHeight="1" x14ac:dyDescent="0.25">
      <c r="A49" s="91" t="str">
        <f t="shared" si="0"/>
        <v/>
      </c>
      <c r="B49" s="92" t="str">
        <f>TEXT(IF(ABS($O49-$P$2)&lt;=2.5,$P$2,$O49),"0")&amp;IF($O49=$Q$1," ★","")&amp;IF($O49=$Q$2," ★","")&amp;IF($O49=$Q$3," ◆","")&amp;IF(AND(ISNUMBER($Q$4),$O49=$Q$4)," ⓏⒼ","")&amp;IF(OR($O49='Level Engine'!$CP$4,$O49='Level Engine'!$CP$5,$O49='Level Engine'!$CP$6,$O49='Level Engine'!$CP$7)," ☄","")&amp;IF(OR($O49=$Q$5,$O49=$Q$8)," ║1","")&amp;IF(OR($O49=$Q$6,$O49=$Q$9)," ║2","")&amp;IF(OR($O49=$Q$7,$O49=$Q$10)," ║3","")&amp;IF(OR($O49=$Q$11,$O49=$Q$14)," ▣1","")&amp;IF(OR($O49=$Q$12,$O49=$Q$15)," ▣2","")&amp;IF(OR($O49=$Q$13,$O49=$Q$16)," ▣3","")&amp;IF(OR(AND($O49=$Q$17,$Q$25=1),AND($O49=$Q$18,$Q$26=1),AND($O49=$Q$19,$Q$27=1),AND($O49=$Q$20,$Q$28=1),AND($O49=$Q$21,$Q$29=1),AND($O49=$Q$22,$Q$30=1))," ⚠","")&amp;IF(ABS($O49-$P$2)&lt;=2.5," ◄","")</f>
        <v>7655</v>
      </c>
      <c r="C49" s="93" t="str">
        <f t="shared" si="1"/>
        <v/>
      </c>
      <c r="E49" s="94" t="s">
        <v>53</v>
      </c>
      <c r="F49" s="159">
        <f>'GEX Depth'!C55</f>
        <v>4035</v>
      </c>
      <c r="G49" s="96"/>
      <c r="H49" s="97"/>
      <c r="I49" s="78"/>
      <c r="J49" s="94" t="s">
        <v>54</v>
      </c>
      <c r="K49" s="158">
        <f>'King Node Model'!X27</f>
        <v>7770</v>
      </c>
      <c r="L49" s="160" t="str">
        <f>'King Node Model'!Y27</f>
        <v>wall · 7770–7780</v>
      </c>
      <c r="O49" s="1">
        <f>'King Node Model'!A75</f>
        <v>7655</v>
      </c>
      <c r="P49" s="10">
        <f>'King Node Model'!C75</f>
        <v>-21948</v>
      </c>
      <c r="Q49" s="100"/>
      <c r="R49" s="10">
        <f>'King Node Model'!B75</f>
        <v>24654</v>
      </c>
    </row>
    <row r="50" spans="1:18" ht="15" customHeight="1" x14ac:dyDescent="0.25">
      <c r="A50" s="101"/>
      <c r="B50" s="101"/>
      <c r="C50" s="101"/>
      <c r="E50" s="87" t="s">
        <v>55</v>
      </c>
      <c r="F50" s="161">
        <f>'GEX Depth'!E55</f>
        <v>0</v>
      </c>
      <c r="G50" s="103"/>
      <c r="H50" s="104"/>
      <c r="I50" s="105"/>
      <c r="J50" s="35" t="s">
        <v>56</v>
      </c>
      <c r="K50" s="162">
        <f>'King Node Model'!X28</f>
        <v>7780</v>
      </c>
      <c r="L50" s="163" t="str">
        <f>'King Node Model'!Y28</f>
        <v>wall · 7770–7780</v>
      </c>
    </row>
    <row r="51" spans="1:18" ht="15" customHeight="1" x14ac:dyDescent="0.25">
      <c r="A51" s="596" t="s">
        <v>57</v>
      </c>
      <c r="B51" s="596"/>
      <c r="C51" s="596"/>
      <c r="E51" s="35" t="s">
        <v>58</v>
      </c>
      <c r="F51" s="164" t="str">
        <f>'GEX Depth'!C56</f>
        <v>UP</v>
      </c>
      <c r="G51" s="109"/>
      <c r="H51" s="110"/>
      <c r="I51" s="105"/>
      <c r="J51" s="80"/>
    </row>
    <row r="52" spans="1:18" ht="15" customHeight="1" x14ac:dyDescent="0.25">
      <c r="A52" s="597" t="s">
        <v>59</v>
      </c>
      <c r="B52" s="597"/>
      <c r="C52" s="597"/>
      <c r="E52" s="111"/>
      <c r="F52" s="112"/>
      <c r="G52" s="113"/>
      <c r="H52" s="113"/>
      <c r="I52" s="114"/>
      <c r="J52" s="111"/>
      <c r="K52" s="101"/>
    </row>
    <row r="53" spans="1:18" ht="15" customHeight="1" x14ac:dyDescent="0.25">
      <c r="A53" s="605" t="s">
        <v>60</v>
      </c>
      <c r="B53" s="605"/>
      <c r="C53" s="605"/>
      <c r="D53" s="115"/>
      <c r="E53" s="165" t="s">
        <v>61</v>
      </c>
      <c r="F53" s="166"/>
      <c r="G53" s="139"/>
      <c r="H53" s="139"/>
      <c r="I53" s="105"/>
      <c r="J53" s="80"/>
      <c r="L53" s="167"/>
    </row>
    <row r="54" spans="1:18" ht="15" customHeight="1" x14ac:dyDescent="0.25">
      <c r="A54" s="606" t="s">
        <v>62</v>
      </c>
      <c r="B54" s="606"/>
      <c r="C54" s="606"/>
      <c r="D54" s="115"/>
      <c r="E54" s="168" t="s">
        <v>63</v>
      </c>
      <c r="I54" s="122" t="s">
        <v>64</v>
      </c>
      <c r="L54" s="167"/>
    </row>
    <row r="55" spans="1:18" ht="15" customHeight="1" x14ac:dyDescent="0.25">
      <c r="A55" s="607" t="s">
        <v>2094</v>
      </c>
      <c r="B55" s="608"/>
      <c r="C55" s="608"/>
      <c r="D55" s="115"/>
      <c r="E55" s="126">
        <f>IF('King Node Model'!$T$25="-","",'King Node Model'!$T$25)</f>
        <v>7795</v>
      </c>
      <c r="F55" s="124">
        <f>IF('King Node Model'!$U$25="-","",'King Node Model'!$U$25)</f>
        <v>1459310</v>
      </c>
      <c r="G55" s="125">
        <f>IF(ISNUMBER('King Node Model'!$T$25),'King Node Model'!$T$25-'King Node Model'!$B$4,"")</f>
        <v>19.609999999999673</v>
      </c>
      <c r="I55" s="126">
        <f>IF('King Node Model'!$T$28="-","",'King Node Model'!$T$28)</f>
        <v>7770</v>
      </c>
      <c r="J55" s="124">
        <f>IF('King Node Model'!$U$28="-","",'King Node Model'!$U$28)</f>
        <v>4471438</v>
      </c>
      <c r="K55" s="125">
        <f>IF(ISNUMBER('King Node Model'!$T$28),'King Node Model'!$T$28-'King Node Model'!$B$4,"")</f>
        <v>-5.3900000000003274</v>
      </c>
      <c r="L55" s="167"/>
    </row>
    <row r="56" spans="1:18" ht="15" customHeight="1" x14ac:dyDescent="0.25">
      <c r="A56" s="606" t="s">
        <v>65</v>
      </c>
      <c r="B56" s="606"/>
      <c r="C56" s="606"/>
      <c r="D56" s="115"/>
      <c r="E56" s="126">
        <f>IF('King Node Model'!$T$26="-","",'King Node Model'!$T$26)</f>
        <v>7805</v>
      </c>
      <c r="F56" s="124">
        <f>IF('King Node Model'!$U$26="-","",'King Node Model'!$U$26)</f>
        <v>874234</v>
      </c>
      <c r="G56" s="125">
        <f>IF(ISNUMBER('King Node Model'!$T$26),'King Node Model'!$T$26-'King Node Model'!$B$4,"")</f>
        <v>29.609999999999673</v>
      </c>
      <c r="I56" s="126">
        <f>IF('King Node Model'!$T$29="-","",'King Node Model'!$T$29)</f>
        <v>7775</v>
      </c>
      <c r="J56" s="124">
        <f>IF('King Node Model'!$U$29="-","",'King Node Model'!$U$29)</f>
        <v>4056043</v>
      </c>
      <c r="K56" s="125">
        <f>IF(ISNUMBER('King Node Model'!$T$29),'King Node Model'!$T$29-'King Node Model'!$B$4,"")</f>
        <v>-0.39000000000032742</v>
      </c>
      <c r="L56" s="167"/>
    </row>
    <row r="57" spans="1:18" ht="15" customHeight="1" x14ac:dyDescent="0.25">
      <c r="A57" s="606" t="s">
        <v>66</v>
      </c>
      <c r="B57" s="606"/>
      <c r="C57" s="606"/>
      <c r="D57" s="115"/>
      <c r="E57" s="126">
        <f>IF('King Node Model'!$T$27="-","",'King Node Model'!$T$27)</f>
        <v>7810</v>
      </c>
      <c r="F57" s="124">
        <f>IF('King Node Model'!$U$27="-","",'King Node Model'!$U$27)</f>
        <v>756012</v>
      </c>
      <c r="G57" s="125">
        <f>IF(ISNUMBER('King Node Model'!$T$27),'King Node Model'!$T$27-'King Node Model'!$B$4,"")</f>
        <v>34.609999999999673</v>
      </c>
      <c r="I57" s="126">
        <f>IF('King Node Model'!$T$30="-","",'King Node Model'!$T$30)</f>
        <v>7780</v>
      </c>
      <c r="J57" s="124">
        <f>IF('King Node Model'!$U$30="-","",'King Node Model'!$U$30)</f>
        <v>4038999</v>
      </c>
      <c r="K57" s="125">
        <f>IF(ISNUMBER('King Node Model'!$T$30),'King Node Model'!$T$30-'King Node Model'!$B$4,"")</f>
        <v>4.6099999999996726</v>
      </c>
      <c r="L57" s="167"/>
    </row>
    <row r="58" spans="1:18" ht="27" customHeight="1" x14ac:dyDescent="0.25">
      <c r="A58" s="604" t="s">
        <v>67</v>
      </c>
      <c r="B58" s="604"/>
      <c r="C58" s="604"/>
      <c r="E58" s="133"/>
      <c r="F58" s="133"/>
      <c r="G58" s="133"/>
      <c r="H58" s="133"/>
      <c r="I58" s="133"/>
      <c r="J58" s="133"/>
      <c r="K58" s="133"/>
    </row>
    <row r="59" spans="1:18" ht="15" customHeight="1" x14ac:dyDescent="0.25">
      <c r="A59" s="120" t="s">
        <v>68</v>
      </c>
    </row>
    <row r="60" spans="1:18" ht="15" customHeight="1" x14ac:dyDescent="0.25"/>
  </sheetData>
  <mergeCells count="54">
    <mergeCell ref="A58:C58"/>
    <mergeCell ref="A53:C53"/>
    <mergeCell ref="A54:C54"/>
    <mergeCell ref="A55:C55"/>
    <mergeCell ref="A56:C56"/>
    <mergeCell ref="A57:C57"/>
    <mergeCell ref="E34:N34"/>
    <mergeCell ref="T47:W47"/>
    <mergeCell ref="F48:H48"/>
    <mergeCell ref="A51:C51"/>
    <mergeCell ref="A52:C52"/>
    <mergeCell ref="T24:W24"/>
    <mergeCell ref="E25:M25"/>
    <mergeCell ref="F26:N26"/>
    <mergeCell ref="L28:N28"/>
    <mergeCell ref="E29:N29"/>
    <mergeCell ref="T21:U21"/>
    <mergeCell ref="V21:W21"/>
    <mergeCell ref="T22:U22"/>
    <mergeCell ref="V22:W22"/>
    <mergeCell ref="T23:U23"/>
    <mergeCell ref="V23:W23"/>
    <mergeCell ref="E21:F21"/>
    <mergeCell ref="G21:H21"/>
    <mergeCell ref="I21:J21"/>
    <mergeCell ref="K21:L21"/>
    <mergeCell ref="M21:N21"/>
    <mergeCell ref="E19:H19"/>
    <mergeCell ref="T19:U19"/>
    <mergeCell ref="V19:W19"/>
    <mergeCell ref="T20:U20"/>
    <mergeCell ref="V20:W20"/>
    <mergeCell ref="F13:N13"/>
    <mergeCell ref="F14:N14"/>
    <mergeCell ref="F15:N15"/>
    <mergeCell ref="T17:W17"/>
    <mergeCell ref="T18:W18"/>
    <mergeCell ref="G8:N8"/>
    <mergeCell ref="F9:N9"/>
    <mergeCell ref="F10:N10"/>
    <mergeCell ref="F11:N11"/>
    <mergeCell ref="F12:N12"/>
    <mergeCell ref="E4:F4"/>
    <mergeCell ref="G4:H4"/>
    <mergeCell ref="I4:J4"/>
    <mergeCell ref="E5:N5"/>
    <mergeCell ref="E6:N6"/>
    <mergeCell ref="A1:C1"/>
    <mergeCell ref="E1:J1"/>
    <mergeCell ref="L1:N1"/>
    <mergeCell ref="E3:F3"/>
    <mergeCell ref="G3:H3"/>
    <mergeCell ref="I3:J3"/>
    <mergeCell ref="K3:N3"/>
  </mergeCells>
  <conditionalFormatting sqref="A3:A49">
    <cfRule type="expression" dxfId="161" priority="2">
      <formula>ABS($O3-$P$2)&lt;=2.5</formula>
    </cfRule>
  </conditionalFormatting>
  <conditionalFormatting sqref="A3:C49">
    <cfRule type="expression" dxfId="160" priority="3">
      <formula>OR(AND($O3=$Q$17,$Q$25=1),AND($O3=$Q$18,$Q$26=1),AND($O3=$Q$19,$Q$27=1),AND($O3=$Q$20,$Q$28=1),AND($O3=$Q$21,$Q$29=1),AND($O3=$Q$22,$Q$30=1))</formula>
    </cfRule>
    <cfRule type="expression" dxfId="159" priority="4">
      <formula>OR($O3=$Q$17,$O3=$Q$18,$O3=$Q$19)</formula>
    </cfRule>
    <cfRule type="expression" dxfId="158" priority="5">
      <formula>OR($O3=$Q$20,$O3=$Q$21,$O3=$Q$22)</formula>
    </cfRule>
    <cfRule type="expression" dxfId="157" priority="6">
      <formula>$O3=$Q$4</formula>
    </cfRule>
    <cfRule type="expression" dxfId="156" priority="7">
      <formula>$O3=$Q$23</formula>
    </cfRule>
    <cfRule type="expression" dxfId="155" priority="8">
      <formula>$O3=$Q$1</formula>
    </cfRule>
    <cfRule type="expression" dxfId="154" priority="9">
      <formula>$O3=$Q$2</formula>
    </cfRule>
    <cfRule type="expression" dxfId="153" priority="10">
      <formula>ABS($O3-$P$2)&lt;=2.5</formula>
    </cfRule>
  </conditionalFormatting>
  <conditionalFormatting sqref="E6">
    <cfRule type="expression" dxfId="152" priority="11">
      <formula>ISNUMBER(SEARCH("⚠",$E$6))</formula>
    </cfRule>
  </conditionalFormatting>
  <conditionalFormatting sqref="G8">
    <cfRule type="expression" dxfId="151" priority="12">
      <formula>ISNUMBER(SEARCH("BUY",$G$8))</formula>
    </cfRule>
    <cfRule type="expression" dxfId="150" priority="13">
      <formula>ISNUMBER(SEARCH("SELL",$G$8))</formula>
    </cfRule>
  </conditionalFormatting>
  <conditionalFormatting sqref="E19">
    <cfRule type="expression" dxfId="149" priority="14">
      <formula>ISNUMBER(SEARCH("-",$E$19))</formula>
    </cfRule>
    <cfRule type="expression" dxfId="148" priority="15">
      <formula>NOT(ISNUMBER(SEARCH("-",$E$19)))</formula>
    </cfRule>
  </conditionalFormatting>
  <conditionalFormatting sqref="M25">
    <cfRule type="expression" dxfId="147" priority="16">
      <formula>ISNUMBER(SEARCH("BREAK",$M$25))</formula>
    </cfRule>
    <cfRule type="expression" dxfId="146" priority="17">
      <formula>ISNUMBER(SEARCH("HOLD",$M$25))</formula>
    </cfRule>
    <cfRule type="expression" dxfId="145" priority="18">
      <formula>ISNUMBER(SEARCH("watch",$M$25))</formula>
    </cfRule>
  </conditionalFormatting>
  <conditionalFormatting sqref="M31:M33">
    <cfRule type="expression" dxfId="144" priority="19">
      <formula>ISNUMBER(SEARCH("HOLD",M31))</formula>
    </cfRule>
    <cfRule type="expression" dxfId="143" priority="20">
      <formula>ISNUMBER(SEARCH("pull-through",M31))</formula>
    </cfRule>
    <cfRule type="expression" dxfId="142" priority="21">
      <formula>ISNUMBER(SEARCH("reaction",M31))</formula>
    </cfRule>
    <cfRule type="expression" dxfId="141" priority="22">
      <formula>ISNUMBER(SEARCH("watch",M31))</formula>
    </cfRule>
  </conditionalFormatting>
  <conditionalFormatting sqref="M36:M38">
    <cfRule type="expression" dxfId="140" priority="23">
      <formula>ISNUMBER(SEARCH("watch",M36))</formula>
    </cfRule>
  </conditionalFormatting>
  <conditionalFormatting sqref="L31:L33">
    <cfRule type="expression" dxfId="139" priority="24">
      <formula>ISNUMBER(SEARCH("VOMMA",L31))</formula>
    </cfRule>
  </conditionalFormatting>
  <conditionalFormatting sqref="L36:L38">
    <cfRule type="expression" dxfId="138" priority="25">
      <formula>ISNUMBER(SEARCH("VOMMA",L36))</formula>
    </cfRule>
  </conditionalFormatting>
  <conditionalFormatting sqref="I31:I33">
    <cfRule type="colorScale" priority="26">
      <colorScale>
        <cfvo type="num" val="2"/>
        <cfvo type="num" val="5"/>
        <cfvo type="num" val="8"/>
        <color rgb="FFFFFFFF"/>
        <color rgb="FFFFE082"/>
        <color rgb="FFE8A33D"/>
      </colorScale>
    </cfRule>
    <cfRule type="expression" dxfId="137" priority="27">
      <formula>$AB31&gt;=0.4</formula>
    </cfRule>
  </conditionalFormatting>
  <conditionalFormatting sqref="I36:I38">
    <cfRule type="colorScale" priority="28">
      <colorScale>
        <cfvo type="num" val="2"/>
        <cfvo type="num" val="5"/>
        <cfvo type="num" val="8"/>
        <color rgb="FFFFFFFF"/>
        <color rgb="FFFFE082"/>
        <color rgb="FFE8A33D"/>
      </colorScale>
    </cfRule>
    <cfRule type="expression" dxfId="136" priority="29">
      <formula>$AB36&gt;=0.4</formula>
    </cfRule>
  </conditionalFormatting>
  <conditionalFormatting sqref="E25">
    <cfRule type="expression" dxfId="135" priority="30">
      <formula>ISNUMBER(SEARCH("CHOP",$E$25))</formula>
    </cfRule>
    <cfRule type="expression" dxfId="134" priority="31">
      <formula>ISNUMBER(SEARCH("TREND",$E$25))</formula>
    </cfRule>
  </conditionalFormatting>
  <conditionalFormatting sqref="S30">
    <cfRule type="expression" dxfId="133" priority="32">
      <formula>ISNUMBER(SEARCH("CHOPPY",$S$30))</formula>
    </cfRule>
    <cfRule type="expression" dxfId="132" priority="33">
      <formula>ISNUMBER(SEARCH("structured",$S$30))</formula>
    </cfRule>
  </conditionalFormatting>
  <conditionalFormatting sqref="G31:G33">
    <cfRule type="expression" dxfId="131" priority="34">
      <formula>G31&gt;0</formula>
    </cfRule>
    <cfRule type="expression" dxfId="130" priority="35">
      <formula>G31&lt;0</formula>
    </cfRule>
  </conditionalFormatting>
  <conditionalFormatting sqref="G36:G38">
    <cfRule type="expression" dxfId="129" priority="36">
      <formula>G36&lt;0</formula>
    </cfRule>
  </conditionalFormatting>
  <conditionalFormatting sqref="M16">
    <cfRule type="expression" dxfId="128" priority="37">
      <formula>M16="Neg"</formula>
    </cfRule>
    <cfRule type="expression" dxfId="127" priority="38">
      <formula>M16="Pos"</formula>
    </cfRule>
  </conditionalFormatting>
  <conditionalFormatting sqref="F17:M17">
    <cfRule type="expression" dxfId="126" priority="39">
      <formula>F17="Pos"</formula>
    </cfRule>
    <cfRule type="expression" dxfId="125" priority="40">
      <formula>F17="Neg"</formula>
    </cfRule>
  </conditionalFormatting>
  <conditionalFormatting sqref="F16:L16">
    <cfRule type="expression" dxfId="124" priority="41">
      <formula>F16="Pos"</formula>
    </cfRule>
    <cfRule type="expression" dxfId="123" priority="42">
      <formula>F16="Neg"</formula>
    </cfRule>
  </conditionalFormatting>
  <conditionalFormatting sqref="G42:G45">
    <cfRule type="expression" dxfId="122" priority="43">
      <formula>G42&lt;0</formula>
    </cfRule>
  </conditionalFormatting>
  <conditionalFormatting sqref="H42:H45">
    <cfRule type="expression" dxfId="121" priority="44">
      <formula>H42&lt;0</formula>
    </cfRule>
  </conditionalFormatting>
  <conditionalFormatting sqref="F26:N26">
    <cfRule type="expression" dxfId="120" priority="45">
      <formula>ISNUMBER(SEARCH("SHORT trigger",$F$26))</formula>
    </cfRule>
  </conditionalFormatting>
  <conditionalFormatting sqref="J31:J33">
    <cfRule type="expression" dxfId="119" priority="46">
      <formula>OR(ISNUMBER(SEARCH("building",J31)),ISNUMBER(SEARCH("WEAKENING",J31)),ISNUMBER(SEARCH("ACCELERANT",J31)),ISNUMBER(SEARCH("FRAGILE",J31)))</formula>
    </cfRule>
    <cfRule type="expression" dxfId="118" priority="47">
      <formula>OR(ISNUMBER(SEARCH("fading",J31)),ISNUMBER(SEARCH("STRENGTHENING",J31)))</formula>
    </cfRule>
  </conditionalFormatting>
  <conditionalFormatting sqref="J36:J38">
    <cfRule type="expression" dxfId="117" priority="48">
      <formula>OR(ISNUMBER(SEARCH("building",J36)),ISNUMBER(SEARCH("WEAKENING",J36)),ISNUMBER(SEARCH("ACCELERANT",J36)),ISNUMBER(SEARCH("FRAGILE",J36)))</formula>
    </cfRule>
    <cfRule type="expression" dxfId="116" priority="49">
      <formula>OR(ISNUMBER(SEARCH("fading",J36)),ISNUMBER(SEARCH("STRENGTHENING",J36)))</formula>
    </cfRule>
  </conditionalFormatting>
  <conditionalFormatting sqref="J42:J45">
    <cfRule type="expression" dxfId="115" priority="50">
      <formula>OR(ISNUMBER(SEARCH("building",J42)),ISNUMBER(SEARCH("WEAKENING",J42)),ISNUMBER(SEARCH("ACCELERANT",J42)),ISNUMBER(SEARCH("FRAGILE",J42)))</formula>
    </cfRule>
    <cfRule type="expression" dxfId="114" priority="51">
      <formula>OR(ISNUMBER(SEARCH("fading",J42)),ISNUMBER(SEARCH("STRENGTHENING",J42)))</formula>
    </cfRule>
  </conditionalFormatting>
  <conditionalFormatting sqref="K31">
    <cfRule type="expression" dxfId="113" priority="52">
      <formula>OR(ISNUMBER(SEARCH("WEAKENING",K31)),ISNUMBER(SEARCH("FRAGILE",K31)))</formula>
    </cfRule>
    <cfRule type="expression" dxfId="112" priority="53">
      <formula>ISNUMBER(SEARCH("STRENGTHENING",K31))</formula>
    </cfRule>
  </conditionalFormatting>
  <conditionalFormatting sqref="K32">
    <cfRule type="expression" dxfId="111" priority="54">
      <formula>OR(ISNUMBER(SEARCH("WEAKENING",K32)),ISNUMBER(SEARCH("FRAGILE",K32)))</formula>
    </cfRule>
    <cfRule type="expression" dxfId="110" priority="55">
      <formula>ISNUMBER(SEARCH("STRENGTHENING",K32))</formula>
    </cfRule>
  </conditionalFormatting>
  <conditionalFormatting sqref="K33">
    <cfRule type="expression" dxfId="109" priority="56">
      <formula>OR(ISNUMBER(SEARCH("WEAKENING",K33)),ISNUMBER(SEARCH("FRAGILE",K33)))</formula>
    </cfRule>
    <cfRule type="expression" dxfId="108" priority="57">
      <formula>ISNUMBER(SEARCH("STRENGTHENING",K33))</formula>
    </cfRule>
  </conditionalFormatting>
  <conditionalFormatting sqref="K36">
    <cfRule type="expression" dxfId="107" priority="58">
      <formula>OR(ISNUMBER(SEARCH("WEAKENING",K36)),ISNUMBER(SEARCH("FRAGILE",K36)))</formula>
    </cfRule>
    <cfRule type="expression" dxfId="106" priority="59">
      <formula>ISNUMBER(SEARCH("STRENGTHENING",K36))</formula>
    </cfRule>
  </conditionalFormatting>
  <conditionalFormatting sqref="K37">
    <cfRule type="expression" dxfId="105" priority="60">
      <formula>OR(ISNUMBER(SEARCH("WEAKENING",K37)),ISNUMBER(SEARCH("FRAGILE",K37)))</formula>
    </cfRule>
    <cfRule type="expression" dxfId="104" priority="61">
      <formula>ISNUMBER(SEARCH("STRENGTHENING",K37))</formula>
    </cfRule>
  </conditionalFormatting>
  <conditionalFormatting sqref="K38">
    <cfRule type="expression" dxfId="103" priority="62">
      <formula>OR(ISNUMBER(SEARCH("WEAKENING",K38)),ISNUMBER(SEARCH("FRAGILE",K38)))</formula>
    </cfRule>
    <cfRule type="expression" dxfId="102" priority="63">
      <formula>ISNUMBER(SEARCH("STRENGTHENING",K38))</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79"/>
  <sheetViews>
    <sheetView topLeftCell="A40" zoomScaleNormal="100" workbookViewId="0">
      <selection activeCell="N63" sqref="N63"/>
    </sheetView>
  </sheetViews>
  <sheetFormatPr defaultColWidth="8.7109375" defaultRowHeight="15" x14ac:dyDescent="0.25"/>
  <cols>
    <col min="1" max="1" width="9" style="1" customWidth="1"/>
    <col min="2" max="2" width="11" style="1" customWidth="1"/>
    <col min="3" max="3" width="12" style="1" customWidth="1"/>
    <col min="4" max="4" width="22.42578125" style="1" customWidth="1"/>
    <col min="5" max="5" width="21" style="1" customWidth="1"/>
    <col min="6" max="6" width="10.7109375" style="1" bestFit="1" customWidth="1"/>
    <col min="7" max="7" width="18.85546875" style="1" bestFit="1" customWidth="1"/>
    <col min="8" max="8" width="10" style="1" customWidth="1"/>
    <col min="9" max="9" width="8" style="1" customWidth="1"/>
    <col min="10" max="11" width="11" style="1" customWidth="1"/>
    <col min="12" max="12" width="14.7109375" style="1" customWidth="1"/>
    <col min="13" max="13" width="7" style="1" customWidth="1"/>
    <col min="14" max="16" width="9" style="1" customWidth="1"/>
    <col min="17" max="17" width="15" style="1" customWidth="1"/>
    <col min="18" max="18" width="20" style="1" customWidth="1"/>
    <col min="19" max="19" width="25" style="1" customWidth="1"/>
    <col min="20" max="20" width="12.85546875" style="1" customWidth="1"/>
    <col min="21" max="21" width="27.5703125" style="1" customWidth="1"/>
    <col min="22" max="23" width="12" style="1" customWidth="1"/>
    <col min="24" max="24" width="20" style="1" customWidth="1"/>
    <col min="25" max="25" width="43.140625" style="1" bestFit="1" customWidth="1"/>
    <col min="26" max="26" width="12" style="1" customWidth="1"/>
    <col min="27" max="27" width="8.42578125" style="1" customWidth="1"/>
    <col min="31" max="31" width="13" style="1" hidden="1" customWidth="1"/>
    <col min="38" max="38" width="13" style="1" hidden="1" customWidth="1"/>
    <col min="47" max="49" width="13" style="1" hidden="1" customWidth="1"/>
  </cols>
  <sheetData>
    <row r="1" spans="1:41" ht="18" customHeight="1" x14ac:dyDescent="0.25">
      <c r="A1" s="169" t="s">
        <v>69</v>
      </c>
      <c r="S1" s="640" t="s">
        <v>70</v>
      </c>
      <c r="T1" s="640"/>
      <c r="U1" s="640"/>
      <c r="V1" s="640"/>
      <c r="W1" s="640"/>
      <c r="X1" s="640"/>
    </row>
    <row r="2" spans="1:41" ht="15" customHeight="1" x14ac:dyDescent="0.25">
      <c r="A2" s="171" t="s">
        <v>71</v>
      </c>
      <c r="S2" s="172" t="str">
        <f>IF('Level Engine'!A7="","",'Level Engine'!A7)</f>
        <v>— RESISTANCE (above spot, strongest first) —</v>
      </c>
      <c r="Y2" s="1" t="str">
        <f>IF('Level Engine'!G7="","",'Level Engine'!G7)</f>
        <v/>
      </c>
    </row>
    <row r="3" spans="1:41" ht="15" customHeight="1" x14ac:dyDescent="0.25">
      <c r="G3" s="173"/>
      <c r="H3" s="173"/>
      <c r="I3" s="173"/>
      <c r="J3" s="173"/>
      <c r="O3" s="174" t="s">
        <v>72</v>
      </c>
      <c r="S3" s="175" t="str">
        <f>IF('Level Engine'!A8="","",'Level Engine'!A8)</f>
        <v>Level</v>
      </c>
      <c r="T3" s="175" t="str">
        <f>IF('Level Engine'!B8="","",'Level Engine'!B8)</f>
        <v>GEX</v>
      </c>
      <c r="U3" s="175" t="str">
        <f>IF('Level Engine'!C8="","",'Level Engine'!C8)</f>
        <v>Backers</v>
      </c>
      <c r="V3" s="175" t="str">
        <f>IF('Level Engine'!D8="","",'Level Engine'!D8)</f>
        <v>Confl</v>
      </c>
      <c r="W3" s="175" t="str">
        <f>IF('Level Engine'!E8="","",'Level Engine'!E8)</f>
        <v>Reversal?</v>
      </c>
      <c r="X3" s="176" t="str">
        <f>IF('Level Engine'!F8="","",'Level Engine'!F8)</f>
        <v>Vol</v>
      </c>
      <c r="Y3" s="176" t="str">
        <f>IF('Level Engine'!G8="","",'Level Engine'!G8)</f>
        <v>Zomma</v>
      </c>
    </row>
    <row r="4" spans="1:41" ht="15" customHeight="1" x14ac:dyDescent="0.25">
      <c r="A4" s="177" t="s">
        <v>73</v>
      </c>
      <c r="B4" s="178">
        <v>7775.39</v>
      </c>
      <c r="C4" s="177" t="s">
        <v>74</v>
      </c>
      <c r="F4" s="179"/>
      <c r="G4" s="177" t="s">
        <v>75</v>
      </c>
      <c r="H4" s="180"/>
      <c r="I4" s="181" t="s">
        <v>76</v>
      </c>
      <c r="L4" s="182">
        <f>1+0.6*MAX(0,(1-$H$4/6.5))</f>
        <v>1.6</v>
      </c>
      <c r="O4" s="1" t="s">
        <v>77</v>
      </c>
      <c r="P4" s="1" t="s">
        <v>1272</v>
      </c>
      <c r="S4" s="183" t="str">
        <f>IF('Level Engine'!A9="","",'Level Engine'!A9)</f>
        <v>7800</v>
      </c>
      <c r="T4" s="184">
        <f>IF('Level Engine'!B9="","",'Level Engine'!B9)</f>
        <v>-80182</v>
      </c>
      <c r="U4" s="185" t="str">
        <f>'Level Engine'!C9</f>
        <v>Vex Dex Dex↓ Spi Gfx</v>
      </c>
      <c r="V4" s="185">
        <f>'Level Engine'!D9</f>
        <v>5</v>
      </c>
      <c r="W4" s="185" t="str">
        <f>'Level Engine'!E9</f>
        <v>REVERSAL</v>
      </c>
      <c r="X4" s="186" t="str">
        <f>'Level Engine'!F9</f>
        <v>ACCELERANT</v>
      </c>
      <c r="Y4" s="186" t="str">
        <f>IF('Level Engine'!G9="","",'Level Engine'!G9)</f>
        <v>Dormant</v>
      </c>
    </row>
    <row r="5" spans="1:41" ht="15" customHeight="1" x14ac:dyDescent="0.25">
      <c r="A5" s="177" t="s">
        <v>79</v>
      </c>
      <c r="B5" s="180">
        <v>15.39</v>
      </c>
      <c r="C5" s="177" t="s">
        <v>80</v>
      </c>
      <c r="D5" s="180">
        <v>86.64</v>
      </c>
      <c r="E5" s="177" t="s">
        <v>81</v>
      </c>
      <c r="F5" s="180">
        <v>8.5</v>
      </c>
      <c r="G5" s="181" t="s">
        <v>82</v>
      </c>
      <c r="H5" s="180">
        <v>17.5</v>
      </c>
      <c r="I5" s="181" t="s">
        <v>83</v>
      </c>
      <c r="J5" s="187" t="str">
        <f>IF(OR($F$5/$B$5&gt;=1.1,$D$5&gt;=110,$B$5&gt;=22),"HIGH",IF(OR($F$5/$B$5&lt;=0.9,AND($D$5&lt;=90,$B$5&lt;=15)),"LOW","NEUTRAL"))</f>
        <v>LOW</v>
      </c>
      <c r="K5" s="188" t="s">
        <v>84</v>
      </c>
      <c r="L5" s="189" t="str">
        <f>IF('Master Dashboard'!$L$5&lt;&gt;"",PROPER('Master Dashboard'!$L$5),IF(OR($P$10="High",$P$10="Low"),$P$10,IF($J$5="NEUTRAL",IF($B$5&gt;=$H$5,"High","Low"),IF($J$5="HIGH","High","Low"))))</f>
        <v>Low</v>
      </c>
      <c r="M5" s="181" t="s">
        <v>85</v>
      </c>
      <c r="N5" s="182">
        <f>MAX(0.6,MIN(1.4,0.6*($F$5/$B$5)+0.4*($D$5/100)+0.4))</f>
        <v>1.0779440155945421</v>
      </c>
      <c r="O5" s="1" t="s">
        <v>86</v>
      </c>
      <c r="P5" s="1" t="s">
        <v>1272</v>
      </c>
      <c r="S5" s="190" t="str">
        <f>IF('Level Engine'!A10="","",'Level Engine'!A10)</f>
        <v>7805</v>
      </c>
      <c r="T5" s="191">
        <f>IF('Level Engine'!B10="","",'Level Engine'!B10)</f>
        <v>308525</v>
      </c>
      <c r="U5" s="192" t="str">
        <f>'Level Engine'!C10</f>
        <v>Gxp Gfx oEdge</v>
      </c>
      <c r="V5" s="192">
        <f>'Level Engine'!D10</f>
        <v>3</v>
      </c>
      <c r="W5" s="192" t="str">
        <f>'Level Engine'!E10</f>
        <v>REVERSAL</v>
      </c>
      <c r="X5" s="193" t="str">
        <f>'Level Engine'!F10</f>
        <v>stable</v>
      </c>
      <c r="Y5" s="193" t="str">
        <f>IF('Level Engine'!G10="","",'Level Engine'!G10)</f>
        <v>Dormant</v>
      </c>
    </row>
    <row r="6" spans="1:41" ht="15" customHeight="1" x14ac:dyDescent="0.25">
      <c r="A6" s="188" t="s">
        <v>87</v>
      </c>
      <c r="B6" s="1" t="s">
        <v>24</v>
      </c>
      <c r="C6" s="1">
        <v>7430.25</v>
      </c>
      <c r="O6" s="1" t="s">
        <v>88</v>
      </c>
      <c r="P6" s="1" t="s">
        <v>1263</v>
      </c>
      <c r="S6" s="194" t="str">
        <f>IF('Level Engine'!A11="","",'Level Engine'!A11)</f>
        <v>7810</v>
      </c>
      <c r="T6" s="195">
        <f>IF('Level Engine'!B11="","",'Level Engine'!B11)</f>
        <v>353277</v>
      </c>
      <c r="U6" s="196" t="str">
        <f>'Level Engine'!C11</f>
        <v>Gam Dex↓ Gxp oEdge</v>
      </c>
      <c r="V6" s="196">
        <f>'Level Engine'!D11</f>
        <v>4</v>
      </c>
      <c r="W6" s="196" t="str">
        <f>'Level Engine'!E11</f>
        <v>REVERSAL</v>
      </c>
      <c r="X6" s="197" t="str">
        <f>'Level Engine'!F11</f>
        <v>stable</v>
      </c>
      <c r="Y6" s="197" t="str">
        <f>IF('Level Engine'!G11="","",'Level Engine'!G11)</f>
        <v>Dormant</v>
      </c>
    </row>
    <row r="7" spans="1:41" ht="15" customHeight="1" x14ac:dyDescent="0.25">
      <c r="A7" s="198" t="s">
        <v>14</v>
      </c>
      <c r="B7" s="198" t="s">
        <v>15</v>
      </c>
      <c r="C7" s="198" t="s">
        <v>16</v>
      </c>
      <c r="D7" s="198" t="s">
        <v>17</v>
      </c>
      <c r="E7" s="198" t="s">
        <v>18</v>
      </c>
      <c r="F7" s="198" t="s">
        <v>19</v>
      </c>
      <c r="G7" s="198" t="s">
        <v>20</v>
      </c>
      <c r="H7" s="198"/>
      <c r="J7" s="181" t="s">
        <v>89</v>
      </c>
      <c r="O7" s="1" t="s">
        <v>90</v>
      </c>
      <c r="P7" s="1">
        <v>18.16</v>
      </c>
      <c r="S7" s="199" t="str">
        <f>IF('Level Engine'!A12="","",'Level Engine'!A12)</f>
        <v>7820</v>
      </c>
      <c r="T7" s="200">
        <f>IF('Level Engine'!B12="","",'Level Engine'!B12)</f>
        <v>188525</v>
      </c>
      <c r="U7" s="201" t="str">
        <f>'Level Engine'!C12</f>
        <v>Dex Dex↓ Gxp</v>
      </c>
      <c r="V7" s="201">
        <f>'Level Engine'!D12</f>
        <v>3</v>
      </c>
      <c r="W7" s="201" t="str">
        <f>'Level Engine'!E12</f>
        <v>REVERSAL</v>
      </c>
      <c r="X7" s="202" t="str">
        <f>'Level Engine'!F12</f>
        <v>stable</v>
      </c>
      <c r="Y7" s="202" t="str">
        <f>IF('Level Engine'!G12="","",'Level Engine'!G12)</f>
        <v>Dormant</v>
      </c>
    </row>
    <row r="8" spans="1:41" ht="15" customHeight="1" x14ac:dyDescent="0.25">
      <c r="A8" s="203" t="s">
        <v>213</v>
      </c>
      <c r="B8" s="203" t="s">
        <v>91</v>
      </c>
      <c r="C8" s="203" t="s">
        <v>213</v>
      </c>
      <c r="D8" s="203" t="s">
        <v>91</v>
      </c>
      <c r="E8" s="203" t="s">
        <v>91</v>
      </c>
      <c r="F8" s="203" t="s">
        <v>91</v>
      </c>
      <c r="G8" s="203" t="s">
        <v>91</v>
      </c>
      <c r="H8" s="203" t="s">
        <v>91</v>
      </c>
      <c r="J8" s="181" t="str">
        <f>$L$5&amp;"|"&amp;A8&amp;"|"&amp;B8&amp;"|"&amp;C8&amp;"|"&amp;D8&amp;"|"&amp;E8&amp;"|"&amp;F8&amp;"|"&amp;G8</f>
        <v>Low|Neg|Pos|Neg|Pos|Pos|Pos|Pos</v>
      </c>
      <c r="O8" s="1" t="s">
        <v>92</v>
      </c>
      <c r="P8" s="1" t="str">
        <f>IF($A$8="Pos","Positive",IF(OR($A$8="Neg",N('Level Engine'!$BG$72)=1),"Negative",""))&amp;"|"&amp;$P$4&amp;"|"&amp;$P$5&amp;"|"&amp;$P$6</f>
        <v>Negative|Down|Down|Up</v>
      </c>
      <c r="S8" s="204" t="str">
        <f>IF('Level Engine'!A13="","",'Level Engine'!A13)</f>
        <v>7780 ⟂</v>
      </c>
      <c r="T8" s="205">
        <f>IF('Level Engine'!B13="","",'Level Engine'!B13)</f>
        <v>-2299593</v>
      </c>
      <c r="U8" s="206" t="str">
        <f>'Level Engine'!C13</f>
        <v>Dex Zom Dex↓ Zsh P-OI</v>
      </c>
      <c r="V8" s="206">
        <f>'Level Engine'!D13</f>
        <v>5</v>
      </c>
      <c r="W8" s="206" t="str">
        <f>'Level Engine'!E13</f>
        <v>REVERSAL</v>
      </c>
      <c r="X8" s="207" t="str">
        <f>'Level Engine'!F13</f>
        <v>stable</v>
      </c>
      <c r="Y8" s="207" t="str">
        <f>IF('Level Engine'!G13="","",'Level Engine'!G13)</f>
        <v>ACCEL fading · Neg gamma ↓ (firmer resistance)</v>
      </c>
    </row>
    <row r="9" spans="1:41" ht="15" customHeight="1" x14ac:dyDescent="0.25">
      <c r="O9" s="1" t="s">
        <v>93</v>
      </c>
      <c r="P9" s="1" t="str">
        <f>IFERROR(INDEX('IV Regime Map'!$E$2:$E$55,MATCH($P$8,'IV Regime Map'!$J$2:$J$55,0)),"")</f>
        <v>Recovery Day with Local Wiggle</v>
      </c>
      <c r="S9" s="208" t="str">
        <f>IF('Level Engine'!A14="","",'Level Engine'!A14)</f>
        <v>7830</v>
      </c>
      <c r="T9" s="209">
        <f>IF('Level Engine'!B14="","",'Level Engine'!B14)</f>
        <v>437700</v>
      </c>
      <c r="U9" s="210" t="str">
        <f>'Level Engine'!C14</f>
        <v>Zom Dex↓ γSh Gxp</v>
      </c>
      <c r="V9" s="210">
        <f>'Level Engine'!D14</f>
        <v>4</v>
      </c>
      <c r="W9" s="210" t="str">
        <f>'Level Engine'!E14</f>
        <v>REVERSAL</v>
      </c>
      <c r="X9" s="211" t="str">
        <f>'Level Engine'!F14</f>
        <v>FRAGILE</v>
      </c>
      <c r="Y9" s="211" t="str">
        <f>IF('Level Engine'!G14="","",'Level Engine'!G14)</f>
        <v>WEAKENING · Pos gamma ↓ · thinning the ceiling</v>
      </c>
    </row>
    <row r="10" spans="1:41" ht="15" customHeight="1" x14ac:dyDescent="0.25">
      <c r="A10" s="170" t="s">
        <v>94</v>
      </c>
      <c r="O10" s="1" t="s">
        <v>95</v>
      </c>
      <c r="P10" s="1" t="str">
        <f>IF($P$9="","",IF(ISNUMBER(SEARCH("Coiled Spring",$P$9)),IF(AND($P$4="Up",$P$5="Up"),"High",IF(AND($P$4="Down",$P$5="Down"),"Low","MIXED")),IFERROR(INDEX('IV Regime Map'!$K$2:$K$55,MATCH($P$8,'IV Regime Map'!$J$2:$J$55,0)),"")))</f>
        <v>Low</v>
      </c>
      <c r="S10" s="212">
        <f>IF('Level Engine'!A15="","",'Level Engine'!A15)</f>
        <v>7775.39</v>
      </c>
      <c r="T10" s="213" t="str">
        <f>IF('Level Engine'!B15="","",'Level Engine'!B15)</f>
        <v>&lt;-- SPOT</v>
      </c>
      <c r="Y10" s="1" t="str">
        <f>IF('Level Engine'!G15="","",'Level Engine'!G15)</f>
        <v/>
      </c>
    </row>
    <row r="11" spans="1:41" ht="15" customHeight="1" x14ac:dyDescent="0.25">
      <c r="A11" s="214" t="s">
        <v>96</v>
      </c>
      <c r="C11" s="641" t="str">
        <f>IFERROR(INDEX(Matrix!$J$2:$J$79,MATCH($J$8,Matrix!$A$2:$A$79,0)),"no match")</f>
        <v>Low-Vol Grind-Up / Melt-Up — Dealers Comfortable with Upside Drift</v>
      </c>
      <c r="D11" s="641"/>
      <c r="E11" s="641"/>
      <c r="F11" s="641"/>
      <c r="G11" s="641"/>
      <c r="H11" s="641"/>
      <c r="I11" s="641"/>
      <c r="J11" s="641"/>
      <c r="K11" s="641"/>
      <c r="L11" s="641"/>
      <c r="M11" s="641"/>
      <c r="N11" s="641"/>
      <c r="O11" s="641"/>
      <c r="P11" s="641"/>
      <c r="S11" s="215" t="str">
        <f>IF('Level Engine'!A16="","",'Level Engine'!A16)</f>
        <v>— SUPPORT (below spot, strongest first) —</v>
      </c>
      <c r="T11" s="216"/>
      <c r="Y11" s="1" t="str">
        <f>IF('Level Engine'!G16="","",'Level Engine'!G16)</f>
        <v/>
      </c>
    </row>
    <row r="12" spans="1:41" ht="15" customHeight="1" x14ac:dyDescent="0.25">
      <c r="A12" s="214" t="s">
        <v>97</v>
      </c>
      <c r="C12" s="641" t="str">
        <f>IFERROR(INDEX(Matrix!$K$2:$K$79,MATCH($J$8,Matrix!$A$2:$A$79,0)),"no match")</f>
        <v>Short ATM/near-ATM calls (dominant gamma) + Long OTM puts</v>
      </c>
      <c r="D12" s="641"/>
      <c r="E12" s="641"/>
      <c r="F12" s="641"/>
      <c r="G12" s="641"/>
      <c r="H12" s="641"/>
      <c r="I12" s="641"/>
      <c r="J12" s="641"/>
      <c r="K12" s="641"/>
      <c r="L12" s="641"/>
      <c r="M12" s="641"/>
      <c r="N12" s="641"/>
      <c r="O12" s="641"/>
      <c r="P12" s="641"/>
      <c r="S12" s="175" t="str">
        <f>IF('Level Engine'!A17="","",'Level Engine'!A17)</f>
        <v>Level</v>
      </c>
      <c r="T12" s="217" t="str">
        <f>IF('Level Engine'!B17="","",'Level Engine'!B17)</f>
        <v>GEX</v>
      </c>
      <c r="U12" s="175" t="str">
        <f>IF('Level Engine'!C17="","",'Level Engine'!C17)</f>
        <v>Backers</v>
      </c>
      <c r="V12" s="175" t="str">
        <f>IF('Level Engine'!D17="","",'Level Engine'!D17)</f>
        <v>Confl</v>
      </c>
      <c r="W12" s="175" t="str">
        <f>IF('Level Engine'!E17="","",'Level Engine'!E17)</f>
        <v>Reversal?</v>
      </c>
      <c r="X12" s="176" t="str">
        <f>IF('Level Engine'!F17="","",'Level Engine'!F17)</f>
        <v>Vol</v>
      </c>
      <c r="Y12" s="176" t="str">
        <f>IF('Level Engine'!G17="","",'Level Engine'!G17)</f>
        <v>Zomma</v>
      </c>
      <c r="AB12" s="218" t="s">
        <v>2796</v>
      </c>
    </row>
    <row r="13" spans="1:41" ht="15" customHeight="1" x14ac:dyDescent="0.25">
      <c r="A13" s="214" t="s">
        <v>98</v>
      </c>
      <c r="C13" s="641" t="str">
        <f>IFERROR(INDEX(Matrix!$L$2:$L$79,MATCH($J$8,Matrix!$A$2:$A$79,0)),"no match")</f>
        <v>BUY the dip dominant. Pro-cyclical hedging — buying into strength, chase accelerates on rallies. Ride the trend — on IV spike trend changes to dominant selling.</v>
      </c>
      <c r="D13" s="641"/>
      <c r="E13" s="641"/>
      <c r="F13" s="641"/>
      <c r="G13" s="641"/>
      <c r="H13" s="641"/>
      <c r="I13" s="641"/>
      <c r="J13" s="641"/>
      <c r="K13" s="641"/>
      <c r="L13" s="641"/>
      <c r="M13" s="641"/>
      <c r="N13" s="641"/>
      <c r="O13" s="641"/>
      <c r="P13" s="641"/>
      <c r="S13" s="219" t="str">
        <f>IF('Level Engine'!A18="","",'Level Engine'!A18)</f>
        <v>7775</v>
      </c>
      <c r="T13" s="220">
        <f>IF('Level Engine'!B18="","",'Level Engine'!B18)</f>
        <v>-49207</v>
      </c>
      <c r="U13" s="221" t="str">
        <f>'Level Engine'!C18</f>
        <v>iDex Vgf ZG dEdge C-OI</v>
      </c>
      <c r="V13" s="221">
        <f>'Level Engine'!D18</f>
        <v>5</v>
      </c>
      <c r="W13" s="221" t="str">
        <f>'Level Engine'!E18</f>
        <v>REVERSAL</v>
      </c>
      <c r="X13" s="222" t="str">
        <f>'Level Engine'!F18</f>
        <v>stable</v>
      </c>
      <c r="Y13" s="222" t="str">
        <f>IF('Level Engine'!G18="","",'Level Engine'!G18)</f>
        <v>Dormant</v>
      </c>
      <c r="AB13" t="s">
        <v>2788</v>
      </c>
    </row>
    <row r="14" spans="1:41" ht="15" customHeight="1" x14ac:dyDescent="0.25">
      <c r="A14" s="214" t="s">
        <v>99</v>
      </c>
      <c r="C14" s="641" t="str">
        <f>IFERROR(INDEX(Matrix!$M$2:$M$79,MATCH($J$8,Matrix!$A$2:$A$79,0)),"no match")</f>
        <v>BUY on Pullback. Pullbacks are generally shallow.</v>
      </c>
      <c r="D14" s="641"/>
      <c r="E14" s="641"/>
      <c r="F14" s="641"/>
      <c r="G14" s="641"/>
      <c r="H14" s="641"/>
      <c r="I14" s="641"/>
      <c r="J14" s="641"/>
      <c r="K14" s="641"/>
      <c r="L14" s="641"/>
      <c r="M14" s="641"/>
      <c r="N14" s="641"/>
      <c r="O14" s="641"/>
      <c r="P14" s="641"/>
      <c r="S14" s="223" t="str">
        <f>IF('Level Engine'!A19="","",'Level Engine'!A19)</f>
        <v>7765</v>
      </c>
      <c r="T14" s="224">
        <f>IF('Level Engine'!B19="","",'Level Engine'!B19)</f>
        <v>-1477513</v>
      </c>
      <c r="U14" s="225" t="str">
        <f>'Level Engine'!C19</f>
        <v>Zom Dex↓ Zsh P-OI</v>
      </c>
      <c r="V14" s="225">
        <f>'Level Engine'!D19</f>
        <v>4</v>
      </c>
      <c r="W14" s="225" t="str">
        <f>'Level Engine'!E19</f>
        <v>REVERSAL</v>
      </c>
      <c r="X14" s="226" t="str">
        <f>'Level Engine'!F19</f>
        <v>stable</v>
      </c>
      <c r="Y14" s="226" t="str">
        <f>IF('Level Engine'!G19="","",'Level Engine'!G19)</f>
        <v>ACCEL fading · Neg gamma ↓ (firmer support)</v>
      </c>
    </row>
    <row r="15" spans="1:41" ht="15" customHeight="1" x14ac:dyDescent="0.25">
      <c r="A15" s="214" t="s">
        <v>100</v>
      </c>
      <c r="C15" s="641" t="str">
        <f>IFERROR(INDEX(Matrix!$N$2:$N$79,MATCH($J$8,Matrix!$A$2:$A$79,0)),"no match")</f>
        <v>Trend Day - Pos Speed grind.</v>
      </c>
      <c r="D15" s="641"/>
      <c r="E15" s="641"/>
      <c r="F15" s="641"/>
      <c r="G15" s="641"/>
      <c r="H15" s="641"/>
      <c r="I15" s="641"/>
      <c r="J15" s="641"/>
      <c r="K15" s="641"/>
      <c r="L15" s="641"/>
      <c r="M15" s="641"/>
      <c r="N15" s="641"/>
      <c r="O15" s="641"/>
      <c r="P15" s="641"/>
      <c r="S15" s="227" t="str">
        <f>IF('Level Engine'!A20="","",'Level Engine'!A20)</f>
        <v>7750</v>
      </c>
      <c r="T15" s="228">
        <f>IF('Level Engine'!B20="","",'Level Engine'!B20)</f>
        <v>-1614015</v>
      </c>
      <c r="U15" s="229" t="str">
        <f>'Level Engine'!C20</f>
        <v>Gam Dex Dex↓</v>
      </c>
      <c r="V15" s="229">
        <f>'Level Engine'!D20</f>
        <v>3</v>
      </c>
      <c r="W15" s="229" t="str">
        <f>'Level Engine'!E20</f>
        <v>REVERSAL</v>
      </c>
      <c r="X15" s="230" t="str">
        <f>'Level Engine'!F20</f>
        <v>ACCELERANT</v>
      </c>
      <c r="Y15" s="230" t="str">
        <f>IF('Level Engine'!G20="","",'Level Engine'!G20)</f>
        <v>Dormant</v>
      </c>
      <c r="AB15" s="10">
        <v>1877844</v>
      </c>
    </row>
    <row r="16" spans="1:41" ht="15" customHeight="1" x14ac:dyDescent="0.25">
      <c r="A16" s="214" t="s">
        <v>101</v>
      </c>
      <c r="C16" s="641" t="str">
        <f>IFERROR(INDEX(Matrix!$O$2:$O$79,MATCH($J$8,Matrix!$A$2:$A$79,0)),"no match")</f>
        <v>Trend Day , Pull backs are enteries</v>
      </c>
      <c r="D16" s="641"/>
      <c r="E16" s="641"/>
      <c r="F16" s="641"/>
      <c r="G16" s="641"/>
      <c r="H16" s="641"/>
      <c r="I16" s="641"/>
      <c r="J16" s="641"/>
      <c r="K16" s="641"/>
      <c r="L16" s="641"/>
      <c r="M16" s="641"/>
      <c r="N16" s="641"/>
      <c r="O16" s="641"/>
      <c r="P16" s="641"/>
      <c r="S16" s="231" t="str">
        <f>IF('Level Engine'!A21="","",'Level Engine'!A21)</f>
        <v>7740</v>
      </c>
      <c r="T16" s="232">
        <f>IF('Level Engine'!B21="","",'Level Engine'!B21)</f>
        <v>-252679</v>
      </c>
      <c r="U16" s="233" t="str">
        <f>'Level Engine'!C21</f>
        <v>Dex↓ oEdge</v>
      </c>
      <c r="V16" s="233">
        <f>'Level Engine'!D21</f>
        <v>2</v>
      </c>
      <c r="W16" s="233" t="str">
        <f>'Level Engine'!E21</f>
        <v>REVERSAL</v>
      </c>
      <c r="X16" s="234" t="str">
        <f>'Level Engine'!F21</f>
        <v>stable</v>
      </c>
      <c r="Y16" s="234" t="str">
        <f>IF('Level Engine'!G21="","",'Level Engine'!G21)</f>
        <v>Dormant</v>
      </c>
      <c r="AB16" t="s">
        <v>2794</v>
      </c>
      <c r="AO16" t="s">
        <v>2095</v>
      </c>
    </row>
    <row r="17" spans="1:48" ht="15" customHeight="1" x14ac:dyDescent="0.25">
      <c r="C17" s="571"/>
      <c r="D17" s="571"/>
      <c r="E17" s="571"/>
      <c r="F17" s="571"/>
      <c r="G17" s="571"/>
      <c r="H17" s="571"/>
      <c r="I17" s="571"/>
      <c r="J17" s="571"/>
      <c r="K17" s="571"/>
      <c r="L17" s="571"/>
      <c r="M17" s="571"/>
      <c r="N17" s="571"/>
      <c r="O17" s="571"/>
      <c r="P17" s="571"/>
      <c r="S17" s="235" t="str">
        <f>IF('Level Engine'!A22="","",'Level Engine'!A22)</f>
        <v>7730</v>
      </c>
      <c r="T17" s="236">
        <f>IF('Level Engine'!B22="","",'Level Engine'!B22)</f>
        <v>-9171</v>
      </c>
      <c r="U17" s="237" t="str">
        <f>'Level Engine'!C22</f>
        <v>Dex Dex↓ C-OI</v>
      </c>
      <c r="V17" s="237">
        <f>'Level Engine'!D22</f>
        <v>3</v>
      </c>
      <c r="W17" s="237" t="str">
        <f>'Level Engine'!E22</f>
        <v>REVERSAL</v>
      </c>
      <c r="X17" s="238" t="str">
        <f>'Level Engine'!F22</f>
        <v>ACCELERANT</v>
      </c>
      <c r="Y17" s="238" t="str">
        <f>IF('Level Engine'!G22="","",'Level Engine'!G22)</f>
        <v>Dormant</v>
      </c>
      <c r="AB17" t="s">
        <v>2797</v>
      </c>
      <c r="AM17" s="27">
        <f>IF(AND(OR($A$8="Neg",N('Level Engine'!$BG$72)=1),ISNUMBER($AL$42)),$AL$42,IF(AND(ISNUMBER($AL$42),IFERROR(INDEX('Level Engine'!$GF$9:$GF$55,MATCH($AL$42,'Level Engine'!$AA$9:$AA$55,0)),0)=1),$AL$42,IF(AND(ISNUMBER($AL$42),OR($AL$42=$AO$70,IFERROR(INDEX('Level Engine'!$IB$9:$IB$55,MATCH($AL$42,'Level Engine'!$AA$9:$AA$55,0)),0)=1)),$AL$42,IF(ISNUMBER(IF(AND(ISNUMBER($AP$17),ISNUMBER('Level Engine'!$FH$1)),MAX($AP$17,'Level Engine'!$FH$1),$AP$17)),IF(AND(ISNUMBER($AP$17),ISNUMBER('Level Engine'!$FH$1)),MAX($AP$17,'Level Engine'!$FH$1),$AP$17),IF(ISNUMBER($AL$42),$AL$42,"")))))</f>
        <v>7780</v>
      </c>
      <c r="AN17" s="27">
        <f>IF(IFERROR(AND(NOT(AND($A$8="Pos",N('Level Engine'!$BG$72)&lt;&gt;1)),ISNUMBER($AL$42),AND(ISNUMBER(MATCH($AL$42+5,'Level Engine'!$AA$9:$AA$55,0)),ABS(N(IFERROR(INDEX('Level Engine'!$AE$9:$AE$55,MATCH($AL$42+5,'Level Engine'!$AA$9:$AA$55,0)),0)))&lt;'Level Engine'!$BG$85,ABS(N(IFERROR(INDEX('Level Engine'!$AE$9:$AE$55,MATCH($AL$42+5,'Level Engine'!$AA$9:$AA$55,0)),0)))&lt;=ABS(N(IFERROR(INDEX('Level Engine'!$AE$9:$AE$55,MATCH(($AL$42+5)+5,'Level Engine'!$AA$9:$AA$55,0)),0))),ABS(N(IFERROR(INDEX('Level Engine'!$AE$9:$AE$55,MATCH($AL$42+5,'Level Engine'!$AA$9:$AA$55,0)),0)))&lt;=ABS(N(IFERROR(INDEX('Level Engine'!$AE$9:$AE$55,MATCH(($AL$42+5)-5,'Level Engine'!$AA$9:$AA$55,0)),0))),OR(AND(ABS(N(IFERROR(INDEX('Level Engine'!$AE$9:$AE$55,MATCH(($AL$42+5)+5,'Level Engine'!$AA$9:$AA$55,0)),0)))&gt;='Level Engine'!$BG$85,ABS(N(IFERROR(INDEX('Level Engine'!$AE$9:$AE$55,MATCH($AL$42+5,'Level Engine'!$AA$9:$AA$55,0)),0)))&lt;='Level Engine'!$BG$88*ABS(N(IFERROR(INDEX('Level Engine'!$AE$9:$AE$55,MATCH(($AL$42+5)+5,'Level Engine'!$AA$9:$AA$55,0)),0)))),AND(ABS(N(IFERROR(INDEX('Level Engine'!$AE$9:$AE$55,MATCH(($AL$42+5)-5,'Level Engine'!$AA$9:$AA$55,0)),0)))&gt;='Level Engine'!$BG$85,ABS(N(IFERROR(INDEX('Level Engine'!$AE$9:$AE$55,MATCH($AL$42+5,'Level Engine'!$AA$9:$AA$55,0)),0)))&lt;='Level Engine'!$BG$88*ABS(N(IFERROR(INDEX('Level Engine'!$AE$9:$AE$55,MATCH(($AL$42+5)-5,'Level Engine'!$AA$9:$AA$55,0)),0))))))),FALSE),MAX($AL$42+5,N(IF(AND(OR($A$8="Neg",N('Level Engine'!$BG$72)=1),ISNUMBER($AL$42)),$AL$42,IF(AND(ISNUMBER($AL$42),IFERROR(INDEX('Level Engine'!$GF$9:$GF$55,MATCH($AL$42,'Level Engine'!$AA$9:$AA$55,0)),0)=1),$AL$42,IF(AND(ISNUMBER($AL$42),OR($AL$42=$AO$70,IFERROR(INDEX('Level Engine'!$IB$9:$IB$55,MATCH($AL$42,'Level Engine'!$AA$9:$AA$55,0)),0)=1)),$AL$42,IF(ISNUMBER(IF(AND(ISNUMBER($AQ$17),ISNUMBER('Level Engine'!$FH$2)),MIN($AQ$17,'Level Engine'!$FH$2),$AQ$17)),IF(AND(ISNUMBER($AQ$17),ISNUMBER('Level Engine'!$FH$2)),MIN($AQ$17,'Level Engine'!$FH$2),$AQ$17),IF(ISNUMBER($AL$42),$AL$42,""))))))),IF(AND(OR($A$8="Neg",N('Level Engine'!$BG$72)=1),ISNUMBER($AL$42)),$AL$42,IF(AND(ISNUMBER($AL$42),IFERROR(INDEX('Level Engine'!$GF$9:$GF$55,MATCH($AL$42,'Level Engine'!$AA$9:$AA$55,0)),0)=1),$AL$42,IF(AND(ISNUMBER($AL$42),OR($AL$42=$AO$70,IFERROR(INDEX('Level Engine'!$IB$9:$IB$55,MATCH($AL$42,'Level Engine'!$AA$9:$AA$55,0)),0)=1)),$AL$42,IF(ISNUMBER(IF(AND(ISNUMBER($AQ$17),ISNUMBER('Level Engine'!$FH$2)),MIN($AQ$17,'Level Engine'!$FH$2),$AQ$17)),IF(AND(ISNUMBER($AQ$17),ISNUMBER('Level Engine'!$FH$2)),MIN($AQ$17,'Level Engine'!$FH$2),$AQ$17),IF(ISNUMBER($AL$42),$AL$42,""))))))</f>
        <v>7780</v>
      </c>
      <c r="AO17" t="str">
        <f>IFERROR(IF(AND(NOT(AND($A$8="Pos",N('Level Engine'!$BG$72)&lt;&gt;1)),ISNUMBER($AL$42),AND(ISNUMBER(MATCH($AL$42+5,'Level Engine'!$AA$9:$AA$55,0)),ABS(N(IFERROR(INDEX('Level Engine'!$AE$9:$AE$55,MATCH($AL$42+5,'Level Engine'!$AA$9:$AA$55,0)),0)))&lt;'Level Engine'!$BG$85,ABS(N(IFERROR(INDEX('Level Engine'!$AE$9:$AE$55,MATCH($AL$42+5,'Level Engine'!$AA$9:$AA$55,0)),0)))&lt;=ABS(N(IFERROR(INDEX('Level Engine'!$AE$9:$AE$55,MATCH(($AL$42+5)+5,'Level Engine'!$AA$9:$AA$55,0)),0))),ABS(N(IFERROR(INDEX('Level Engine'!$AE$9:$AE$55,MATCH($AL$42+5,'Level Engine'!$AA$9:$AA$55,0)),0)))&lt;=ABS(N(IFERROR(INDEX('Level Engine'!$AE$9:$AE$55,MATCH(($AL$42+5)-5,'Level Engine'!$AA$9:$AA$55,0)),0))),OR(AND(ABS(N(IFERROR(INDEX('Level Engine'!$AE$9:$AE$55,MATCH(($AL$42+5)+5,'Level Engine'!$AA$9:$AA$55,0)),0)))&gt;='Level Engine'!$BG$85,ABS(N(IFERROR(INDEX('Level Engine'!$AE$9:$AE$55,MATCH($AL$42+5,'Level Engine'!$AA$9:$AA$55,0)),0)))&lt;='Level Engine'!$BG$88*ABS(N(IFERROR(INDEX('Level Engine'!$AE$9:$AE$55,MATCH(($AL$42+5)+5,'Level Engine'!$AA$9:$AA$55,0)),0)))),AND(ABS(N(IFERROR(INDEX('Level Engine'!$AE$9:$AE$55,MATCH(($AL$42+5)-5,'Level Engine'!$AA$9:$AA$55,0)),0)))&gt;='Level Engine'!$BG$85,ABS(N(IFERROR(INDEX('Level Engine'!$AE$9:$AE$55,MATCH($AL$42+5,'Level Engine'!$AA$9:$AA$55,0)),0)))&lt;='Level Engine'!$BG$88*ABS(N(IFERROR(INDEX('Level Engine'!$AE$9:$AE$55,MATCH(($AL$42+5)-5,'Level Engine'!$AA$9:$AA$55,0)),0))))))),$AL$42+5,""),"")</f>
        <v/>
      </c>
      <c r="AP17">
        <f>IF(NOT(ISNUMBER($AL$42)),"",IF(IFERROR(INDEX('Level Engine'!$AN$9:$AN$55,MATCH($AL$42,'Level Engine'!$AA$9:$AA$55,0)),0)=1,IF($AB$22=$AB$23,$AL$42,$AB$22),IF(AND('Level Engine'!$CT$2=1,$AL$42&gt;=MIN('Level Engine'!$CT$3,'Level Engine'!$CT$4),$AL$42&lt;=MAX('Level Engine'!$CT$3,'Level Engine'!$CT$4)),MIN('Level Engine'!$CT$3,'Level Engine'!$CT$4),$AL$42)))</f>
        <v>7780</v>
      </c>
      <c r="AQ17">
        <f>IF(NOT(ISNUMBER($AL$42)),"",IF(IFERROR(INDEX('Level Engine'!$AN$9:$AN$55,MATCH($AL$42,'Level Engine'!$AA$9:$AA$55,0)),0)=1,IF($AB$22=$AB$23,$AL$42,$AB$23),IF(AND('Level Engine'!$CT$2=1,$AL$42&gt;=MIN('Level Engine'!$CT$3,'Level Engine'!$CT$4),$AL$42&lt;=MAX('Level Engine'!$CT$3,'Level Engine'!$CT$4)),MAX('Level Engine'!$CT$3,'Level Engine'!$CT$4),$AL$42)))</f>
        <v>7780</v>
      </c>
    </row>
    <row r="18" spans="1:48" ht="15" customHeight="1" x14ac:dyDescent="0.25">
      <c r="A18" s="239" t="s">
        <v>102</v>
      </c>
      <c r="B18" s="240"/>
      <c r="C18" s="646" t="str">
        <f>IF(ISNUMBER($B$4),IF(AND(MAX($AQ$29:$AQ$75)&lt;$L$27,MAX($AR$29:$AR$75)&lt;$L$27),"⚠  Minimal DEX: Choppy",""),"")</f>
        <v/>
      </c>
      <c r="D18" s="646"/>
      <c r="E18" s="646"/>
      <c r="F18" s="646"/>
      <c r="G18" s="646"/>
      <c r="H18" s="646"/>
      <c r="I18" s="646"/>
      <c r="J18" s="646"/>
      <c r="K18" s="646"/>
      <c r="L18" s="646"/>
      <c r="M18" s="646"/>
      <c r="N18" s="646"/>
      <c r="O18" s="646"/>
      <c r="P18" s="646"/>
      <c r="S18" s="241" t="str">
        <f>IF('Level Engine'!A23="","",'Level Engine'!A23)</f>
        <v>7705</v>
      </c>
      <c r="T18" s="242">
        <f>IF('Level Engine'!B23="","",'Level Engine'!B23)</f>
        <v>-70311</v>
      </c>
      <c r="U18" s="243" t="str">
        <f>'Level Engine'!C23</f>
        <v>Dex Dex↓ C-OI</v>
      </c>
      <c r="V18" s="243">
        <f>'Level Engine'!D23</f>
        <v>3</v>
      </c>
      <c r="W18" s="243" t="str">
        <f>'Level Engine'!E23</f>
        <v/>
      </c>
      <c r="X18" s="244" t="str">
        <f>'Level Engine'!F23</f>
        <v>stable</v>
      </c>
      <c r="Y18" s="244" t="str">
        <f>IF('Level Engine'!G23="","",'Level Engine'!G23)</f>
        <v>Dormant</v>
      </c>
      <c r="AM18" s="33">
        <f>IF(AND(OR($A$8="Neg",N('Level Engine'!$BG$72)=1),ISNUMBER($AL$43)),$AL$43,IF(AND(ISNUMBER($AL$43),IFERROR(INDEX('Level Engine'!$GF$9:$GF$55,MATCH($AL$43,'Level Engine'!$AA$9:$AA$55,0)),0)=1),$AL$43,IF(AND(ISNUMBER($AL$43),OR($AL$43=$AO$70,IFERROR(INDEX('Level Engine'!$IB$9:$IB$55,MATCH($AL$43,'Level Engine'!$AA$9:$AA$55,0)),0)=1)),$AL$43,IF(ISNUMBER(IFERROR(IF(INDEX('Level Engine'!$AN$9:$AN$55,MATCH($AL$43,'Level Engine'!$AA$9:$AA$55,0))=1,INDEX('Level Engine'!$AT$9:$AT$55,MATCH($AL$43,'Level Engine'!$AA$9:$AA$55,0)),$AL$43),$AL$43)),IFERROR(IF(INDEX('Level Engine'!$AN$9:$AN$55,MATCH($AL$43,'Level Engine'!$AA$9:$AA$55,0))=1,INDEX('Level Engine'!$AT$9:$AT$55,MATCH($AL$43,'Level Engine'!$AA$9:$AA$55,0)),$AL$43),$AL$43),IF(ISNUMBER($AL$43),$AL$43,"")))))</f>
        <v>7805</v>
      </c>
      <c r="AN18" s="33">
        <f>IF(IFERROR(AND(NOT(AND($A$8="Pos",N('Level Engine'!$BG$72)&lt;&gt;1)),ISNUMBER($AL$43),AND(ISNUMBER(MATCH($AL$43+5,'Level Engine'!$AA$9:$AA$55,0)),ABS(N(IFERROR(INDEX('Level Engine'!$AE$9:$AE$55,MATCH($AL$43+5,'Level Engine'!$AA$9:$AA$55,0)),0)))&lt;'Level Engine'!$BG$85,ABS(N(IFERROR(INDEX('Level Engine'!$AE$9:$AE$55,MATCH($AL$43+5,'Level Engine'!$AA$9:$AA$55,0)),0)))&lt;=ABS(N(IFERROR(INDEX('Level Engine'!$AE$9:$AE$55,MATCH(($AL$43+5)+5,'Level Engine'!$AA$9:$AA$55,0)),0))),ABS(N(IFERROR(INDEX('Level Engine'!$AE$9:$AE$55,MATCH($AL$43+5,'Level Engine'!$AA$9:$AA$55,0)),0)))&lt;=ABS(N(IFERROR(INDEX('Level Engine'!$AE$9:$AE$55,MATCH(($AL$43+5)-5,'Level Engine'!$AA$9:$AA$55,0)),0))),OR(AND(ABS(N(IFERROR(INDEX('Level Engine'!$AE$9:$AE$55,MATCH(($AL$43+5)+5,'Level Engine'!$AA$9:$AA$55,0)),0)))&gt;='Level Engine'!$BG$85,ABS(N(IFERROR(INDEX('Level Engine'!$AE$9:$AE$55,MATCH($AL$43+5,'Level Engine'!$AA$9:$AA$55,0)),0)))&lt;='Level Engine'!$BG$88*ABS(N(IFERROR(INDEX('Level Engine'!$AE$9:$AE$55,MATCH(($AL$43+5)+5,'Level Engine'!$AA$9:$AA$55,0)),0)))),AND(ABS(N(IFERROR(INDEX('Level Engine'!$AE$9:$AE$55,MATCH(($AL$43+5)-5,'Level Engine'!$AA$9:$AA$55,0)),0)))&gt;='Level Engine'!$BG$85,ABS(N(IFERROR(INDEX('Level Engine'!$AE$9:$AE$55,MATCH($AL$43+5,'Level Engine'!$AA$9:$AA$55,0)),0)))&lt;='Level Engine'!$BG$88*ABS(N(IFERROR(INDEX('Level Engine'!$AE$9:$AE$55,MATCH(($AL$43+5)-5,'Level Engine'!$AA$9:$AA$55,0)),0))))))),FALSE),MAX($AL$43+5,N(IF(AND(OR($A$8="Neg",N('Level Engine'!$BG$72)=1),ISNUMBER($AL$43)),$AL$43,IF(AND(ISNUMBER($AL$43),IFERROR(INDEX('Level Engine'!$GF$9:$GF$55,MATCH($AL$43,'Level Engine'!$AA$9:$AA$55,0)),0)=1),$AL$43,IF(AND(ISNUMBER($AL$43),OR($AL$43=$AO$70,IFERROR(INDEX('Level Engine'!$IB$9:$IB$55,MATCH($AL$43,'Level Engine'!$AA$9:$AA$55,0)),0)=1)),$AL$43,IF(ISNUMBER(IFERROR(IF(INDEX('Level Engine'!$AN$9:$AN$55,MATCH($AL$43,'Level Engine'!$AA$9:$AA$55,0))=1,INDEX('Level Engine'!$AU$9:$AU$55,MATCH($AL$43,'Level Engine'!$AA$9:$AA$55,0)),$AL$43),$AL$43)),IFERROR(IF(INDEX('Level Engine'!$AN$9:$AN$55,MATCH($AL$43,'Level Engine'!$AA$9:$AA$55,0))=1,INDEX('Level Engine'!$AU$9:$AU$55,MATCH($AL$43,'Level Engine'!$AA$9:$AA$55,0)),$AL$43),$AL$43),IF(ISNUMBER($AL$43),$AL$43,""))))))),IF(AND(OR($A$8="Neg",N('Level Engine'!$BG$72)=1),ISNUMBER($AL$43)),$AL$43,IF(AND(ISNUMBER($AL$43),IFERROR(INDEX('Level Engine'!$GF$9:$GF$55,MATCH($AL$43,'Level Engine'!$AA$9:$AA$55,0)),0)=1),$AL$43,IF(AND(ISNUMBER($AL$43),OR($AL$43=$AO$70,IFERROR(INDEX('Level Engine'!$IB$9:$IB$55,MATCH($AL$43,'Level Engine'!$AA$9:$AA$55,0)),0)=1)),$AL$43,IF(ISNUMBER(IFERROR(IF(INDEX('Level Engine'!$AN$9:$AN$55,MATCH($AL$43,'Level Engine'!$AA$9:$AA$55,0))=1,INDEX('Level Engine'!$AU$9:$AU$55,MATCH($AL$43,'Level Engine'!$AA$9:$AA$55,0)),$AL$43),$AL$43)),IFERROR(IF(INDEX('Level Engine'!$AN$9:$AN$55,MATCH($AL$43,'Level Engine'!$AA$9:$AA$55,0))=1,INDEX('Level Engine'!$AU$9:$AU$55,MATCH($AL$43,'Level Engine'!$AA$9:$AA$55,0)),$AL$43),$AL$43),IF(ISNUMBER($AL$43),$AL$43,""))))))</f>
        <v>7805</v>
      </c>
      <c r="AO18" t="str">
        <f>IFERROR(IF(AND(NOT(AND($A$8="Pos",N('Level Engine'!$BG$72)&lt;&gt;1)),ISNUMBER($AL$43),AND(ISNUMBER(MATCH($AL$43+5,'Level Engine'!$AA$9:$AA$55,0)),ABS(N(IFERROR(INDEX('Level Engine'!$AE$9:$AE$55,MATCH($AL$43+5,'Level Engine'!$AA$9:$AA$55,0)),0)))&lt;'Level Engine'!$BG$85,ABS(N(IFERROR(INDEX('Level Engine'!$AE$9:$AE$55,MATCH($AL$43+5,'Level Engine'!$AA$9:$AA$55,0)),0)))&lt;=ABS(N(IFERROR(INDEX('Level Engine'!$AE$9:$AE$55,MATCH(($AL$43+5)+5,'Level Engine'!$AA$9:$AA$55,0)),0))),ABS(N(IFERROR(INDEX('Level Engine'!$AE$9:$AE$55,MATCH($AL$43+5,'Level Engine'!$AA$9:$AA$55,0)),0)))&lt;=ABS(N(IFERROR(INDEX('Level Engine'!$AE$9:$AE$55,MATCH(($AL$43+5)-5,'Level Engine'!$AA$9:$AA$55,0)),0))),OR(AND(ABS(N(IFERROR(INDEX('Level Engine'!$AE$9:$AE$55,MATCH(($AL$43+5)+5,'Level Engine'!$AA$9:$AA$55,0)),0)))&gt;='Level Engine'!$BG$85,ABS(N(IFERROR(INDEX('Level Engine'!$AE$9:$AE$55,MATCH($AL$43+5,'Level Engine'!$AA$9:$AA$55,0)),0)))&lt;='Level Engine'!$BG$88*ABS(N(IFERROR(INDEX('Level Engine'!$AE$9:$AE$55,MATCH(($AL$43+5)+5,'Level Engine'!$AA$9:$AA$55,0)),0)))),AND(ABS(N(IFERROR(INDEX('Level Engine'!$AE$9:$AE$55,MATCH(($AL$43+5)-5,'Level Engine'!$AA$9:$AA$55,0)),0)))&gt;='Level Engine'!$BG$85,ABS(N(IFERROR(INDEX('Level Engine'!$AE$9:$AE$55,MATCH($AL$43+5,'Level Engine'!$AA$9:$AA$55,0)),0)))&lt;='Level Engine'!$BG$88*ABS(N(IFERROR(INDEX('Level Engine'!$AE$9:$AE$55,MATCH(($AL$43+5)-5,'Level Engine'!$AA$9:$AA$55,0)),0))))))),$AL$43+5,""),"")</f>
        <v/>
      </c>
    </row>
    <row r="19" spans="1:48" ht="15" customHeight="1" x14ac:dyDescent="0.25">
      <c r="C19" s="571"/>
      <c r="D19" s="571"/>
      <c r="E19" s="571"/>
      <c r="F19" s="571"/>
      <c r="G19" s="571"/>
      <c r="H19" s="571"/>
      <c r="I19" s="571"/>
      <c r="J19" s="571"/>
      <c r="K19" s="571"/>
      <c r="L19" s="571"/>
      <c r="M19" s="571"/>
      <c r="N19" s="571"/>
      <c r="O19" s="571"/>
      <c r="P19" s="571"/>
      <c r="AB19">
        <v>7775</v>
      </c>
      <c r="AM19">
        <f>IF(AND(OR($A$8="Neg",N('Level Engine'!$BG$72)=1),ISNUMBER($AL$44)),$AL$44,IF(AND(ISNUMBER($AL$44),IFERROR(INDEX('Level Engine'!$GF$9:$GF$55,MATCH($AL$44,'Level Engine'!$AA$9:$AA$55,0)),0)=1),$AL$44,IF(AND(ISNUMBER($AL$44),OR($AL$44=$AO$70,IFERROR(INDEX('Level Engine'!$IB$9:$IB$55,MATCH($AL$44,'Level Engine'!$AA$9:$AA$55,0)),0)=1)),$AL$44,IF(ISNUMBER(IFERROR(IF(INDEX('Level Engine'!$AN$9:$AN$55,MATCH($AL$44,'Level Engine'!$AA$9:$AA$55,0))=1,INDEX('Level Engine'!$AT$9:$AT$55,MATCH($AL$44,'Level Engine'!$AA$9:$AA$55,0)),$AL$44),$AL$44)),IFERROR(IF(INDEX('Level Engine'!$AN$9:$AN$55,MATCH($AL$44,'Level Engine'!$AA$9:$AA$55,0))=1,INDEX('Level Engine'!$AT$9:$AT$55,MATCH($AL$44,'Level Engine'!$AA$9:$AA$55,0)),$AL$44),$AL$44),IF(ISNUMBER($AL$44),$AL$44,"")))))</f>
        <v>7800</v>
      </c>
      <c r="AN19">
        <f>IF(IFERROR(AND(NOT(AND($A$8="Pos",N('Level Engine'!$BG$72)&lt;&gt;1)),ISNUMBER($AL$44),AND(ISNUMBER(MATCH($AL$44+5,'Level Engine'!$AA$9:$AA$55,0)),ABS(N(IFERROR(INDEX('Level Engine'!$AE$9:$AE$55,MATCH($AL$44+5,'Level Engine'!$AA$9:$AA$55,0)),0)))&lt;'Level Engine'!$BG$85,ABS(N(IFERROR(INDEX('Level Engine'!$AE$9:$AE$55,MATCH($AL$44+5,'Level Engine'!$AA$9:$AA$55,0)),0)))&lt;=ABS(N(IFERROR(INDEX('Level Engine'!$AE$9:$AE$55,MATCH(($AL$44+5)+5,'Level Engine'!$AA$9:$AA$55,0)),0))),ABS(N(IFERROR(INDEX('Level Engine'!$AE$9:$AE$55,MATCH($AL$44+5,'Level Engine'!$AA$9:$AA$55,0)),0)))&lt;=ABS(N(IFERROR(INDEX('Level Engine'!$AE$9:$AE$55,MATCH(($AL$44+5)-5,'Level Engine'!$AA$9:$AA$55,0)),0))),OR(AND(ABS(N(IFERROR(INDEX('Level Engine'!$AE$9:$AE$55,MATCH(($AL$44+5)+5,'Level Engine'!$AA$9:$AA$55,0)),0)))&gt;='Level Engine'!$BG$85,ABS(N(IFERROR(INDEX('Level Engine'!$AE$9:$AE$55,MATCH($AL$44+5,'Level Engine'!$AA$9:$AA$55,0)),0)))&lt;='Level Engine'!$BG$88*ABS(N(IFERROR(INDEX('Level Engine'!$AE$9:$AE$55,MATCH(($AL$44+5)+5,'Level Engine'!$AA$9:$AA$55,0)),0)))),AND(ABS(N(IFERROR(INDEX('Level Engine'!$AE$9:$AE$55,MATCH(($AL$44+5)-5,'Level Engine'!$AA$9:$AA$55,0)),0)))&gt;='Level Engine'!$BG$85,ABS(N(IFERROR(INDEX('Level Engine'!$AE$9:$AE$55,MATCH($AL$44+5,'Level Engine'!$AA$9:$AA$55,0)),0)))&lt;='Level Engine'!$BG$88*ABS(N(IFERROR(INDEX('Level Engine'!$AE$9:$AE$55,MATCH(($AL$44+5)-5,'Level Engine'!$AA$9:$AA$55,0)),0))))))),FALSE),MAX($AL$44+5,N(IF(AND(OR($A$8="Neg",N('Level Engine'!$BG$72)=1),ISNUMBER($AL$44)),$AL$44,IF(AND(ISNUMBER($AL$44),IFERROR(INDEX('Level Engine'!$GF$9:$GF$55,MATCH($AL$44,'Level Engine'!$AA$9:$AA$55,0)),0)=1),$AL$44,IF(AND(ISNUMBER($AL$44),OR($AL$44=$AO$70,IFERROR(INDEX('Level Engine'!$IB$9:$IB$55,MATCH($AL$44,'Level Engine'!$AA$9:$AA$55,0)),0)=1)),$AL$44,IF(ISNUMBER(IFERROR(IF(INDEX('Level Engine'!$AN$9:$AN$55,MATCH($AL$44,'Level Engine'!$AA$9:$AA$55,0))=1,INDEX('Level Engine'!$AU$9:$AU$55,MATCH($AL$44,'Level Engine'!$AA$9:$AA$55,0)),$AL$44),$AL$44)),IFERROR(IF(INDEX('Level Engine'!$AN$9:$AN$55,MATCH($AL$44,'Level Engine'!$AA$9:$AA$55,0))=1,INDEX('Level Engine'!$AU$9:$AU$55,MATCH($AL$44,'Level Engine'!$AA$9:$AA$55,0)),$AL$44),$AL$44),IF(ISNUMBER($AL$44),$AL$44,""))))))),IF(AND(OR($A$8="Neg",N('Level Engine'!$BG$72)=1),ISNUMBER($AL$44)),$AL$44,IF(AND(ISNUMBER($AL$44),IFERROR(INDEX('Level Engine'!$GF$9:$GF$55,MATCH($AL$44,'Level Engine'!$AA$9:$AA$55,0)),0)=1),$AL$44,IF(AND(ISNUMBER($AL$44),OR($AL$44=$AO$70,IFERROR(INDEX('Level Engine'!$IB$9:$IB$55,MATCH($AL$44,'Level Engine'!$AA$9:$AA$55,0)),0)=1)),$AL$44,IF(ISNUMBER(IFERROR(IF(INDEX('Level Engine'!$AN$9:$AN$55,MATCH($AL$44,'Level Engine'!$AA$9:$AA$55,0))=1,INDEX('Level Engine'!$AU$9:$AU$55,MATCH($AL$44,'Level Engine'!$AA$9:$AA$55,0)),$AL$44),$AL$44)),IFERROR(IF(INDEX('Level Engine'!$AN$9:$AN$55,MATCH($AL$44,'Level Engine'!$AA$9:$AA$55,0))=1,INDEX('Level Engine'!$AU$9:$AU$55,MATCH($AL$44,'Level Engine'!$AA$9:$AA$55,0)),$AL$44),$AL$44),IF(ISNUMBER($AL$44),$AL$44,""))))))</f>
        <v>7805</v>
      </c>
      <c r="AO19">
        <f>IFERROR(IF(AND(NOT(AND($A$8="Pos",N('Level Engine'!$BG$72)&lt;&gt;1)),ISNUMBER($AL$44),AND(ISNUMBER(MATCH($AL$44+5,'Level Engine'!$AA$9:$AA$55,0)),ABS(N(IFERROR(INDEX('Level Engine'!$AE$9:$AE$55,MATCH($AL$44+5,'Level Engine'!$AA$9:$AA$55,0)),0)))&lt;'Level Engine'!$BG$85,ABS(N(IFERROR(INDEX('Level Engine'!$AE$9:$AE$55,MATCH($AL$44+5,'Level Engine'!$AA$9:$AA$55,0)),0)))&lt;=ABS(N(IFERROR(INDEX('Level Engine'!$AE$9:$AE$55,MATCH(($AL$44+5)+5,'Level Engine'!$AA$9:$AA$55,0)),0))),ABS(N(IFERROR(INDEX('Level Engine'!$AE$9:$AE$55,MATCH($AL$44+5,'Level Engine'!$AA$9:$AA$55,0)),0)))&lt;=ABS(N(IFERROR(INDEX('Level Engine'!$AE$9:$AE$55,MATCH(($AL$44+5)-5,'Level Engine'!$AA$9:$AA$55,0)),0))),OR(AND(ABS(N(IFERROR(INDEX('Level Engine'!$AE$9:$AE$55,MATCH(($AL$44+5)+5,'Level Engine'!$AA$9:$AA$55,0)),0)))&gt;='Level Engine'!$BG$85,ABS(N(IFERROR(INDEX('Level Engine'!$AE$9:$AE$55,MATCH($AL$44+5,'Level Engine'!$AA$9:$AA$55,0)),0)))&lt;='Level Engine'!$BG$88*ABS(N(IFERROR(INDEX('Level Engine'!$AE$9:$AE$55,MATCH(($AL$44+5)+5,'Level Engine'!$AA$9:$AA$55,0)),0)))),AND(ABS(N(IFERROR(INDEX('Level Engine'!$AE$9:$AE$55,MATCH(($AL$44+5)-5,'Level Engine'!$AA$9:$AA$55,0)),0)))&gt;='Level Engine'!$BG$85,ABS(N(IFERROR(INDEX('Level Engine'!$AE$9:$AE$55,MATCH($AL$44+5,'Level Engine'!$AA$9:$AA$55,0)),0)))&lt;='Level Engine'!$BG$88*ABS(N(IFERROR(INDEX('Level Engine'!$AE$9:$AE$55,MATCH(($AL$44+5)-5,'Level Engine'!$AA$9:$AA$55,0)),0))))))),$AL$44+5,""),"")</f>
        <v>7805</v>
      </c>
    </row>
    <row r="20" spans="1:48" ht="15" customHeight="1" x14ac:dyDescent="0.25">
      <c r="A20" s="642" t="str">
        <f>IF($J$8="Low|Pos|Pos|Pos|Pos|Pos|Pos|Pos","Low-IV Mean Reversion Lean with Drift"&amp;'Level Engine'!$BG$70,IF('Level Engine'!$HE$6=1,"SELL-LEAN REGIME  -  fade rallies; per matrix, dips may be deep / bounces weak.",IF('Level Engine'!$HE$6=-1,"BUY-LEAN REGIME  -  buy dips per matrix guidance.","NEUTRAL / TRANSITIONAL  -  await trigger; see Action above.")))</f>
        <v>BUY-LEAN REGIME  -  buy dips per matrix guidance.</v>
      </c>
      <c r="B20" s="642"/>
      <c r="C20" s="642"/>
      <c r="D20" s="642"/>
      <c r="E20" s="642"/>
      <c r="F20" s="642"/>
      <c r="G20" s="642"/>
      <c r="H20" s="642"/>
      <c r="I20" s="642"/>
      <c r="J20" s="642"/>
      <c r="K20" s="642"/>
      <c r="L20" s="642"/>
      <c r="M20" s="642"/>
      <c r="N20" s="642"/>
      <c r="O20" s="642"/>
      <c r="P20" s="642"/>
      <c r="R20" s="181"/>
      <c r="S20" s="245" t="s">
        <v>103</v>
      </c>
      <c r="T20" s="246"/>
      <c r="U20" s="246"/>
      <c r="V20" s="100"/>
      <c r="W20" s="643" t="s">
        <v>104</v>
      </c>
      <c r="X20" s="643"/>
      <c r="Y20" s="643"/>
      <c r="AB20" s="33">
        <f>IFERROR(IF(NOT(ISNUMBER($AL$49)),"",IF(AND(ISNUMBER($AL$49),ISNUMBER(IFERROR(INDEX('Level Engine'!$AA$9:$AA$55,MATCH(2,'Level Engine'!$BU$9:$BU$55,0)),"")),IFERROR(INDEX('Level Engine'!$AT$9:$AT$55,MATCH($AL$49,'Level Engine'!$AA$9:$AA$55,0)),$AL$49)&lt;=IFERROR(INDEX('Level Engine'!$AU$9:$AU$55,MATCH((IFERROR(INDEX('Level Engine'!$AA$9:$AA$55,MATCH(2,'Level Engine'!$BU$9:$BU$55,0)),"")),'Level Engine'!$AA$9:$AA$55,0)),(IFERROR(INDEX('Level Engine'!$AA$9:$AA$55,MATCH(2,'Level Engine'!$BU$9:$BU$55,0)),""))),IFERROR(INDEX('Level Engine'!$AT$9:$AT$55,MATCH((IFERROR(INDEX('Level Engine'!$AA$9:$AA$55,MATCH(2,'Level Engine'!$BU$9:$BU$55,0)),"")),'Level Engine'!$AA$9:$AA$55,0)),(IFERROR(INDEX('Level Engine'!$AA$9:$AA$55,MATCH(2,'Level Engine'!$BU$9:$BU$55,0)),"")))&lt;=IFERROR(INDEX('Level Engine'!$AU$9:$AU$55,MATCH($AL$49,'Level Engine'!$AA$9:$AA$55,0)),$AL$49)),MIN(IFERROR(INDEX('Level Engine'!$AT$9:$AT$55,MATCH($AL$49,'Level Engine'!$AA$9:$AA$55,0)),$AL$49),IFERROR(INDEX('Level Engine'!$AT$9:$AT$55,MATCH((IFERROR(INDEX('Level Engine'!$AA$9:$AA$55,MATCH(2,'Level Engine'!$BU$9:$BU$55,0)),"")),'Level Engine'!$AA$9:$AA$55,0)),(IFERROR(INDEX('Level Engine'!$AA$9:$AA$55,MATCH(2,'Level Engine'!$BU$9:$BU$55,0)),"")))),IFERROR(INDEX('Level Engine'!$AT$9:$AT$55,MATCH($AL$49,'Level Engine'!$AA$9:$AA$55,0)),$AL$49))),"")</f>
        <v>7775</v>
      </c>
      <c r="AM20" s="33">
        <f>IF(IFERROR(AND(NOT(AND($A$8="Pos",N('Level Engine'!$BG$72)&lt;&gt;1)),ISNUMBER($AP$67),AND(ISNUMBER(MATCH($AP$67-5,'Level Engine'!$AA$9:$AA$55,0)),ABS(N(IFERROR(INDEX('Level Engine'!$AE$9:$AE$55,MATCH($AP$67-5,'Level Engine'!$AA$9:$AA$55,0)),0)))&lt;'Level Engine'!$BG$85,ABS(N(IFERROR(INDEX('Level Engine'!$AE$9:$AE$55,MATCH($AP$67-5,'Level Engine'!$AA$9:$AA$55,0)),0)))&lt;=ABS(N(IFERROR(INDEX('Level Engine'!$AE$9:$AE$55,MATCH(($AP$67-5)+5,'Level Engine'!$AA$9:$AA$55,0)),0))),ABS(N(IFERROR(INDEX('Level Engine'!$AE$9:$AE$55,MATCH($AP$67-5,'Level Engine'!$AA$9:$AA$55,0)),0)))&lt;=ABS(N(IFERROR(INDEX('Level Engine'!$AE$9:$AE$55,MATCH(($AP$67-5)-5,'Level Engine'!$AA$9:$AA$55,0)),0))),OR(AND(ABS(N(IFERROR(INDEX('Level Engine'!$AE$9:$AE$55,MATCH(($AP$67-5)+5,'Level Engine'!$AA$9:$AA$55,0)),0)))&gt;='Level Engine'!$BG$85,ABS(N(IFERROR(INDEX('Level Engine'!$AE$9:$AE$55,MATCH($AP$67-5,'Level Engine'!$AA$9:$AA$55,0)),0)))&lt;='Level Engine'!$BG$88*ABS(N(IFERROR(INDEX('Level Engine'!$AE$9:$AE$55,MATCH(($AP$67-5)+5,'Level Engine'!$AA$9:$AA$55,0)),0)))),AND(ABS(N(IFERROR(INDEX('Level Engine'!$AE$9:$AE$55,MATCH(($AP$67-5)-5,'Level Engine'!$AA$9:$AA$55,0)),0)))&gt;='Level Engine'!$BG$85,ABS(N(IFERROR(INDEX('Level Engine'!$AE$9:$AE$55,MATCH($AP$67-5,'Level Engine'!$AA$9:$AA$55,0)),0)))&lt;='Level Engine'!$BG$88*ABS(N(IFERROR(INDEX('Level Engine'!$AE$9:$AE$55,MATCH(($AP$67-5)-5,'Level Engine'!$AA$9:$AA$55,0)),0))))))),FALSE),MIN($AP$67-5,N(IF(AND(OR($A$8="Neg",N('Level Engine'!$BG$72)=1),ISNUMBER($AP$67)),$AP$67,IF(AND(ISNUMBER($AP$67),IFERROR(INDEX('Level Engine'!$GF$9:$GF$55,MATCH($AP$67,'Level Engine'!$AA$9:$AA$55,0)),0)=1),$AP$67,IF(AND(ISNUMBER($AP$67),OR($AP$67=$AN$70,IFERROR(INDEX('Level Engine'!$IB$9:$IB$55,MATCH($AP$67,'Level Engine'!$AA$9:$AA$55,0)),0)=1)),$AP$67,IF(ISNUMBER(IF(AND(AND('Level Engine'!$CW$2=1,ISNUMBER($AP$67),$AP$67&gt;=MIN('Level Engine'!$CW$3,'Level Engine'!$CW$4),$AP$67&lt;=MAX('Level Engine'!$CW$3,'Level Engine'!$CW$4)),ISNUMBER($AP$20),ISNUMBER('Level Engine'!$FI$1)),MAX($AP$20,'Level Engine'!$FI$1),$AP$20)),IF(AND(AND('Level Engine'!$CW$2=1,ISNUMBER($AP$67),$AP$67&gt;=MIN('Level Engine'!$CW$3,'Level Engine'!$CW$4),$AP$67&lt;=MAX('Level Engine'!$CW$3,'Level Engine'!$CW$4)),ISNUMBER($AP$20),ISNUMBER('Level Engine'!$FI$1)),MAX($AP$20,'Level Engine'!$FI$1),$AP$20),IF(ISNUMBER($AP$67),$AP$67,""))))))),IF(AND(OR($A$8="Neg",N('Level Engine'!$BG$72)=1),ISNUMBER($AP$67)),$AP$67,IF(AND(ISNUMBER($AP$67),IFERROR(INDEX('Level Engine'!$GF$9:$GF$55,MATCH($AP$67,'Level Engine'!$AA$9:$AA$55,0)),0)=1),$AP$67,IF(AND(ISNUMBER($AP$67),OR($AP$67=$AN$70,IFERROR(INDEX('Level Engine'!$IB$9:$IB$55,MATCH($AP$67,'Level Engine'!$AA$9:$AA$55,0)),0)=1)),$AP$67,IF(ISNUMBER(IF(AND(AND('Level Engine'!$CW$2=1,ISNUMBER($AP$67),$AP$67&gt;=MIN('Level Engine'!$CW$3,'Level Engine'!$CW$4),$AP$67&lt;=MAX('Level Engine'!$CW$3,'Level Engine'!$CW$4)),ISNUMBER($AP$20),ISNUMBER('Level Engine'!$FI$1)),MAX($AP$20,'Level Engine'!$FI$1),$AP$20)),IF(AND(AND('Level Engine'!$CW$2=1,ISNUMBER($AP$67),$AP$67&gt;=MIN('Level Engine'!$CW$3,'Level Engine'!$CW$4),$AP$67&lt;=MAX('Level Engine'!$CW$3,'Level Engine'!$CW$4)),ISNUMBER($AP$20),ISNUMBER('Level Engine'!$FI$1)),MAX($AP$20,'Level Engine'!$FI$1),$AP$20),IF(ISNUMBER($AP$67),$AP$67,""))))))</f>
        <v>7775</v>
      </c>
      <c r="AN20" s="33">
        <f>IF(AND(OR($A$8="Neg",N('Level Engine'!$BG$72)=1),ISNUMBER($AP$67)),$AP$67,IF(AND(ISNUMBER($AP$67),IFERROR(INDEX('Level Engine'!$GF$9:$GF$55,MATCH($AP$67,'Level Engine'!$AA$9:$AA$55,0)),0)=1),$AP$67,IF(AND(ISNUMBER($AP$67),OR($AP$67=$AN$70,IFERROR(INDEX('Level Engine'!$IB$9:$IB$55,MATCH($AP$67,'Level Engine'!$AA$9:$AA$55,0)),0)=1)),$AP$67,IF(ISNUMBER(IF(AND(AND('Level Engine'!$CW$2=1,ISNUMBER($AP$67),$AP$67&gt;=MIN('Level Engine'!$CW$3,'Level Engine'!$CW$4),$AP$67&lt;=MAX('Level Engine'!$CW$3,'Level Engine'!$CW$4)),ISNUMBER($AQ$20),ISNUMBER('Level Engine'!$FI$2)),MIN($AQ$20,'Level Engine'!$FI$2),$AQ$20)),IF(AND(AND('Level Engine'!$CW$2=1,ISNUMBER($AP$67),$AP$67&gt;=MIN('Level Engine'!$CW$3,'Level Engine'!$CW$4),$AP$67&lt;=MAX('Level Engine'!$CW$3,'Level Engine'!$CW$4)),ISNUMBER($AQ$20),ISNUMBER('Level Engine'!$FI$2)),MIN($AQ$20,'Level Engine'!$FI$2),$AQ$20),IF(ISNUMBER($AP$67),$AP$67,"")))))</f>
        <v>7775</v>
      </c>
      <c r="AO20" t="str">
        <f>IFERROR(IF(AND(NOT(AND($A$8="Pos",N('Level Engine'!$BG$72)&lt;&gt;1)),ISNUMBER($AP$67),AND(ISNUMBER(MATCH($AP$67-5,'Level Engine'!$AA$9:$AA$55,0)),ABS(N(IFERROR(INDEX('Level Engine'!$AE$9:$AE$55,MATCH($AP$67-5,'Level Engine'!$AA$9:$AA$55,0)),0)))&lt;'Level Engine'!$BG$85,ABS(N(IFERROR(INDEX('Level Engine'!$AE$9:$AE$55,MATCH($AP$67-5,'Level Engine'!$AA$9:$AA$55,0)),0)))&lt;=ABS(N(IFERROR(INDEX('Level Engine'!$AE$9:$AE$55,MATCH(($AP$67-5)+5,'Level Engine'!$AA$9:$AA$55,0)),0))),ABS(N(IFERROR(INDEX('Level Engine'!$AE$9:$AE$55,MATCH($AP$67-5,'Level Engine'!$AA$9:$AA$55,0)),0)))&lt;=ABS(N(IFERROR(INDEX('Level Engine'!$AE$9:$AE$55,MATCH(($AP$67-5)-5,'Level Engine'!$AA$9:$AA$55,0)),0))),OR(AND(ABS(N(IFERROR(INDEX('Level Engine'!$AE$9:$AE$55,MATCH(($AP$67-5)+5,'Level Engine'!$AA$9:$AA$55,0)),0)))&gt;='Level Engine'!$BG$85,ABS(N(IFERROR(INDEX('Level Engine'!$AE$9:$AE$55,MATCH($AP$67-5,'Level Engine'!$AA$9:$AA$55,0)),0)))&lt;='Level Engine'!$BG$88*ABS(N(IFERROR(INDEX('Level Engine'!$AE$9:$AE$55,MATCH(($AP$67-5)+5,'Level Engine'!$AA$9:$AA$55,0)),0)))),AND(ABS(N(IFERROR(INDEX('Level Engine'!$AE$9:$AE$55,MATCH(($AP$67-5)-5,'Level Engine'!$AA$9:$AA$55,0)),0)))&gt;='Level Engine'!$BG$85,ABS(N(IFERROR(INDEX('Level Engine'!$AE$9:$AE$55,MATCH($AP$67-5,'Level Engine'!$AA$9:$AA$55,0)),0)))&lt;='Level Engine'!$BG$88*ABS(N(IFERROR(INDEX('Level Engine'!$AE$9:$AE$55,MATCH(($AP$67-5)-5,'Level Engine'!$AA$9:$AA$55,0)),0))))))),$AP$67-5,""),"")</f>
        <v/>
      </c>
      <c r="AP20">
        <f>IF(NOT(ISNUMBER($AP$67)),"",IF(AND(IFERROR(INDEX('Level Engine'!$AN$9:$AN$55,MATCH($AP$67,'Level Engine'!$AA$9:$AA$55,0)),0)=1,NOT(OR($A$8="Neg",N('Level Engine'!$BG$72)=1))),IF($AB$20=$AB$21,$AP$67,$AB$20),IF(AND('Level Engine'!$CW$2=1,$AP$67&gt;=MIN('Level Engine'!$CW$3,'Level Engine'!$CW$4),$AP$67&lt;=MAX('Level Engine'!$CW$3,'Level Engine'!$CW$4)),MIN('Level Engine'!$CW$3,'Level Engine'!$CW$4),$AP$67)))</f>
        <v>7770</v>
      </c>
      <c r="AQ20">
        <f>IF(NOT(ISNUMBER($AP$67)),"",IF(AND(IFERROR(INDEX('Level Engine'!$AN$9:$AN$55,MATCH($AP$67,'Level Engine'!$AA$9:$AA$55,0)),0)=1,NOT(OR($A$8="Neg",N('Level Engine'!$BG$72)=1))),IF($AB$20=$AB$21,$AP$67,$AB$21),IF(AND('Level Engine'!$CW$2=1,$AP$67&gt;=MIN('Level Engine'!$CW$3,'Level Engine'!$CW$4),$AP$67&lt;=MAX('Level Engine'!$CW$3,'Level Engine'!$CW$4)),MAX('Level Engine'!$CW$3,'Level Engine'!$CW$4),$AP$67)))</f>
        <v>7780</v>
      </c>
    </row>
    <row r="21" spans="1:48" ht="15" customHeight="1" x14ac:dyDescent="0.25">
      <c r="A21" s="247"/>
      <c r="G21" s="248"/>
      <c r="H21" s="248"/>
      <c r="K21" s="248"/>
      <c r="L21" s="248"/>
      <c r="R21" s="181"/>
      <c r="S21" s="249" t="s">
        <v>33</v>
      </c>
      <c r="T21" s="250" t="s">
        <v>105</v>
      </c>
      <c r="U21" s="250" t="s">
        <v>106</v>
      </c>
      <c r="V21" s="100"/>
      <c r="W21" s="644" t="str">
        <f>IF(ISNUMBER(SEARCH("LONG trigger",'GEX Depth'!$C$54)),"▶ LONG TRIGGER",IF(ISNUMBER(SEARCH("SHORT trigger",'GEX Depth'!$C$54)),"▼ SHORT TRIGGER",IF(ISNUMBER(SEARCH("watching",'GEX Depth'!$C$54)),"watching…",IF(ISNUMBER(SEARCH("RISING",'GEX Depth'!$C$54)),"vol rising",IF(ISNUMBER(SEARCH("FALLING",'GEX Depth'!$C$54)),"vol falling","— no signal —")))))</f>
        <v>vol falling</v>
      </c>
      <c r="X21" s="644"/>
      <c r="Y21" s="644"/>
      <c r="AB21" s="33">
        <f>IFERROR(IF(NOT(ISNUMBER($AL$49)),"",IF(AND(ISNUMBER($AL$49),ISNUMBER(IFERROR(INDEX('Level Engine'!$AA$9:$AA$55,MATCH(2,'Level Engine'!$BU$9:$BU$55,0)),"")),IFERROR(INDEX('Level Engine'!$AT$9:$AT$55,MATCH($AL$49,'Level Engine'!$AA$9:$AA$55,0)),$AL$49)&lt;=IFERROR(INDEX('Level Engine'!$AU$9:$AU$55,MATCH((IFERROR(INDEX('Level Engine'!$AA$9:$AA$55,MATCH(2,'Level Engine'!$BU$9:$BU$55,0)),"")),'Level Engine'!$AA$9:$AA$55,0)),(IFERROR(INDEX('Level Engine'!$AA$9:$AA$55,MATCH(2,'Level Engine'!$BU$9:$BU$55,0)),""))),IFERROR(INDEX('Level Engine'!$AT$9:$AT$55,MATCH((IFERROR(INDEX('Level Engine'!$AA$9:$AA$55,MATCH(2,'Level Engine'!$BU$9:$BU$55,0)),"")),'Level Engine'!$AA$9:$AA$55,0)),(IFERROR(INDEX('Level Engine'!$AA$9:$AA$55,MATCH(2,'Level Engine'!$BU$9:$BU$55,0)),"")))&lt;=IFERROR(INDEX('Level Engine'!$AU$9:$AU$55,MATCH($AL$49,'Level Engine'!$AA$9:$AA$55,0)),$AL$49)),MAX(IFERROR(INDEX('Level Engine'!$AU$9:$AU$55,MATCH($AL$49,'Level Engine'!$AA$9:$AA$55,0)),$AL$49),IFERROR(INDEX('Level Engine'!$AU$9:$AU$55,MATCH((IFERROR(INDEX('Level Engine'!$AA$9:$AA$55,MATCH(2,'Level Engine'!$BU$9:$BU$55,0)),"")),'Level Engine'!$AA$9:$AA$55,0)),(IFERROR(INDEX('Level Engine'!$AA$9:$AA$55,MATCH(2,'Level Engine'!$BU$9:$BU$55,0)),"")))),IFERROR(INDEX('Level Engine'!$AU$9:$AU$55,MATCH($AL$49,'Level Engine'!$AA$9:$AA$55,0)),$AL$49))),"")</f>
        <v>7775</v>
      </c>
      <c r="AM21">
        <f>IF(IFERROR(AND(NOT(AND($A$8="Pos",N('Level Engine'!$BG$72)&lt;&gt;1)),ISNUMBER($AL$67),AND(ISNUMBER(MATCH($AL$67-5,'Level Engine'!$AA$9:$AA$55,0)),ABS(N(IFERROR(INDEX('Level Engine'!$AE$9:$AE$55,MATCH($AL$67-5,'Level Engine'!$AA$9:$AA$55,0)),0)))&lt;'Level Engine'!$BG$85,ABS(N(IFERROR(INDEX('Level Engine'!$AE$9:$AE$55,MATCH($AL$67-5,'Level Engine'!$AA$9:$AA$55,0)),0)))&lt;=ABS(N(IFERROR(INDEX('Level Engine'!$AE$9:$AE$55,MATCH(($AL$67-5)+5,'Level Engine'!$AA$9:$AA$55,0)),0))),ABS(N(IFERROR(INDEX('Level Engine'!$AE$9:$AE$55,MATCH($AL$67-5,'Level Engine'!$AA$9:$AA$55,0)),0)))&lt;=ABS(N(IFERROR(INDEX('Level Engine'!$AE$9:$AE$55,MATCH(($AL$67-5)-5,'Level Engine'!$AA$9:$AA$55,0)),0))),OR(AND(ABS(N(IFERROR(INDEX('Level Engine'!$AE$9:$AE$55,MATCH(($AL$67-5)+5,'Level Engine'!$AA$9:$AA$55,0)),0)))&gt;='Level Engine'!$BG$85,ABS(N(IFERROR(INDEX('Level Engine'!$AE$9:$AE$55,MATCH($AL$67-5,'Level Engine'!$AA$9:$AA$55,0)),0)))&lt;='Level Engine'!$BG$88*ABS(N(IFERROR(INDEX('Level Engine'!$AE$9:$AE$55,MATCH(($AL$67-5)+5,'Level Engine'!$AA$9:$AA$55,0)),0)))),AND(ABS(N(IFERROR(INDEX('Level Engine'!$AE$9:$AE$55,MATCH(($AL$67-5)-5,'Level Engine'!$AA$9:$AA$55,0)),0)))&gt;='Level Engine'!$BG$85,ABS(N(IFERROR(INDEX('Level Engine'!$AE$9:$AE$55,MATCH($AL$67-5,'Level Engine'!$AA$9:$AA$55,0)),0)))&lt;='Level Engine'!$BG$88*ABS(N(IFERROR(INDEX('Level Engine'!$AE$9:$AE$55,MATCH(($AL$67-5)-5,'Level Engine'!$AA$9:$AA$55,0)),0))))))),FALSE),MIN($AL$67-5,N(IF(AND(OR($A$8="Neg",N('Level Engine'!$BG$72)=1),ISNUMBER($AL$67)),$AL$67,IF(AND(ISNUMBER($AL$67),IFERROR(INDEX('Level Engine'!$GF$9:$GF$55,MATCH($AL$67,'Level Engine'!$AA$9:$AA$55,0)),0)=1),$AL$67,IF(AND(ISNUMBER($AL$67),OR($AL$67=$AN$70,IFERROR(INDEX('Level Engine'!$IB$9:$IB$55,MATCH($AL$67,'Level Engine'!$AA$9:$AA$55,0)),0)=1)),$AL$67,IF(ISNUMBER(IFERROR(IF(INDEX('Level Engine'!$AN$9:$AN$55,MATCH($AL$67,'Level Engine'!$AA$9:$AA$55,0))=1,INDEX('Level Engine'!$AT$9:$AT$55,MATCH($AL$67,'Level Engine'!$AA$9:$AA$55,0)),$AL$67),$AL$67)),IFERROR(IF(INDEX('Level Engine'!$AN$9:$AN$55,MATCH($AL$67,'Level Engine'!$AA$9:$AA$55,0))=1,INDEX('Level Engine'!$AT$9:$AT$55,MATCH($AL$67,'Level Engine'!$AA$9:$AA$55,0)),$AL$67),$AL$67),IF(ISNUMBER($AL$67),$AL$67,""))))))),IF(AND(OR($A$8="Neg",N('Level Engine'!$BG$72)=1),ISNUMBER($AL$67)),$AL$67,IF(AND(ISNUMBER($AL$67),IFERROR(INDEX('Level Engine'!$GF$9:$GF$55,MATCH($AL$67,'Level Engine'!$AA$9:$AA$55,0)),0)=1),$AL$67,IF(AND(ISNUMBER($AL$67),OR($AL$67=$AN$70,IFERROR(INDEX('Level Engine'!$IB$9:$IB$55,MATCH($AL$67,'Level Engine'!$AA$9:$AA$55,0)),0)=1)),$AL$67,IF(ISNUMBER(IFERROR(IF(INDEX('Level Engine'!$AN$9:$AN$55,MATCH($AL$67,'Level Engine'!$AA$9:$AA$55,0))=1,INDEX('Level Engine'!$AT$9:$AT$55,MATCH($AL$67,'Level Engine'!$AA$9:$AA$55,0)),$AL$67),$AL$67)),IFERROR(IF(INDEX('Level Engine'!$AN$9:$AN$55,MATCH($AL$67,'Level Engine'!$AA$9:$AA$55,0))=1,INDEX('Level Engine'!$AT$9:$AT$55,MATCH($AL$67,'Level Engine'!$AA$9:$AA$55,0)),$AL$67),$AL$67),IF(ISNUMBER($AL$67),$AL$67,""))))))</f>
        <v>7770</v>
      </c>
      <c r="AN21">
        <f>IF(AND(OR($A$8="Neg",N('Level Engine'!$BG$72)=1),ISNUMBER($AL$67)),$AL$67,IF(AND(ISNUMBER($AL$67),IFERROR(INDEX('Level Engine'!$GF$9:$GF$55,MATCH($AL$67,'Level Engine'!$AA$9:$AA$55,0)),0)=1),$AL$67,IF(AND(ISNUMBER($AL$67),OR($AL$67=$AN$70,IFERROR(INDEX('Level Engine'!$IB$9:$IB$55,MATCH($AL$67,'Level Engine'!$AA$9:$AA$55,0)),0)=1)),$AL$67,IF(ISNUMBER(IFERROR(IF(INDEX('Level Engine'!$AN$9:$AN$55,MATCH($AL$67,'Level Engine'!$AA$9:$AA$55,0))=1,INDEX('Level Engine'!$AU$9:$AU$55,MATCH($AL$67,'Level Engine'!$AA$9:$AA$55,0)),$AL$67),$AL$67)),IFERROR(IF(INDEX('Level Engine'!$AN$9:$AN$55,MATCH($AL$67,'Level Engine'!$AA$9:$AA$55,0))=1,INDEX('Level Engine'!$AU$9:$AU$55,MATCH($AL$67,'Level Engine'!$AA$9:$AA$55,0)),$AL$67),$AL$67),IF(ISNUMBER($AL$67),$AL$67,"")))))</f>
        <v>7770</v>
      </c>
      <c r="AO21" t="str">
        <f>IFERROR(IF(AND(NOT(AND($A$8="Pos",N('Level Engine'!$BG$72)&lt;&gt;1)),ISNUMBER($AL$67),AND(ISNUMBER(MATCH($AL$67-5,'Level Engine'!$AA$9:$AA$55,0)),ABS(N(IFERROR(INDEX('Level Engine'!$AE$9:$AE$55,MATCH($AL$67-5,'Level Engine'!$AA$9:$AA$55,0)),0)))&lt;'Level Engine'!$BG$85,ABS(N(IFERROR(INDEX('Level Engine'!$AE$9:$AE$55,MATCH($AL$67-5,'Level Engine'!$AA$9:$AA$55,0)),0)))&lt;=ABS(N(IFERROR(INDEX('Level Engine'!$AE$9:$AE$55,MATCH(($AL$67-5)+5,'Level Engine'!$AA$9:$AA$55,0)),0))),ABS(N(IFERROR(INDEX('Level Engine'!$AE$9:$AE$55,MATCH($AL$67-5,'Level Engine'!$AA$9:$AA$55,0)),0)))&lt;=ABS(N(IFERROR(INDEX('Level Engine'!$AE$9:$AE$55,MATCH(($AL$67-5)-5,'Level Engine'!$AA$9:$AA$55,0)),0))),OR(AND(ABS(N(IFERROR(INDEX('Level Engine'!$AE$9:$AE$55,MATCH(($AL$67-5)+5,'Level Engine'!$AA$9:$AA$55,0)),0)))&gt;='Level Engine'!$BG$85,ABS(N(IFERROR(INDEX('Level Engine'!$AE$9:$AE$55,MATCH($AL$67-5,'Level Engine'!$AA$9:$AA$55,0)),0)))&lt;='Level Engine'!$BG$88*ABS(N(IFERROR(INDEX('Level Engine'!$AE$9:$AE$55,MATCH(($AL$67-5)+5,'Level Engine'!$AA$9:$AA$55,0)),0)))),AND(ABS(N(IFERROR(INDEX('Level Engine'!$AE$9:$AE$55,MATCH(($AL$67-5)-5,'Level Engine'!$AA$9:$AA$55,0)),0)))&gt;='Level Engine'!$BG$85,ABS(N(IFERROR(INDEX('Level Engine'!$AE$9:$AE$55,MATCH($AL$67-5,'Level Engine'!$AA$9:$AA$55,0)),0)))&lt;='Level Engine'!$BG$88*ABS(N(IFERROR(INDEX('Level Engine'!$AE$9:$AE$55,MATCH(($AL$67-5)-5,'Level Engine'!$AA$9:$AA$55,0)),0))))))),$AL$67-5,""),"")</f>
        <v/>
      </c>
    </row>
    <row r="22" spans="1:48" ht="15" customHeight="1" x14ac:dyDescent="0.25">
      <c r="A22" s="250" t="s">
        <v>107</v>
      </c>
      <c r="B22" s="250" t="s">
        <v>14</v>
      </c>
      <c r="C22" s="250" t="s">
        <v>35</v>
      </c>
      <c r="D22" s="250" t="s">
        <v>15</v>
      </c>
      <c r="E22" s="250" t="s">
        <v>16</v>
      </c>
      <c r="F22" s="250" t="s">
        <v>17</v>
      </c>
      <c r="G22" s="250" t="s">
        <v>19</v>
      </c>
      <c r="H22" s="250" t="s">
        <v>18</v>
      </c>
      <c r="I22" s="250" t="s">
        <v>20</v>
      </c>
      <c r="R22" s="181"/>
      <c r="S22" s="251" t="s">
        <v>108</v>
      </c>
      <c r="T22" s="252">
        <f>IFERROR(INDEX($A$29:$A$75,MATCH(MAX($C$29:$C$75),$C$29:$C$75,0)),"")</f>
        <v>7825</v>
      </c>
      <c r="U22" s="253">
        <f>IF(MAX($C$29:$C$75)&gt;0,MAX($C$29:$C$75),"-")</f>
        <v>538591</v>
      </c>
      <c r="V22" s="100"/>
      <c r="W22" s="254" t="s">
        <v>109</v>
      </c>
      <c r="X22" s="255">
        <f>IF('GEX Depth'!$C$55="","",'GEX Depth'!$C$55)</f>
        <v>4035</v>
      </c>
      <c r="Y22" s="256" t="str">
        <f>IF('GEX Depth'!$E$55="","",TEXT('GEX Depth'!$E$55,"0.0")&amp;"%")</f>
        <v>0.0%</v>
      </c>
      <c r="AB22" s="218" t="str">
        <f>IFERROR(IF(NOT(ISNUMBER($AL$42)),"",IF(AND(ISNUMBER($AL$42),ISNUMBER(IFERROR(INDEX('Level Engine'!$AA$9:$AA$55,MATCH(2,'Level Engine'!$BT$9:$BT$55,0)),"")),IFERROR(INDEX('Level Engine'!$AT$9:$AT$55,MATCH($AL$42,'Level Engine'!$AA$9:$AA$55,0)),$AL$42)&lt;=IFERROR(INDEX('Level Engine'!$AU$9:$AU$55,MATCH((IFERROR(INDEX('Level Engine'!$AA$9:$AA$55,MATCH(2,'Level Engine'!$BT$9:$BT$55,0)),"")),'Level Engine'!$AA$9:$AA$55,0)),(IFERROR(INDEX('Level Engine'!$AA$9:$AA$55,MATCH(2,'Level Engine'!$BT$9:$BT$55,0)),""))),IFERROR(INDEX('Level Engine'!$AT$9:$AT$55,MATCH((IFERROR(INDEX('Level Engine'!$AA$9:$AA$55,MATCH(2,'Level Engine'!$BT$9:$BT$55,0)),"")),'Level Engine'!$AA$9:$AA$55,0)),(IFERROR(INDEX('Level Engine'!$AA$9:$AA$55,MATCH(2,'Level Engine'!$BT$9:$BT$55,0)),"")))&lt;=IFERROR(INDEX('Level Engine'!$AU$9:$AU$55,MATCH($AL$42,'Level Engine'!$AA$9:$AA$55,0)),$AL$42)),MIN(IFERROR(INDEX('Level Engine'!$AT$9:$AT$55,MATCH($AL$42,'Level Engine'!$AA$9:$AA$55,0)),$AL$42),IFERROR(INDEX('Level Engine'!$AT$9:$AT$55,MATCH((IFERROR(INDEX('Level Engine'!$AA$9:$AA$55,MATCH(2,'Level Engine'!$BT$9:$BT$55,0)),"")),'Level Engine'!$AA$9:$AA$55,0)),(IFERROR(INDEX('Level Engine'!$AA$9:$AA$55,MATCH(2,'Level Engine'!$BT$9:$BT$55,0)),"")))),IFERROR(INDEX('Level Engine'!$AT$9:$AT$55,MATCH($AL$42,'Level Engine'!$AA$9:$AA$55,0)),$AL$42))),"")</f>
        <v/>
      </c>
      <c r="AM22" t="str">
        <f>IF(IFERROR(AND(NOT(AND($A$8="Pos",N('Level Engine'!$BG$72)&lt;&gt;1)),ISNUMBER($AL$51),AND(ISNUMBER(MATCH($AL$51-5,'Level Engine'!$AA$9:$AA$55,0)),ABS(N(IFERROR(INDEX('Level Engine'!$AE$9:$AE$55,MATCH($AL$51-5,'Level Engine'!$AA$9:$AA$55,0)),0)))&lt;'Level Engine'!$BG$85,ABS(N(IFERROR(INDEX('Level Engine'!$AE$9:$AE$55,MATCH($AL$51-5,'Level Engine'!$AA$9:$AA$55,0)),0)))&lt;=ABS(N(IFERROR(INDEX('Level Engine'!$AE$9:$AE$55,MATCH(($AL$51-5)+5,'Level Engine'!$AA$9:$AA$55,0)),0))),ABS(N(IFERROR(INDEX('Level Engine'!$AE$9:$AE$55,MATCH($AL$51-5,'Level Engine'!$AA$9:$AA$55,0)),0)))&lt;=ABS(N(IFERROR(INDEX('Level Engine'!$AE$9:$AE$55,MATCH(($AL$51-5)-5,'Level Engine'!$AA$9:$AA$55,0)),0))),OR(AND(ABS(N(IFERROR(INDEX('Level Engine'!$AE$9:$AE$55,MATCH(($AL$51-5)+5,'Level Engine'!$AA$9:$AA$55,0)),0)))&gt;='Level Engine'!$BG$85,ABS(N(IFERROR(INDEX('Level Engine'!$AE$9:$AE$55,MATCH($AL$51-5,'Level Engine'!$AA$9:$AA$55,0)),0)))&lt;='Level Engine'!$BG$88*ABS(N(IFERROR(INDEX('Level Engine'!$AE$9:$AE$55,MATCH(($AL$51-5)+5,'Level Engine'!$AA$9:$AA$55,0)),0)))),AND(ABS(N(IFERROR(INDEX('Level Engine'!$AE$9:$AE$55,MATCH(($AL$51-5)-5,'Level Engine'!$AA$9:$AA$55,0)),0)))&gt;='Level Engine'!$BG$85,ABS(N(IFERROR(INDEX('Level Engine'!$AE$9:$AE$55,MATCH($AL$51-5,'Level Engine'!$AA$9:$AA$55,0)),0)))&lt;='Level Engine'!$BG$88*ABS(N(IFERROR(INDEX('Level Engine'!$AE$9:$AE$55,MATCH(($AL$51-5)-5,'Level Engine'!$AA$9:$AA$55,0)),0))))))),FALSE),MIN($AL$51-5,N(IF(AND(OR($A$8="Neg",N('Level Engine'!$BG$72)=1),ISNUMBER($AL$51)),$AL$51,IF(AND(ISNUMBER($AL$51),IFERROR(INDEX('Level Engine'!$GF$9:$GF$55,MATCH($AL$51,'Level Engine'!$AA$9:$AA$55,0)),0)=1),$AL$51,IF(AND(ISNUMBER($AL$51),OR($AL$51=$AN$70,IFERROR(INDEX('Level Engine'!$IB$9:$IB$55,MATCH($AL$51,'Level Engine'!$AA$9:$AA$55,0)),0)=1)),$AL$51,IF(ISNUMBER(IFERROR(IF(INDEX('Level Engine'!$AN$9:$AN$55,MATCH($AL$51,'Level Engine'!$AA$9:$AA$55,0))=1,INDEX('Level Engine'!$AT$9:$AT$55,MATCH($AL$51,'Level Engine'!$AA$9:$AA$55,0)),$AL$51),$AL$51)),IFERROR(IF(INDEX('Level Engine'!$AN$9:$AN$55,MATCH($AL$51,'Level Engine'!$AA$9:$AA$55,0))=1,INDEX('Level Engine'!$AT$9:$AT$55,MATCH($AL$51,'Level Engine'!$AA$9:$AA$55,0)),$AL$51),$AL$51),IF(ISNUMBER($AL$51),$AL$51,""))))))),IF(AND(OR($A$8="Neg",N('Level Engine'!$BG$72)=1),ISNUMBER($AL$51)),$AL$51,IF(AND(ISNUMBER($AL$51),IFERROR(INDEX('Level Engine'!$GF$9:$GF$55,MATCH($AL$51,'Level Engine'!$AA$9:$AA$55,0)),0)=1),$AL$51,IF(AND(ISNUMBER($AL$51),OR($AL$51=$AN$70,IFERROR(INDEX('Level Engine'!$IB$9:$IB$55,MATCH($AL$51,'Level Engine'!$AA$9:$AA$55,0)),0)=1)),$AL$51,IF(ISNUMBER(IFERROR(IF(INDEX('Level Engine'!$AN$9:$AN$55,MATCH($AL$51,'Level Engine'!$AA$9:$AA$55,0))=1,INDEX('Level Engine'!$AT$9:$AT$55,MATCH($AL$51,'Level Engine'!$AA$9:$AA$55,0)),$AL$51),$AL$51)),IFERROR(IF(INDEX('Level Engine'!$AN$9:$AN$55,MATCH($AL$51,'Level Engine'!$AA$9:$AA$55,0))=1,INDEX('Level Engine'!$AT$9:$AT$55,MATCH($AL$51,'Level Engine'!$AA$9:$AA$55,0)),$AL$51),$AL$51),IF(ISNUMBER($AL$51),$AL$51,""))))))</f>
        <v/>
      </c>
      <c r="AN22" t="str">
        <f>IF(AND(OR($A$8="Neg",N('Level Engine'!$BG$72)=1),ISNUMBER($AL$51)),$AL$51,IF(AND(ISNUMBER($AL$51),IFERROR(INDEX('Level Engine'!$GF$9:$GF$55,MATCH($AL$51,'Level Engine'!$AA$9:$AA$55,0)),0)=1),$AL$51,IF(AND(ISNUMBER($AL$51),OR($AL$51=$AN$70,IFERROR(INDEX('Level Engine'!$IB$9:$IB$55,MATCH($AL$51,'Level Engine'!$AA$9:$AA$55,0)),0)=1)),$AL$51,IF(ISNUMBER(IFERROR(IF(INDEX('Level Engine'!$AN$9:$AN$55,MATCH($AL$51,'Level Engine'!$AA$9:$AA$55,0))=1,INDEX('Level Engine'!$AU$9:$AU$55,MATCH($AL$51,'Level Engine'!$AA$9:$AA$55,0)),$AL$51),$AL$51)),IFERROR(IF(INDEX('Level Engine'!$AN$9:$AN$55,MATCH($AL$51,'Level Engine'!$AA$9:$AA$55,0))=1,INDEX('Level Engine'!$AU$9:$AU$55,MATCH($AL$51,'Level Engine'!$AA$9:$AA$55,0)),$AL$51),$AL$51),IF(ISNUMBER($AL$51),$AL$51,"")))))</f>
        <v/>
      </c>
      <c r="AO22" t="str">
        <f>IFERROR(IF(AND(NOT(AND($A$8="Pos",N('Level Engine'!$BG$72)&lt;&gt;1)),ISNUMBER($AL$51),AND(ISNUMBER(MATCH($AL$51-5,'Level Engine'!$AA$9:$AA$55,0)),ABS(N(IFERROR(INDEX('Level Engine'!$AE$9:$AE$55,MATCH($AL$51-5,'Level Engine'!$AA$9:$AA$55,0)),0)))&lt;'Level Engine'!$BG$85,ABS(N(IFERROR(INDEX('Level Engine'!$AE$9:$AE$55,MATCH($AL$51-5,'Level Engine'!$AA$9:$AA$55,0)),0)))&lt;=ABS(N(IFERROR(INDEX('Level Engine'!$AE$9:$AE$55,MATCH(($AL$51-5)+5,'Level Engine'!$AA$9:$AA$55,0)),0))),ABS(N(IFERROR(INDEX('Level Engine'!$AE$9:$AE$55,MATCH($AL$51-5,'Level Engine'!$AA$9:$AA$55,0)),0)))&lt;=ABS(N(IFERROR(INDEX('Level Engine'!$AE$9:$AE$55,MATCH(($AL$51-5)-5,'Level Engine'!$AA$9:$AA$55,0)),0))),OR(AND(ABS(N(IFERROR(INDEX('Level Engine'!$AE$9:$AE$55,MATCH(($AL$51-5)+5,'Level Engine'!$AA$9:$AA$55,0)),0)))&gt;='Level Engine'!$BG$85,ABS(N(IFERROR(INDEX('Level Engine'!$AE$9:$AE$55,MATCH($AL$51-5,'Level Engine'!$AA$9:$AA$55,0)),0)))&lt;='Level Engine'!$BG$88*ABS(N(IFERROR(INDEX('Level Engine'!$AE$9:$AE$55,MATCH(($AL$51-5)+5,'Level Engine'!$AA$9:$AA$55,0)),0)))),AND(ABS(N(IFERROR(INDEX('Level Engine'!$AE$9:$AE$55,MATCH(($AL$51-5)-5,'Level Engine'!$AA$9:$AA$55,0)),0)))&gt;='Level Engine'!$BG$85,ABS(N(IFERROR(INDEX('Level Engine'!$AE$9:$AE$55,MATCH($AL$51-5,'Level Engine'!$AA$9:$AA$55,0)),0)))&lt;='Level Engine'!$BG$88*ABS(N(IFERROR(INDEX('Level Engine'!$AE$9:$AE$55,MATCH(($AL$51-5)-5,'Level Engine'!$AA$9:$AA$55,0)),0))))))),$AL$51-5,""),"")</f>
        <v/>
      </c>
    </row>
    <row r="23" spans="1:48" ht="15" customHeight="1" x14ac:dyDescent="0.25">
      <c r="A23" s="257" t="s">
        <v>110</v>
      </c>
      <c r="B23" s="258">
        <f t="shared" ref="B23:I23" si="0">IFERROR(INDEX($A$29:$A$75,MATCH(MAX(B$29:B$75),B$29:B$75,0)),"")</f>
        <v>7770</v>
      </c>
      <c r="C23" s="258">
        <f t="shared" si="0"/>
        <v>7825</v>
      </c>
      <c r="D23" s="258">
        <f t="shared" si="0"/>
        <v>7770</v>
      </c>
      <c r="E23" s="258">
        <f t="shared" si="0"/>
        <v>7705</v>
      </c>
      <c r="F23" s="258">
        <f t="shared" si="0"/>
        <v>7750</v>
      </c>
      <c r="G23" s="258">
        <f t="shared" si="0"/>
        <v>7800</v>
      </c>
      <c r="H23" s="258">
        <f t="shared" si="0"/>
        <v>7770</v>
      </c>
      <c r="I23" s="258">
        <f t="shared" si="0"/>
        <v>7750</v>
      </c>
      <c r="S23" s="259" t="s">
        <v>111</v>
      </c>
      <c r="T23" s="260">
        <v>7770</v>
      </c>
      <c r="U23" s="261">
        <f>IF(MIN($C$29:$C$75)&lt;0,MIN($C$29:$C$75),"-")</f>
        <v>-3137174</v>
      </c>
      <c r="V23" s="100">
        <f>IFERROR(INDEX($A$29:$A$75,MATCH(MIN($C$29:$C$75),$C$29:$C$75,0)),"")</f>
        <v>7770</v>
      </c>
      <c r="W23" s="254" t="s">
        <v>112</v>
      </c>
      <c r="X23" s="262" t="str">
        <f>IF('GEX Depth'!$C$56="","",'GEX Depth'!$C$56)</f>
        <v>UP</v>
      </c>
      <c r="Y23" s="256" t="str">
        <f>IF('GEX Depth'!$E$56="","","VVIX "&amp;TEXT('GEX Depth'!$E$56,"0"))</f>
        <v>VVIX 87</v>
      </c>
      <c r="AB23" s="218" t="str">
        <f>IFERROR(IF(NOT(ISNUMBER($AL$42)),"",IF(AND(ISNUMBER($AL$42),ISNUMBER(IFERROR(INDEX('Level Engine'!$AA$9:$AA$55,MATCH(2,'Level Engine'!$BT$9:$BT$55,0)),"")),IFERROR(INDEX('Level Engine'!$AT$9:$AT$55,MATCH($AL$42,'Level Engine'!$AA$9:$AA$55,0)),$AL$42)&lt;=IFERROR(INDEX('Level Engine'!$AU$9:$AU$55,MATCH((IFERROR(INDEX('Level Engine'!$AA$9:$AA$55,MATCH(2,'Level Engine'!$BT$9:$BT$55,0)),"")),'Level Engine'!$AA$9:$AA$55,0)),(IFERROR(INDEX('Level Engine'!$AA$9:$AA$55,MATCH(2,'Level Engine'!$BT$9:$BT$55,0)),""))),IFERROR(INDEX('Level Engine'!$AT$9:$AT$55,MATCH((IFERROR(INDEX('Level Engine'!$AA$9:$AA$55,MATCH(2,'Level Engine'!$BT$9:$BT$55,0)),"")),'Level Engine'!$AA$9:$AA$55,0)),(IFERROR(INDEX('Level Engine'!$AA$9:$AA$55,MATCH(2,'Level Engine'!$BT$9:$BT$55,0)),"")))&lt;=IFERROR(INDEX('Level Engine'!$AU$9:$AU$55,MATCH($AL$42,'Level Engine'!$AA$9:$AA$55,0)),$AL$42)),MAX(IFERROR(INDEX('Level Engine'!$AU$9:$AU$55,MATCH($AL$42,'Level Engine'!$AA$9:$AA$55,0)),$AL$42),IFERROR(INDEX('Level Engine'!$AU$9:$AU$55,MATCH((IFERROR(INDEX('Level Engine'!$AA$9:$AA$55,MATCH(2,'Level Engine'!$BT$9:$BT$55,0)),"")),'Level Engine'!$AA$9:$AA$55,0)),(IFERROR(INDEX('Level Engine'!$AA$9:$AA$55,MATCH(2,'Level Engine'!$BT$9:$BT$55,0)),"")))),IFERROR(INDEX('Level Engine'!$AU$9:$AU$55,MATCH($AL$42,'Level Engine'!$AA$9:$AA$55,0)),$AL$42))),"")</f>
        <v/>
      </c>
    </row>
    <row r="24" spans="1:48" ht="15" customHeight="1" x14ac:dyDescent="0.25">
      <c r="A24" s="263" t="s">
        <v>113</v>
      </c>
      <c r="B24" s="264">
        <f t="shared" ref="B24:I24" si="1">IFERROR(INDEX($A$29:$A$75,MATCH(MIN(B$29:B$75),B$29:B$75,0)),"")</f>
        <v>7655</v>
      </c>
      <c r="C24" s="264">
        <f t="shared" si="1"/>
        <v>7770</v>
      </c>
      <c r="D24" s="264">
        <f t="shared" si="1"/>
        <v>7720</v>
      </c>
      <c r="E24" s="264">
        <f t="shared" si="1"/>
        <v>7800</v>
      </c>
      <c r="F24" s="264">
        <f t="shared" si="1"/>
        <v>7780</v>
      </c>
      <c r="G24" s="264">
        <f t="shared" si="1"/>
        <v>7775</v>
      </c>
      <c r="H24" s="264">
        <f t="shared" si="1"/>
        <v>7655</v>
      </c>
      <c r="I24" s="264">
        <f t="shared" si="1"/>
        <v>7780</v>
      </c>
      <c r="S24" s="265" t="s">
        <v>114</v>
      </c>
      <c r="T24" s="266">
        <f>IFERROR($D$26,"-")</f>
        <v>7805</v>
      </c>
      <c r="U24" s="267">
        <f>IFERROR(INDEX($B$29:$B$75,MATCH(T24,$A$29:$A$75,0)),"")</f>
        <v>874234</v>
      </c>
      <c r="AC24" s="33" t="b">
        <f>IF($B$23="",FALSE(),AND(AND($A$8&lt;&gt;"Neg",N('Level Engine'!$BG$72)&lt;&gt;1),NOT(ISNUMBER(SEARCH("Choppy",$S$38))),IFERROR(INDEX($C$29:$C$75,MATCH($B$23,$A$29:$A$75,0)),0)&gt;0))</f>
        <v>0</v>
      </c>
    </row>
    <row r="25" spans="1:48" ht="15" customHeight="1" x14ac:dyDescent="0.25">
      <c r="A25" s="268"/>
      <c r="B25" s="268"/>
      <c r="C25" s="268"/>
      <c r="D25" s="268"/>
      <c r="E25" s="268" t="s">
        <v>1592</v>
      </c>
      <c r="F25" s="268"/>
      <c r="G25" s="268"/>
      <c r="H25" s="268"/>
      <c r="I25" s="268"/>
      <c r="K25" s="269" t="s">
        <v>115</v>
      </c>
      <c r="L25" s="270">
        <v>85000</v>
      </c>
      <c r="S25" s="271" t="s">
        <v>2145</v>
      </c>
      <c r="T25" s="272">
        <f>IFERROR(INDEX($A$29:$A$75,MATCH(U25,$AS$29:$AS$75,0)),"-")</f>
        <v>7795</v>
      </c>
      <c r="U25" s="273">
        <f>IFERROR(LARGE($AS$29:$AS$75,1),"-")</f>
        <v>1459310</v>
      </c>
      <c r="W25" s="645" t="s">
        <v>116</v>
      </c>
      <c r="X25" s="645"/>
      <c r="Y25" s="645"/>
    </row>
    <row r="26" spans="1:48" ht="15" customHeight="1" x14ac:dyDescent="0.25">
      <c r="A26" s="188" t="s">
        <v>117</v>
      </c>
      <c r="D26" s="274">
        <f>IF(OR($AC$26&lt;=1,$AC$26&gt;=COUNT($Z$29:$Z$75)),"no flip in range (outside window)",$AC$27)</f>
        <v>7805</v>
      </c>
      <c r="E26" s="275" t="s">
        <v>1593</v>
      </c>
      <c r="G26" s="181"/>
      <c r="H26" s="276"/>
      <c r="K26" s="1" t="s">
        <v>2803</v>
      </c>
      <c r="S26" s="271" t="s">
        <v>2146</v>
      </c>
      <c r="T26" s="272">
        <f>IFERROR(INDEX($A$29:$A$75,MATCH(U26,$AS$29:$AS$75,0)),"-")</f>
        <v>7805</v>
      </c>
      <c r="U26" s="273">
        <f>IFERROR(LARGE($AS$29:$AS$75,2),"-")</f>
        <v>874234</v>
      </c>
      <c r="W26" s="277"/>
      <c r="X26" s="278" t="s">
        <v>51</v>
      </c>
      <c r="Y26" s="278" t="s">
        <v>52</v>
      </c>
      <c r="AC26" s="218">
        <f>MATCH(MAX($Z$29:$Z$75),$Z$29:$Z$75,0)</f>
        <v>17</v>
      </c>
    </row>
    <row r="27" spans="1:48" ht="15" customHeight="1" x14ac:dyDescent="0.25">
      <c r="A27" s="158" t="s">
        <v>118</v>
      </c>
      <c r="D27" s="1">
        <f>IF($AC$28&gt;=9^9,"no zero gamma in range",IFERROR(INDEX($A$29:$A$75,MATCH($AC$28,$AB$29:$AB$75,0)),"-"))</f>
        <v>7775</v>
      </c>
      <c r="E27" s="1" t="s">
        <v>119</v>
      </c>
      <c r="G27" s="181"/>
      <c r="K27" s="269" t="s">
        <v>120</v>
      </c>
      <c r="L27" s="279">
        <v>3</v>
      </c>
      <c r="S27" s="271" t="s">
        <v>2147</v>
      </c>
      <c r="T27" s="272">
        <f>IFERROR(INDEX($A$29:$A$75,MATCH(U27,$AS$29:$AS$75,0)),"-")</f>
        <v>7810</v>
      </c>
      <c r="U27" s="273">
        <f>IFERROR(LARGE($AS$29:$AS$75,3),"-")</f>
        <v>756012</v>
      </c>
      <c r="W27" s="254" t="s">
        <v>54</v>
      </c>
      <c r="X27" s="280">
        <f>IF('Level Engine'!$CT$2=1,'Level Engine'!$CT$3,"—")</f>
        <v>7770</v>
      </c>
      <c r="Y27" s="280" t="str">
        <f>IF('Level Engine'!$CT$2=1,'Level Engine'!$CT$9&amp;" · "&amp;'Level Engine'!$CT$6,"none")</f>
        <v>wall · 7770–7780</v>
      </c>
      <c r="AC27" s="181">
        <f>INDEX($A$29:$A$75,$AC$26)</f>
        <v>7805</v>
      </c>
    </row>
    <row r="28" spans="1:48" ht="25.5" customHeight="1" x14ac:dyDescent="0.25">
      <c r="A28" s="281" t="s">
        <v>105</v>
      </c>
      <c r="B28" s="281" t="s">
        <v>14</v>
      </c>
      <c r="C28" s="281" t="s">
        <v>35</v>
      </c>
      <c r="D28" s="281" t="s">
        <v>15</v>
      </c>
      <c r="E28" s="281" t="s">
        <v>16</v>
      </c>
      <c r="F28" s="281" t="s">
        <v>17</v>
      </c>
      <c r="G28" s="281" t="s">
        <v>19</v>
      </c>
      <c r="H28" s="281" t="s">
        <v>18</v>
      </c>
      <c r="I28" s="281" t="s">
        <v>20</v>
      </c>
      <c r="J28" s="281"/>
      <c r="K28" s="281" t="s">
        <v>121</v>
      </c>
      <c r="L28" s="281" t="s">
        <v>122</v>
      </c>
      <c r="M28" s="281"/>
      <c r="N28" s="281"/>
      <c r="O28" s="281"/>
      <c r="P28" s="281" t="s">
        <v>123</v>
      </c>
      <c r="Q28" s="281" t="s">
        <v>124</v>
      </c>
      <c r="R28" s="76" t="s">
        <v>125</v>
      </c>
      <c r="S28" s="282" t="s">
        <v>2148</v>
      </c>
      <c r="T28" s="283">
        <f>IFERROR(INDEX($A$29:$A$75,MATCH(U28,$AT$29:$AT$75,0)),"-")</f>
        <v>7770</v>
      </c>
      <c r="U28" s="284">
        <f>IFERROR(LARGE($AT$29:$AT$75,1),"-")</f>
        <v>4471438</v>
      </c>
      <c r="V28" s="181"/>
      <c r="W28" s="254" t="s">
        <v>56</v>
      </c>
      <c r="X28" s="280">
        <f>IF('Level Engine'!$CW$2=1,'Level Engine'!$CW$3,"—")</f>
        <v>7780</v>
      </c>
      <c r="Y28" s="280" t="str">
        <f>IF('Level Engine'!$CW$2=1,'Level Engine'!$CW$9&amp;" · "&amp;'Level Engine'!$CW$6,"none")</f>
        <v>wall · 7770–7780</v>
      </c>
      <c r="Z28" s="285" t="s">
        <v>126</v>
      </c>
      <c r="AC28" s="218">
        <f>MIN(AB29:AB75)</f>
        <v>0.39000000000032742</v>
      </c>
      <c r="AE28" s="275" t="s">
        <v>127</v>
      </c>
      <c r="AG28" s="218" t="s">
        <v>128</v>
      </c>
      <c r="AH28" s="218" t="s">
        <v>129</v>
      </c>
      <c r="AM28" s="218" t="s">
        <v>130</v>
      </c>
      <c r="AQ28" s="286" t="s">
        <v>131</v>
      </c>
      <c r="AR28" s="286" t="s">
        <v>132</v>
      </c>
      <c r="AS28" s="218" t="s">
        <v>133</v>
      </c>
      <c r="AT28" s="218" t="s">
        <v>134</v>
      </c>
      <c r="AU28" s="1" t="s">
        <v>135</v>
      </c>
      <c r="AV28" s="1" t="s">
        <v>136</v>
      </c>
    </row>
    <row r="29" spans="1:48" ht="15" customHeight="1" x14ac:dyDescent="0.25">
      <c r="A29" s="287">
        <v>7885</v>
      </c>
      <c r="B29" s="288">
        <v>33280</v>
      </c>
      <c r="C29" s="289">
        <v>32827</v>
      </c>
      <c r="D29" s="289">
        <v>646908</v>
      </c>
      <c r="E29" s="289">
        <v>-1456</v>
      </c>
      <c r="F29" s="289">
        <v>163577</v>
      </c>
      <c r="G29" s="289">
        <v>82</v>
      </c>
      <c r="H29" s="289">
        <v>4</v>
      </c>
      <c r="I29" s="289">
        <v>493</v>
      </c>
      <c r="J29" s="290" t="str">
        <f t="shared" ref="J29:J75" si="2">IF(AND(ISNUMBER($D$26),$A29=$D$26),"FLIP",IF(AND(ISNUMBER($D$27),$A29=$D$27),"ZG",""))</f>
        <v/>
      </c>
      <c r="K29" s="291">
        <v>1459</v>
      </c>
      <c r="L29" s="292">
        <v>10</v>
      </c>
      <c r="M29" s="293"/>
      <c r="N29" s="293"/>
      <c r="O29" s="293"/>
      <c r="P29" s="294" t="str">
        <f t="shared" ref="P29:P75" si="3">IF(A29="","",IF(A29=MROUND($B$4,5),"spot ▶",""))</f>
        <v/>
      </c>
      <c r="Q29" s="295" t="str">
        <f>IF(A29="","",IF(AND(A29=MROUND($B$4,5),ISNUMBER(SEARCH("LONG trigger",'GEX Depth'!$C$54))),"Long Trigger",IF(AND(A29=MROUND($B$4,5),ISNUMBER(SEARCH("SHORT trigger",'GEX Depth'!$C$54))),"Short Trigger",IF(OR(COUNTIF($AL$42:$AL$45,A29)&gt;0,OR(AND($AM29=1,A29&gt;$B$4),AND($AM30=1,A30&gt;$B$4)),AND(ISNUMBER('Level Engine'!$CT$3),A29&gt;=MIN('Level Engine'!$CT$3,'Level Engine'!$CT$4),A29&lt;=MAX('Level Engine'!$CT$3,'Level Engine'!$CT$4))),"R",IF(OR(COUNTIF($AL$49:$AL$52,A29)&gt;0,OR(AND($AM29=1,A29&lt;$B$4),AND($AM28=1,A28&lt;$B$4)),AND(ISNUMBER('Level Engine'!$CW$3),A29&gt;=MIN('Level Engine'!$CW$3,'Level Engine'!$CW$4),A29&lt;=MAX('Level Engine'!$CW$3,'Level Engine'!$CW$4))),"S","")))))</f>
        <v/>
      </c>
      <c r="R29" s="1" t="str">
        <f>IF(A29="","",IF(AND(COUNT($S$69:$S$72)&gt;0,A29=MAX($S$69:$S$72)),"◀ sell-stop floor",IF(AND('Level Engine'!$CW$2=1,ISNUMBER('Level Engine'!$FI$3),ISNUMBER('Level Engine'!$FI$4),A29&gt;=MIN('Level Engine'!$FI$3,'Level Engine'!$FI$4),A29&lt;=MAX('Level Engine'!$FI$3,'Level Engine'!$FI$4)),"◀ support "&amp;'Level Engine'!$CW$9,IF(AND('Level Engine'!$CT$2=1,ISNUMBER('Level Engine'!$FH$3),ISNUMBER('Level Engine'!$FH$4),A29&gt;=MIN('Level Engine'!$FH$3,'Level Engine'!$FH$4),A29&lt;=MAX('Level Engine'!$FH$3,'Level Engine'!$FH$4)),"◀ resistance "&amp;'Level Engine'!$CT$9,""))))</f>
        <v/>
      </c>
      <c r="S29" s="282" t="s">
        <v>2149</v>
      </c>
      <c r="T29" s="283">
        <f>IFERROR(INDEX($A$29:$A$75,MATCH(U29,$AT$29:$AT$75,0)),"-")</f>
        <v>7775</v>
      </c>
      <c r="U29" s="284">
        <f>IFERROR(LARGE($AT$29:$AT$75,2),"-")</f>
        <v>4056043</v>
      </c>
      <c r="V29" s="276"/>
      <c r="W29" s="296" t="s">
        <v>137</v>
      </c>
      <c r="X29" s="276"/>
      <c r="Y29" s="276"/>
      <c r="Z29" s="276">
        <f>IF(C29="","",C29)</f>
        <v>32827</v>
      </c>
      <c r="AB29" s="181">
        <f t="shared" ref="AB29:AB74" si="4">IF(AND($A30&lt;&gt;"",ISNUMBER(Z29),ISNUMBER(Z30),Z29&lt;&gt;0,(Z29&gt;0)&lt;&gt;(Z30&gt;0)),ABS($A29-$B$4),9^9)</f>
        <v>387420489</v>
      </c>
      <c r="AC29" s="297">
        <f t="shared" ref="AC29:AC60" si="5">IF(A29&gt;$B$4,SUMPRODUCT(($A$29:$A$75&gt;$B$4)*($K$29:$K$75&gt;K29)),IF(A29&lt;$B$4,SUMPRODUCT(($A$29:$A$75&lt;$B$4)*($K$29:$K$75&gt;K29)),""))</f>
        <v>15</v>
      </c>
      <c r="AD29" s="297">
        <f t="shared" ref="AD29:AD60" si="6">IF(AND(A29&gt;$B$4,SUMPRODUCT(($A$29:$A$75&gt;$B$4)*($K$29:$K$75&gt;K29))&lt;4),1,IF(AND(A29&lt;$B$4,SUMPRODUCT(($A$29:$A$75&lt;$B$4)*($K$29:$K$75&gt;K29))&lt;4),1,0))</f>
        <v>0</v>
      </c>
      <c r="AE29" s="181" t="str">
        <f>IFERROR(LOOKUP(2,1/((ISNUMBER('Level Engine'!$AT$9:$AT$55))*($A29&gt;='Level Engine'!$AT$9:$AT$55)*($A29&lt;='Level Engine'!$AU$9:$AU$41)),'Level Engine'!$BB$9:$BB$55),"")</f>
        <v/>
      </c>
      <c r="AF29" s="218">
        <f t="shared" ref="AF29:AF74" si="7">IF(AND($A29&lt;$B$4,$A30&lt;&gt;"",ISNUMBER($Z29),ISNUMBER($Z30),$Z29&lt;&gt;0,($Z29&gt;0)&lt;&gt;($Z30&gt;0)),ABS($A29-$B$4),9^9)</f>
        <v>387420489</v>
      </c>
      <c r="AG29" s="10">
        <f t="shared" ref="AG29:AG75" si="8">IF(C29&gt;0,C29,0)</f>
        <v>32827</v>
      </c>
      <c r="AH29" s="10">
        <f t="shared" ref="AH29:AH75" si="9">IF(C29&lt;0,C29,0)</f>
        <v>0</v>
      </c>
      <c r="AI29" s="10">
        <f>IF(E29="","",E29)</f>
        <v>-1456</v>
      </c>
      <c r="AM29" s="218">
        <f>IFERROR(INDEX('Level Engine'!$AN$9:$AN$55,MATCH(A29,'Level Engine'!$AA$9:$AA$55,0)),0)</f>
        <v>0</v>
      </c>
      <c r="AQ29" s="286">
        <f t="shared" ref="AQ29:AQ75" si="10">IF(OR($A29="",$A29&lt;=$B$4),"",IF(ABS($E29)&lt;$L$25,0,IF(OR($A30="",$A30&lt;=$B$4),1,IF($AQ30&gt;=1,$AQ30+1,0))))</f>
        <v>0</v>
      </c>
      <c r="AR29" s="286" t="str">
        <f t="shared" ref="AR29:AR75" si="11">IF(OR($A29="",$A29&gt;=$B$4),"",IF(ABS($E29)&lt;$L$25,0,IF(OR($A28="",$A28&gt;=$B$4),1,IF($AR28&gt;=1,$AR28+1,0))))</f>
        <v/>
      </c>
      <c r="AS29" s="10">
        <f t="shared" ref="AS29:AS75" si="12">IF(AND(ISNUMBER($C29),$C29&gt;0),$B29,"")</f>
        <v>33280</v>
      </c>
      <c r="AT29" t="str">
        <f t="shared" ref="AT29:AT75" si="13">IF(AND(ISNUMBER($C29),$C29&lt;0),$B29,"")</f>
        <v/>
      </c>
      <c r="AU29" s="298">
        <f t="shared" ref="AU29:AU75" si="14">IF(AND(ISNUMBER($K29),$A29&gt;$B$4),$K29,"")</f>
        <v>1459</v>
      </c>
      <c r="AV29" s="1" t="str">
        <f t="shared" ref="AV29:AV75" si="15">IF(AND(ISNUMBER($L29),$A29&lt;$B$4),$L29,"")</f>
        <v/>
      </c>
    </row>
    <row r="30" spans="1:48" ht="15" customHeight="1" x14ac:dyDescent="0.25">
      <c r="A30" s="287">
        <v>7880</v>
      </c>
      <c r="B30" s="288">
        <v>76929</v>
      </c>
      <c r="C30" s="289">
        <v>75905</v>
      </c>
      <c r="D30" s="289">
        <v>1495657</v>
      </c>
      <c r="E30" s="289">
        <v>-1257</v>
      </c>
      <c r="F30" s="289">
        <v>372978</v>
      </c>
      <c r="G30" s="289">
        <v>185</v>
      </c>
      <c r="H30" s="289">
        <v>8</v>
      </c>
      <c r="I30" s="289">
        <v>1161</v>
      </c>
      <c r="J30" s="290" t="str">
        <f t="shared" si="2"/>
        <v/>
      </c>
      <c r="K30" s="291">
        <v>2986</v>
      </c>
      <c r="L30" s="292">
        <v>20</v>
      </c>
      <c r="M30" s="299"/>
      <c r="N30" s="299"/>
      <c r="O30" s="299"/>
      <c r="P30" s="294" t="str">
        <f t="shared" si="3"/>
        <v/>
      </c>
      <c r="Q30" s="295" t="str">
        <f>IF(A30="","",IF(AND(A30=MROUND($B$4,5),ISNUMBER(SEARCH("LONG trigger",'GEX Depth'!$C$54))),"Long Trigger",IF(AND(A30=MROUND($B$4,5),ISNUMBER(SEARCH("SHORT trigger",'GEX Depth'!$C$54))),"Short Trigger",IF(OR(COUNTIF($AL$42:$AL$45,A30)&gt;0,OR(AND($AM30=1,A30&gt;$B$4),AND($AM31=1,A31&gt;$B$4)),AND(ISNUMBER('Level Engine'!$CT$3),A30&gt;=MIN('Level Engine'!$CT$3,'Level Engine'!$CT$4),A30&lt;=MAX('Level Engine'!$CT$3,'Level Engine'!$CT$4))),"R",IF(OR(COUNTIF($AL$49:$AL$52,A30)&gt;0,OR(AND($AM30=1,A30&lt;$B$4),AND($AM29=1,A29&lt;$B$4)),AND(ISNUMBER('Level Engine'!$CW$3),A30&gt;=MIN('Level Engine'!$CW$3,'Level Engine'!$CW$4),A30&lt;=MAX('Level Engine'!$CW$3,'Level Engine'!$CW$4))),"S","")))))</f>
        <v/>
      </c>
      <c r="R30" s="1" t="str">
        <f>IF(A30="","",IF(AND(COUNT($S$69:$S$72)&gt;0,A30=MAX($S$69:$S$72)),"◀ sell-stop floor",IF(AND('Level Engine'!$CW$2=1,ISNUMBER('Level Engine'!$FI$3),ISNUMBER('Level Engine'!$FI$4),A30&gt;=MIN('Level Engine'!$FI$3,'Level Engine'!$FI$4),A30&lt;=MAX('Level Engine'!$FI$3,'Level Engine'!$FI$4)),"◀ support "&amp;'Level Engine'!$CW$9,IF(AND('Level Engine'!$CT$2=1,ISNUMBER('Level Engine'!$FH$3),ISNUMBER('Level Engine'!$FH$4),A30&gt;=MIN('Level Engine'!$FH$3,'Level Engine'!$FH$4),A30&lt;=MAX('Level Engine'!$FH$3,'Level Engine'!$FH$4)),"◀ resistance "&amp;'Level Engine'!$CT$9,""))))</f>
        <v/>
      </c>
      <c r="S30" s="282" t="s">
        <v>2150</v>
      </c>
      <c r="T30" s="283">
        <f>IFERROR(INDEX($A$29:$A$75,MATCH(U30,$AT$29:$AT$75,0)),"-")</f>
        <v>7780</v>
      </c>
      <c r="U30" s="284">
        <f>IFERROR(LARGE($AT$29:$AT$75,3),"-")</f>
        <v>4038999</v>
      </c>
      <c r="V30" s="276"/>
      <c r="W30" s="276"/>
      <c r="X30" s="278" t="s">
        <v>105</v>
      </c>
      <c r="Y30" s="278" t="s">
        <v>138</v>
      </c>
      <c r="Z30" s="276">
        <f t="shared" ref="Z30:Z75" si="16">IF(C30="","",Z29+C30)</f>
        <v>108732</v>
      </c>
      <c r="AB30" s="181">
        <f t="shared" si="4"/>
        <v>387420489</v>
      </c>
      <c r="AC30" s="297">
        <f t="shared" si="5"/>
        <v>4</v>
      </c>
      <c r="AD30" s="297">
        <f t="shared" si="6"/>
        <v>0</v>
      </c>
      <c r="AE30" s="181" t="str">
        <f>IFERROR(LOOKUP(2,1/((ISNUMBER('Level Engine'!$AT$9:$AT$55))*($A30&gt;='Level Engine'!$AT$9:$AT$55)*($A30&lt;='Level Engine'!$AU$9:$AU$41)),'Level Engine'!$BB$9:$BB$55),"")</f>
        <v/>
      </c>
      <c r="AF30" s="218">
        <f t="shared" si="7"/>
        <v>387420489</v>
      </c>
      <c r="AG30" s="10">
        <f t="shared" si="8"/>
        <v>75905</v>
      </c>
      <c r="AH30" s="10">
        <f t="shared" si="9"/>
        <v>0</v>
      </c>
      <c r="AI30" s="218">
        <f t="shared" ref="AI30:AI75" si="17">IF(E30="","",AI29+E30)</f>
        <v>-2713</v>
      </c>
      <c r="AM30" s="218">
        <f>IFERROR(INDEX('Level Engine'!$AN$9:$AN$55,MATCH(A30,'Level Engine'!$AA$9:$AA$55,0)),0)</f>
        <v>0</v>
      </c>
      <c r="AQ30" s="286">
        <f t="shared" si="10"/>
        <v>0</v>
      </c>
      <c r="AR30" s="286" t="str">
        <f t="shared" si="11"/>
        <v/>
      </c>
      <c r="AS30" s="10">
        <f t="shared" si="12"/>
        <v>76929</v>
      </c>
      <c r="AT30" t="str">
        <f t="shared" si="13"/>
        <v/>
      </c>
      <c r="AU30" s="298">
        <f t="shared" si="14"/>
        <v>2986</v>
      </c>
      <c r="AV30" s="1" t="str">
        <f t="shared" si="15"/>
        <v/>
      </c>
    </row>
    <row r="31" spans="1:48" ht="15" customHeight="1" x14ac:dyDescent="0.25">
      <c r="A31" s="287">
        <v>7875</v>
      </c>
      <c r="B31" s="288">
        <v>57578</v>
      </c>
      <c r="C31" s="289">
        <v>55016</v>
      </c>
      <c r="D31" s="289">
        <v>1097082</v>
      </c>
      <c r="E31" s="289">
        <v>-24605</v>
      </c>
      <c r="F31" s="289">
        <v>267350</v>
      </c>
      <c r="G31" s="289">
        <v>136</v>
      </c>
      <c r="H31" s="289">
        <v>6</v>
      </c>
      <c r="I31" s="289">
        <v>865</v>
      </c>
      <c r="J31" s="290" t="str">
        <f t="shared" si="2"/>
        <v/>
      </c>
      <c r="K31" s="291">
        <v>1977</v>
      </c>
      <c r="L31" s="292">
        <v>45</v>
      </c>
      <c r="M31" s="300"/>
      <c r="N31" s="301"/>
      <c r="O31" s="302"/>
      <c r="P31" s="294" t="str">
        <f t="shared" si="3"/>
        <v/>
      </c>
      <c r="Q31" s="295" t="str">
        <f>IF(A31="","",IF(AND(A31=MROUND($B$4,5),ISNUMBER(SEARCH("LONG trigger",'GEX Depth'!$C$54))),"Long Trigger",IF(AND(A31=MROUND($B$4,5),ISNUMBER(SEARCH("SHORT trigger",'GEX Depth'!$C$54))),"Short Trigger",IF(OR(COUNTIF($AL$42:$AL$45,A31)&gt;0,OR(AND($AM31=1,A31&gt;$B$4),AND($AM32=1,A32&gt;$B$4)),AND(ISNUMBER('Level Engine'!$CT$3),A31&gt;=MIN('Level Engine'!$CT$3,'Level Engine'!$CT$4),A31&lt;=MAX('Level Engine'!$CT$3,'Level Engine'!$CT$4))),"R",IF(OR(COUNTIF($AL$49:$AL$52,A31)&gt;0,OR(AND($AM31=1,A31&lt;$B$4),AND($AM30=1,A30&lt;$B$4)),AND(ISNUMBER('Level Engine'!$CW$3),A31&gt;=MIN('Level Engine'!$CW$3,'Level Engine'!$CW$4),A31&lt;=MAX('Level Engine'!$CW$3,'Level Engine'!$CW$4))),"S","")))))</f>
        <v/>
      </c>
      <c r="R31" s="1" t="str">
        <f>IF(A31="","",IF(AND(COUNT($S$69:$S$72)&gt;0,A31=MAX($S$69:$S$72)),"◀ sell-stop floor",IF(AND('Level Engine'!$CW$2=1,ISNUMBER('Level Engine'!$FI$3),ISNUMBER('Level Engine'!$FI$4),A31&gt;=MIN('Level Engine'!$FI$3,'Level Engine'!$FI$4),A31&lt;=MAX('Level Engine'!$FI$3,'Level Engine'!$FI$4)),"◀ support "&amp;'Level Engine'!$CW$9,IF(AND('Level Engine'!$CT$2=1,ISNUMBER('Level Engine'!$FH$3),ISNUMBER('Level Engine'!$FH$4),A31&gt;=MIN('Level Engine'!$FH$3,'Level Engine'!$FH$4),A31&lt;=MAX('Level Engine'!$FH$3,'Level Engine'!$FH$4)),"◀ resistance "&amp;'Level Engine'!$CT$9,""))))</f>
        <v/>
      </c>
      <c r="U31" s="276"/>
      <c r="V31" s="276"/>
      <c r="W31" s="254" t="s">
        <v>54</v>
      </c>
      <c r="X31" s="280" t="str">
        <f>IFERROR(INDEX('Level Engine'!$AA$9:$AA$55,MATCH(LARGE('Level Engine'!$DA$9:$DA$55,1),'Level Engine'!$DA$9:$DA$55,0))&amp;IF(IFERROR(INDEX('Level Engine'!$CZ$9:$CZ$55,MATCH(LARGE('Level Engine'!$DA$9:$DA$55,1),'Level Engine'!$DA$9:$DA$55,0)),0)=1," ▸",""),"—")</f>
        <v>7780</v>
      </c>
      <c r="Y31" s="280">
        <f>IFERROR(LARGE('Level Engine'!$DA$9:$DA$55,1),"—")</f>
        <v>4038999</v>
      </c>
      <c r="Z31" s="276">
        <f t="shared" si="16"/>
        <v>163748</v>
      </c>
      <c r="AB31" s="181">
        <f t="shared" si="4"/>
        <v>387420489</v>
      </c>
      <c r="AC31" s="297">
        <f t="shared" si="5"/>
        <v>10</v>
      </c>
      <c r="AD31" s="297">
        <f t="shared" si="6"/>
        <v>0</v>
      </c>
      <c r="AE31" s="181" t="str">
        <f>IFERROR(LOOKUP(2,1/((ISNUMBER('Level Engine'!$AT$9:$AT$55))*($A31&gt;='Level Engine'!$AT$9:$AT$55)*($A31&lt;='Level Engine'!$AU$9:$AU$41)),'Level Engine'!$BB$9:$BB$55),"")</f>
        <v/>
      </c>
      <c r="AF31" s="218">
        <f t="shared" si="7"/>
        <v>387420489</v>
      </c>
      <c r="AG31" s="10">
        <f t="shared" si="8"/>
        <v>55016</v>
      </c>
      <c r="AH31" s="10">
        <f t="shared" si="9"/>
        <v>0</v>
      </c>
      <c r="AI31" s="218">
        <f t="shared" si="17"/>
        <v>-27318</v>
      </c>
      <c r="AM31" s="218">
        <f>IFERROR(INDEX('Level Engine'!$AN$9:$AN$55,MATCH(A31,'Level Engine'!$AA$9:$AA$55,0)),0)</f>
        <v>0</v>
      </c>
      <c r="AQ31" s="286">
        <f t="shared" si="10"/>
        <v>0</v>
      </c>
      <c r="AR31" s="286" t="str">
        <f t="shared" si="11"/>
        <v/>
      </c>
      <c r="AS31" s="10">
        <f t="shared" si="12"/>
        <v>57578</v>
      </c>
      <c r="AT31" t="str">
        <f t="shared" si="13"/>
        <v/>
      </c>
      <c r="AU31" s="298">
        <f t="shared" si="14"/>
        <v>1977</v>
      </c>
      <c r="AV31" s="1" t="str">
        <f t="shared" si="15"/>
        <v/>
      </c>
    </row>
    <row r="32" spans="1:48" ht="15" customHeight="1" x14ac:dyDescent="0.25">
      <c r="A32" s="287">
        <v>7870</v>
      </c>
      <c r="B32" s="288">
        <v>86951</v>
      </c>
      <c r="C32" s="289">
        <v>84051</v>
      </c>
      <c r="D32" s="289">
        <v>1707926</v>
      </c>
      <c r="E32" s="289">
        <v>-20613</v>
      </c>
      <c r="F32" s="289">
        <v>404461</v>
      </c>
      <c r="G32" s="289">
        <v>201</v>
      </c>
      <c r="H32" s="289">
        <v>8</v>
      </c>
      <c r="I32" s="289">
        <v>1365</v>
      </c>
      <c r="J32" s="290" t="str">
        <f t="shared" si="2"/>
        <v/>
      </c>
      <c r="K32" s="291">
        <v>2713</v>
      </c>
      <c r="L32" s="292">
        <v>46</v>
      </c>
      <c r="M32" s="300"/>
      <c r="N32" s="301"/>
      <c r="O32" s="302"/>
      <c r="P32" s="294" t="str">
        <f t="shared" si="3"/>
        <v/>
      </c>
      <c r="Q32" s="295" t="str">
        <f>IF(A32="","",IF(AND(A32=MROUND($B$4,5),ISNUMBER(SEARCH("LONG trigger",'GEX Depth'!$C$54))),"Long Trigger",IF(AND(A32=MROUND($B$4,5),ISNUMBER(SEARCH("SHORT trigger",'GEX Depth'!$C$54))),"Short Trigger",IF(OR(COUNTIF($AL$42:$AL$45,A32)&gt;0,OR(AND($AM32=1,A32&gt;$B$4),AND($AM33=1,A33&gt;$B$4)),AND(ISNUMBER('Level Engine'!$CT$3),A32&gt;=MIN('Level Engine'!$CT$3,'Level Engine'!$CT$4),A32&lt;=MAX('Level Engine'!$CT$3,'Level Engine'!$CT$4))),"R",IF(OR(COUNTIF($AL$49:$AL$52,A32)&gt;0,OR(AND($AM32=1,A32&lt;$B$4),AND($AM31=1,A31&lt;$B$4)),AND(ISNUMBER('Level Engine'!$CW$3),A32&gt;=MIN('Level Engine'!$CW$3,'Level Engine'!$CW$4),A32&lt;=MAX('Level Engine'!$CW$3,'Level Engine'!$CW$4))),"S","")))))</f>
        <v/>
      </c>
      <c r="R32" s="1" t="str">
        <f>IF(A32="","",IF(AND(COUNT($S$69:$S$72)&gt;0,A32=MAX($S$69:$S$72)),"◀ sell-stop floor",IF(AND('Level Engine'!$CW$2=1,ISNUMBER('Level Engine'!$FI$3),ISNUMBER('Level Engine'!$FI$4),A32&gt;=MIN('Level Engine'!$FI$3,'Level Engine'!$FI$4),A32&lt;=MAX('Level Engine'!$FI$3,'Level Engine'!$FI$4)),"◀ support "&amp;'Level Engine'!$CW$9,IF(AND('Level Engine'!$CT$2=1,ISNUMBER('Level Engine'!$FH$3),ISNUMBER('Level Engine'!$FH$4),A32&gt;=MIN('Level Engine'!$FH$3,'Level Engine'!$FH$4),A32&lt;=MAX('Level Engine'!$FH$3,'Level Engine'!$FH$4)),"◀ resistance "&amp;'Level Engine'!$CT$9,""))))</f>
        <v/>
      </c>
      <c r="S32" s="303" t="s">
        <v>139</v>
      </c>
      <c r="U32" s="276"/>
      <c r="V32" s="276"/>
      <c r="W32" s="254" t="s">
        <v>56</v>
      </c>
      <c r="X32" s="280" t="str">
        <f>IFERROR(INDEX('Level Engine'!$AA$9:$AA$55,MATCH(LARGE('Level Engine'!$DB$9:$DB$55,1),'Level Engine'!$DB$9:$DB$55,0))&amp;IF(IFERROR(INDEX('Level Engine'!$CZ$9:$CZ$55,MATCH(LARGE('Level Engine'!$DB$9:$DB$55,1),'Level Engine'!$DB$9:$DB$55,0)),0)=1," ▸",""),"—")</f>
        <v>7770</v>
      </c>
      <c r="Y32" s="280">
        <f>IFERROR(LARGE('Level Engine'!$DB$9:$DB$55,1),"—")</f>
        <v>4471438</v>
      </c>
      <c r="Z32" s="276">
        <f t="shared" si="16"/>
        <v>247799</v>
      </c>
      <c r="AB32" s="181">
        <f t="shared" si="4"/>
        <v>387420489</v>
      </c>
      <c r="AC32" s="297">
        <f t="shared" si="5"/>
        <v>7</v>
      </c>
      <c r="AD32" s="297">
        <f t="shared" si="6"/>
        <v>0</v>
      </c>
      <c r="AE32" s="181" t="str">
        <f>IFERROR(LOOKUP(2,1/((ISNUMBER('Level Engine'!$AT$9:$AT$55))*($A32&gt;='Level Engine'!$AT$9:$AT$55)*($A32&lt;='Level Engine'!$AU$9:$AU$41)),'Level Engine'!$BB$9:$BB$55),"")</f>
        <v/>
      </c>
      <c r="AF32" s="218">
        <f t="shared" si="7"/>
        <v>387420489</v>
      </c>
      <c r="AG32" s="10">
        <f t="shared" si="8"/>
        <v>84051</v>
      </c>
      <c r="AH32" s="10">
        <f t="shared" si="9"/>
        <v>0</v>
      </c>
      <c r="AI32" s="218">
        <f t="shared" si="17"/>
        <v>-47931</v>
      </c>
      <c r="AM32" s="218">
        <f>IFERROR(INDEX('Level Engine'!$AN$9:$AN$55,MATCH(A32,'Level Engine'!$AA$9:$AA$55,0)),0)</f>
        <v>0</v>
      </c>
      <c r="AQ32" s="286">
        <f t="shared" si="10"/>
        <v>0</v>
      </c>
      <c r="AR32" s="286" t="str">
        <f t="shared" si="11"/>
        <v/>
      </c>
      <c r="AS32" s="10">
        <f t="shared" si="12"/>
        <v>86951</v>
      </c>
      <c r="AT32" t="str">
        <f t="shared" si="13"/>
        <v/>
      </c>
      <c r="AU32" s="298">
        <f t="shared" si="14"/>
        <v>2713</v>
      </c>
      <c r="AV32" s="1" t="str">
        <f t="shared" si="15"/>
        <v/>
      </c>
    </row>
    <row r="33" spans="1:75" ht="15" customHeight="1" x14ac:dyDescent="0.25">
      <c r="A33" s="287">
        <v>7865</v>
      </c>
      <c r="B33" s="288">
        <v>104698</v>
      </c>
      <c r="C33" s="289">
        <v>101554</v>
      </c>
      <c r="D33" s="289">
        <v>2108878</v>
      </c>
      <c r="E33" s="289">
        <v>-17411</v>
      </c>
      <c r="F33" s="289">
        <v>483925</v>
      </c>
      <c r="G33" s="289">
        <v>237</v>
      </c>
      <c r="H33" s="289">
        <v>9</v>
      </c>
      <c r="I33" s="289">
        <v>1709</v>
      </c>
      <c r="J33" s="290" t="str">
        <f t="shared" si="2"/>
        <v/>
      </c>
      <c r="K33" s="291">
        <v>2952</v>
      </c>
      <c r="L33" s="292">
        <v>45</v>
      </c>
      <c r="M33" s="300"/>
      <c r="N33" s="301"/>
      <c r="O33" s="299"/>
      <c r="P33" s="294" t="str">
        <f t="shared" si="3"/>
        <v/>
      </c>
      <c r="Q33" s="295" t="str">
        <f>IF(A33="","",IF(AND(A33=MROUND($B$4,5),ISNUMBER(SEARCH("LONG trigger",'GEX Depth'!$C$54))),"Long Trigger",IF(AND(A33=MROUND($B$4,5),ISNUMBER(SEARCH("SHORT trigger",'GEX Depth'!$C$54))),"Short Trigger",IF(OR(COUNTIF($AL$42:$AL$45,A33)&gt;0,OR(AND($AM33=1,A33&gt;$B$4),AND($AM34=1,A34&gt;$B$4)),AND(ISNUMBER('Level Engine'!$CT$3),A33&gt;=MIN('Level Engine'!$CT$3,'Level Engine'!$CT$4),A33&lt;=MAX('Level Engine'!$CT$3,'Level Engine'!$CT$4))),"R",IF(OR(COUNTIF($AL$49:$AL$52,A33)&gt;0,OR(AND($AM33=1,A33&lt;$B$4),AND($AM32=1,A32&lt;$B$4)),AND(ISNUMBER('Level Engine'!$CW$3),A33&gt;=MIN('Level Engine'!$CW$3,'Level Engine'!$CW$4),A33&lt;=MAX('Level Engine'!$CW$3,'Level Engine'!$CW$4))),"S","")))))</f>
        <v/>
      </c>
      <c r="R33" s="1" t="str">
        <f>IF(A33="","",IF(AND(COUNT($S$69:$S$72)&gt;0,A33=MAX($S$69:$S$72)),"◀ sell-stop floor",IF(AND('Level Engine'!$CW$2=1,ISNUMBER('Level Engine'!$FI$3),ISNUMBER('Level Engine'!$FI$4),A33&gt;=MIN('Level Engine'!$FI$3,'Level Engine'!$FI$4),A33&lt;=MAX('Level Engine'!$FI$3,'Level Engine'!$FI$4)),"◀ support "&amp;'Level Engine'!$CW$9,IF(AND('Level Engine'!$CT$2=1,ISNUMBER('Level Engine'!$FH$3),ISNUMBER('Level Engine'!$FH$4),A33&gt;=MIN('Level Engine'!$FH$3,'Level Engine'!$FH$4),A33&lt;=MAX('Level Engine'!$FH$3,'Level Engine'!$FH$4)),"◀ resistance "&amp;'Level Engine'!$CT$9,""))))</f>
        <v/>
      </c>
      <c r="S33" s="304" t="s">
        <v>140</v>
      </c>
      <c r="T33" s="304" t="s">
        <v>105</v>
      </c>
      <c r="U33" s="305" t="s">
        <v>18</v>
      </c>
      <c r="V33" s="305" t="s">
        <v>141</v>
      </c>
      <c r="W33" s="305" t="s">
        <v>142</v>
      </c>
      <c r="X33" s="305" t="s">
        <v>143</v>
      </c>
      <c r="Y33" s="276"/>
      <c r="Z33" s="276">
        <f t="shared" si="16"/>
        <v>349353</v>
      </c>
      <c r="AB33" s="181">
        <f t="shared" si="4"/>
        <v>387420489</v>
      </c>
      <c r="AC33" s="297">
        <f t="shared" si="5"/>
        <v>5</v>
      </c>
      <c r="AD33" s="297">
        <f t="shared" si="6"/>
        <v>0</v>
      </c>
      <c r="AE33" s="181" t="str">
        <f>IFERROR(LOOKUP(2,1/((ISNUMBER('Level Engine'!$AT$9:$AT$55))*($A33&gt;='Level Engine'!$AT$9:$AT$55)*($A33&lt;='Level Engine'!$AU$9:$AU$41)),'Level Engine'!$BB$9:$BB$55),"")</f>
        <v/>
      </c>
      <c r="AF33" s="218">
        <f t="shared" si="7"/>
        <v>387420489</v>
      </c>
      <c r="AG33" s="10">
        <f t="shared" si="8"/>
        <v>101554</v>
      </c>
      <c r="AH33" s="10">
        <f t="shared" si="9"/>
        <v>0</v>
      </c>
      <c r="AI33" s="218">
        <f t="shared" si="17"/>
        <v>-65342</v>
      </c>
      <c r="AM33" s="218">
        <f>IFERROR(INDEX('Level Engine'!$AN$9:$AN$55,MATCH(A33,'Level Engine'!$AA$9:$AA$55,0)),0)</f>
        <v>0</v>
      </c>
      <c r="AQ33" s="286">
        <f t="shared" si="10"/>
        <v>0</v>
      </c>
      <c r="AR33" s="286" t="str">
        <f t="shared" si="11"/>
        <v/>
      </c>
      <c r="AS33" s="10">
        <f t="shared" si="12"/>
        <v>104698</v>
      </c>
      <c r="AT33" t="str">
        <f t="shared" si="13"/>
        <v/>
      </c>
      <c r="AU33" s="298">
        <f t="shared" si="14"/>
        <v>2952</v>
      </c>
      <c r="AV33" s="1" t="str">
        <f t="shared" si="15"/>
        <v/>
      </c>
    </row>
    <row r="34" spans="1:75" ht="15" customHeight="1" x14ac:dyDescent="0.25">
      <c r="A34" s="287">
        <v>7860</v>
      </c>
      <c r="B34" s="288">
        <v>95407</v>
      </c>
      <c r="C34" s="289">
        <v>89475</v>
      </c>
      <c r="D34" s="306">
        <v>1897298</v>
      </c>
      <c r="E34" s="306">
        <v>-43685</v>
      </c>
      <c r="F34" s="289">
        <v>421729</v>
      </c>
      <c r="G34" s="289">
        <v>212</v>
      </c>
      <c r="H34" s="289">
        <v>8</v>
      </c>
      <c r="I34" s="289">
        <v>1561</v>
      </c>
      <c r="J34" s="290" t="str">
        <f t="shared" si="2"/>
        <v/>
      </c>
      <c r="K34" s="291">
        <v>2369</v>
      </c>
      <c r="L34" s="292">
        <v>76</v>
      </c>
      <c r="M34" s="300"/>
      <c r="N34" s="301"/>
      <c r="O34" s="302"/>
      <c r="P34" s="294" t="str">
        <f t="shared" si="3"/>
        <v/>
      </c>
      <c r="Q34" s="295" t="str">
        <f>IF(A34="","",IF(AND(A34=MROUND($B$4,5),ISNUMBER(SEARCH("LONG trigger",'GEX Depth'!$C$54))),"Long Trigger",IF(AND(A34=MROUND($B$4,5),ISNUMBER(SEARCH("SHORT trigger",'GEX Depth'!$C$54))),"Short Trigger",IF(OR(COUNTIF($AL$42:$AL$45,A34)&gt;0,OR(AND($AM34=1,A34&gt;$B$4),AND($AM35=1,A35&gt;$B$4)),AND(ISNUMBER('Level Engine'!$CT$3),A34&gt;=MIN('Level Engine'!$CT$3,'Level Engine'!$CT$4),A34&lt;=MAX('Level Engine'!$CT$3,'Level Engine'!$CT$4))),"R",IF(OR(COUNTIF($AL$49:$AL$52,A34)&gt;0,OR(AND($AM34=1,A34&lt;$B$4),AND($AM33=1,A33&lt;$B$4)),AND(ISNUMBER('Level Engine'!$CW$3),A34&gt;=MIN('Level Engine'!$CW$3,'Level Engine'!$CW$4),A34&lt;=MAX('Level Engine'!$CW$3,'Level Engine'!$CW$4))),"S","")))))</f>
        <v/>
      </c>
      <c r="R34" s="1" t="str">
        <f>IF(A34="","",IF(AND(COUNT($S$69:$S$72)&gt;0,A34=MAX($S$69:$S$72)),"◀ sell-stop floor",IF(AND('Level Engine'!$CW$2=1,ISNUMBER('Level Engine'!$FI$3),ISNUMBER('Level Engine'!$FI$4),A34&gt;=MIN('Level Engine'!$FI$3,'Level Engine'!$FI$4),A34&lt;=MAX('Level Engine'!$FI$3,'Level Engine'!$FI$4)),"◀ support "&amp;'Level Engine'!$CW$9,IF(AND('Level Engine'!$CT$2=1,ISNUMBER('Level Engine'!$FH$3),ISNUMBER('Level Engine'!$FH$4),A34&gt;=MIN('Level Engine'!$FH$3,'Level Engine'!$FH$4),A34&lt;=MAX('Level Engine'!$FH$3,'Level Engine'!$FH$4)),"◀ resistance "&amp;'Level Engine'!$CT$9,""))))</f>
        <v/>
      </c>
      <c r="S34" s="76" t="s">
        <v>144</v>
      </c>
      <c r="T34" s="307" t="str">
        <f>IFERROR(INDEX('Level Engine'!$AA$9:$AA$55,MATCH(1,'Level Engine'!$BQ$9:$BQ$55,0)),"-")</f>
        <v>-</v>
      </c>
      <c r="U34" s="308" t="str">
        <f>IFERROR(INDEX('Level Engine'!$BL$9:$BL$55,MATCH(1,'Level Engine'!$BQ$9:$BQ$55,0)),"-")</f>
        <v>-</v>
      </c>
      <c r="V34" s="308">
        <v>-2608791</v>
      </c>
      <c r="W34" s="308" t="s">
        <v>145</v>
      </c>
      <c r="X34" s="308" t="s">
        <v>146</v>
      </c>
      <c r="Y34" s="276"/>
      <c r="Z34" s="276">
        <f t="shared" si="16"/>
        <v>438828</v>
      </c>
      <c r="AB34" s="181">
        <f t="shared" si="4"/>
        <v>387420489</v>
      </c>
      <c r="AC34" s="297">
        <f t="shared" si="5"/>
        <v>8</v>
      </c>
      <c r="AD34" s="297">
        <f t="shared" si="6"/>
        <v>0</v>
      </c>
      <c r="AE34" s="181" t="str">
        <f>IFERROR(LOOKUP(2,1/((ISNUMBER('Level Engine'!$AT$9:$AT$55))*($A34&gt;='Level Engine'!$AT$9:$AT$55)*($A34&lt;='Level Engine'!$AU$9:$AU$41)),'Level Engine'!$BB$9:$BB$55),"")</f>
        <v/>
      </c>
      <c r="AF34" s="218">
        <f t="shared" si="7"/>
        <v>387420489</v>
      </c>
      <c r="AG34" s="10">
        <f t="shared" si="8"/>
        <v>89475</v>
      </c>
      <c r="AH34" s="10">
        <f t="shared" si="9"/>
        <v>0</v>
      </c>
      <c r="AI34" s="218">
        <f t="shared" si="17"/>
        <v>-109027</v>
      </c>
      <c r="AM34" s="218">
        <f>IFERROR(INDEX('Level Engine'!$AN$9:$AN$55,MATCH(A34,'Level Engine'!$AA$9:$AA$55,0)),0)</f>
        <v>0</v>
      </c>
      <c r="AQ34" s="286">
        <f t="shared" si="10"/>
        <v>0</v>
      </c>
      <c r="AR34" s="286" t="str">
        <f t="shared" si="11"/>
        <v/>
      </c>
      <c r="AS34" s="10">
        <f t="shared" si="12"/>
        <v>95407</v>
      </c>
      <c r="AT34" t="str">
        <f t="shared" si="13"/>
        <v/>
      </c>
      <c r="AU34" s="298">
        <f t="shared" si="14"/>
        <v>2369</v>
      </c>
      <c r="AV34" s="1" t="str">
        <f t="shared" si="15"/>
        <v/>
      </c>
    </row>
    <row r="35" spans="1:75" ht="15" customHeight="1" x14ac:dyDescent="0.25">
      <c r="A35" s="287">
        <v>7855</v>
      </c>
      <c r="B35" s="288">
        <v>87098</v>
      </c>
      <c r="C35" s="289">
        <v>75167</v>
      </c>
      <c r="D35" s="289">
        <v>1619471</v>
      </c>
      <c r="E35" s="289">
        <v>-91431</v>
      </c>
      <c r="F35" s="289">
        <v>349569</v>
      </c>
      <c r="G35" s="289">
        <v>188</v>
      </c>
      <c r="H35" s="289">
        <v>7</v>
      </c>
      <c r="I35" s="289">
        <v>1359</v>
      </c>
      <c r="J35" s="290" t="str">
        <f t="shared" si="2"/>
        <v/>
      </c>
      <c r="K35" s="291">
        <v>1836</v>
      </c>
      <c r="L35" s="292">
        <v>135</v>
      </c>
      <c r="M35" s="300"/>
      <c r="N35" s="301"/>
      <c r="O35" s="302"/>
      <c r="P35" s="294" t="str">
        <f t="shared" si="3"/>
        <v/>
      </c>
      <c r="Q35" s="295" t="str">
        <f>IF(A35="","",IF(AND(A35=MROUND($B$4,5),ISNUMBER(SEARCH("LONG trigger",'GEX Depth'!$C$54))),"Long Trigger",IF(AND(A35=MROUND($B$4,5),ISNUMBER(SEARCH("SHORT trigger",'GEX Depth'!$C$54))),"Short Trigger",IF(OR(COUNTIF($AL$42:$AL$45,A35)&gt;0,OR(AND($AM35=1,A35&gt;$B$4),AND($AM36=1,A36&gt;$B$4)),AND(ISNUMBER('Level Engine'!$CT$3),A35&gt;=MIN('Level Engine'!$CT$3,'Level Engine'!$CT$4),A35&lt;=MAX('Level Engine'!$CT$3,'Level Engine'!$CT$4))),"R",IF(OR(COUNTIF($AL$49:$AL$52,A35)&gt;0,OR(AND($AM35=1,A35&lt;$B$4),AND($AM34=1,A34&lt;$B$4)),AND(ISNUMBER('Level Engine'!$CW$3),A35&gt;=MIN('Level Engine'!$CW$3,'Level Engine'!$CW$4),A35&lt;=MAX('Level Engine'!$CW$3,'Level Engine'!$CW$4))),"S","")))))</f>
        <v/>
      </c>
      <c r="R35" s="1" t="str">
        <f>IF(A35="","",IF(AND(COUNT($S$69:$S$72)&gt;0,A35=MAX($S$69:$S$72)),"◀ sell-stop floor",IF(AND('Level Engine'!$CW$2=1,ISNUMBER('Level Engine'!$FI$3),ISNUMBER('Level Engine'!$FI$4),A35&gt;=MIN('Level Engine'!$FI$3,'Level Engine'!$FI$4),A35&lt;=MAX('Level Engine'!$FI$3,'Level Engine'!$FI$4)),"◀ support "&amp;'Level Engine'!$CW$9,IF(AND('Level Engine'!$CT$2=1,ISNUMBER('Level Engine'!$FH$3),ISNUMBER('Level Engine'!$FH$4),A35&gt;=MIN('Level Engine'!$FH$3,'Level Engine'!$FH$4),A35&lt;=MAX('Level Engine'!$FH$3,'Level Engine'!$FH$4)),"◀ resistance "&amp;'Level Engine'!$CT$9,""))))</f>
        <v/>
      </c>
      <c r="S35" s="76" t="s">
        <v>147</v>
      </c>
      <c r="T35" s="307" t="str">
        <f>IFERROR(INDEX('Level Engine'!$AA$9:$AA$55,MATCH(2,'Level Engine'!$BQ$9:$BQ$55,0)),"-")</f>
        <v>-</v>
      </c>
      <c r="U35" s="308" t="str">
        <f>IFERROR(INDEX('Level Engine'!$BL$9:$BL$55,MATCH(2,'Level Engine'!$BQ$9:$BQ$55,0)),"-")</f>
        <v>-</v>
      </c>
      <c r="V35" s="308">
        <v>-719334</v>
      </c>
      <c r="W35" s="308" t="s">
        <v>145</v>
      </c>
      <c r="X35" s="308" t="s">
        <v>148</v>
      </c>
      <c r="Y35" s="276"/>
      <c r="Z35" s="276">
        <f t="shared" si="16"/>
        <v>513995</v>
      </c>
      <c r="AB35" s="181">
        <f t="shared" si="4"/>
        <v>387420489</v>
      </c>
      <c r="AC35" s="297">
        <f t="shared" si="5"/>
        <v>11</v>
      </c>
      <c r="AD35" s="297">
        <f t="shared" si="6"/>
        <v>0</v>
      </c>
      <c r="AE35" s="181" t="str">
        <f>IFERROR(LOOKUP(2,1/((ISNUMBER('Level Engine'!$AT$9:$AT$55))*($A35&gt;='Level Engine'!$AT$9:$AT$55)*($A35&lt;='Level Engine'!$AU$9:$AU$41)),'Level Engine'!$BB$9:$BB$55),"")</f>
        <v/>
      </c>
      <c r="AF35" s="218">
        <f t="shared" si="7"/>
        <v>387420489</v>
      </c>
      <c r="AG35" s="10">
        <f t="shared" si="8"/>
        <v>75167</v>
      </c>
      <c r="AH35" s="10">
        <f t="shared" si="9"/>
        <v>0</v>
      </c>
      <c r="AI35" s="218">
        <f t="shared" si="17"/>
        <v>-200458</v>
      </c>
      <c r="AM35" s="218">
        <f>IFERROR(INDEX('Level Engine'!$AN$9:$AN$55,MATCH(A35,'Level Engine'!$AA$9:$AA$55,0)),0)</f>
        <v>0</v>
      </c>
      <c r="AQ35" s="286">
        <f t="shared" si="10"/>
        <v>0</v>
      </c>
      <c r="AR35" s="286" t="str">
        <f t="shared" si="11"/>
        <v/>
      </c>
      <c r="AS35" s="10">
        <f t="shared" si="12"/>
        <v>87098</v>
      </c>
      <c r="AT35" t="str">
        <f t="shared" si="13"/>
        <v/>
      </c>
      <c r="AU35" s="298">
        <f t="shared" si="14"/>
        <v>1836</v>
      </c>
      <c r="AV35" s="1" t="str">
        <f t="shared" si="15"/>
        <v/>
      </c>
    </row>
    <row r="36" spans="1:75" ht="15" customHeight="1" x14ac:dyDescent="0.25">
      <c r="A36" s="287">
        <v>7850</v>
      </c>
      <c r="B36" s="288">
        <v>351467</v>
      </c>
      <c r="C36" s="289">
        <v>214075</v>
      </c>
      <c r="D36" s="319">
        <v>4630498</v>
      </c>
      <c r="E36" s="289">
        <v>-990746</v>
      </c>
      <c r="F36" s="289">
        <v>977792</v>
      </c>
      <c r="G36" s="289">
        <v>732</v>
      </c>
      <c r="H36" s="289">
        <v>28</v>
      </c>
      <c r="I36" s="289">
        <v>3987</v>
      </c>
      <c r="J36" s="290" t="str">
        <f t="shared" si="2"/>
        <v/>
      </c>
      <c r="K36" s="291">
        <v>5524</v>
      </c>
      <c r="L36" s="292">
        <v>1342</v>
      </c>
      <c r="M36" s="300"/>
      <c r="N36" s="301"/>
      <c r="O36" s="302"/>
      <c r="P36" s="294" t="str">
        <f t="shared" si="3"/>
        <v/>
      </c>
      <c r="Q36" s="295" t="str">
        <f>IF(A36="","",IF(AND(A36=MROUND($B$4,5),ISNUMBER(SEARCH("LONG trigger",'GEX Depth'!$C$54))),"Long Trigger",IF(AND(A36=MROUND($B$4,5),ISNUMBER(SEARCH("SHORT trigger",'GEX Depth'!$C$54))),"Short Trigger",IF(OR(COUNTIF($AL$42:$AL$45,A36)&gt;0,OR(AND($AM36=1,A36&gt;$B$4),AND($AM37=1,A37&gt;$B$4)),AND(ISNUMBER('Level Engine'!$CT$3),A36&gt;=MIN('Level Engine'!$CT$3,'Level Engine'!$CT$4),A36&lt;=MAX('Level Engine'!$CT$3,'Level Engine'!$CT$4))),"R",IF(OR(COUNTIF($AL$49:$AL$52,A36)&gt;0,OR(AND($AM36=1,A36&lt;$B$4),AND($AM35=1,A35&lt;$B$4)),AND(ISNUMBER('Level Engine'!$CW$3),A36&gt;=MIN('Level Engine'!$CW$3,'Level Engine'!$CW$4),A36&lt;=MAX('Level Engine'!$CW$3,'Level Engine'!$CW$4))),"S","")))))</f>
        <v/>
      </c>
      <c r="R36" s="1" t="str">
        <f>IF(A36="","",IF(AND(COUNT($S$69:$S$72)&gt;0,A36=MAX($S$69:$S$72)),"◀ sell-stop floor",IF(AND('Level Engine'!$CW$2=1,ISNUMBER('Level Engine'!$FI$3),ISNUMBER('Level Engine'!$FI$4),A36&gt;=MIN('Level Engine'!$FI$3,'Level Engine'!$FI$4),A36&lt;=MAX('Level Engine'!$FI$3,'Level Engine'!$FI$4)),"◀ support "&amp;'Level Engine'!$CW$9,IF(AND('Level Engine'!$CT$2=1,ISNUMBER('Level Engine'!$FH$3),ISNUMBER('Level Engine'!$FH$4),A36&gt;=MIN('Level Engine'!$FH$3,'Level Engine'!$FH$4),A36&lt;=MAX('Level Engine'!$FH$3,'Level Engine'!$FH$4)),"◀ resistance "&amp;'Level Engine'!$CT$9,""))))</f>
        <v/>
      </c>
      <c r="S36" s="76" t="s">
        <v>149</v>
      </c>
      <c r="T36" s="307" t="str">
        <f>IFERROR(INDEX('Level Engine'!$AA$9:$AA$55,MATCH(1,'Level Engine'!$BR$9:$BR$55,0)),"-")</f>
        <v>-</v>
      </c>
      <c r="U36" s="308" t="str">
        <f>IFERROR(INDEX('Level Engine'!$BL$9:$BL$55,MATCH(1,'Level Engine'!$BR$9:$BR$55,0)),"-")</f>
        <v>-</v>
      </c>
      <c r="V36" s="308" t="s">
        <v>150</v>
      </c>
      <c r="W36" s="308" t="s">
        <v>150</v>
      </c>
      <c r="X36" s="308" t="s">
        <v>150</v>
      </c>
      <c r="Y36" s="276"/>
      <c r="Z36" s="276">
        <f t="shared" si="16"/>
        <v>728070</v>
      </c>
      <c r="AB36" s="181">
        <f t="shared" si="4"/>
        <v>387420489</v>
      </c>
      <c r="AC36" s="297">
        <f t="shared" si="5"/>
        <v>0</v>
      </c>
      <c r="AD36" s="297">
        <f t="shared" si="6"/>
        <v>1</v>
      </c>
      <c r="AE36" s="181" t="str">
        <f>IFERROR(LOOKUP(2,1/((ISNUMBER('Level Engine'!$AT$9:$AT$55))*($A36&gt;='Level Engine'!$AT$9:$AT$55)*($A36&lt;='Level Engine'!$AU$9:$AU$41)),'Level Engine'!$BB$9:$BB$55),"")</f>
        <v/>
      </c>
      <c r="AF36" s="218">
        <f t="shared" si="7"/>
        <v>387420489</v>
      </c>
      <c r="AG36" s="10">
        <f t="shared" si="8"/>
        <v>214075</v>
      </c>
      <c r="AH36" s="10">
        <f t="shared" si="9"/>
        <v>0</v>
      </c>
      <c r="AI36" s="218">
        <f t="shared" si="17"/>
        <v>-1191204</v>
      </c>
      <c r="AM36" s="218">
        <f>IFERROR(INDEX('Level Engine'!$AN$9:$AN$55,MATCH(A36,'Level Engine'!$AA$9:$AA$55,0)),0)</f>
        <v>0</v>
      </c>
      <c r="AQ36" s="286">
        <f t="shared" si="10"/>
        <v>0</v>
      </c>
      <c r="AR36" s="286" t="str">
        <f t="shared" si="11"/>
        <v/>
      </c>
      <c r="AS36" s="10">
        <f t="shared" si="12"/>
        <v>351467</v>
      </c>
      <c r="AT36" t="str">
        <f t="shared" si="13"/>
        <v/>
      </c>
      <c r="AU36" s="298">
        <f t="shared" si="14"/>
        <v>5524</v>
      </c>
      <c r="AV36" s="1" t="str">
        <f t="shared" si="15"/>
        <v/>
      </c>
    </row>
    <row r="37" spans="1:75" ht="15" customHeight="1" x14ac:dyDescent="0.25">
      <c r="A37" s="287">
        <v>7845</v>
      </c>
      <c r="B37" s="288">
        <v>101575</v>
      </c>
      <c r="C37" s="289">
        <v>92046</v>
      </c>
      <c r="D37" s="319">
        <v>1960978</v>
      </c>
      <c r="E37" s="289">
        <v>-45773</v>
      </c>
      <c r="F37" s="289">
        <v>410142</v>
      </c>
      <c r="G37" s="289">
        <v>201</v>
      </c>
      <c r="H37" s="289">
        <v>8</v>
      </c>
      <c r="I37" s="289">
        <v>1751</v>
      </c>
      <c r="J37" s="290" t="str">
        <f t="shared" si="2"/>
        <v/>
      </c>
      <c r="K37" s="291">
        <v>1585</v>
      </c>
      <c r="L37" s="292">
        <v>78</v>
      </c>
      <c r="M37" s="300"/>
      <c r="N37" s="301"/>
      <c r="O37" s="302"/>
      <c r="P37" s="294" t="str">
        <f t="shared" si="3"/>
        <v/>
      </c>
      <c r="Q37" s="295" t="str">
        <f>IF(A37="","",IF(AND(A37=MROUND($B$4,5),ISNUMBER(SEARCH("LONG trigger",'GEX Depth'!$C$54))),"Long Trigger",IF(AND(A37=MROUND($B$4,5),ISNUMBER(SEARCH("SHORT trigger",'GEX Depth'!$C$54))),"Short Trigger",IF(OR(COUNTIF($AL$42:$AL$45,A37)&gt;0,OR(AND($AM37=1,A37&gt;$B$4),AND($AM38=1,A38&gt;$B$4)),AND(ISNUMBER('Level Engine'!$CT$3),A37&gt;=MIN('Level Engine'!$CT$3,'Level Engine'!$CT$4),A37&lt;=MAX('Level Engine'!$CT$3,'Level Engine'!$CT$4))),"R",IF(OR(COUNTIF($AL$49:$AL$52,A37)&gt;0,OR(AND($AM37=1,A37&lt;$B$4),AND($AM36=1,A36&lt;$B$4)),AND(ISNUMBER('Level Engine'!$CW$3),A37&gt;=MIN('Level Engine'!$CW$3,'Level Engine'!$CW$4),A37&lt;=MAX('Level Engine'!$CW$3,'Level Engine'!$CW$4))),"S","")))))</f>
        <v/>
      </c>
      <c r="R37" s="1" t="str">
        <f>IF(A37="","",IF(AND(COUNT($S$69:$S$72)&gt;0,A37=MAX($S$69:$S$72)),"◀ sell-stop floor",IF(AND('Level Engine'!$CW$2=1,ISNUMBER('Level Engine'!$FI$3),ISNUMBER('Level Engine'!$FI$4),A37&gt;=MIN('Level Engine'!$FI$3,'Level Engine'!$FI$4),A37&lt;=MAX('Level Engine'!$FI$3,'Level Engine'!$FI$4)),"◀ support "&amp;'Level Engine'!$CW$9,IF(AND('Level Engine'!$CT$2=1,ISNUMBER('Level Engine'!$FH$3),ISNUMBER('Level Engine'!$FH$4),A37&gt;=MIN('Level Engine'!$FH$3,'Level Engine'!$FH$4),A37&lt;=MAX('Level Engine'!$FH$3,'Level Engine'!$FH$4)),"◀ resistance "&amp;'Level Engine'!$CT$9,""))))</f>
        <v/>
      </c>
      <c r="S37" s="76" t="s">
        <v>151</v>
      </c>
      <c r="T37" s="307" t="str">
        <f>IFERROR(INDEX('Level Engine'!$AA$9:$AA$55,MATCH(2,'Level Engine'!$BR$9:$BR$55,0)),"-")</f>
        <v>-</v>
      </c>
      <c r="U37" s="308" t="str">
        <f>IFERROR(INDEX('Level Engine'!$BL$9:$BL$55,MATCH(2,'Level Engine'!$BR$9:$BR$55,0)),"-")</f>
        <v>-</v>
      </c>
      <c r="V37" s="308" t="s">
        <v>150</v>
      </c>
      <c r="W37" s="308" t="s">
        <v>150</v>
      </c>
      <c r="X37" s="308" t="s">
        <v>150</v>
      </c>
      <c r="Y37" s="276"/>
      <c r="Z37" s="276">
        <f t="shared" si="16"/>
        <v>820116</v>
      </c>
      <c r="AB37" s="181">
        <f t="shared" si="4"/>
        <v>387420489</v>
      </c>
      <c r="AC37" s="297">
        <f t="shared" si="5"/>
        <v>13</v>
      </c>
      <c r="AD37" s="297">
        <f t="shared" si="6"/>
        <v>0</v>
      </c>
      <c r="AE37" s="181" t="str">
        <f>IFERROR(LOOKUP(2,1/((ISNUMBER('Level Engine'!$AT$9:$AT$55))*($A37&gt;='Level Engine'!$AT$9:$AT$55)*($A37&lt;='Level Engine'!$AU$9:$AU$41)),'Level Engine'!$BB$9:$BB$55),"")</f>
        <v/>
      </c>
      <c r="AF37" s="218">
        <f t="shared" si="7"/>
        <v>387420489</v>
      </c>
      <c r="AG37" s="10">
        <f t="shared" si="8"/>
        <v>92046</v>
      </c>
      <c r="AH37" s="10">
        <f t="shared" si="9"/>
        <v>0</v>
      </c>
      <c r="AI37" s="218">
        <f t="shared" si="17"/>
        <v>-1236977</v>
      </c>
      <c r="AM37" s="218">
        <f>IFERROR(INDEX('Level Engine'!$AN$9:$AN$55,MATCH(A37,'Level Engine'!$AA$9:$AA$55,0)),0)</f>
        <v>0</v>
      </c>
      <c r="AQ37" s="286">
        <f t="shared" si="10"/>
        <v>0</v>
      </c>
      <c r="AR37" s="286" t="str">
        <f t="shared" si="11"/>
        <v/>
      </c>
      <c r="AS37" s="10">
        <f t="shared" si="12"/>
        <v>101575</v>
      </c>
      <c r="AT37" t="str">
        <f t="shared" si="13"/>
        <v/>
      </c>
      <c r="AU37" s="298">
        <f t="shared" si="14"/>
        <v>1585</v>
      </c>
      <c r="AV37" s="1" t="str">
        <f t="shared" si="15"/>
        <v/>
      </c>
    </row>
    <row r="38" spans="1:75" ht="15" customHeight="1" x14ac:dyDescent="0.25">
      <c r="A38" s="287">
        <v>7840</v>
      </c>
      <c r="B38" s="288">
        <v>265851</v>
      </c>
      <c r="C38" s="289">
        <v>225627</v>
      </c>
      <c r="D38" s="319">
        <v>4659837</v>
      </c>
      <c r="E38" s="289">
        <v>-171842</v>
      </c>
      <c r="F38" s="289">
        <v>975051</v>
      </c>
      <c r="G38" s="289">
        <v>496</v>
      </c>
      <c r="H38" s="289">
        <v>19</v>
      </c>
      <c r="I38" s="289">
        <v>4356</v>
      </c>
      <c r="J38" s="290" t="str">
        <f t="shared" si="2"/>
        <v/>
      </c>
      <c r="K38" s="291">
        <v>3299</v>
      </c>
      <c r="L38" s="292">
        <v>270</v>
      </c>
      <c r="M38" s="300"/>
      <c r="N38" s="301"/>
      <c r="O38" s="302"/>
      <c r="P38" s="294" t="str">
        <f t="shared" si="3"/>
        <v/>
      </c>
      <c r="Q38" s="295" t="str">
        <f>IF(A38="","",IF(AND(A38=MROUND($B$4,5),ISNUMBER(SEARCH("LONG trigger",'GEX Depth'!$C$54))),"Long Trigger",IF(AND(A38=MROUND($B$4,5),ISNUMBER(SEARCH("SHORT trigger",'GEX Depth'!$C$54))),"Short Trigger",IF(OR(COUNTIF($AL$42:$AL$45,A38)&gt;0,OR(AND($AM38=1,A38&gt;$B$4),AND($AM39=1,A39&gt;$B$4)),AND(ISNUMBER('Level Engine'!$CT$3),A38&gt;=MIN('Level Engine'!$CT$3,'Level Engine'!$CT$4),A38&lt;=MAX('Level Engine'!$CT$3,'Level Engine'!$CT$4))),"R",IF(OR(COUNTIF($AL$49:$AL$52,A38)&gt;0,OR(AND($AM38=1,A38&lt;$B$4),AND($AM37=1,A37&lt;$B$4)),AND(ISNUMBER('Level Engine'!$CW$3),A38&gt;=MIN('Level Engine'!$CW$3,'Level Engine'!$CW$4),A38&lt;=MAX('Level Engine'!$CW$3,'Level Engine'!$CW$4))),"S","")))))</f>
        <v/>
      </c>
      <c r="R38" s="1" t="str">
        <f>IF(A38="","",IF(AND(COUNT($S$69:$S$72)&gt;0,A38=MAX($S$69:$S$72)),"◀ sell-stop floor",IF(AND('Level Engine'!$CW$2=1,ISNUMBER('Level Engine'!$FI$3),ISNUMBER('Level Engine'!$FI$4),A38&gt;=MIN('Level Engine'!$FI$3,'Level Engine'!$FI$4),A38&lt;=MAX('Level Engine'!$FI$3,'Level Engine'!$FI$4)),"◀ support "&amp;'Level Engine'!$CW$9,IF(AND('Level Engine'!$CT$2=1,ISNUMBER('Level Engine'!$FH$3),ISNUMBER('Level Engine'!$FH$4),A38&gt;=MIN('Level Engine'!$FH$3,'Level Engine'!$FH$4),A38&lt;=MAX('Level Engine'!$FH$3,'Level Engine'!$FH$4)),"◀ resistance "&amp;'Level Engine'!$CT$9,""))))</f>
        <v/>
      </c>
      <c r="S38" s="173" t="str">
        <f>IF(ISNUMBER($B$4),IF(AND(MAX($AQ$29:$AQ$75)&lt;$L$27,MAX($AR$29:$AR$75)&lt;$L$27),"⚠  Minimal DEX: Choppy",""),"")</f>
        <v/>
      </c>
      <c r="U38" s="276"/>
      <c r="V38" s="276"/>
      <c r="W38" s="276"/>
      <c r="X38" s="276"/>
      <c r="Y38" s="276"/>
      <c r="Z38" s="276">
        <f t="shared" si="16"/>
        <v>1045743</v>
      </c>
      <c r="AB38" s="181">
        <f t="shared" si="4"/>
        <v>387420489</v>
      </c>
      <c r="AC38" s="297">
        <f t="shared" si="5"/>
        <v>3</v>
      </c>
      <c r="AD38" s="297">
        <f t="shared" si="6"/>
        <v>1</v>
      </c>
      <c r="AE38" s="181" t="str">
        <f>IFERROR(LOOKUP(2,1/((ISNUMBER('Level Engine'!$AT$9:$AT$55))*($A38&gt;='Level Engine'!$AT$9:$AT$55)*($A38&lt;='Level Engine'!$AU$9:$AU$41)),'Level Engine'!$BB$9:$BB$55),"")</f>
        <v/>
      </c>
      <c r="AF38" s="218">
        <f t="shared" si="7"/>
        <v>387420489</v>
      </c>
      <c r="AG38" s="10">
        <f t="shared" si="8"/>
        <v>225627</v>
      </c>
      <c r="AH38" s="10">
        <f t="shared" si="9"/>
        <v>0</v>
      </c>
      <c r="AI38" s="218">
        <f t="shared" si="17"/>
        <v>-1408819</v>
      </c>
      <c r="AM38" s="218">
        <f>IFERROR(INDEX('Level Engine'!$AN$9:$AN$55,MATCH(A38,'Level Engine'!$AA$9:$AA$55,0)),0)</f>
        <v>0</v>
      </c>
      <c r="AQ38" s="286">
        <f t="shared" si="10"/>
        <v>13</v>
      </c>
      <c r="AR38" s="286" t="str">
        <f t="shared" si="11"/>
        <v/>
      </c>
      <c r="AS38" s="10">
        <f t="shared" si="12"/>
        <v>265851</v>
      </c>
      <c r="AT38" t="str">
        <f t="shared" si="13"/>
        <v/>
      </c>
      <c r="AU38" s="298">
        <f t="shared" si="14"/>
        <v>3299</v>
      </c>
      <c r="AV38" s="1" t="str">
        <f t="shared" si="15"/>
        <v/>
      </c>
    </row>
    <row r="39" spans="1:75" ht="15" customHeight="1" x14ac:dyDescent="0.25">
      <c r="A39" s="287">
        <v>7835</v>
      </c>
      <c r="B39" s="288">
        <v>229319</v>
      </c>
      <c r="C39" s="289">
        <v>176610</v>
      </c>
      <c r="D39" s="319">
        <v>3518356</v>
      </c>
      <c r="E39" s="289">
        <v>-191831</v>
      </c>
      <c r="F39" s="289">
        <v>738128</v>
      </c>
      <c r="G39" s="289">
        <v>400</v>
      </c>
      <c r="H39" s="289">
        <v>16</v>
      </c>
      <c r="I39" s="289">
        <v>3463</v>
      </c>
      <c r="J39" s="290" t="str">
        <f t="shared" si="2"/>
        <v/>
      </c>
      <c r="K39" s="291">
        <v>2218</v>
      </c>
      <c r="L39" s="292">
        <v>288</v>
      </c>
      <c r="M39" s="300"/>
      <c r="N39" s="301"/>
      <c r="O39" s="302"/>
      <c r="P39" s="294" t="str">
        <f t="shared" si="3"/>
        <v/>
      </c>
      <c r="Q39" s="295" t="str">
        <f>IF(A39="","",IF(AND(A39=MROUND($B$4,5),ISNUMBER(SEARCH("LONG trigger",'GEX Depth'!$C$54))),"Long Trigger",IF(AND(A39=MROUND($B$4,5),ISNUMBER(SEARCH("SHORT trigger",'GEX Depth'!$C$54))),"Short Trigger",IF(OR(COUNTIF($AL$42:$AL$45,A39)&gt;0,OR(AND($AM39=1,A39&gt;$B$4),AND($AM40=1,A40&gt;$B$4)),AND(ISNUMBER('Level Engine'!$CT$3),A39&gt;=MIN('Level Engine'!$CT$3,'Level Engine'!$CT$4),A39&lt;=MAX('Level Engine'!$CT$3,'Level Engine'!$CT$4))),"R",IF(OR(COUNTIF($AL$49:$AL$52,A39)&gt;0,OR(AND($AM39=1,A39&lt;$B$4),AND($AM38=1,A38&lt;$B$4)),AND(ISNUMBER('Level Engine'!$CW$3),A39&gt;=MIN('Level Engine'!$CW$3,'Level Engine'!$CW$4),A39&lt;=MAX('Level Engine'!$CW$3,'Level Engine'!$CW$4))),"S","")))))</f>
        <v>R</v>
      </c>
      <c r="R39" s="1" t="str">
        <f>IF(A39="","",IF(AND(COUNT($S$69:$S$72)&gt;0,A39=MAX($S$69:$S$72)),"◀ sell-stop floor",IF(AND('Level Engine'!$CW$2=1,ISNUMBER('Level Engine'!$FI$3),ISNUMBER('Level Engine'!$FI$4),A39&gt;=MIN('Level Engine'!$FI$3,'Level Engine'!$FI$4),A39&lt;=MAX('Level Engine'!$FI$3,'Level Engine'!$FI$4)),"◀ support "&amp;'Level Engine'!$CW$9,IF(AND('Level Engine'!$CT$2=1,ISNUMBER('Level Engine'!$FH$3),ISNUMBER('Level Engine'!$FH$4),A39&gt;=MIN('Level Engine'!$FH$3,'Level Engine'!$FH$4),A39&lt;=MAX('Level Engine'!$FH$3,'Level Engine'!$FH$4)),"◀ resistance "&amp;'Level Engine'!$CT$9,""))))</f>
        <v/>
      </c>
      <c r="S39" s="76" t="s">
        <v>31</v>
      </c>
      <c r="U39" s="276"/>
      <c r="V39" s="276"/>
      <c r="W39" s="276"/>
      <c r="X39" s="276"/>
      <c r="Y39" s="276"/>
      <c r="Z39" s="276">
        <f t="shared" si="16"/>
        <v>1222353</v>
      </c>
      <c r="AB39" s="181">
        <f t="shared" si="4"/>
        <v>387420489</v>
      </c>
      <c r="AC39" s="297">
        <f t="shared" si="5"/>
        <v>9</v>
      </c>
      <c r="AD39" s="297">
        <f t="shared" si="6"/>
        <v>0</v>
      </c>
      <c r="AE39" s="181" t="str">
        <f>IFERROR(LOOKUP(2,1/((ISNUMBER('Level Engine'!$AT$9:$AT$55))*($A39&gt;='Level Engine'!$AT$9:$AT$55)*($A39&lt;='Level Engine'!$AU$9:$AU$41)),'Level Engine'!$BB$9:$BB$55),"")</f>
        <v/>
      </c>
      <c r="AF39" s="218">
        <f t="shared" si="7"/>
        <v>387420489</v>
      </c>
      <c r="AG39" s="10">
        <f t="shared" si="8"/>
        <v>176610</v>
      </c>
      <c r="AH39" s="10">
        <f t="shared" si="9"/>
        <v>0</v>
      </c>
      <c r="AI39" s="218">
        <f t="shared" si="17"/>
        <v>-1600650</v>
      </c>
      <c r="AM39" s="218">
        <f>IFERROR(INDEX('Level Engine'!$AN$9:$AN$55,MATCH(A39,'Level Engine'!$AA$9:$AA$55,0)),0)</f>
        <v>0</v>
      </c>
      <c r="AQ39" s="286">
        <f t="shared" si="10"/>
        <v>12</v>
      </c>
      <c r="AR39" s="286" t="str">
        <f t="shared" si="11"/>
        <v/>
      </c>
      <c r="AS39" s="10">
        <f t="shared" si="12"/>
        <v>229319</v>
      </c>
      <c r="AT39" t="str">
        <f t="shared" si="13"/>
        <v/>
      </c>
      <c r="AU39" s="298">
        <f t="shared" si="14"/>
        <v>2218</v>
      </c>
      <c r="AV39" s="1" t="str">
        <f t="shared" si="15"/>
        <v/>
      </c>
    </row>
    <row r="40" spans="1:75" ht="15" customHeight="1" x14ac:dyDescent="0.25">
      <c r="A40" s="287">
        <v>7830</v>
      </c>
      <c r="B40" s="288">
        <v>560967</v>
      </c>
      <c r="C40" s="289">
        <v>437700</v>
      </c>
      <c r="D40" s="319">
        <v>8309614</v>
      </c>
      <c r="E40" s="289">
        <v>-343825</v>
      </c>
      <c r="F40" s="289">
        <v>1760433</v>
      </c>
      <c r="G40" s="289">
        <v>906</v>
      </c>
      <c r="H40" s="289">
        <v>36</v>
      </c>
      <c r="I40" s="289">
        <v>8694</v>
      </c>
      <c r="J40" s="290" t="str">
        <f t="shared" si="2"/>
        <v/>
      </c>
      <c r="K40" s="291">
        <v>4383</v>
      </c>
      <c r="L40" s="292">
        <v>541</v>
      </c>
      <c r="M40" s="293"/>
      <c r="N40" s="293"/>
      <c r="O40" s="293"/>
      <c r="P40" s="294" t="str">
        <f t="shared" si="3"/>
        <v/>
      </c>
      <c r="Q40" s="295" t="str">
        <f>IF(A40="","",IF(AND(A40=MROUND($B$4,5),ISNUMBER(SEARCH("LONG trigger",'GEX Depth'!$C$54))),"Long Trigger",IF(AND(A40=MROUND($B$4,5),ISNUMBER(SEARCH("SHORT trigger",'GEX Depth'!$C$54))),"Short Trigger",IF(OR(COUNTIF($AL$42:$AL$45,A40)&gt;0,OR(AND($AM40=1,A40&gt;$B$4),AND($AM41=1,A41&gt;$B$4)),AND(ISNUMBER('Level Engine'!$CT$3),A40&gt;=MIN('Level Engine'!$CT$3,'Level Engine'!$CT$4),A40&lt;=MAX('Level Engine'!$CT$3,'Level Engine'!$CT$4))),"R",IF(OR(COUNTIF($AL$49:$AL$52,A40)&gt;0,OR(AND($AM40=1,A40&lt;$B$4),AND($AM39=1,A39&lt;$B$4)),AND(ISNUMBER('Level Engine'!$CW$3),A40&gt;=MIN('Level Engine'!$CW$3,'Level Engine'!$CW$4),A40&lt;=MAX('Level Engine'!$CW$3,'Level Engine'!$CW$4))),"S","")))))</f>
        <v>R</v>
      </c>
      <c r="R40" s="1" t="str">
        <f>IF(A40="","",IF(AND(COUNT($S$69:$S$72)&gt;0,A40=MAX($S$69:$S$72)),"◀ sell-stop floor",IF(AND('Level Engine'!$CW$2=1,ISNUMBER('Level Engine'!$FI$3),ISNUMBER('Level Engine'!$FI$4),A40&gt;=MIN('Level Engine'!$FI$3,'Level Engine'!$FI$4),A40&lt;=MAX('Level Engine'!$FI$3,'Level Engine'!$FI$4)),"◀ support "&amp;'Level Engine'!$CW$9,IF(AND('Level Engine'!$CT$2=1,ISNUMBER('Level Engine'!$FH$3),ISNUMBER('Level Engine'!$FH$4),A40&gt;=MIN('Level Engine'!$FH$3,'Level Engine'!$FH$4),A40&lt;=MAX('Level Engine'!$FH$3,'Level Engine'!$FH$4)),"◀ resistance "&amp;'Level Engine'!$CT$9,""))))</f>
        <v/>
      </c>
      <c r="S40" s="309" t="s">
        <v>32</v>
      </c>
      <c r="T40" s="310"/>
      <c r="U40" s="311"/>
      <c r="V40" s="311"/>
      <c r="W40" s="311"/>
      <c r="X40" s="276"/>
      <c r="Y40" s="276"/>
      <c r="Z40" s="276">
        <f t="shared" si="16"/>
        <v>1660053</v>
      </c>
      <c r="AB40" s="181">
        <f t="shared" si="4"/>
        <v>387420489</v>
      </c>
      <c r="AC40" s="297">
        <f t="shared" si="5"/>
        <v>1</v>
      </c>
      <c r="AD40" s="297">
        <f t="shared" si="6"/>
        <v>1</v>
      </c>
      <c r="AE40" s="181" t="str">
        <f>IFERROR(LOOKUP(2,1/((ISNUMBER('Level Engine'!$AT$9:$AT$55))*($A40&gt;='Level Engine'!$AT$9:$AT$55)*($A40&lt;='Level Engine'!$AU$9:$AU$41)),'Level Engine'!$BB$9:$BB$55),"")</f>
        <v/>
      </c>
      <c r="AF40" s="218">
        <f t="shared" si="7"/>
        <v>387420489</v>
      </c>
      <c r="AG40" s="10">
        <f t="shared" si="8"/>
        <v>437700</v>
      </c>
      <c r="AH40" s="10">
        <f t="shared" si="9"/>
        <v>0</v>
      </c>
      <c r="AI40" s="218">
        <f t="shared" si="17"/>
        <v>-1944475</v>
      </c>
      <c r="AM40" s="218">
        <f>IFERROR(INDEX('Level Engine'!$AN$9:$AN$55,MATCH(A40,'Level Engine'!$AA$9:$AA$55,0)),0)</f>
        <v>1</v>
      </c>
      <c r="AQ40" s="286">
        <f t="shared" si="10"/>
        <v>11</v>
      </c>
      <c r="AR40" s="286" t="str">
        <f t="shared" si="11"/>
        <v/>
      </c>
      <c r="AS40" s="10">
        <f t="shared" si="12"/>
        <v>560967</v>
      </c>
      <c r="AT40" t="str">
        <f t="shared" si="13"/>
        <v/>
      </c>
      <c r="AU40" s="298">
        <f t="shared" si="14"/>
        <v>4383</v>
      </c>
      <c r="AV40" s="1" t="str">
        <f t="shared" si="15"/>
        <v/>
      </c>
    </row>
    <row r="41" spans="1:75" ht="15" customHeight="1" x14ac:dyDescent="0.25">
      <c r="A41" s="287">
        <v>7825</v>
      </c>
      <c r="B41" s="288">
        <v>680164</v>
      </c>
      <c r="C41" s="289">
        <v>538591</v>
      </c>
      <c r="D41" s="319">
        <v>9356659</v>
      </c>
      <c r="E41" s="289">
        <v>-283254</v>
      </c>
      <c r="F41" s="306">
        <v>2058290</v>
      </c>
      <c r="G41" s="289">
        <v>992</v>
      </c>
      <c r="H41" s="289">
        <v>42</v>
      </c>
      <c r="I41" s="289">
        <v>10660</v>
      </c>
      <c r="J41" s="290" t="str">
        <f t="shared" si="2"/>
        <v/>
      </c>
      <c r="K41" s="291">
        <v>4158</v>
      </c>
      <c r="L41" s="292">
        <v>483</v>
      </c>
      <c r="M41" s="292"/>
      <c r="N41" s="312"/>
      <c r="O41" s="313"/>
      <c r="P41" s="294" t="str">
        <f t="shared" si="3"/>
        <v/>
      </c>
      <c r="Q41" s="295" t="str">
        <f>IF(A41="","",IF(AND(A41=MROUND($B$4,5),ISNUMBER(SEARCH("LONG trigger",'GEX Depth'!$C$54))),"Long Trigger",IF(AND(A41=MROUND($B$4,5),ISNUMBER(SEARCH("SHORT trigger",'GEX Depth'!$C$54))),"Short Trigger",IF(OR(COUNTIF($AL$42:$AL$45,A41)&gt;0,OR(AND($AM41=1,A41&gt;$B$4),AND($AM42=1,A42&gt;$B$4)),AND(ISNUMBER('Level Engine'!$CT$3),A41&gt;=MIN('Level Engine'!$CT$3,'Level Engine'!$CT$4),A41&lt;=MAX('Level Engine'!$CT$3,'Level Engine'!$CT$4))),"R",IF(OR(COUNTIF($AL$49:$AL$52,A41)&gt;0,OR(AND($AM41=1,A41&lt;$B$4),AND($AM40=1,A40&lt;$B$4)),AND(ISNUMBER('Level Engine'!$CW$3),A41&gt;=MIN('Level Engine'!$CW$3,'Level Engine'!$CW$4),A41&lt;=MAX('Level Engine'!$CW$3,'Level Engine'!$CW$4))),"S","")))))</f>
        <v>R</v>
      </c>
      <c r="R41" s="1" t="str">
        <f>IF(A41="","",IF(AND(COUNT($S$69:$S$72)&gt;0,A41=MAX($S$69:$S$72)),"◀ sell-stop floor",IF(AND('Level Engine'!$CW$2=1,ISNUMBER('Level Engine'!$FI$3),ISNUMBER('Level Engine'!$FI$4),A41&gt;=MIN('Level Engine'!$FI$3,'Level Engine'!$FI$4),A41&lt;=MAX('Level Engine'!$FI$3,'Level Engine'!$FI$4)),"◀ support "&amp;'Level Engine'!$CW$9,IF(AND('Level Engine'!$CT$2=1,ISNUMBER('Level Engine'!$FH$3),ISNUMBER('Level Engine'!$FH$4),A41&gt;=MIN('Level Engine'!$FH$3,'Level Engine'!$FH$4),A41&lt;=MAX('Level Engine'!$FH$3,'Level Engine'!$FH$4)),"◀ resistance "&amp;'Level Engine'!$CT$9,""))))</f>
        <v/>
      </c>
      <c r="S41" s="304" t="s">
        <v>33</v>
      </c>
      <c r="T41" s="304" t="s">
        <v>34</v>
      </c>
      <c r="U41" s="305" t="s">
        <v>35</v>
      </c>
      <c r="V41" s="305" t="s">
        <v>36</v>
      </c>
      <c r="W41" s="305" t="s">
        <v>37</v>
      </c>
      <c r="X41" s="305" t="s">
        <v>38</v>
      </c>
      <c r="Y41" s="305" t="s">
        <v>40</v>
      </c>
      <c r="Z41" s="276">
        <f t="shared" si="16"/>
        <v>2198644</v>
      </c>
      <c r="AA41" s="100"/>
      <c r="AB41" s="181">
        <f t="shared" si="4"/>
        <v>387420489</v>
      </c>
      <c r="AC41" s="297">
        <f t="shared" si="5"/>
        <v>2</v>
      </c>
      <c r="AD41" s="297">
        <f t="shared" si="6"/>
        <v>1</v>
      </c>
      <c r="AE41" s="181" t="str">
        <f>IFERROR(LOOKUP(2,1/((ISNUMBER('Level Engine'!$AT$9:$AT$55))*($A41&gt;='Level Engine'!$AT$9:$AT$55)*($A41&lt;='Level Engine'!$AU$9:$AU$41)),'Level Engine'!$BB$9:$BB$55),"")</f>
        <v/>
      </c>
      <c r="AF41" s="218">
        <f t="shared" si="7"/>
        <v>387420489</v>
      </c>
      <c r="AG41" s="10">
        <f t="shared" si="8"/>
        <v>538591</v>
      </c>
      <c r="AH41" s="10">
        <f t="shared" si="9"/>
        <v>0</v>
      </c>
      <c r="AI41" s="218">
        <f t="shared" si="17"/>
        <v>-2227729</v>
      </c>
      <c r="AJ41" s="218" t="s">
        <v>152</v>
      </c>
      <c r="AK41" s="218" t="s">
        <v>153</v>
      </c>
      <c r="AM41" s="218">
        <f>IFERROR(INDEX('Level Engine'!$AN$9:$AN$55,MATCH(A41,'Level Engine'!$AA$9:$AA$55,0)),0)</f>
        <v>0</v>
      </c>
      <c r="AQ41" s="286">
        <f t="shared" si="10"/>
        <v>10</v>
      </c>
      <c r="AR41" s="286" t="str">
        <f t="shared" si="11"/>
        <v/>
      </c>
      <c r="AS41" s="10">
        <f t="shared" si="12"/>
        <v>680164</v>
      </c>
      <c r="AT41" t="str">
        <f t="shared" si="13"/>
        <v/>
      </c>
      <c r="AU41" s="298">
        <f t="shared" si="14"/>
        <v>4158</v>
      </c>
      <c r="AV41" s="1" t="str">
        <f t="shared" si="15"/>
        <v/>
      </c>
      <c r="AZ41" s="218" t="s">
        <v>154</v>
      </c>
      <c r="BA41" t="s">
        <v>1546</v>
      </c>
    </row>
    <row r="42" spans="1:75" ht="15" customHeight="1" x14ac:dyDescent="0.25">
      <c r="A42" s="287">
        <v>7820</v>
      </c>
      <c r="B42" s="288">
        <v>494366</v>
      </c>
      <c r="C42" s="289">
        <v>188525</v>
      </c>
      <c r="D42" s="319">
        <v>2822826</v>
      </c>
      <c r="E42" s="289">
        <v>-543561</v>
      </c>
      <c r="F42" s="289">
        <v>672970</v>
      </c>
      <c r="G42" s="289">
        <v>629</v>
      </c>
      <c r="H42" s="289">
        <v>29</v>
      </c>
      <c r="I42" s="289">
        <v>3632</v>
      </c>
      <c r="J42" s="290" t="str">
        <f t="shared" si="2"/>
        <v/>
      </c>
      <c r="K42" s="291">
        <v>1755</v>
      </c>
      <c r="L42" s="292">
        <v>786</v>
      </c>
      <c r="M42" s="292"/>
      <c r="N42" s="312"/>
      <c r="O42" s="313"/>
      <c r="P42" s="294" t="str">
        <f t="shared" si="3"/>
        <v/>
      </c>
      <c r="Q42" s="295" t="str">
        <f>IF(A42="","",IF(AND(A42=MROUND($B$4,5),ISNUMBER(SEARCH("LONG trigger",'GEX Depth'!$C$54))),"Long Trigger",IF(AND(A42=MROUND($B$4,5),ISNUMBER(SEARCH("SHORT trigger",'GEX Depth'!$C$54))),"Short Trigger",IF(OR(COUNTIF($AL$42:$AL$45,A42)&gt;0,OR(AND($AM42=1,A42&gt;$B$4),AND($AM43=1,A43&gt;$B$4)),AND(ISNUMBER('Level Engine'!$CT$3),A42&gt;=MIN('Level Engine'!$CT$3,'Level Engine'!$CT$4),A42&lt;=MAX('Level Engine'!$CT$3,'Level Engine'!$CT$4))),"R",IF(OR(COUNTIF($AL$49:$AL$52,A42)&gt;0,OR(AND($AM42=1,A42&lt;$B$4),AND($AM41=1,A41&lt;$B$4)),AND(ISNUMBER('Level Engine'!$CW$3),A42&gt;=MIN('Level Engine'!$CW$3,'Level Engine'!$CW$4),A42&lt;=MAX('Level Engine'!$CW$3,'Level Engine'!$CW$4))),"S","")))))</f>
        <v>R</v>
      </c>
      <c r="R42" s="1" t="str">
        <f>IF(A42="","",IF(AND(COUNT($S$69:$S$72)&gt;0,A42=MAX($S$69:$S$72)),"◀ sell-stop floor",IF(AND('Level Engine'!$CW$2=1,ISNUMBER('Level Engine'!$FI$3),ISNUMBER('Level Engine'!$FI$4),A42&gt;=MIN('Level Engine'!$FI$3,'Level Engine'!$FI$4),A42&lt;=MAX('Level Engine'!$FI$3,'Level Engine'!$FI$4)),"◀ support "&amp;'Level Engine'!$CW$9,IF(AND('Level Engine'!$CT$2=1,ISNUMBER('Level Engine'!$FH$3),ISNUMBER('Level Engine'!$FH$4),A42&gt;=MIN('Level Engine'!$FH$3,'Level Engine'!$FH$4),A42&lt;=MAX('Level Engine'!$FH$3,'Level Engine'!$FH$4)),"◀ resistance "&amp;'Level Engine'!$CT$9,""))))</f>
        <v/>
      </c>
      <c r="S42" s="307" t="str">
        <f>SUBSTITUTE(IF(((IFERROR(IF($AL42="","",TEXT($AL42,"0")&amp;IF(AND(INDEX('Level Engine'!$AN$9:$AN$55,MATCH($AL42,'Level Engine'!$AA$9:$AA$55,0))=1,IFERROR($AB$22&lt;&gt;$AB$23,FALSE()),$AL42&lt;&gt;$AO$70,IFERROR(INDEX('Level Engine'!$IB$9:$IB$55,MATCH($AL42,'Level Engine'!$AA$9:$AA$55,0)),0)&lt;&gt;1),IF(OR($A$8="Neg",N('Level Engine'!$BG$72)=1),""," (box "&amp;TEXT($AB$22,"0")&amp;"-"&amp;TEXT($AB$23,"0")&amp;")"),"")&amp;IF(AND('Level Engine'!$CT$2=1,ISNUMBER($AL42),$AL42&gt;='Level Engine'!$FH$3,$AL42&lt;='Level Engine'!$FH$4)," ("&amp;'Level Engine'!$CT$9&amp;" "&amp;TEXT('Level Engine'!$FH$3,"0")&amp;"-"&amp;TEXT('Level Engine'!$FH$4,"0")&amp;")","")&amp;IF(IFERROR(INDEX('Level Engine'!$EY$9:$EY$55,MATCH($AL42,'Level Engine'!$AA$9:$AA$55,0)),0)=1," (peak "&amp;TEXT($AL42,"0")&amp;")","")),""))&amp;IF(OR($AL42='Level Engine'!$CP$4,$AL42='Level Engine'!$CP$5,$AL42='Level Engine'!$CP$6,$AL42='Level Engine'!$CP$7)," ☄","")&amp;IF($AL42='Level Engine'!$CP$1," ◆","")&amp;IF(OR($AL42='Level Engine'!$CP$2,$AL42='Level Engine'!$CP$3)," ★","")&amp;IF(AND('Level Engine'!$EL$7=1,$AL42=$D$26)," Ⓕ","")&amp;IF($AL42=$F$24," ⟂","")&amp;IF(IFERROR(INDEX('Level Engine'!$GV$9:$GV$55,MATCH($AL42,'Level Engine'!$AA$9:$AA$55,0)),0)=1," Ⓥ"&amp;IF(IFERROR(INDEX('Level Engine'!$ET$9:$ET$55,MATCH($AL42,'Level Engine'!$AA$9:$AA$55,0)),0)=1,"+",""),"")&amp;IF(AND($AO$70&lt;&gt;"",ISNUMBER($AL42),$AO$70&gt;=IFERROR(IF(ISNUMBER(INDEX('Level Engine'!$AT$9:$AT$55,MATCH($AL42,'Level Engine'!$AA$9:$AA$55,0))),INDEX('Level Engine'!$AT$9:$AT$55,MATCH($AL42,'Level Engine'!$AA$9:$AA$55,0)),$AL42),$AL42),$AO$70&lt;=IFERROR(IF(ISNUMBER(INDEX('Level Engine'!$AU$9:$AU$55,MATCH($AL42,'Level Engine'!$AA$9:$AA$55,0))),INDEX('Level Engine'!$AU$9:$AU$55,MATCH($AL42,'Level Engine'!$AA$9:$AA$55,0)),$AL42),$AL42))," ‹chop edge"&amp;IF($AL42=$AO$70,""," "&amp;TEXT($AO$70,"0"))&amp;"›",""))="","",((IFERROR(IF($AL42="","",TEXT($AL42,"0")&amp;IF(AND(INDEX('Level Engine'!$AN$9:$AN$55,MATCH($AL42,'Level Engine'!$AA$9:$AA$55,0))=1,IFERROR($AB$22&lt;&gt;$AB$23,FALSE()),$AL42&lt;&gt;$AO$70,IFERROR(INDEX('Level Engine'!$IB$9:$IB$55,MATCH($AL42,'Level Engine'!$AA$9:$AA$55,0)),0)&lt;&gt;1),IF(OR($A$8="Neg",N('Level Engine'!$BG$72)=1),""," (box "&amp;TEXT($AB$22,"0")&amp;"-"&amp;TEXT($AB$23,"0")&amp;")"),"")&amp;IF(AND('Level Engine'!$CT$2=1,ISNUMBER($AL42),$AL42&gt;='Level Engine'!$FH$3,$AL42&lt;='Level Engine'!$FH$4)," ("&amp;'Level Engine'!$CT$9&amp;" "&amp;TEXT('Level Engine'!$FH$3,"0")&amp;"-"&amp;TEXT('Level Engine'!$FH$4,"0")&amp;")","")&amp;IF(IFERROR(INDEX('Level Engine'!$EY$9:$EY$55,MATCH($AL42,'Level Engine'!$AA$9:$AA$55,0)),0)=1," (peak "&amp;TEXT($AL42,"0")&amp;")","")),""))&amp;IF(OR($AL42='Level Engine'!$CP$4,$AL42='Level Engine'!$CP$5,$AL42='Level Engine'!$CP$6,$AL42='Level Engine'!$CP$7)," ☄","")&amp;IF($AL42='Level Engine'!$CP$1," ◆","")&amp;IF(OR($AL42='Level Engine'!$CP$2,$AL42='Level Engine'!$CP$3)," ★","")&amp;IF(AND('Level Engine'!$EL$7=1,$AL42=$D$26)," Ⓕ","")&amp;IF($AL42=$F$24," ⟂","")&amp;IF(IFERROR(INDEX('Level Engine'!$GV$9:$GV$55,MATCH($AL42,'Level Engine'!$AA$9:$AA$55,0)),0)=1," Ⓥ"&amp;IF(IFERROR(INDEX('Level Engine'!$ET$9:$ET$55,MATCH($AL42,'Level Engine'!$AA$9:$AA$55,0)),0)=1,"+",""),"")&amp;IF(AND($AO$70&lt;&gt;"",ISNUMBER($AL42),$AO$70&gt;=IFERROR(IF(ISNUMBER(INDEX('Level Engine'!$AT$9:$AT$55,MATCH($AL42,'Level Engine'!$AA$9:$AA$55,0))),INDEX('Level Engine'!$AT$9:$AT$55,MATCH($AL42,'Level Engine'!$AA$9:$AA$55,0)),$AL42),$AL42),$AO$70&lt;=IFERROR(IF(ISNUMBER(INDEX('Level Engine'!$AU$9:$AU$55,MATCH($AL42,'Level Engine'!$AA$9:$AA$55,0))),INDEX('Level Engine'!$AU$9:$AU$55,MATCH($AL42,'Level Engine'!$AA$9:$AA$55,0)),$AL42),$AL42))," ‹chop edge"&amp;IF($AL42=$AO$70,""," "&amp;TEXT($AO$70,"0"))&amp;"›",""))),"(shelf ","(ladder ")</f>
        <v>7780 ⟂</v>
      </c>
      <c r="T42" s="307">
        <f>IF($AL42="","",$AL42-$B$4)</f>
        <v>4.6099999999996726</v>
      </c>
      <c r="U42" s="308">
        <f>IF($AL42="","",IFERROR(INDEX($C$29:$C$75,MATCH($AL42,$A$29:$A$75,0)),0))</f>
        <v>-2299593</v>
      </c>
      <c r="V42" s="308" t="str">
        <f>IF($AL42="","",TRIM(SUBSTITUTE(SUBSTITUTE(SUBSTITUTE(SUBSTITUTE(SUBSTITUTE(SUBSTITUTE(SUBSTITUTE(SUBSTITUTE(SUBSTITUTE(SUBSTITUTE(SUBSTITUTE(SUBSTITUTE(" "&amp;(IF(IFERROR(OR(INDEX('Level Engine'!$GK$9:$GK$55,MATCH($AL42,'Level Engine'!$AA$9:$AA$55,0))=1,AND(INDEX('Level Engine'!$GK$9:$GK$55,MATCH($AL42,'Level Engine'!$AA$9:$AA$55,0))="",INDEX('Level Engine'!$AH$9:$AH$55,MATCH($AL42,'Level Engine'!$AA$9:$AA$55,0))&lt;&gt;"",INDEX('Level Engine'!$AH$9:$AH$55,MATCH($AL42,'Level Engine'!$AA$9:$AA$55,0))&lt;='Level Engine'!$GL$2)),FALSE),"Gam ","")&amp;IF(IFERROR(OR(AND(INDEX('Level Engine'!$AG$9:$AG$55,MATCH($AL42,'Level Engine'!$AA$9:$AA$55,0))="R",INDEX('Level Engine'!$JV$9:$JV$55,MATCH($AL42,'Level Engine'!$AA$9:$AA$55,0))="SELL"),AND(INDEX('Level Engine'!$AG$9:$AG$55,MATCH($AL42,'Level Engine'!$AA$9:$AA$55,0))="S",INDEX('Level Engine'!$JV$9:$JV$55,MATCH($AL42,'Level Engine'!$AA$9:$AA$55,0))="BUY")),FALSE),"Vex ","")&amp;IF(IFERROR(AND(INDEX('Level Engine'!$AK$9:$AK$55,MATCH($AL42,'Level Engine'!$AA$9:$AA$55,0))=1,OR(AND(INDEX('Level Engine'!$AG$9:$AG$55,MATCH($AL42,'Level Engine'!$AA$9:$AA$55,0))="R",INDEX('Level Engine'!$AE$9:$AE$55,MATCH($AL42,'Level Engine'!$AA$9:$AA$55,0))&lt;0),AND(INDEX('Level Engine'!$AG$9:$AG$55,MATCH($AL42,'Level Engine'!$AA$9:$AA$55,0))="S",INDEX('Level Engine'!$AE$9:$AE$55,MATCH($AL42,'Level Engine'!$AA$9:$AA$55,0))&gt;0))),FALSE),"Dex ","")&amp;IF(IFERROR(INDEX('Level Engine'!$LA$9:$LA$55,MATCH($AL42,'Level Engine'!$AA$9:$AA$55,0))=1,FALSE),"Zom ","")&amp;IF(IFERROR(INDEX('Level Engine'!$BA$9:$BA$55,MATCH($AL42,'Level Engine'!$AA$9:$AA$55,0))=1,FALSE),"Spd ","")&amp;IFERROR(INDEX('Level Engine'!$LK$9:$LK$55,MATCH($AL42,'Level Engine'!$AA$9:$AA$55,0)),"")&amp;IF(IFERROR(INDEX('Level Engine'!$LR$9:$LR$55,MATCH($AL42,'Level Engine'!$AA$9:$AA$55,0))=1,FALSE),"SAND ","")&amp;IF(IFERROR(INDEX('Level Engine'!$AJ$9:$AJ$55,MATCH($AL42,'Level Engine'!$AA$9:$AA$55,0))=1,FALSE),"Dex↓ ","")&amp;IF(IFERROR(AND(INDEX('Level Engine'!$AV$9:$AV$55,MATCH($AL42,'Level Engine'!$AA$9:$AA$55,0))=1,INDEX('Level Engine'!$KG$9:$KG$55,MATCH($AL42,'Level Engine'!$AA$9:$AA$55,0))&lt;&gt;1),FALSE),"iDex ","")&amp;IF(IFERROR(INDEX('Level Engine'!$KG$9:$KG$55,MATCH($AL42,'Level Engine'!$AA$9:$AA$55,0))=1,FALSE),"gDex ","")&amp;IF(IFERROR(OR(INDEX('Level Engine'!$BD$9:$BD$55,MATCH($AL42,'Level Engine'!$AA$9:$AA$55,0))=1,INDEX('Level Engine'!$GZ$9:$GZ$55,MATCH($AL42,'Level Engine'!$AA$9:$AA$55,0))=1,AND(INDEX('Level Engine'!$GY$9:$GY$55,MATCH($AL42,'Level Engine'!$AA$9:$AA$55,0))=1,'King Node Model'!$A$8="Pos")),FALSE),"γSh ","")&amp;IF(IFERROR(OR(INDEX('Level Engine'!$JX$9:$JX$55,MATCH($AL42,'Level Engine'!$AA$9:$AA$55,0))=1,INDEX('Level Engine'!$JX$9:$JX$55,MATCH($AL42,'Level Engine'!$AA$9:$AA$55,0))=1),FALSE),"Zsh ","")&amp;IF(IFERROR(INDEX('Level Engine'!$BI$9:$BI$55,MATCH($AL42,'Level Engine'!$AA$9:$AA$55,0))=1,FALSE),"Vxi ","")&amp;IF(IFERROR(INDEX('Level Engine'!$BJ$9:$BJ$55,MATCH($AL42,'Level Engine'!$AA$9:$AA$55,0))=1,FALSE),"Spi ","")&amp;IF(IFERROR(INDEX('Level Engine'!$BO$9:$BO$55,MATCH($AL42,'Level Engine'!$AA$9:$AA$55,0))=1,FALSE),"Vgf ","")&amp;IF(IFERROR(INDEX('Level Engine'!$BX$9:$BX$55,MATCH($AL42,'Level Engine'!$AA$9:$AA$55,0))=1,FALSE),"Gxp ","")&amp;IF(IFERROR(INDEX('Level Engine'!$BY$9:$BY$55,MATCH($AL42,'Level Engine'!$AA$9:$AA$55,0))=1,FALSE),"Gfx ","")&amp;IF(IFERROR(INDEX('Level Engine'!$CB$9:$CB$55,MATCH($AL42,'Level Engine'!$AA$9:$AA$55,0))=1,FALSE),"ZG ","")&amp;IF(IFERROR(INDEX('Level Engine'!$CZ$9:$CZ$55,MATCH($AL42,'Level Engine'!$AA$9:$AA$55,0))=1,FALSE),"dEdge ","")&amp;IF(IFERROR(INDEX('Level Engine'!$DS$9:$DS$55,MATCH($AL42,'Level Engine'!$AA$9:$AA$55,0))=1,FALSE),"oEdge ","")&amp;IF(IFERROR(INDEX('Level Engine'!$JD$9:$JD$55,MATCH($AL42,'Level Engine'!$AA$9:$AA$55,0)),"")="P","P-OI ",IF(IFERROR(INDEX('Level Engine'!$JD$9:$JD$55,MATCH($AL42,'Level Engine'!$AA$9:$AA$55,0)),"")="C","C-OI ","")))&amp;" ",IF(IFERROR(INDEX('Level Engine'!$KK$9:$KK$55,MATCH($AL42,'Level Engine'!$AA$9:$AA$55,0)),0)=1," Dex↓ ",CHAR(1))," "),IF(IFERROR(INDEX('Level Engine'!$KK$9:$KK$55,MATCH($AL42,'Level Engine'!$AA$9:$AA$55,0)),0)=1," γSh ",CHAR(1))," "),IF(IFERROR(INDEX('Level Engine'!$KK$9:$KK$55,MATCH($AL42,'Level Engine'!$AA$9:$AA$55,0)),0)=1," Zsh ",CHAR(1))," "),IF(IFERROR(INDEX('Level Engine'!$KK$9:$KK$55,MATCH($AL42,'Level Engine'!$AA$9:$AA$55,0)),0)=1," dEdge ",CHAR(1))," "),IF(IFERROR(INDEX('Level Engine'!$KK$9:$KK$55,MATCH($AL42,'Level Engine'!$AA$9:$AA$55,0)),0)=1," oEdge ",CHAR(1))," "),IF(IFERROR(INDEX('Level Engine'!$KK$9:$KK$55,MATCH($AL42,'Level Engine'!$AA$9:$AA$55,0)),0)=1," iDex ",CHAR(1))," "),IF(IFERROR(INDEX('Level Engine'!$KK$9:$KK$55,MATCH($AL42,'Level Engine'!$AA$9:$AA$55,0)),0)=1," gDex ",CHAR(1))," "),IF(IFERROR(INDEX('Level Engine'!$KK$9:$KK$55,MATCH($AL42,'Level Engine'!$AA$9:$AA$55,0)),0)=1," Vxi ",CHAR(1))," "),IF(IFERROR(INDEX('Level Engine'!$KK$9:$KK$55,MATCH($AL42,'Level Engine'!$AA$9:$AA$55,0)),0)=1," Spi ",CHAR(1))," "),IF(IFERROR(INDEX('Level Engine'!$KJ$9:$KJ$55,MATCH($AL42,'Level Engine'!$AA$9:$AA$55,0)),0)=1," Gxp ",CHAR(1))," "),IF(IFERROR(INDEX('Level Engine'!$KL$9:$KL$55,MATCH($AL42,'Level Engine'!$AA$9:$AA$55,0)),0)=1," P-OI ",CHAR(1))," "),IF(IFERROR(INDEX('Level Engine'!$KL$9:$KL$55,MATCH($AL42,'Level Engine'!$AA$9:$AA$55,0)),0)=1," C-OI ",CHAR(1))," ")))</f>
        <v>Dex Zom Dex↓ Zsh P-OI</v>
      </c>
      <c r="W42" s="308">
        <f>IF($AL42="","",IFERROR(INDEX('Level Engine'!$AM$9:$AM$55,MATCH($AL42,'Level Engine'!$AA$9:$AA$55,0)),""))</f>
        <v>5</v>
      </c>
      <c r="X42" s="308" t="str">
        <f>IF($AL42="","",IF(IFERROR(INDEX('Level Engine'!$EN$9:$EN$55,MATCH($AL42,'Level Engine'!$AA$9:$AA$55,0)),0)=1,"Ⓟ PROX · ","STRUCT · ")&amp;IFERROR(IF(AND(INDEX('Level Engine'!$AX$9:$AX$55,MATCH($AL42,'Level Engine'!$AA$9:$AA$55,0))=1,'Level Engine'!$D$5="DOWN"),"VOMMA CAP","stable"),"stable")&amp;IFERROR(IF(INDEX('Level Engine'!$CG$9:$CG$55,MATCH($AL42,'Level Engine'!$AA$9:$AA$55,0))="","", " · "&amp;INDEX('Level Engine'!$CG$9:$CG$55,MATCH($AL42,'Level Engine'!$AA$9:$AA$55,0))),""))</f>
        <v>STRUCT · stable · ACCEL fading · Neg gamma ↓ (firmer resistance)</v>
      </c>
      <c r="Y42" s="308" t="str">
        <f>IF(IFERROR(INDEX('Level Engine'!$EN$9:$EN$55,MATCH($AL42,'Level Engine'!$AA$9:$AA$55,0)),0)=1,"Ⓟ PROX"&amp;IF(AND(OR('King Node Model'!$A$8="Neg",N('Level Engine'!$BG$72)=1),IFERROR(INDEX('Level Engine'!$AN$9:$AN$55,MATCH($AL42,'Level Engine'!$AA$9:$AA$55,0)),0)&lt;&gt;1)," · NO-REV","")&amp;" · ","")&amp;IF(ISNUMBER($U42),IF(OR($AX42=1,AND($AL42='Level Engine'!$BG$28,$S$52&lt;&gt;"")),"⚡ ⊙ PIN"&amp;IF(AND($AL42&lt;&gt;"",$AL42='Master Dashboard'!$AN$37)," ‹nearest›",""),(IF(NOT(ISNUMBER($U42)),"",IF(AND(IFERROR(INDEX('Level Engine'!$AN$9:$AN$55,MATCH($AL42,'Level Engine'!$AA$9:$AA$55,0)),0)=1,$AX42&lt;&gt;1),IF(IF(IFERROR(INDEX('Level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"&amp;IF(ABS($U42)&gt;=ABS(IFERROR(INDEX($C$29:$C$75,MATCH($AL42-5,$A$29:$A$75,0)),0)),"accelerates","slows"),"")="","REVERSAL"&amp;IF(AND($AC$24,($AL42&gt;$B$4)=($B$23&gt;$B$4),ABS($B$23-$B$4)&lt;ABS($AL42-$B$4))," → "&amp;TEXT($B$23,"0"),""),"REVERSAL"&amp;IF(AND($AC$24,($AL42&gt;$B$4)=($B$23&gt;$B$4),ABS($B$23-$B$4)&lt;ABS($AL42-$B$4))," → "&amp;TEXT($B$23,"0"),"")&amp;" · "&amp;IF(IFERROR(INDEX('Level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"&amp;IF(ABS($U42)&gt;=ABS(IFERROR(INDEX($C$29:$C$75,MATCH($AL42-5,$A$29:$A$75,0)),0)),"accelerates","slows"),"")))&amp;IF(AND(ISNUMBER($U42),AND(IFERROR(INDEX('Level Engine'!$AN$9:$AN$55,MATCH($AL42,'Level Engine'!$AA$9:$AA$55,0)),0)=1,$AX42&lt;&gt;1)),"","")&amp;IF($AX42=1,CHAR(10)&amp;"⊙ PIN","")&amp;IF(AND($AL42&lt;&gt;"",$AL42='Master Dashboard'!$AN$36)," ‹nearest›",""))),(IF(NOT(ISNUMBER($U42)),"",IF(AND(IFERROR(INDEX('Level Engine'!$AN$9:$AN$55,MATCH($AL42,'Level Engine'!$AA$9:$AA$55,0)),0)=1,$AX42&lt;&gt;1),IF(IF(IFERROR(INDEX('Level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"&amp;IF(ABS($U42)&gt;=ABS(IFERROR(INDEX($C$29:$C$75,MATCH($AL42-5,$A$29:$A$75,0)),0)),"accelerates","slows"),"")="","REVERSAL"&amp;IF(AND($AC$24,($AL42&gt;$B$4)=($B$23&gt;$B$4),ABS($B$23-$B$4)&lt;ABS($AL42-$B$4))," → "&amp;TEXT($B$23,"0"),""),"REVERSAL"&amp;IF(AND($AC$24,($AL42&gt;$B$4)=($B$23&gt;$B$4),ABS($B$23-$B$4)&lt;ABS($AL42-$B$4))," → "&amp;TEXT($B$23,"0"),"")&amp;" · "&amp;IF(IFERROR(INDEX('Level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"&amp;IF(ABS($U42)&gt;=ABS(IFERROR(INDEX($C$29:$C$75,MATCH($AL42-5,$A$29:$A$75,0)),0)),"accelerates","slows"),"")))&amp;IF(AND(ISNUMBER($U42),AND(IFERROR(INDEX('Level Engine'!$AN$9:$AN$55,MATCH($AL42,'Level Engine'!$AA$9:$AA$55,0)),0)=1,$AX42&lt;&gt;1)),"","")&amp;IF($AX42=1,CHAR(10)&amp;"⊙ PIN","")&amp;IF(AND($AL42&lt;&gt;"",$AL42='Master Dashboard'!$AN$36)," ‹nearest›","")))&amp;IF(IFERROR(INDEX('Level Engine'!$GV$9:$GV$55,MATCH($AL42,'Level Engine'!$AA$9:$AA$55,0)),0)=1,CHAR(10)&amp;"Ⓥ vol-rejection","")</f>
        <v>REVERSAL · Cluster · accelerates ‹nearest›</v>
      </c>
      <c r="Z42" s="276">
        <f t="shared" si="16"/>
        <v>2387169</v>
      </c>
      <c r="AA42" s="100"/>
      <c r="AB42" s="181">
        <f t="shared" si="4"/>
        <v>387420489</v>
      </c>
      <c r="AC42" s="297">
        <f t="shared" si="5"/>
        <v>12</v>
      </c>
      <c r="AD42" s="297">
        <f t="shared" si="6"/>
        <v>0</v>
      </c>
      <c r="AE42" s="181" t="str">
        <f>IFERROR(LOOKUP(2,1/((ISNUMBER('Level Engine'!$AT$9:$AT$55))*($A42&gt;='Level Engine'!$AT$9:$AT$55)*($A42&lt;='Level Engine'!$AU$9:$AU$41)),'Level Engine'!$BB$9:$BB$55),"")</f>
        <v>R6</v>
      </c>
      <c r="AF42" s="218">
        <f t="shared" si="7"/>
        <v>387420489</v>
      </c>
      <c r="AG42" s="10">
        <f t="shared" si="8"/>
        <v>188525</v>
      </c>
      <c r="AH42" s="10">
        <f t="shared" si="9"/>
        <v>0</v>
      </c>
      <c r="AI42" s="218">
        <f t="shared" si="17"/>
        <v>-2771290</v>
      </c>
      <c r="AJ42" s="218">
        <f>IF($S42="","",IFERROR(INDEX('Level Engine'!$DI$9:$DI$55,MATCH($AL42,'Level Engine'!$AA$9:$AA$55,0)),""))</f>
        <v>1</v>
      </c>
      <c r="AK42" s="218">
        <f>IF($S42="","",IFERROR(INDEX('Level Engine'!$DJ$9:$DJ$55,MATCH($AL42,'Level Engine'!$AA$9:$AA$55,0)),""))</f>
        <v>1</v>
      </c>
      <c r="AL42" s="3">
        <f>IF($BT$42&lt;&gt;"",$BT$42,$BU$42)</f>
        <v>7780</v>
      </c>
      <c r="AM42" s="218">
        <f>IFERROR(INDEX('Level Engine'!$AN$9:$AN$55,MATCH(A42,'Level Engine'!$AA$9:$AA$55,0)),0)</f>
        <v>1</v>
      </c>
      <c r="AQ42" s="286">
        <f t="shared" si="10"/>
        <v>9</v>
      </c>
      <c r="AR42" s="286" t="str">
        <f t="shared" si="11"/>
        <v/>
      </c>
      <c r="AS42" s="10">
        <f t="shared" si="12"/>
        <v>494366</v>
      </c>
      <c r="AT42" t="str">
        <f t="shared" si="13"/>
        <v/>
      </c>
      <c r="AU42" s="10">
        <f t="shared" si="14"/>
        <v>1755</v>
      </c>
      <c r="AV42" s="10" t="str">
        <f t="shared" si="15"/>
        <v/>
      </c>
      <c r="AW42" s="1">
        <f t="shared" ref="AW42:AW47" si="18">IF($AU42="","",IF(COUNTIF($AU$42:$AU$47,$AU42)&gt;1,SUMPRODUCT(($AU$42:$AU$47=$AU42)*($AV$42:$AV$47&lt;$AV42))/(COUNTIF($AU$42:$AU$47,$AU42)-1)*0.45,0))</f>
        <v>0</v>
      </c>
      <c r="AX42" t="str">
        <f>IF(AND($AL42=$B$23,$AC$24),1,"")</f>
        <v/>
      </c>
      <c r="AZ42" s="218">
        <f>IF(OR(ISNUMBER(SEARCH("Choppy",$S$38)),$S$52&lt;&gt;"",ISNUMBER($AO$70)),IF(AND(IF($AO$70&lt;&gt;"",$AO$70,$T$25)&lt;&gt;"-",ISNUMBER(IF($AO$70&lt;&gt;"",$AO$70,$T$25)),IF($AO$70&lt;&gt;"",$AO$70,$T$25)&gt;$B$4),IF($AO$70&lt;&gt;"",$AO$70,$T$25),IF(AND(ISNUMBER('Level Engine'!$W$9),IFERROR(INDEX('Level Engine'!$CU$9:$CU$55,MATCH('Level Engine'!$W$9,'Level Engine'!$AA$9:$AA$55,0)),0)=1),'Level Engine'!$W$9,IF(AND(ISNUMBER('Level Engine'!$W$10),IFERROR(INDEX('Level Engine'!$CU$9:$CU$55,MATCH('Level Engine'!$W$10,'Level Engine'!$AA$9:$AA$55,0)),0)=1),'Level Engine'!$W$10,IF(AND(ISNUMBER('Level Engine'!$W$11),IFERROR(INDEX('Level Engine'!$CU$9:$CU$55,MATCH('Level Engine'!$W$11,'Level Engine'!$AA$9:$AA$55,0)),0)=1),'Level Engine'!$W$11,IF(AND(ISNUMBER('Level Engine'!$W$12),IFERROR(INDEX('Level Engine'!$CU$9:$CU$55,MATCH('Level Engine'!$W$12,'Level Engine'!$AA$9:$AA$55,0)),0)=1),'Level Engine'!$W$12,IF(AND(ISNUMBER('Level Engine'!$W$13),IFERROR(INDEX('Level Engine'!$CU$9:$CU$55,MATCH('Level Engine'!$W$13,'Level Engine'!$AA$9:$AA$55,0)),0)=1),'Level Engine'!$W$13,IF(AND(ISNUMBER('Level Engine'!$W$14),IFERROR(INDEX('Level Engine'!$CU$9:$CU$55,MATCH('Level Engine'!$W$14,'Level Engine'!$AA$9:$AA$55,0)),0)=1),'Level Engine'!$W$14,""))))))),IF(AND(ISNUMBER('Level Engine'!$W$9),IFERROR(INDEX('Level Engine'!$CU$9:$CU$55,MATCH('Level Engine'!$W$9,'Level Engine'!$AA$9:$AA$55,0)),0)=1),'Level Engine'!$W$9,IF(AND(ISNUMBER('Level Engine'!$W$10),IFERROR(INDEX('Level Engine'!$CU$9:$CU$55,MATCH('Level Engine'!$W$10,'Level Engine'!$AA$9:$AA$55,0)),0)=1),'Level Engine'!$W$10,IF(AND(ISNUMBER('Level Engine'!$W$11),IFERROR(INDEX('Level Engine'!$CU$9:$CU$55,MATCH('Level Engine'!$W$11,'Level Engine'!$AA$9:$AA$55,0)),0)=1),'Level Engine'!$W$11,IF(AND(ISNUMBER('Level Engine'!$W$12),IFERROR(INDEX('Level Engine'!$CU$9:$CU$55,MATCH('Level Engine'!$W$12,'Level Engine'!$AA$9:$AA$55,0)),0)=1),'Level Engine'!$W$12,IF(AND(ISNUMBER('Level Engine'!$W$13),IFERROR(INDEX('Level Engine'!$CU$9:$CU$55,MATCH('Level Engine'!$W$13,'Level Engine'!$AA$9:$AA$55,0)),0)=1),'Level Engine'!$W$13,IF(AND(ISNUMBER('Level Engine'!$W$14),IFERROR(INDEX('Level Engine'!$CU$9:$CU$55,MATCH('Level Engine'!$W$14,'Level Engine'!$AA$9:$AA$55,0)),0)=1),'Level Engine'!$W$14,"")))))))</f>
        <v>7810</v>
      </c>
      <c r="BA42">
        <f>IFERROR(IF(SUMPRODUCT((('Level Engine'!$E$9:$E$14="REVERSAL")*((('Level Engine'!$F$9:$F$14="stable")+('Level Engine'!$F$9:$F$14="VOMMA CAP"))&gt;0)))&gt;=1,SUMPRODUCT((('Level Engine'!$E$9:$E$14="REVERSAL")*((('Level Engine'!$F$9:$F$14="stable")+('Level Engine'!$F$9:$F$14="VOMMA CAP"))&gt;0))*(ABS('Level Engine'!$W$9:$W$14-$B$4)=$BN$42)*'Level Engine'!$W$9:$W$14),""),"")</f>
        <v>7780</v>
      </c>
      <c r="BB42" t="str">
        <f>IF($BA42="","",IFERROR(INDEX('Level Engine'!$A$9:$A$14,MATCH($BA42,'Level Engine'!$W$9:$W$14,0)),""))</f>
        <v>7780 ⟂</v>
      </c>
      <c r="BC42">
        <f>IF($BA42="","",IFERROR(INDEX('Level Engine'!$B$9:$B$14,MATCH($BA42,'Level Engine'!$W$9:$W$14,0)),""))</f>
        <v>-2299593</v>
      </c>
      <c r="BD42" t="str">
        <f>IF($BA42="","",IFERROR(INDEX('Level Engine'!$C$9:$C$14,MATCH($BA42,'Level Engine'!$W$9:$W$14,0)),""))</f>
        <v>Dex Zom Dex↓ Zsh P-OI</v>
      </c>
      <c r="BE42">
        <f>IF($BA42="","",IFERROR(INDEX('Level Engine'!$D$9:$D$14,MATCH($BA42,'Level Engine'!$W$9:$W$14,0)),""))</f>
        <v>5</v>
      </c>
      <c r="BF42" t="str">
        <f>IF($BA42="","",IFERROR(INDEX('Level Engine'!$E$9:$E$14,MATCH($BA42,'Level Engine'!$W$9:$W$14,0)),""))</f>
        <v>REVERSAL</v>
      </c>
      <c r="BH42" t="str">
        <f>IF($BA42="","",IFERROR(INDEX('Level Engine'!$F$9:$F$14,MATCH($BA42,'Level Engine'!$W$9:$W$14,0)),""))</f>
        <v>stable</v>
      </c>
      <c r="BN42">
        <f t="array" ref="BN42">MIN(IF((('Level Engine'!$E$9:$E$14="REVERSAL")*((('Level Engine'!$F$9:$F$14="stable")+('Level Engine'!$F$9:$F$14="VOMMA CAP"))&gt;0))=1,ABS('Level Engine'!$W$9:$W$14-$B$4)))</f>
        <v>4.6099999999996726</v>
      </c>
      <c r="BO42" t="str">
        <f>IF(AND($BA42=$B$23,$AC$24),1,"")</f>
        <v/>
      </c>
      <c r="BP42" t="str">
        <f>IF(IFERROR(INDEX('Level Engine'!$EN$9:$EN$55,MATCH($BA42,'Level Engine'!$AA$9:$AA$55,0)),0)=1,"Ⓟ PROX"&amp;IF(AND(OR('King Node Model'!$A$8="Neg",N('Level Engine'!$BG$72)=1),IFERROR(INDEX('Level Engine'!$AN$9:$AN$55,MATCH($BA42,'Level Engine'!$AA$9:$AA$55,0)),0)&lt;&gt;1)," · NO-REV","")&amp;" · ","")&amp;IF(ISNUMBER($BC42),IF(OR($BO42=1,AND($BA42='Level Engine'!$BG$28,$S$52&lt;&gt;"")),"⚡ ⊙ PIN"&amp;IF(AND($BA42&lt;&gt;"",$BA42='Master Dashboard'!$AN$37)," ‹nearest›",""),(IF(NOT(ISNUMBER($BC42)),"",IF(AND(IFERROR(INDEX('Level Engine'!$AN$9:$AN$55,MATCH($BA42,'Level Engine'!$AA$9:$AA$55,0)),0)=1,$BO42&lt;&gt;1),IF(IF(IFERROR(INDEX('Level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"&amp;IF(ABS($BC42)&gt;=ABS(IFERROR(INDEX($C$29:$C$75,MATCH($BA42-5,$A$29:$A$75,0)),0)),"accelerates","slows"),"")="","REVERSAL"&amp;IF(AND($AC$24,($BA42&gt;$B$4)=($B$23&gt;$B$4),ABS($B$23-$B$4)&lt;ABS($BA42-$B$4))," → "&amp;TEXT($B$23,"0"),""),"REVERSAL"&amp;IF(AND($AC$24,($BA42&gt;$B$4)=($B$23&gt;$B$4),ABS($B$23-$B$4)&lt;ABS($BA42-$B$4))," → "&amp;TEXT($B$23,"0"),"")&amp;" · "&amp;IF(IFERROR(INDEX('Level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"&amp;IF(ABS($BC42)&gt;=ABS(IFERROR(INDEX($C$29:$C$75,MATCH($BA42-5,$A$29:$A$75,0)),0)),"accelerates","slows"),"")))&amp;IF(AND(ISNUMBER($BC42),AND(IFERROR(INDEX('Level Engine'!$AN$9:$AN$55,MATCH($BA42,'Level Engine'!$AA$9:$AA$55,0)),0)=1,$BO42&lt;&gt;1)),"","")&amp;IF($BO42=1,CHAR(10)&amp;"⊙ PIN","")&amp;IF(AND($BA42&lt;&gt;"",$BA42='Master Dashboard'!$AN$36)," ‹nearest›",""))),(IF(NOT(ISNUMBER($BC42)),"",IF(AND(IFERROR(INDEX('Level Engine'!$AN$9:$AN$55,MATCH($BA42,'Level Engine'!$AA$9:$AA$55,0)),0)=1,$BO42&lt;&gt;1),IF(IF(IFERROR(INDEX('Level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"&amp;IF(ABS($BC42)&gt;=ABS(IFERROR(INDEX($C$29:$C$75,MATCH($BA42-5,$A$29:$A$75,0)),0)),"accelerates","slows"),"")="","REVERSAL"&amp;IF(AND($AC$24,($BA42&gt;$B$4)=($B$23&gt;$B$4),ABS($B$23-$B$4)&lt;ABS($BA42-$B$4))," → "&amp;TEXT($B$23,"0"),""),"REVERSAL"&amp;IF(AND($AC$24,($BA42&gt;$B$4)=($B$23&gt;$B$4),ABS($B$23-$B$4)&lt;ABS($BA42-$B$4))," → "&amp;TEXT($B$23,"0"),"")&amp;" · "&amp;IF(IFERROR(INDEX('Level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"&amp;IF(ABS($BC42)&gt;=ABS(IFERROR(INDEX($C$29:$C$75,MATCH($BA42-5,$A$29:$A$75,0)),0)),"accelerates","slows"),"")))&amp;IF(AND(ISNUMBER($BC42),AND(IFERROR(INDEX('Level Engine'!$AN$9:$AN$55,MATCH($BA42,'Level Engine'!$AA$9:$AA$55,0)),0)=1,$BO42&lt;&gt;1)),"","")&amp;IF($BO42=1,CHAR(10)&amp;"⊙ PIN","")&amp;IF(AND($BA42&lt;&gt;"",$BA42='Master Dashboard'!$AN$36)," ‹nearest›","")))&amp;IF(IFERROR(INDEX('Level Engine'!$GV$9:$GV$55,MATCH($BA42,'Level Engine'!$AA$9:$AA$55,0)),0)=1,CHAR(10)&amp;"Ⓥ vol-rejection","")</f>
        <v>REVERSAL · Cluster · accelerates ‹nearest›</v>
      </c>
      <c r="BQ42" t="str">
        <f>IF($BA42="","",TRIM(SUBSTITUTE(SUBSTITUTE(SUBSTITUTE(SUBSTITUTE(SUBSTITUTE(SUBSTITUTE(SUBSTITUTE(SUBSTITUTE(SUBSTITUTE(SUBSTITUTE(SUBSTITUTE(SUBSTITUTE(" "&amp;(IF(IFERROR(OR(INDEX('Level Engine'!$GK$9:$GK$55,MATCH($BA42,'Level Engine'!$AA$9:$AA$55,0))=1,AND(INDEX('Level Engine'!$GK$9:$GK$55,MATCH($BA42,'Level Engine'!$AA$9:$AA$55,0))="",INDEX('Level Engine'!$AH$9:$AH$55,MATCH($BA42,'Level Engine'!$AA$9:$AA$55,0))&lt;&gt;"",INDEX('Level Engine'!$AH$9:$AH$55,MATCH($BA42,'Level Engine'!$AA$9:$AA$55,0))&lt;='Level Engine'!$GL$2)),FALSE),"Gam ","")&amp;IF(IFERROR(OR(AND(INDEX('Level Engine'!$AG$9:$AG$55,MATCH($BA42,'Level Engine'!$AA$9:$AA$55,0))="R",INDEX('Level Engine'!$JV$9:$JV$55,MATCH($BA42,'Level Engine'!$AA$9:$AA$55,0))="SELL"),AND(INDEX('Level Engine'!$AG$9:$AG$55,MATCH($BA42,'Level Engine'!$AA$9:$AA$55,0))="S",INDEX('Level Engine'!$JV$9:$JV$55,MATCH($BA42,'Level Engine'!$AA$9:$AA$55,0))="BUY")),FALSE),"Vex ","")&amp;IF(IFERROR(AND(INDEX('Level Engine'!$AK$9:$AK$55,MATCH($BA42,'Level Engine'!$AA$9:$AA$55,0))=1,OR(AND(INDEX('Level Engine'!$AG$9:$AG$55,MATCH($BA42,'Level Engine'!$AA$9:$AA$55,0))="R",INDEX('Level Engine'!$AE$9:$AE$55,MATCH($BA42,'Level Engine'!$AA$9:$AA$55,0))&lt;0),AND(INDEX('Level Engine'!$AG$9:$AG$55,MATCH($BA42,'Level Engine'!$AA$9:$AA$55,0))="S",INDEX('Level Engine'!$AE$9:$AE$55,MATCH($BA42,'Level Engine'!$AA$9:$AA$55,0))&gt;0))),FALSE),"Dex ","")&amp;IF(IFERROR(INDEX('Level Engine'!$LA$9:$LA$55,MATCH($BA42,'Level Engine'!$AA$9:$AA$55,0))=1,FALSE),"Zom ","")&amp;IF(IFERROR(INDEX('Level Engine'!$BA$9:$BA$55,MATCH($BA42,'Level Engine'!$AA$9:$AA$55,0))=1,FALSE),"Spd ","")&amp;IFERROR(INDEX('Level Engine'!$LK$9:$LK$55,MATCH($BA42,'Level Engine'!$AA$9:$AA$55,0)),"")&amp;IF(IFERROR(INDEX('Level Engine'!$LR$9:$LR$55,MATCH($BA42,'Level Engine'!$AA$9:$AA$55,0))=1,FALSE),"SAND ","")&amp;IF(IFERROR(INDEX('Level Engine'!$AJ$9:$AJ$55,MATCH($BA42,'Level Engine'!$AA$9:$AA$55,0))=1,FALSE),"Dex↓ ","")&amp;IF(IFERROR(AND(INDEX('Level Engine'!$AV$9:$AV$55,MATCH($BA42,'Level Engine'!$AA$9:$AA$55,0))=1,INDEX('Level Engine'!$KG$9:$KG$55,MATCH($BA42,'Level Engine'!$AA$9:$AA$55,0))&lt;&gt;1),FALSE),"iDex ","")&amp;IF(IFERROR(INDEX('Level Engine'!$KG$9:$KG$55,MATCH($BA42,'Level Engine'!$AA$9:$AA$55,0))=1,FALSE),"gDex ","")&amp;IF(IFERROR(OR(INDEX('Level Engine'!$BD$9:$BD$55,MATCH($BA42,'Level Engine'!$AA$9:$AA$55,0))=1,INDEX('Level Engine'!$GZ$9:$GZ$55,MATCH($BA42,'Level Engine'!$AA$9:$AA$55,0))=1,AND(INDEX('Level Engine'!$GY$9:$GY$55,MATCH($BA42,'Level Engine'!$AA$9:$AA$55,0))=1,'King Node Model'!$A$8="Pos")),FALSE),"γSh ","")&amp;IF(IFERROR(OR(INDEX('Level Engine'!$JX$9:$JX$55,MATCH($BA42,'Level Engine'!$AA$9:$AA$55,0))=1,INDEX('Level Engine'!$JX$9:$JX$55,MATCH($BA42,'Level Engine'!$AA$9:$AA$55,0))=1),FALSE),"Zsh ","")&amp;IF(IFERROR(INDEX('Level Engine'!$BI$9:$BI$55,MATCH($BA42,'Level Engine'!$AA$9:$AA$55,0))=1,FALSE),"Vxi ","")&amp;IF(IFERROR(INDEX('Level Engine'!$BJ$9:$BJ$55,MATCH($BA42,'Level Engine'!$AA$9:$AA$55,0))=1,FALSE),"Spi ","")&amp;IF(IFERROR(INDEX('Level Engine'!$BO$9:$BO$55,MATCH($BA42,'Level Engine'!$AA$9:$AA$55,0))=1,FALSE),"Vgf ","")&amp;IF(IFERROR(INDEX('Level Engine'!$BX$9:$BX$55,MATCH($BA42,'Level Engine'!$AA$9:$AA$55,0))=1,FALSE),"Gxp ","")&amp;IF(IFERROR(INDEX('Level Engine'!$BY$9:$BY$55,MATCH($BA42,'Level Engine'!$AA$9:$AA$55,0))=1,FALSE),"Gfx ","")&amp;IF(IFERROR(INDEX('Level Engine'!$CB$9:$CB$55,MATCH($BA42,'Level Engine'!$AA$9:$AA$55,0))=1,FALSE),"ZG ","")&amp;IF(IFERROR(INDEX('Level Engine'!$CZ$9:$CZ$55,MATCH($BA42,'Level Engine'!$AA$9:$AA$55,0))=1,FALSE),"dEdge ","")&amp;IF(IFERROR(INDEX('Level Engine'!$DS$9:$DS$55,MATCH($BA42,'Level Engine'!$AA$9:$AA$55,0))=1,FALSE),"oEdge ","")&amp;IF(IFERROR(INDEX('Level Engine'!$JD$9:$JD$55,MATCH($BA42,'Level Engine'!$AA$9:$AA$55,0)),"")="P","P-OI ",IF(IFERROR(INDEX('Level Engine'!$JD$9:$JD$55,MATCH($BA42,'Level Engine'!$AA$9:$AA$55,0)),"")="C","C-OI ","")))&amp;" ",IF(IFERROR(INDEX('Level Engine'!$KK$9:$KK$55,MATCH($BA42,'Level Engine'!$AA$9:$AA$55,0)),0)=1," Dex↓ ",CHAR(1))," "),IF(IFERROR(INDEX('Level Engine'!$KK$9:$KK$55,MATCH($BA42,'Level Engine'!$AA$9:$AA$55,0)),0)=1," γSh ",CHAR(1))," "),IF(IFERROR(INDEX('Level Engine'!$KK$9:$KK$55,MATCH($BA42,'Level Engine'!$AA$9:$AA$55,0)),0)=1," Zsh ",CHAR(1))," "),IF(IFERROR(INDEX('Level Engine'!$KK$9:$KK$55,MATCH($BA42,'Level Engine'!$AA$9:$AA$55,0)),0)=1," dEdge ",CHAR(1))," "),IF(IFERROR(INDEX('Level Engine'!$KK$9:$KK$55,MATCH($BA42,'Level Engine'!$AA$9:$AA$55,0)),0)=1," oEdge ",CHAR(1))," "),IF(IFERROR(INDEX('Level Engine'!$KK$9:$KK$55,MATCH($BA42,'Level Engine'!$AA$9:$AA$55,0)),0)=1," iDex ",CHAR(1))," "),IF(IFERROR(INDEX('Level Engine'!$KK$9:$KK$55,MATCH($BA42,'Level Engine'!$AA$9:$AA$55,0)),0)=1," gDex ",CHAR(1))," "),IF(IFERROR(INDEX('Level Engine'!$KK$9:$KK$55,MATCH($BA42,'Level Engine'!$AA$9:$AA$55,0)),0)=1," Vxi ",CHAR(1))," "),IF(IFERROR(INDEX('Level Engine'!$KK$9:$KK$55,MATCH($BA42,'Level Engine'!$AA$9:$AA$55,0)),0)=1," Spi ",CHAR(1))," "),IF(IFERROR(INDEX('Level Engine'!$KJ$9:$KJ$55,MATCH($BA42,'Level Engine'!$AA$9:$AA$55,0)),0)=1," Gxp ",CHAR(1))," "),IF(IFERROR(INDEX('Level Engine'!$KL$9:$KL$55,MATCH($BA42,'Level Engine'!$AA$9:$AA$55,0)),0)=1," P-OI ",CHAR(1))," "),IF(IFERROR(INDEX('Level Engine'!$KL$9:$KL$55,MATCH($BA42,'Level Engine'!$AA$9:$AA$55,0)),0)=1," C-OI ",CHAR(1))," ")))</f>
        <v>Dex Zom Dex↓ Zsh P-OI</v>
      </c>
      <c r="BR42" t="str">
        <f>IF($BA42="","",IF(IFERROR(INDEX('Level Engine'!$EN$9:$EN$55,MATCH($BA42,'Level Engine'!$AA$9:$AA$55,0)),0)=1,"Ⓟ PROX · ","STRUCT · ")&amp;IFERROR(IF(AND(INDEX('Level Engine'!$AX$9:$AX$55,MATCH($BA42,'Level Engine'!$AA$9:$AA$55,0))=1,'Level Engine'!$D$5="DOWN"),"VOMMA CAP","stable"),"stable")&amp;IFERROR(IF(INDEX('Level Engine'!$CG$9:$CG$55,MATCH($BA42,'Level Engine'!$AA$9:$AA$55,0))="","", " · "&amp;INDEX('Level Engine'!$CG$9:$CG$55,MATCH($BA42,'Level Engine'!$AA$9:$AA$55,0))),""))</f>
        <v>STRUCT · stable · ACCEL fading · Neg gamma ↓ (firmer resistance)</v>
      </c>
      <c r="BS42">
        <f>IFERROR(INDEX('Level Engine'!$AA$9:$AA$55,MATCH(1,'Level Engine'!$BT$9:$BT$55,0)),"")</f>
        <v>7780</v>
      </c>
      <c r="BT42" t="str">
        <f>IF(ISNUMBER($AB$18),$AB$18,"")</f>
        <v/>
      </c>
      <c r="BU42">
        <f>IF($BW$42&lt;&gt;"",$BW$42,IF($BW$43&lt;&gt;"",$BW$43,IF($BW$44&lt;&gt;"",$BW$44,$BW$45)))</f>
        <v>7780</v>
      </c>
      <c r="BV42">
        <f>IF(AND($BW$42&lt;&gt;"",$BW$42&lt;&gt;$BU$42),$BW$42,IF(AND($BW$43&lt;&gt;"",$BW$43&lt;&gt;$BU$42),$BW$43,IF(AND($BW$44&lt;&gt;"",$BW$44&lt;&gt;$BU$42),$BW$44,IF(AND($BW$45&lt;&gt;"",$BW$45&lt;&gt;$BU$42),$BW$45,""))))</f>
        <v>7805</v>
      </c>
      <c r="BW42">
        <f>$BS$42</f>
        <v>7780</v>
      </c>
    </row>
    <row r="43" spans="1:75" ht="15" customHeight="1" x14ac:dyDescent="0.25">
      <c r="A43" s="287">
        <v>7815</v>
      </c>
      <c r="B43" s="288">
        <v>358734</v>
      </c>
      <c r="C43" s="289">
        <v>248997</v>
      </c>
      <c r="D43" s="319">
        <v>3020577</v>
      </c>
      <c r="E43" s="289">
        <v>-113209</v>
      </c>
      <c r="F43" s="289">
        <v>817340</v>
      </c>
      <c r="G43" s="289">
        <v>386</v>
      </c>
      <c r="H43" s="289">
        <v>20</v>
      </c>
      <c r="I43" s="289">
        <v>4587</v>
      </c>
      <c r="J43" s="290" t="str">
        <f t="shared" si="2"/>
        <v/>
      </c>
      <c r="K43" s="291">
        <v>1163</v>
      </c>
      <c r="L43" s="292">
        <v>210</v>
      </c>
      <c r="M43" s="292"/>
      <c r="N43" s="312"/>
      <c r="O43" s="313"/>
      <c r="P43" s="294" t="str">
        <f t="shared" si="3"/>
        <v/>
      </c>
      <c r="Q43" s="295" t="str">
        <f>IF(A43="","",IF(AND(A43=MROUND($B$4,5),ISNUMBER(SEARCH("LONG trigger",'GEX Depth'!$C$54))),"Long Trigger",IF(AND(A43=MROUND($B$4,5),ISNUMBER(SEARCH("SHORT trigger",'GEX Depth'!$C$54))),"Short Trigger",IF(OR(COUNTIF($AL$42:$AL$45,A43)&gt;0,OR(AND($AM43=1,A43&gt;$B$4),AND($AM44=1,A44&gt;$B$4)),AND(ISNUMBER('Level Engine'!$CT$3),A43&gt;=MIN('Level Engine'!$CT$3,'Level Engine'!$CT$4),A43&lt;=MAX('Level Engine'!$CT$3,'Level Engine'!$CT$4))),"R",IF(OR(COUNTIF($AL$49:$AL$52,A43)&gt;0,OR(AND($AM43=1,A43&lt;$B$4),AND($AM42=1,A42&lt;$B$4)),AND(ISNUMBER('Level Engine'!$CW$3),A43&gt;=MIN('Level Engine'!$CW$3,'Level Engine'!$CW$4),A43&lt;=MAX('Level Engine'!$CW$3,'Level Engine'!$CW$4))),"S","")))))</f>
        <v>R</v>
      </c>
      <c r="R43" s="1" t="str">
        <f>IF(A43="","",IF(AND(COUNT($S$69:$S$72)&gt;0,A43=MAX($S$69:$S$72)),"◀ sell-stop floor",IF(AND('Level Engine'!$CW$2=1,ISNUMBER('Level Engine'!$FI$3),ISNUMBER('Level Engine'!$FI$4),A43&gt;=MIN('Level Engine'!$FI$3,'Level Engine'!$FI$4),A43&lt;=MAX('Level Engine'!$FI$3,'Level Engine'!$FI$4)),"◀ support "&amp;'Level Engine'!$CW$9,IF(AND('Level Engine'!$CT$2=1,ISNUMBER('Level Engine'!$FH$3),ISNUMBER('Level Engine'!$FH$4),A43&gt;=MIN('Level Engine'!$FH$3,'Level Engine'!$FH$4),A43&lt;=MAX('Level Engine'!$FH$3,'Level Engine'!$FH$4)),"◀ resistance "&amp;'Level Engine'!$CT$9,""))))</f>
        <v/>
      </c>
      <c r="S43" s="307" t="str">
        <f>SUBSTITUTE(IF(((IFERROR(IF($AL43="","",TEXT($AL43,"0")&amp;IF(AND(INDEX('Level Engine'!$AN$9:$AN$55,MATCH($AL43,'Level Engine'!$AA$9:$AA$55,0))=1,INDEX('Level Engine'!$AT$9:$AT$55,MATCH($AL43,'Level Engine'!$AA$9:$AA$55,0))&lt;&gt;INDEX('Level Engine'!$AU$9:$AU$55,MATCH($AL43,'Level Engine'!$AA$9:$AA$55,0)),$AL43&lt;&gt;$AO$70,IFERROR(INDEX('Level Engine'!$IB$9:$IB$55,MATCH($AL43,'Level Engine'!$AA$9:$AA$55,0)),0)&lt;&gt;1),IF(OR($A$8="Neg",N('Level Engine'!$BG$72)=1),""," (box "&amp;TEXT(INDEX('Level Engine'!$AT$9:$AT$55,MATCH($AL43,'Level Engine'!$AA$9:$AA$55,0)),"0")&amp;"-"&amp;TEXT(INDEX('Level Engine'!$AU$9:$AU$55,MATCH($AL43,'Level Engine'!$AA$9:$AA$55,0)),"0")&amp;")"),"")&amp;IF(AND('Level Engine'!$CT$2=1,ISNUMBER($AL43),$AL43&gt;='Level Engine'!$FH$3,$AL43&lt;='Level Engine'!$FH$4)," ("&amp;'Level Engine'!$CT$9&amp;" "&amp;TEXT('Level Engine'!$FH$3,"0")&amp;"-"&amp;TEXT('Level Engine'!$FH$4,"0")&amp;")","")&amp;IF(IFERROR(INDEX('Level Engine'!$EY$9:$EY$55,MATCH($AL43,'Level Engine'!$AA$9:$AA$55,0)),0)=1," (peak "&amp;TEXT($AL43,"0")&amp;")","")),""))&amp;IF(OR($AL43='Level Engine'!$CP$4,$AL43='Level Engine'!$CP$5,$AL43='Level Engine'!$CP$6,$AL43='Level Engine'!$CP$7)," ☄","")&amp;IF($AL43='Level Engine'!$CP$1," ◆","")&amp;IF(OR($AL43='Level Engine'!$CP$2,$AL43='Level Engine'!$CP$3)," ★","")&amp;IF(AND('Level Engine'!$EL$7=1,$AL43=$D$26)," Ⓕ","")&amp;IF($AL43=$F$24," ⟂","")&amp;IF(IFERROR(INDEX('Level Engine'!$GV$9:$GV$55,MATCH($AL43,'Level Engine'!$AA$9:$AA$55,0)),0)=1," Ⓥ"&amp;IF(IFERROR(INDEX('Level Engine'!$ET$9:$ET$55,MATCH($AL43,'Level Engine'!$AA$9:$AA$55,0)),0)=1,"+",""),""))="","",((IFERROR(IF($AL43="","",TEXT($AL43,"0")&amp;IF(AND(INDEX('Level Engine'!$AN$9:$AN$55,MATCH($AL43,'Level Engine'!$AA$9:$AA$55,0))=1,INDEX('Level Engine'!$AT$9:$AT$55,MATCH($AL43,'Level Engine'!$AA$9:$AA$55,0))&lt;&gt;INDEX('Level Engine'!$AU$9:$AU$55,MATCH($AL43,'Level Engine'!$AA$9:$AA$55,0)),$AL43&lt;&gt;$AO$70,IFERROR(INDEX('Level Engine'!$IB$9:$IB$55,MATCH($AL43,'Level Engine'!$AA$9:$AA$55,0)),0)&lt;&gt;1),IF(OR($A$8="Neg",N('Level Engine'!$BG$72)=1),""," (box "&amp;TEXT(INDEX('Level Engine'!$AT$9:$AT$55,MATCH($AL43,'Level Engine'!$AA$9:$AA$55,0)),"0")&amp;"-"&amp;TEXT(INDEX('Level Engine'!$AU$9:$AU$55,MATCH($AL43,'Level Engine'!$AA$9:$AA$55,0)),"0")&amp;")"),"")&amp;IF(AND('Level Engine'!$CT$2=1,ISNUMBER($AL43),$AL43&gt;='Level Engine'!$FH$3,$AL43&lt;='Level Engine'!$FH$4)," ("&amp;'Level Engine'!$CT$9&amp;" "&amp;TEXT('Level Engine'!$FH$3,"0")&amp;"-"&amp;TEXT('Level Engine'!$FH$4,"0")&amp;")","")&amp;IF(IFERROR(INDEX('Level Engine'!$EY$9:$EY$55,MATCH($AL43,'Level Engine'!$AA$9:$AA$55,0)),0)=1," (peak "&amp;TEXT($AL43,"0")&amp;")","")),""))&amp;IF(OR($AL43='Level Engine'!$CP$4,$AL43='Level Engine'!$CP$5,$AL43='Level Engine'!$CP$6,$AL43='Level Engine'!$CP$7)," ☄","")&amp;IF($AL43='Level Engine'!$CP$1," ◆","")&amp;IF(OR($AL43='Level Engine'!$CP$2,$AL43='Level Engine'!$CP$3)," ★","")&amp;IF(AND('Level Engine'!$EL$7=1,$AL43=$D$26)," Ⓕ","")&amp;IF($AL43=$F$24," ⟂","")&amp;IF(IFERROR(INDEX('Level Engine'!$GV$9:$GV$55,MATCH($AL43,'Level Engine'!$AA$9:$AA$55,0)),0)=1," Ⓥ"&amp;IF(IFERROR(INDEX('Level Engine'!$ET$9:$ET$55,MATCH($AL43,'Level Engine'!$AA$9:$AA$55,0)),0)=1,"+",""),""))),"(shelf ","(ladder ")</f>
        <v>7805</v>
      </c>
      <c r="T43" s="314">
        <f>IF($AL43="","",$AL43-$B$4)</f>
        <v>29.609999999999673</v>
      </c>
      <c r="U43" s="308">
        <f>IF($AL43="","",IFERROR(INDEX($C$29:$C$75,MATCH($AL43,$A$29:$A$75,0)),0))</f>
        <v>308525</v>
      </c>
      <c r="V43" s="308" t="str">
        <f>IF($AL43="","",TRIM(SUBSTITUTE(SUBSTITUTE(SUBSTITUTE(SUBSTITUTE(SUBSTITUTE(SUBSTITUTE(SUBSTITUTE(SUBSTITUTE(SUBSTITUTE(SUBSTITUTE(SUBSTITUTE(SUBSTITUTE(" "&amp;(IF(IFERROR(OR(INDEX('Level Engine'!$GK$9:$GK$55,MATCH($AL43,'Level Engine'!$AA$9:$AA$55,0))=1,AND(INDEX('Level Engine'!$GK$9:$GK$55,MATCH($AL43,'Level Engine'!$AA$9:$AA$55,0))="",INDEX('Level Engine'!$AH$9:$AH$55,MATCH($AL43,'Level Engine'!$AA$9:$AA$55,0))&lt;&gt;"",INDEX('Level Engine'!$AH$9:$AH$55,MATCH($AL43,'Level Engine'!$AA$9:$AA$55,0))&lt;='Level Engine'!$GL$2)),FALSE),"Gam ","")&amp;IF(IFERROR(OR(AND(INDEX('Level Engine'!$AG$9:$AG$55,MATCH($AL43,'Level Engine'!$AA$9:$AA$55,0))="R",INDEX('Level Engine'!$JV$9:$JV$55,MATCH($AL43,'Level Engine'!$AA$9:$AA$55,0))="SELL"),AND(INDEX('Level Engine'!$AG$9:$AG$55,MATCH($AL43,'Level Engine'!$AA$9:$AA$55,0))="S",INDEX('Level Engine'!$JV$9:$JV$55,MATCH($AL43,'Level Engine'!$AA$9:$AA$55,0))="BUY")),FALSE),"Vex ","")&amp;IF(IFERROR(AND(INDEX('Level Engine'!$AK$9:$AK$55,MATCH($AL43,'Level Engine'!$AA$9:$AA$55,0))=1,OR(AND(INDEX('Level Engine'!$AG$9:$AG$55,MATCH($AL43,'Level Engine'!$AA$9:$AA$55,0))="R",INDEX('Level Engine'!$AE$9:$AE$55,MATCH($AL43,'Level Engine'!$AA$9:$AA$55,0))&lt;0),AND(INDEX('Level Engine'!$AG$9:$AG$55,MATCH($AL43,'Level Engine'!$AA$9:$AA$55,0))="S",INDEX('Level Engine'!$AE$9:$AE$55,MATCH($AL43,'Level Engine'!$AA$9:$AA$55,0))&gt;0))),FALSE),"Dex ","")&amp;IF(IFERROR(INDEX('Level Engine'!$LA$9:$LA$55,MATCH($AL43,'Level Engine'!$AA$9:$AA$55,0))=1,FALSE),"Zom ","")&amp;IF(IFERROR(INDEX('Level Engine'!$BA$9:$BA$55,MATCH($AL43,'Level Engine'!$AA$9:$AA$55,0))=1,FALSE),"Spd ","")&amp;IFERROR(INDEX('Level Engine'!$LK$9:$LK$55,MATCH($AL43,'Level Engine'!$AA$9:$AA$55,0)),"")&amp;IF(IFERROR(INDEX('Level Engine'!$LR$9:$LR$55,MATCH($AL43,'Level Engine'!$AA$9:$AA$55,0))=1,FALSE),"SAND ","")&amp;IF(IFERROR(INDEX('Level Engine'!$AJ$9:$AJ$55,MATCH($AL43,'Level Engine'!$AA$9:$AA$55,0))=1,FALSE),"Dex↓ ","")&amp;IF(IFERROR(AND(INDEX('Level Engine'!$AV$9:$AV$55,MATCH($AL43,'Level Engine'!$AA$9:$AA$55,0))=1,INDEX('Level Engine'!$KG$9:$KG$55,MATCH($AL43,'Level Engine'!$AA$9:$AA$55,0))&lt;&gt;1),FALSE),"iDex ","")&amp;IF(IFERROR(INDEX('Level Engine'!$KG$9:$KG$55,MATCH($AL43,'Level Engine'!$AA$9:$AA$55,0))=1,FALSE),"gDex ","")&amp;IF(IFERROR(OR(INDEX('Level Engine'!$BD$9:$BD$55,MATCH($AL43,'Level Engine'!$AA$9:$AA$55,0))=1,INDEX('Level Engine'!$GZ$9:$GZ$55,MATCH($AL43,'Level Engine'!$AA$9:$AA$55,0))=1,AND(INDEX('Level Engine'!$GY$9:$GY$55,MATCH($AL43,'Level Engine'!$AA$9:$AA$55,0))=1,'King Node Model'!$A$8="Pos")),FALSE),"γSh ","")&amp;IF(IFERROR(OR(INDEX('Level Engine'!$JX$9:$JX$55,MATCH($AL43,'Level Engine'!$AA$9:$AA$55,0))=1,INDEX('Level Engine'!$JX$9:$JX$55,MATCH($AL43,'Level Engine'!$AA$9:$AA$55,0))=1),FALSE),"Zsh ","")&amp;IF(IFERROR(INDEX('Level Engine'!$BI$9:$BI$55,MATCH($AL43,'Level Engine'!$AA$9:$AA$55,0))=1,FALSE),"Vxi ","")&amp;IF(IFERROR(INDEX('Level Engine'!$BJ$9:$BJ$55,MATCH($AL43,'Level Engine'!$AA$9:$AA$55,0))=1,FALSE),"Spi ","")&amp;IF(IFERROR(INDEX('Level Engine'!$BO$9:$BO$55,MATCH($AL43,'Level Engine'!$AA$9:$AA$55,0))=1,FALSE),"Vgf ","")&amp;IF(IFERROR(INDEX('Level Engine'!$BX$9:$BX$55,MATCH($AL43,'Level Engine'!$AA$9:$AA$55,0))=1,FALSE),"Gxp ","")&amp;IF(IFERROR(INDEX('Level Engine'!$BY$9:$BY$55,MATCH($AL43,'Level Engine'!$AA$9:$AA$55,0))=1,FALSE),"Gfx ","")&amp;IF(IFERROR(INDEX('Level Engine'!$CB$9:$CB$55,MATCH($AL43,'Level Engine'!$AA$9:$AA$55,0))=1,FALSE),"ZG ","")&amp;IF(IFERROR(INDEX('Level Engine'!$CZ$9:$CZ$55,MATCH($AL43,'Level Engine'!$AA$9:$AA$55,0))=1,FALSE),"dEdge ","")&amp;IF(IFERROR(INDEX('Level Engine'!$DS$9:$DS$55,MATCH($AL43,'Level Engine'!$AA$9:$AA$55,0))=1,FALSE),"oEdge ","")&amp;IF(IFERROR(INDEX('Level Engine'!$JD$9:$JD$55,MATCH($AL43,'Level Engine'!$AA$9:$AA$55,0)),"")="P","P-OI ",IF(IFERROR(INDEX('Level Engine'!$JD$9:$JD$55,MATCH($AL43,'Level Engine'!$AA$9:$AA$55,0)),"")="C","C-OI ","")))&amp;" ",IF(IFERROR(INDEX('Level Engine'!$KK$9:$KK$55,MATCH($AL43,'Level Engine'!$AA$9:$AA$55,0)),0)=1," Dex↓ ",CHAR(1))," "),IF(IFERROR(INDEX('Level Engine'!$KK$9:$KK$55,MATCH($AL43,'Level Engine'!$AA$9:$AA$55,0)),0)=1," γSh ",CHAR(1))," "),IF(IFERROR(INDEX('Level Engine'!$KK$9:$KK$55,MATCH($AL43,'Level Engine'!$AA$9:$AA$55,0)),0)=1," Zsh ",CHAR(1))," "),IF(IFERROR(INDEX('Level Engine'!$KK$9:$KK$55,MATCH($AL43,'Level Engine'!$AA$9:$AA$55,0)),0)=1," dEdge ",CHAR(1))," "),IF(IFERROR(INDEX('Level Engine'!$KK$9:$KK$55,MATCH($AL43,'Level Engine'!$AA$9:$AA$55,0)),0)=1," oEdge ",CHAR(1))," "),IF(IFERROR(INDEX('Level Engine'!$KK$9:$KK$55,MATCH($AL43,'Level Engine'!$AA$9:$AA$55,0)),0)=1," iDex ",CHAR(1))," "),IF(IFERROR(INDEX('Level Engine'!$KK$9:$KK$55,MATCH($AL43,'Level Engine'!$AA$9:$AA$55,0)),0)=1," gDex ",CHAR(1))," "),IF(IFERROR(INDEX('Level Engine'!$KK$9:$KK$55,MATCH($AL43,'Level Engine'!$AA$9:$AA$55,0)),0)=1," Vxi ",CHAR(1))," "),IF(IFERROR(INDEX('Level Engine'!$KK$9:$KK$55,MATCH($AL43,'Level Engine'!$AA$9:$AA$55,0)),0)=1," Spi ",CHAR(1))," "),IF(IFERROR(INDEX('Level Engine'!$KJ$9:$KJ$55,MATCH($AL43,'Level Engine'!$AA$9:$AA$55,0)),0)=1," Gxp ",CHAR(1))," "),IF(IFERROR(INDEX('Level Engine'!$KL$9:$KL$55,MATCH($AL43,'Level Engine'!$AA$9:$AA$55,0)),0)=1," P-OI ",CHAR(1))," "),IF(IFERROR(INDEX('Level Engine'!$KL$9:$KL$55,MATCH($AL43,'Level Engine'!$AA$9:$AA$55,0)),0)=1," C-OI ",CHAR(1))," ")))</f>
        <v>Gxp Gfx oEdge</v>
      </c>
      <c r="W43" s="308">
        <f>IF($AL43="","",IFERROR(INDEX('Level Engine'!$AM$9:$AM$55,MATCH($AL43,'Level Engine'!$AA$9:$AA$55,0)),""))</f>
        <v>3</v>
      </c>
      <c r="X43" s="308" t="str">
        <f>IF($AL43="","",IF(IFERROR(INDEX('Level Engine'!$EN$9:$EN$55,MATCH($AL43,'Level Engine'!$AA$9:$AA$55,0)),0)=1,"Ⓟ PROX · ","STRUCT · ")&amp;IFERROR(IF(AND(INDEX('Level Engine'!$AX$9:$AX$55,MATCH($AL43,'Level Engine'!$AA$9:$AA$55,0))=1,'Level Engine'!$D$5="DOWN"),"VOMMA CAP","stable"),"stable")&amp;IFERROR(IF(INDEX('Level Engine'!$CG$9:$CG$55,MATCH($AL43,'Level Engine'!$AA$9:$AA$55,0))="","", " · "&amp;INDEX('Level Engine'!$CG$9:$CG$55,MATCH($AL43,'Level Engine'!$AA$9:$AA$55,0))),""))</f>
        <v>STRUCT · stable</v>
      </c>
      <c r="Y43" s="308" t="str">
        <f>IF(IFERROR(INDEX('Level Engine'!$EN$9:$EN$55,MATCH($AL43,'Level Engine'!$AA$9:$AA$55,0)),0)=1,"Ⓟ PROX"&amp;IF(AND(OR('King Node Model'!$A$8="Neg",N('Level Engine'!$BG$72)=1),IFERROR(INDEX('Level Engine'!$AN$9:$AN$55,MATCH($AL43,'Level Engine'!$AA$9:$AA$55,0)),0)&lt;&gt;1)," · NO-REV","")&amp;" · ","")&amp;IF(ISNUMBER($U43),IF(OR($AX43=1,AND($AL43='Level Engine'!$BG$28,$S$52&lt;&gt;"")),"⚡ ⊙ PIN"&amp;IF(AND($AL43&lt;&gt;"",$AL43='Master Dashboard'!$AN$37)," ‹nearest›",""),(IF(NOT(ISNUMBER($U43)),"",IF(AND(IFERROR(INDEX('Level Engine'!$AN$9:$AN$55,MATCH($AL43,'Level Engine'!$AA$9:$AA$55,0)),0)=1,$AX43&lt;&gt;1),IF(IF(IFERROR(INDEX('Level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"&amp;IF(ABS($U43)&gt;=ABS(IFERROR(INDEX($C$29:$C$75,MATCH($AL43-5,$A$29:$A$75,0)),0)),"accelerates","slows"),"")="","REVERSAL"&amp;IF(AND($AC$24,($AL43&gt;$B$4)=($B$23&gt;$B$4),ABS($B$23-$B$4)&lt;ABS($AL43-$B$4))," → "&amp;TEXT($B$23,"0"),""),"REVERSAL"&amp;IF(AND($AC$24,($AL43&gt;$B$4)=($B$23&gt;$B$4),ABS($B$23-$B$4)&lt;ABS($AL43-$B$4))," → "&amp;TEXT($B$23,"0"),"")&amp;" · "&amp;IF(IFERROR(INDEX('Level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"&amp;IF(ABS($U43)&gt;=ABS(IFERROR(INDEX($C$29:$C$75,MATCH($AL43-5,$A$29:$A$75,0)),0)),"accelerates","slows"),"")))&amp;IF(AND(ISNUMBER($U43),AND(IFERROR(INDEX('Level Engine'!$AN$9:$AN$55,MATCH($AL43,'Level Engine'!$AA$9:$AA$55,0)),0)=1,$AX43&lt;&gt;1)),"","")&amp;IF($AX43=1,CHAR(10)&amp;"⊙ PIN","")&amp;IF(AND($AL43&lt;&gt;"",$AL43='Master Dashboard'!$AN$36)," ‹nearest›",""))),(IF(NOT(ISNUMBER($U43)),"",IF(AND(IFERROR(INDEX('Level Engine'!$AN$9:$AN$55,MATCH($AL43,'Level Engine'!$AA$9:$AA$55,0)),0)=1,$AX43&lt;&gt;1),IF(IF(IFERROR(INDEX('Level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"&amp;IF(ABS($U43)&gt;=ABS(IFERROR(INDEX($C$29:$C$75,MATCH($AL43-5,$A$29:$A$75,0)),0)),"accelerates","slows"),"")="","REVERSAL"&amp;IF(AND($AC$24,($AL43&gt;$B$4)=($B$23&gt;$B$4),ABS($B$23-$B$4)&lt;ABS($AL43-$B$4))," → "&amp;TEXT($B$23,"0"),""),"REVERSAL"&amp;IF(AND($AC$24,($AL43&gt;$B$4)=($B$23&gt;$B$4),ABS($B$23-$B$4)&lt;ABS($AL43-$B$4))," → "&amp;TEXT($B$23,"0"),"")&amp;" · "&amp;IF(IFERROR(INDEX('Level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"&amp;IF(ABS($U43)&gt;=ABS(IFERROR(INDEX($C$29:$C$75,MATCH($AL43-5,$A$29:$A$75,0)),0)),"accelerates","slows"),"")))&amp;IF(AND(ISNUMBER($U43),AND(IFERROR(INDEX('Level Engine'!$AN$9:$AN$55,MATCH($AL43,'Level Engine'!$AA$9:$AA$55,0)),0)=1,$AX43&lt;&gt;1)),"","")&amp;IF($AX43=1,CHAR(10)&amp;"⊙ PIN","")&amp;IF(AND($AL43&lt;&gt;"",$AL43='Master Dashboard'!$AN$36)," ‹nearest›","")))&amp;IF(IFERROR(INDEX('Level Engine'!$GV$9:$GV$55,MATCH($AL43,'Level Engine'!$AA$9:$AA$55,0)),0)=1,CHAR(10)&amp;"Ⓥ vol-rejection","")</f>
        <v>REVERSAL · Cluster</v>
      </c>
      <c r="Z43" s="276">
        <f t="shared" si="16"/>
        <v>2636166</v>
      </c>
      <c r="AA43" s="100"/>
      <c r="AB43" s="181">
        <f t="shared" si="4"/>
        <v>387420489</v>
      </c>
      <c r="AC43" s="297">
        <f t="shared" si="5"/>
        <v>17</v>
      </c>
      <c r="AD43" s="297">
        <f t="shared" si="6"/>
        <v>0</v>
      </c>
      <c r="AE43" s="181" t="str">
        <f>IFERROR(LOOKUP(2,1/((ISNUMBER('Level Engine'!$AT$9:$AT$55))*($A43&gt;='Level Engine'!$AT$9:$AT$55)*($A43&lt;='Level Engine'!$AU$9:$AU$41)),'Level Engine'!$BB$9:$BB$55),"")</f>
        <v>R6</v>
      </c>
      <c r="AF43" s="218">
        <f t="shared" si="7"/>
        <v>387420489</v>
      </c>
      <c r="AG43" s="10">
        <f t="shared" si="8"/>
        <v>248997</v>
      </c>
      <c r="AH43" s="10">
        <f t="shared" si="9"/>
        <v>0</v>
      </c>
      <c r="AI43" s="218">
        <f t="shared" si="17"/>
        <v>-2884499</v>
      </c>
      <c r="AJ43" s="33">
        <f>IF($S43="","",IFERROR(INDEX('Level Engine'!$DI$9:$DI$55,MATCH($AL43,'Level Engine'!$AA$9:$AA$55,0)),""))</f>
        <v>1</v>
      </c>
      <c r="AK43" s="33">
        <f>IF($S43="","",IFERROR(INDEX('Level Engine'!$DJ$9:$DJ$55,MATCH($AL43,'Level Engine'!$AA$9:$AA$55,0)),""))</f>
        <v>1</v>
      </c>
      <c r="AL43" s="32">
        <f>IF(IFERROR(VALUE(IF($BT$42="",$BV$42,IF(IFERROR(VALUE($BU$42),"~a")=IFERROR(VALUE($BT$42),"~b"),$BV$42,$BU$42)))=VALUE($AL$42),FALSE()),$BV$42,IF($BT$42="",$BV$42,IF(IFERROR(VALUE($BU$42),"~a")=IFERROR(VALUE($BT$42),"~b"),$BV$42,$BU$42)))</f>
        <v>7805</v>
      </c>
      <c r="AM43" s="218">
        <f>IFERROR(INDEX('Level Engine'!$AN$9:$AN$55,MATCH(A43,'Level Engine'!$AA$9:$AA$55,0)),0)</f>
        <v>0</v>
      </c>
      <c r="AQ43" s="286">
        <f t="shared" si="10"/>
        <v>8</v>
      </c>
      <c r="AR43" s="286" t="str">
        <f t="shared" si="11"/>
        <v/>
      </c>
      <c r="AS43" s="10">
        <f t="shared" si="12"/>
        <v>358734</v>
      </c>
      <c r="AT43" t="str">
        <f t="shared" si="13"/>
        <v/>
      </c>
      <c r="AU43" s="298">
        <f t="shared" si="14"/>
        <v>1163</v>
      </c>
      <c r="AV43" s="1" t="str">
        <f t="shared" si="15"/>
        <v/>
      </c>
      <c r="AW43" s="1">
        <f t="shared" si="18"/>
        <v>0</v>
      </c>
      <c r="AX43" t="str">
        <f>IF(AND($AL43=$B$23,$AC$24),1,"")</f>
        <v/>
      </c>
      <c r="BA43">
        <f>IFERROR(IF(SUMPRODUCT((('Level Engine'!$E$9:$E$14="REVERSAL")*((('Level Engine'!$F$9:$F$14="stable")+('Level Engine'!$F$9:$F$14="VOMMA CAP"))&gt;0)))&gt;=2,SUMPRODUCT((('Level Engine'!$E$9:$E$14="REVERSAL")*((('Level Engine'!$F$9:$F$14="stable")+('Level Engine'!$F$9:$F$14="VOMMA CAP"))&gt;0))*(ABS('Level Engine'!$W$9:$W$14-$B$4)=$BN$43)*'Level Engine'!$W$9:$W$14),""),"")</f>
        <v>7805</v>
      </c>
      <c r="BB43" t="str">
        <f>IF($BA43="","",IFERROR(INDEX('Level Engine'!$A$9:$A$14,MATCH($BA43,'Level Engine'!$W$9:$W$14,0)),""))</f>
        <v>7805</v>
      </c>
      <c r="BC43">
        <f>IF($BA43="","",IFERROR(INDEX('Level Engine'!$B$9:$B$14,MATCH($BA43,'Level Engine'!$W$9:$W$14,0)),""))</f>
        <v>308525</v>
      </c>
      <c r="BD43" t="str">
        <f>IF($BA43="","",IFERROR(INDEX('Level Engine'!$C$9:$C$14,MATCH($BA43,'Level Engine'!$W$9:$W$14,0)),""))</f>
        <v>Gxp Gfx oEdge</v>
      </c>
      <c r="BE43">
        <f>IF($BA43="","",IFERROR(INDEX('Level Engine'!$D$9:$D$14,MATCH($BA43,'Level Engine'!$W$9:$W$14,0)),""))</f>
        <v>3</v>
      </c>
      <c r="BF43" t="str">
        <f>IF($BA43="","",IFERROR(INDEX('Level Engine'!$E$9:$E$14,MATCH($BA43,'Level Engine'!$W$9:$W$14,0)),""))</f>
        <v>REVERSAL</v>
      </c>
      <c r="BH43" t="str">
        <f>IF($BA43="","",IFERROR(INDEX('Level Engine'!$F$9:$F$14,MATCH($BA43,'Level Engine'!$W$9:$W$14,0)),""))</f>
        <v>stable</v>
      </c>
      <c r="BN43">
        <f t="array" ref="BN43">MIN(IF(((('Level Engine'!$E$9:$E$14="REVERSAL")*((('Level Engine'!$F$9:$F$14="stable")+('Level Engine'!$F$9:$F$14="VOMMA CAP"))&gt;0))=1)*(ABS('Level Engine'!$W$9:$W$14-$B$4)&gt;$BN$42),ABS('Level Engine'!$W$9:$W$14-$B$4)))</f>
        <v>29.609999999999673</v>
      </c>
      <c r="BO43" t="str">
        <f>IF(AND($BA43=$B$23,$AC$24),1,"")</f>
        <v/>
      </c>
      <c r="BP43" t="str">
        <f>IF(IFERROR(INDEX('Level Engine'!$EN$9:$EN$55,MATCH($BA43,'Level Engine'!$AA$9:$AA$55,0)),0)=1,"Ⓟ PROX"&amp;IF(AND(OR('King Node Model'!$A$8="Neg",N('Level Engine'!$BG$72)=1),IFERROR(INDEX('Level Engine'!$AN$9:$AN$55,MATCH($BA43,'Level Engine'!$AA$9:$AA$55,0)),0)&lt;&gt;1)," · NO-REV","")&amp;" · ","")&amp;IF(ISNUMBER($BC43),IF(OR($BO43=1,AND($BA43='Level Engine'!$BG$28,$S$52&lt;&gt;"")),"⚡ ⊙ PIN"&amp;IF(AND($BA43&lt;&gt;"",$BA43='Master Dashboard'!$AN$37)," ‹nearest›",""),(IF(NOT(ISNUMBER($BC43)),"",IF(AND(IFERROR(INDEX('Level Engine'!$AN$9:$AN$55,MATCH($BA43,'Level Engine'!$AA$9:$AA$55,0)),0)=1,$BO43&lt;&gt;1),IF(IF(IFERROR(INDEX('Level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"&amp;IF(ABS($BC43)&gt;=ABS(IFERROR(INDEX($C$29:$C$75,MATCH($BA43-5,$A$29:$A$75,0)),0)),"accelerates","slows"),"")="","REVERSAL"&amp;IF(AND($AC$24,($BA43&gt;$B$4)=($B$23&gt;$B$4),ABS($B$23-$B$4)&lt;ABS($BA43-$B$4))," → "&amp;TEXT($B$23,"0"),""),"REVERSAL"&amp;IF(AND($AC$24,($BA43&gt;$B$4)=($B$23&gt;$B$4),ABS($B$23-$B$4)&lt;ABS($BA43-$B$4))," → "&amp;TEXT($B$23,"0"),"")&amp;" · "&amp;IF(IFERROR(INDEX('Level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"&amp;IF(ABS($BC43)&gt;=ABS(IFERROR(INDEX($C$29:$C$75,MATCH($BA43-5,$A$29:$A$75,0)),0)),"accelerates","slows"),"")))&amp;IF(AND(ISNUMBER($BC43),AND(IFERROR(INDEX('Level Engine'!$AN$9:$AN$55,MATCH($BA43,'Level Engine'!$AA$9:$AA$55,0)),0)=1,$BO43&lt;&gt;1)),"","")&amp;IF($BO43=1,CHAR(10)&amp;"⊙ PIN","")&amp;IF(AND($BA43&lt;&gt;"",$BA43='Master Dashboard'!$AN$36)," ‹nearest›",""))),(IF(NOT(ISNUMBER($BC43)),"",IF(AND(IFERROR(INDEX('Level Engine'!$AN$9:$AN$55,MATCH($BA43,'Level Engine'!$AA$9:$AA$55,0)),0)=1,$BO43&lt;&gt;1),IF(IF(IFERROR(INDEX('Level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"&amp;IF(ABS($BC43)&gt;=ABS(IFERROR(INDEX($C$29:$C$75,MATCH($BA43-5,$A$29:$A$75,0)),0)),"accelerates","slows"),"")="","REVERSAL"&amp;IF(AND($AC$24,($BA43&gt;$B$4)=($B$23&gt;$B$4),ABS($B$23-$B$4)&lt;ABS($BA43-$B$4))," → "&amp;TEXT($B$23,"0"),""),"REVERSAL"&amp;IF(AND($AC$24,($BA43&gt;$B$4)=($B$23&gt;$B$4),ABS($B$23-$B$4)&lt;ABS($BA43-$B$4))," → "&amp;TEXT($B$23,"0"),"")&amp;" · "&amp;IF(IFERROR(INDEX('Level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"&amp;IF(ABS($BC43)&gt;=ABS(IFERROR(INDEX($C$29:$C$75,MATCH($BA43-5,$A$29:$A$75,0)),0)),"accelerates","slows"),"")))&amp;IF(AND(ISNUMBER($BC43),AND(IFERROR(INDEX('Level Engine'!$AN$9:$AN$55,MATCH($BA43,'Level Engine'!$AA$9:$AA$55,0)),0)=1,$BO43&lt;&gt;1)),"","")&amp;IF($BO43=1,CHAR(10)&amp;"⊙ PIN","")&amp;IF(AND($BA43&lt;&gt;"",$BA43='Master Dashboard'!$AN$36)," ‹nearest›","")))&amp;IF(IFERROR(INDEX('Level Engine'!$GV$9:$GV$55,MATCH($BA43,'Level Engine'!$AA$9:$AA$55,0)),0)=1,CHAR(10)&amp;"Ⓥ vol-rejection","")</f>
        <v>REVERSAL · Cluster</v>
      </c>
      <c r="BQ43" t="str">
        <f>IF($BA43="","",TRIM(SUBSTITUTE(SUBSTITUTE(SUBSTITUTE(SUBSTITUTE(SUBSTITUTE(SUBSTITUTE(SUBSTITUTE(SUBSTITUTE(SUBSTITUTE(SUBSTITUTE(SUBSTITUTE(SUBSTITUTE(" "&amp;(IF(IFERROR(OR(INDEX('Level Engine'!$GK$9:$GK$55,MATCH($BA43,'Level Engine'!$AA$9:$AA$55,0))=1,AND(INDEX('Level Engine'!$GK$9:$GK$55,MATCH($BA43,'Level Engine'!$AA$9:$AA$55,0))="",INDEX('Level Engine'!$AH$9:$AH$55,MATCH($BA43,'Level Engine'!$AA$9:$AA$55,0))&lt;&gt;"",INDEX('Level Engine'!$AH$9:$AH$55,MATCH($BA43,'Level Engine'!$AA$9:$AA$55,0))&lt;='Level Engine'!$GL$2)),FALSE),"Gam ","")&amp;IF(IFERROR(OR(AND(INDEX('Level Engine'!$AG$9:$AG$55,MATCH($BA43,'Level Engine'!$AA$9:$AA$55,0))="R",INDEX('Level Engine'!$JV$9:$JV$55,MATCH($BA43,'Level Engine'!$AA$9:$AA$55,0))="SELL"),AND(INDEX('Level Engine'!$AG$9:$AG$55,MATCH($BA43,'Level Engine'!$AA$9:$AA$55,0))="S",INDEX('Level Engine'!$JV$9:$JV$55,MATCH($BA43,'Level Engine'!$AA$9:$AA$55,0))="BUY")),FALSE),"Vex ","")&amp;IF(IFERROR(AND(INDEX('Level Engine'!$AK$9:$AK$55,MATCH($BA43,'Level Engine'!$AA$9:$AA$55,0))=1,OR(AND(INDEX('Level Engine'!$AG$9:$AG$55,MATCH($BA43,'Level Engine'!$AA$9:$AA$55,0))="R",INDEX('Level Engine'!$AE$9:$AE$55,MATCH($BA43,'Level Engine'!$AA$9:$AA$55,0))&lt;0),AND(INDEX('Level Engine'!$AG$9:$AG$55,MATCH($BA43,'Level Engine'!$AA$9:$AA$55,0))="S",INDEX('Level Engine'!$AE$9:$AE$55,MATCH($BA43,'Level Engine'!$AA$9:$AA$55,0))&gt;0))),FALSE),"Dex ","")&amp;IF(IFERROR(INDEX('Level Engine'!$LA$9:$LA$55,MATCH($BA43,'Level Engine'!$AA$9:$AA$55,0))=1,FALSE),"Zom ","")&amp;IF(IFERROR(INDEX('Level Engine'!$BA$9:$BA$55,MATCH($BA43,'Level Engine'!$AA$9:$AA$55,0))=1,FALSE),"Spd ","")&amp;IFERROR(INDEX('Level Engine'!$LK$9:$LK$55,MATCH($BA43,'Level Engine'!$AA$9:$AA$55,0)),"")&amp;IF(IFERROR(INDEX('Level Engine'!$LR$9:$LR$55,MATCH($BA43,'Level Engine'!$AA$9:$AA$55,0))=1,FALSE),"SAND ","")&amp;IF(IFERROR(INDEX('Level Engine'!$AJ$9:$AJ$55,MATCH($BA43,'Level Engine'!$AA$9:$AA$55,0))=1,FALSE),"Dex↓ ","")&amp;IF(IFERROR(AND(INDEX('Level Engine'!$AV$9:$AV$55,MATCH($BA43,'Level Engine'!$AA$9:$AA$55,0))=1,INDEX('Level Engine'!$KG$9:$KG$55,MATCH($BA43,'Level Engine'!$AA$9:$AA$55,0))&lt;&gt;1),FALSE),"iDex ","")&amp;IF(IFERROR(INDEX('Level Engine'!$KG$9:$KG$55,MATCH($BA43,'Level Engine'!$AA$9:$AA$55,0))=1,FALSE),"gDex ","")&amp;IF(IFERROR(OR(INDEX('Level Engine'!$BD$9:$BD$55,MATCH($BA43,'Level Engine'!$AA$9:$AA$55,0))=1,INDEX('Level Engine'!$GZ$9:$GZ$55,MATCH($BA43,'Level Engine'!$AA$9:$AA$55,0))=1,AND(INDEX('Level Engine'!$GY$9:$GY$55,MATCH($BA43,'Level Engine'!$AA$9:$AA$55,0))=1,'King Node Model'!$A$8="Pos")),FALSE),"γSh ","")&amp;IF(IFERROR(OR(INDEX('Level Engine'!$JX$9:$JX$55,MATCH($BA43,'Level Engine'!$AA$9:$AA$55,0))=1,INDEX('Level Engine'!$JX$9:$JX$55,MATCH($BA43,'Level Engine'!$AA$9:$AA$55,0))=1),FALSE),"Zsh ","")&amp;IF(IFERROR(INDEX('Level Engine'!$BI$9:$BI$55,MATCH($BA43,'Level Engine'!$AA$9:$AA$55,0))=1,FALSE),"Vxi ","")&amp;IF(IFERROR(INDEX('Level Engine'!$BJ$9:$BJ$55,MATCH($BA43,'Level Engine'!$AA$9:$AA$55,0))=1,FALSE),"Spi ","")&amp;IF(IFERROR(INDEX('Level Engine'!$BO$9:$BO$55,MATCH($BA43,'Level Engine'!$AA$9:$AA$55,0))=1,FALSE),"Vgf ","")&amp;IF(IFERROR(INDEX('Level Engine'!$BX$9:$BX$55,MATCH($BA43,'Level Engine'!$AA$9:$AA$55,0))=1,FALSE),"Gxp ","")&amp;IF(IFERROR(INDEX('Level Engine'!$BY$9:$BY$55,MATCH($BA43,'Level Engine'!$AA$9:$AA$55,0))=1,FALSE),"Gfx ","")&amp;IF(IFERROR(INDEX('Level Engine'!$CB$9:$CB$55,MATCH($BA43,'Level Engine'!$AA$9:$AA$55,0))=1,FALSE),"ZG ","")&amp;IF(IFERROR(INDEX('Level Engine'!$CZ$9:$CZ$55,MATCH($BA43,'Level Engine'!$AA$9:$AA$55,0))=1,FALSE),"dEdge ","")&amp;IF(IFERROR(INDEX('Level Engine'!$DS$9:$DS$55,MATCH($BA43,'Level Engine'!$AA$9:$AA$55,0))=1,FALSE),"oEdge ","")&amp;IF(IFERROR(INDEX('Level Engine'!$JD$9:$JD$55,MATCH($BA43,'Level Engine'!$AA$9:$AA$55,0)),"")="P","P-OI ",IF(IFERROR(INDEX('Level Engine'!$JD$9:$JD$55,MATCH($BA43,'Level Engine'!$AA$9:$AA$55,0)),"")="C","C-OI ","")))&amp;" ",IF(IFERROR(INDEX('Level Engine'!$KK$9:$KK$55,MATCH($BA43,'Level Engine'!$AA$9:$AA$55,0)),0)=1," Dex↓ ",CHAR(1))," "),IF(IFERROR(INDEX('Level Engine'!$KK$9:$KK$55,MATCH($BA43,'Level Engine'!$AA$9:$AA$55,0)),0)=1," γSh ",CHAR(1))," "),IF(IFERROR(INDEX('Level Engine'!$KK$9:$KK$55,MATCH($BA43,'Level Engine'!$AA$9:$AA$55,0)),0)=1," Zsh ",CHAR(1))," "),IF(IFERROR(INDEX('Level Engine'!$KK$9:$KK$55,MATCH($BA43,'Level Engine'!$AA$9:$AA$55,0)),0)=1," dEdge ",CHAR(1))," "),IF(IFERROR(INDEX('Level Engine'!$KK$9:$KK$55,MATCH($BA43,'Level Engine'!$AA$9:$AA$55,0)),0)=1," oEdge ",CHAR(1))," "),IF(IFERROR(INDEX('Level Engine'!$KK$9:$KK$55,MATCH($BA43,'Level Engine'!$AA$9:$AA$55,0)),0)=1," iDex ",CHAR(1))," "),IF(IFERROR(INDEX('Level Engine'!$KK$9:$KK$55,MATCH($BA43,'Level Engine'!$AA$9:$AA$55,0)),0)=1," gDex ",CHAR(1))," "),IF(IFERROR(INDEX('Level Engine'!$KK$9:$KK$55,MATCH($BA43,'Level Engine'!$AA$9:$AA$55,0)),0)=1," Vxi ",CHAR(1))," "),IF(IFERROR(INDEX('Level Engine'!$KK$9:$KK$55,MATCH($BA43,'Level Engine'!$AA$9:$AA$55,0)),0)=1," Spi ",CHAR(1))," "),IF(IFERROR(INDEX('Level Engine'!$KJ$9:$KJ$55,MATCH($BA43,'Level Engine'!$AA$9:$AA$55,0)),0)=1," Gxp ",CHAR(1))," "),IF(IFERROR(INDEX('Level Engine'!$KL$9:$KL$55,MATCH($BA43,'Level Engine'!$AA$9:$AA$55,0)),0)=1," P-OI ",CHAR(1))," "),IF(IFERROR(INDEX('Level Engine'!$KL$9:$KL$55,MATCH($BA43,'Level Engine'!$AA$9:$AA$55,0)),0)=1," C-OI ",CHAR(1))," ")))</f>
        <v>Gxp Gfx oEdge</v>
      </c>
      <c r="BR43" t="str">
        <f>IF($BA43="","",IF(IFERROR(INDEX('Level Engine'!$EN$9:$EN$55,MATCH($BA43,'Level Engine'!$AA$9:$AA$55,0)),0)=1,"Ⓟ PROX · ","STRUCT · ")&amp;IFERROR(IF(AND(INDEX('Level Engine'!$AX$9:$AX$55,MATCH($BA43,'Level Engine'!$AA$9:$AA$55,0))=1,'Level Engine'!$D$5="DOWN"),"VOMMA CAP","stable"),"stable")&amp;IFERROR(IF(INDEX('Level Engine'!$CG$9:$CG$55,MATCH($BA43,'Level Engine'!$AA$9:$AA$55,0))="","", " · "&amp;INDEX('Level Engine'!$CG$9:$CG$55,MATCH($BA43,'Level Engine'!$AA$9:$AA$55,0))),""))</f>
        <v>STRUCT · stable</v>
      </c>
      <c r="BS43">
        <f>IFERROR(INDEX('Level Engine'!$AA$9:$AA$55,MATCH(2,'Level Engine'!$BT$9:$BT$55,0)),"")</f>
        <v>7805</v>
      </c>
      <c r="BW43">
        <f>$BS$43</f>
        <v>7805</v>
      </c>
    </row>
    <row r="44" spans="1:75" ht="15" customHeight="1" x14ac:dyDescent="0.25">
      <c r="A44" s="287">
        <v>7810</v>
      </c>
      <c r="B44" s="288">
        <v>756012</v>
      </c>
      <c r="C44" s="289">
        <v>353277</v>
      </c>
      <c r="D44" s="319">
        <v>3123983</v>
      </c>
      <c r="E44" s="289">
        <v>-333737</v>
      </c>
      <c r="F44" s="306">
        <v>1043369</v>
      </c>
      <c r="G44" s="289">
        <v>659</v>
      </c>
      <c r="H44" s="289">
        <v>42</v>
      </c>
      <c r="I44" s="289">
        <v>6061</v>
      </c>
      <c r="J44" s="290" t="str">
        <f t="shared" si="2"/>
        <v/>
      </c>
      <c r="K44" s="291">
        <v>1570</v>
      </c>
      <c r="L44" s="292">
        <v>570</v>
      </c>
      <c r="M44" s="292"/>
      <c r="N44" s="312"/>
      <c r="O44" s="313"/>
      <c r="P44" s="294" t="str">
        <f t="shared" si="3"/>
        <v/>
      </c>
      <c r="Q44" s="295" t="str">
        <f>IF(A44="","",IF(AND(A44=MROUND($B$4,5),ISNUMBER(SEARCH("LONG trigger",'GEX Depth'!$C$54))),"Long Trigger",IF(AND(A44=MROUND($B$4,5),ISNUMBER(SEARCH("SHORT trigger",'GEX Depth'!$C$54))),"Short Trigger",IF(OR(COUNTIF($AL$42:$AL$45,A44)&gt;0,OR(AND($AM44=1,A44&gt;$B$4),AND($AM45=1,A45&gt;$B$4)),AND(ISNUMBER('Level Engine'!$CT$3),A44&gt;=MIN('Level Engine'!$CT$3,'Level Engine'!$CT$4),A44&lt;=MAX('Level Engine'!$CT$3,'Level Engine'!$CT$4))),"R",IF(OR(COUNTIF($AL$49:$AL$52,A44)&gt;0,OR(AND($AM44=1,A44&lt;$B$4),AND($AM43=1,A43&lt;$B$4)),AND(ISNUMBER('Level Engine'!$CW$3),A44&gt;=MIN('Level Engine'!$CW$3,'Level Engine'!$CW$4),A44&lt;=MAX('Level Engine'!$CW$3,'Level Engine'!$CW$4))),"S","")))))</f>
        <v>R</v>
      </c>
      <c r="R44" s="1" t="str">
        <f>IF(A44="","",IF(AND(COUNT($S$69:$S$72)&gt;0,A44=MAX($S$69:$S$72)),"◀ sell-stop floor",IF(AND('Level Engine'!$CW$2=1,ISNUMBER('Level Engine'!$FI$3),ISNUMBER('Level Engine'!$FI$4),A44&gt;=MIN('Level Engine'!$FI$3,'Level Engine'!$FI$4),A44&lt;=MAX('Level Engine'!$FI$3,'Level Engine'!$FI$4)),"◀ support "&amp;'Level Engine'!$CW$9,IF(AND('Level Engine'!$CT$2=1,ISNUMBER('Level Engine'!$FH$3),ISNUMBER('Level Engine'!$FH$4),A44&gt;=MIN('Level Engine'!$FH$3,'Level Engine'!$FH$4),A44&lt;=MAX('Level Engine'!$FH$3,'Level Engine'!$FH$4)),"◀ resistance "&amp;'Level Engine'!$CT$9,""))))</f>
        <v/>
      </c>
      <c r="S44" s="307" t="str">
        <f>SUBSTITUTE(IF(((IFERROR(IF($AL44="","",TEXT($AL44,"0")&amp;IF(AND(INDEX('Level Engine'!$AN$9:$AN$55,MATCH($AL44,'Level Engine'!$AA$9:$AA$55,0))=1,INDEX('Level Engine'!$AT$9:$AT$55,MATCH($AL44,'Level Engine'!$AA$9:$AA$55,0))&lt;&gt;INDEX('Level Engine'!$AU$9:$AU$55,MATCH($AL44,'Level Engine'!$AA$9:$AA$55,0)),$AL44&lt;&gt;$AO$70,IFERROR(INDEX('Level Engine'!$IB$9:$IB$55,MATCH($AL44,'Level Engine'!$AA$9:$AA$55,0)),0)&lt;&gt;1),IF(OR($A$8="Neg",N('Level Engine'!$BG$72)=1),""," (box "&amp;TEXT(INDEX('Level Engine'!$AT$9:$AT$55,MATCH($AL44,'Level Engine'!$AA$9:$AA$55,0)),"0")&amp;"-"&amp;TEXT(INDEX('Level Engine'!$AU$9:$AU$55,MATCH($AL44,'Level Engine'!$AA$9:$AA$55,0)),"0")&amp;")"),"")&amp;IF(AND('Level Engine'!$CT$2=1,ISNUMBER($AL44),$AL44&gt;='Level Engine'!$FH$3,$AL44&lt;='Level Engine'!$FH$4)," ("&amp;'Level Engine'!$CT$9&amp;" "&amp;TEXT('Level Engine'!$FH$3,"0")&amp;"-"&amp;TEXT('Level Engine'!$FH$4,"0")&amp;")","")&amp;IF(IFERROR(INDEX('Level Engine'!$EY$9:$EY$55,MATCH($AL44,'Level Engine'!$AA$9:$AA$55,0)),0)=1," (peak "&amp;TEXT($AL44,"0")&amp;")","")),""))&amp;IF(OR($AL44='Level Engine'!$CP$4,$AL44='Level Engine'!$CP$5,$AL44='Level Engine'!$CP$6,$AL44='Level Engine'!$CP$7)," ☄","")&amp;IF($AL44='Level Engine'!$CP$1," ◆","")&amp;IF(OR($AL44='Level Engine'!$CP$2,$AL44='Level Engine'!$CP$3)," ★","")&amp;IF(AND('Level Engine'!$EL$7=1,$AL44=$D$26)," Ⓕ","")&amp;IF($AL44=$F$24," ⟂","")&amp;IF(IFERROR(INDEX('Level Engine'!$GV$9:$GV$55,MATCH($AL44,'Level Engine'!$AA$9:$AA$55,0)),0)=1," Ⓥ"&amp;IF(IFERROR(INDEX('Level Engine'!$ET$9:$ET$55,MATCH($AL44,'Level Engine'!$AA$9:$AA$55,0)),0)=1,"+",""),""))="","",((IFERROR(IF($AL44="","",TEXT($AL44,"0")&amp;IF(AND(INDEX('Level Engine'!$AN$9:$AN$55,MATCH($AL44,'Level Engine'!$AA$9:$AA$55,0))=1,INDEX('Level Engine'!$AT$9:$AT$55,MATCH($AL44,'Level Engine'!$AA$9:$AA$55,0))&lt;&gt;INDEX('Level Engine'!$AU$9:$AU$55,MATCH($AL44,'Level Engine'!$AA$9:$AA$55,0)),$AL44&lt;&gt;$AO$70,IFERROR(INDEX('Level Engine'!$IB$9:$IB$55,MATCH($AL44,'Level Engine'!$AA$9:$AA$55,0)),0)&lt;&gt;1),IF(OR($A$8="Neg",N('Level Engine'!$BG$72)=1),""," (box "&amp;TEXT(INDEX('Level Engine'!$AT$9:$AT$55,MATCH($AL44,'Level Engine'!$AA$9:$AA$55,0)),"0")&amp;"-"&amp;TEXT(INDEX('Level Engine'!$AU$9:$AU$55,MATCH($AL44,'Level Engine'!$AA$9:$AA$55,0)),"0")&amp;")"),"")&amp;IF(AND('Level Engine'!$CT$2=1,ISNUMBER($AL44),$AL44&gt;='Level Engine'!$FH$3,$AL44&lt;='Level Engine'!$FH$4)," ("&amp;'Level Engine'!$CT$9&amp;" "&amp;TEXT('Level Engine'!$FH$3,"0")&amp;"-"&amp;TEXT('Level Engine'!$FH$4,"0")&amp;")","")&amp;IF(IFERROR(INDEX('Level Engine'!$EY$9:$EY$55,MATCH($AL44,'Level Engine'!$AA$9:$AA$55,0)),0)=1," (peak "&amp;TEXT($AL44,"0")&amp;")","")),""))&amp;IF(OR($AL44='Level Engine'!$CP$4,$AL44='Level Engine'!$CP$5,$AL44='Level Engine'!$CP$6,$AL44='Level Engine'!$CP$7)," ☄","")&amp;IF($AL44='Level Engine'!$CP$1," ◆","")&amp;IF(OR($AL44='Level Engine'!$CP$2,$AL44='Level Engine'!$CP$3)," ★","")&amp;IF(AND('Level Engine'!$EL$7=1,$AL44=$D$26)," Ⓕ","")&amp;IF($AL44=$F$24," ⟂","")&amp;IF(IFERROR(INDEX('Level Engine'!$GV$9:$GV$55,MATCH($AL44,'Level Engine'!$AA$9:$AA$55,0)),0)=1," Ⓥ"&amp;IF(IFERROR(INDEX('Level Engine'!$ET$9:$ET$55,MATCH($AL44,'Level Engine'!$AA$9:$AA$55,0)),0)=1,"+",""),""))),"(shelf ","(ladder ")</f>
        <v>7800</v>
      </c>
      <c r="T44" s="307">
        <f>IF($AL44="","",$AL44-$B$4)</f>
        <v>24.609999999999673</v>
      </c>
      <c r="U44" s="308">
        <f>IF($AL44="","",IFERROR(INDEX($C$29:$C$75,MATCH($AL44,$A$29:$A$75,0)),0))</f>
        <v>-80182</v>
      </c>
      <c r="V44" s="308" t="str">
        <f>IF($AL44="","",TRIM(SUBSTITUTE(SUBSTITUTE(SUBSTITUTE(SUBSTITUTE(SUBSTITUTE(SUBSTITUTE(SUBSTITUTE(SUBSTITUTE(SUBSTITUTE(SUBSTITUTE(SUBSTITUTE(SUBSTITUTE(" "&amp;(IF(IFERROR(OR(INDEX('Level Engine'!$GK$9:$GK$55,MATCH($AL44,'Level Engine'!$AA$9:$AA$55,0))=1,AND(INDEX('Level Engine'!$GK$9:$GK$55,MATCH($AL44,'Level Engine'!$AA$9:$AA$55,0))="",INDEX('Level Engine'!$AH$9:$AH$55,MATCH($AL44,'Level Engine'!$AA$9:$AA$55,0))&lt;&gt;"",INDEX('Level Engine'!$AH$9:$AH$55,MATCH($AL44,'Level Engine'!$AA$9:$AA$55,0))&lt;='Level Engine'!$GL$2)),FALSE),"Gam ","")&amp;IF(IFERROR(OR(AND(INDEX('Level Engine'!$AG$9:$AG$55,MATCH($AL44,'Level Engine'!$AA$9:$AA$55,0))="R",INDEX('Level Engine'!$JV$9:$JV$55,MATCH($AL44,'Level Engine'!$AA$9:$AA$55,0))="SELL"),AND(INDEX('Level Engine'!$AG$9:$AG$55,MATCH($AL44,'Level Engine'!$AA$9:$AA$55,0))="S",INDEX('Level Engine'!$JV$9:$JV$55,MATCH($AL44,'Level Engine'!$AA$9:$AA$55,0))="BUY")),FALSE),"Vex ","")&amp;IF(IFERROR(AND(INDEX('Level Engine'!$AK$9:$AK$55,MATCH($AL44,'Level Engine'!$AA$9:$AA$55,0))=1,OR(AND(INDEX('Level Engine'!$AG$9:$AG$55,MATCH($AL44,'Level Engine'!$AA$9:$AA$55,0))="R",INDEX('Level Engine'!$AE$9:$AE$55,MATCH($AL44,'Level Engine'!$AA$9:$AA$55,0))&lt;0),AND(INDEX('Level Engine'!$AG$9:$AG$55,MATCH($AL44,'Level Engine'!$AA$9:$AA$55,0))="S",INDEX('Level Engine'!$AE$9:$AE$55,MATCH($AL44,'Level Engine'!$AA$9:$AA$55,0))&gt;0))),FALSE),"Dex ","")&amp;IF(IFERROR(INDEX('Level Engine'!$LA$9:$LA$55,MATCH($AL44,'Level Engine'!$AA$9:$AA$55,0))=1,FALSE),"Zom ","")&amp;IF(IFERROR(INDEX('Level Engine'!$BA$9:$BA$55,MATCH($AL44,'Level Engine'!$AA$9:$AA$55,0))=1,FALSE),"Spd ","")&amp;IFERROR(INDEX('Level Engine'!$LK$9:$LK$55,MATCH($AL44,'Level Engine'!$AA$9:$AA$55,0)),"")&amp;IF(IFERROR(INDEX('Level Engine'!$LR$9:$LR$55,MATCH($AL44,'Level Engine'!$AA$9:$AA$55,0))=1,FALSE),"SAND ","")&amp;IF(IFERROR(INDEX('Level Engine'!$AJ$9:$AJ$55,MATCH($AL44,'Level Engine'!$AA$9:$AA$55,0))=1,FALSE),"Dex↓ ","")&amp;IF(IFERROR(AND(INDEX('Level Engine'!$AV$9:$AV$55,MATCH($AL44,'Level Engine'!$AA$9:$AA$55,0))=1,INDEX('Level Engine'!$KG$9:$KG$55,MATCH($AL44,'Level Engine'!$AA$9:$AA$55,0))&lt;&gt;1),FALSE),"iDex ","")&amp;IF(IFERROR(INDEX('Level Engine'!$KG$9:$KG$55,MATCH($AL44,'Level Engine'!$AA$9:$AA$55,0))=1,FALSE),"gDex ","")&amp;IF(IFERROR(OR(INDEX('Level Engine'!$BD$9:$BD$55,MATCH($AL44,'Level Engine'!$AA$9:$AA$55,0))=1,INDEX('Level Engine'!$GZ$9:$GZ$55,MATCH($AL44,'Level Engine'!$AA$9:$AA$55,0))=1,AND(INDEX('Level Engine'!$GY$9:$GY$55,MATCH($AL44,'Level Engine'!$AA$9:$AA$55,0))=1,'King Node Model'!$A$8="Pos")),FALSE),"γSh ","")&amp;IF(IFERROR(OR(INDEX('Level Engine'!$JX$9:$JX$55,MATCH($AL44,'Level Engine'!$AA$9:$AA$55,0))=1,INDEX('Level Engine'!$JX$9:$JX$55,MATCH($AL44,'Level Engine'!$AA$9:$AA$55,0))=1),FALSE),"Zsh ","")&amp;IF(IFERROR(INDEX('Level Engine'!$BI$9:$BI$55,MATCH($AL44,'Level Engine'!$AA$9:$AA$55,0))=1,FALSE),"Vxi ","")&amp;IF(IFERROR(INDEX('Level Engine'!$BJ$9:$BJ$55,MATCH($AL44,'Level Engine'!$AA$9:$AA$55,0))=1,FALSE),"Spi ","")&amp;IF(IFERROR(INDEX('Level Engine'!$BO$9:$BO$55,MATCH($AL44,'Level Engine'!$AA$9:$AA$55,0))=1,FALSE),"Vgf ","")&amp;IF(IFERROR(INDEX('Level Engine'!$BX$9:$BX$55,MATCH($AL44,'Level Engine'!$AA$9:$AA$55,0))=1,FALSE),"Gxp ","")&amp;IF(IFERROR(INDEX('Level Engine'!$BY$9:$BY$55,MATCH($AL44,'Level Engine'!$AA$9:$AA$55,0))=1,FALSE),"Gfx ","")&amp;IF(IFERROR(INDEX('Level Engine'!$CB$9:$CB$55,MATCH($AL44,'Level Engine'!$AA$9:$AA$55,0))=1,FALSE),"ZG ","")&amp;IF(IFERROR(INDEX('Level Engine'!$CZ$9:$CZ$55,MATCH($AL44,'Level Engine'!$AA$9:$AA$55,0))=1,FALSE),"dEdge ","")&amp;IF(IFERROR(INDEX('Level Engine'!$DS$9:$DS$55,MATCH($AL44,'Level Engine'!$AA$9:$AA$55,0))=1,FALSE),"oEdge ","")&amp;IF(IFERROR(INDEX('Level Engine'!$JD$9:$JD$55,MATCH($AL44,'Level Engine'!$AA$9:$AA$55,0)),"")="P","P-OI ",IF(IFERROR(INDEX('Level Engine'!$JD$9:$JD$55,MATCH($AL44,'Level Engine'!$AA$9:$AA$55,0)),"")="C","C-OI ","")))&amp;" ",IF(IFERROR(INDEX('Level Engine'!$KK$9:$KK$55,MATCH($AL44,'Level Engine'!$AA$9:$AA$55,0)),0)=1," Dex↓ ",CHAR(1))," "),IF(IFERROR(INDEX('Level Engine'!$KK$9:$KK$55,MATCH($AL44,'Level Engine'!$AA$9:$AA$55,0)),0)=1," γSh ",CHAR(1))," "),IF(IFERROR(INDEX('Level Engine'!$KK$9:$KK$55,MATCH($AL44,'Level Engine'!$AA$9:$AA$55,0)),0)=1," Zsh ",CHAR(1))," "),IF(IFERROR(INDEX('Level Engine'!$KK$9:$KK$55,MATCH($AL44,'Level Engine'!$AA$9:$AA$55,0)),0)=1," dEdge ",CHAR(1))," "),IF(IFERROR(INDEX('Level Engine'!$KK$9:$KK$55,MATCH($AL44,'Level Engine'!$AA$9:$AA$55,0)),0)=1," oEdge ",CHAR(1))," "),IF(IFERROR(INDEX('Level Engine'!$KK$9:$KK$55,MATCH($AL44,'Level Engine'!$AA$9:$AA$55,0)),0)=1," iDex ",CHAR(1))," "),IF(IFERROR(INDEX('Level Engine'!$KK$9:$KK$55,MATCH($AL44,'Level Engine'!$AA$9:$AA$55,0)),0)=1," gDex ",CHAR(1))," "),IF(IFERROR(INDEX('Level Engine'!$KK$9:$KK$55,MATCH($AL44,'Level Engine'!$AA$9:$AA$55,0)),0)=1," Vxi ",CHAR(1))," "),IF(IFERROR(INDEX('Level Engine'!$KK$9:$KK$55,MATCH($AL44,'Level Engine'!$AA$9:$AA$55,0)),0)=1," Spi ",CHAR(1))," "),IF(IFERROR(INDEX('Level Engine'!$KJ$9:$KJ$55,MATCH($AL44,'Level Engine'!$AA$9:$AA$55,0)),0)=1," Gxp ",CHAR(1))," "),IF(IFERROR(INDEX('Level Engine'!$KL$9:$KL$55,MATCH($AL44,'Level Engine'!$AA$9:$AA$55,0)),0)=1," P-OI ",CHAR(1))," "),IF(IFERROR(INDEX('Level Engine'!$KL$9:$KL$55,MATCH($AL44,'Level Engine'!$AA$9:$AA$55,0)),0)=1," C-OI ",CHAR(1))," ")))</f>
        <v>Vex Dex Dex↓ Spi Gfx</v>
      </c>
      <c r="W44" s="308">
        <f>IF($AL44="","",IFERROR(INDEX('Level Engine'!$AM$9:$AM$55,MATCH($AL44,'Level Engine'!$AA$9:$AA$55,0)),""))</f>
        <v>5</v>
      </c>
      <c r="X44" s="308" t="str">
        <f>IF($AL44="","",IF(IFERROR(INDEX('Level Engine'!$EN$9:$EN$55,MATCH($AL44,'Level Engine'!$AA$9:$AA$55,0)),0)=1,"Ⓟ PROX · ","STRUCT · ")&amp;IFERROR(IF(AND(INDEX('Level Engine'!$AX$9:$AX$55,MATCH($AL44,'Level Engine'!$AA$9:$AA$55,0))=1,'Level Engine'!$D$5="DOWN"),"VOMMA CAP","stable"),"stable")&amp;IFERROR(IF(INDEX('Level Engine'!$CG$9:$CG$55,MATCH($AL44,'Level Engine'!$AA$9:$AA$55,0))="","", " · "&amp;INDEX('Level Engine'!$CG$9:$CG$55,MATCH($AL44,'Level Engine'!$AA$9:$AA$55,0))),""))</f>
        <v>STRUCT · stable</v>
      </c>
      <c r="Y44" s="308" t="str">
        <f>IF(IFERROR(INDEX('Level Engine'!$EN$9:$EN$55,MATCH($AL44,'Level Engine'!$AA$9:$AA$55,0)),0)=1,"Ⓟ PROX"&amp;IF(AND(OR('King Node Model'!$A$8="Neg",N('Level Engine'!$BG$72)=1),IFERROR(INDEX('Level Engine'!$AN$9:$AN$55,MATCH($AL44,'Level Engine'!$AA$9:$AA$55,0)),0)&lt;&gt;1)," · NO-REV","")&amp;" · ","")&amp;IF(ISNUMBER($U44),IF(OR($AX44=1,AND($AL44='Level Engine'!$BG$28,$S$52&lt;&gt;"")),"⚡ ⊙ PIN"&amp;IF(AND($AL44&lt;&gt;"",$AL44='Master Dashboard'!$AN$37)," ‹nearest›",""),(IF(NOT(ISNUMBER($U44)),"",IF(AND(IFERROR(INDEX('Level Engine'!$AN$9:$AN$55,MATCH($AL44,'Level Engine'!$AA$9:$AA$55,0)),0)=1,$AX44&lt;&gt;1),IF(IF(IFERROR(INDEX('Level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"&amp;IF(ABS($U44)&gt;=ABS(IFERROR(INDEX($C$29:$C$75,MATCH($AL44-5,$A$29:$A$75,0)),0)),"accelerates","slows"),"")="","REVERSAL"&amp;IF(AND($AC$24,($AL44&gt;$B$4)=($B$23&gt;$B$4),ABS($B$23-$B$4)&lt;ABS($AL44-$B$4))," → "&amp;TEXT($B$23,"0"),""),"REVERSAL"&amp;IF(AND($AC$24,($AL44&gt;$B$4)=($B$23&gt;$B$4),ABS($B$23-$B$4)&lt;ABS($AL44-$B$4))," → "&amp;TEXT($B$23,"0"),"")&amp;" · "&amp;IF(IFERROR(INDEX('Level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"&amp;IF(ABS($U44)&gt;=ABS(IFERROR(INDEX($C$29:$C$75,MATCH($AL44-5,$A$29:$A$75,0)),0)),"accelerates","slows"),"")))&amp;IF(AND(ISNUMBER($U44),AND(IFERROR(INDEX('Level Engine'!$AN$9:$AN$55,MATCH($AL44,'Level Engine'!$AA$9:$AA$55,0)),0)=1,$AX44&lt;&gt;1)),"","")&amp;IF($AX44=1,CHAR(10)&amp;"⊙ PIN","")&amp;IF(AND($AL44&lt;&gt;"",$AL44='Master Dashboard'!$AN$36)," ‹nearest›",""))),(IF(NOT(ISNUMBER($U44)),"",IF(AND(IFERROR(INDEX('Level Engine'!$AN$9:$AN$55,MATCH($AL44,'Level Engine'!$AA$9:$AA$55,0)),0)=1,$AX44&lt;&gt;1),IF(IF(IFERROR(INDEX('Level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"&amp;IF(ABS($U44)&gt;=ABS(IFERROR(INDEX($C$29:$C$75,MATCH($AL44-5,$A$29:$A$75,0)),0)),"accelerates","slows"),"")="","REVERSAL"&amp;IF(AND($AC$24,($AL44&gt;$B$4)=($B$23&gt;$B$4),ABS($B$23-$B$4)&lt;ABS($AL44-$B$4))," → "&amp;TEXT($B$23,"0"),""),"REVERSAL"&amp;IF(AND($AC$24,($AL44&gt;$B$4)=($B$23&gt;$B$4),ABS($B$23-$B$4)&lt;ABS($AL44-$B$4))," → "&amp;TEXT($B$23,"0"),"")&amp;" · "&amp;IF(IFERROR(INDEX('Level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"&amp;IF(ABS($U44)&gt;=ABS(IFERROR(INDEX($C$29:$C$75,MATCH($AL44-5,$A$29:$A$75,0)),0)),"accelerates","slows"),"")))&amp;IF(AND(ISNUMBER($U44),AND(IFERROR(INDEX('Level Engine'!$AN$9:$AN$55,MATCH($AL44,'Level Engine'!$AA$9:$AA$55,0)),0)=1,$AX44&lt;&gt;1)),"","")&amp;IF($AX44=1,CHAR(10)&amp;"⊙ PIN","")&amp;IF(AND($AL44&lt;&gt;"",$AL44='Master Dashboard'!$AN$36)," ‹nearest›","")))&amp;IF(IFERROR(INDEX('Level Engine'!$GV$9:$GV$55,MATCH($AL44,'Level Engine'!$AA$9:$AA$55,0)),0)=1,CHAR(10)&amp;"Ⓥ vol-rejection","")</f>
        <v>⚡ ⊙ PIN</v>
      </c>
      <c r="Z44" s="276">
        <f t="shared" si="16"/>
        <v>2989443</v>
      </c>
      <c r="AA44" s="100"/>
      <c r="AB44" s="181">
        <f t="shared" si="4"/>
        <v>387420489</v>
      </c>
      <c r="AC44" s="297">
        <f t="shared" si="5"/>
        <v>14</v>
      </c>
      <c r="AD44" s="297">
        <f t="shared" si="6"/>
        <v>0</v>
      </c>
      <c r="AE44" s="181" t="str">
        <f>IFERROR(LOOKUP(2,1/((ISNUMBER('Level Engine'!$AT$9:$AT$55))*($A44&gt;='Level Engine'!$AT$9:$AT$55)*($A44&lt;='Level Engine'!$AU$9:$AU$41)),'Level Engine'!$BB$9:$BB$55),"")</f>
        <v/>
      </c>
      <c r="AF44" s="218">
        <f t="shared" si="7"/>
        <v>387420489</v>
      </c>
      <c r="AG44" s="10">
        <f t="shared" si="8"/>
        <v>353277</v>
      </c>
      <c r="AH44" s="10">
        <f t="shared" si="9"/>
        <v>0</v>
      </c>
      <c r="AI44" s="218">
        <f t="shared" si="17"/>
        <v>-3218236</v>
      </c>
      <c r="AJ44">
        <f>IF($S44="","",IFERROR(INDEX('Level Engine'!$DI$9:$DI$55,MATCH($AL44,'Level Engine'!$AA$9:$AA$55,0)),""))</f>
        <v>1</v>
      </c>
      <c r="AK44">
        <f>IF($S44="","",IFERROR(INDEX('Level Engine'!$DJ$9:$DJ$55,MATCH($AL44,'Level Engine'!$AA$9:$AA$55,0)),""))</f>
        <v>1</v>
      </c>
      <c r="AL44" s="1">
        <f>IF(ISNUMBER('Level Engine'!$HR$3),'Level Engine'!$HR$3,"")</f>
        <v>7800</v>
      </c>
      <c r="AM44" s="218">
        <f>IFERROR(INDEX('Level Engine'!$AN$9:$AN$55,MATCH(A44,'Level Engine'!$AA$9:$AA$55,0)),0)</f>
        <v>1</v>
      </c>
      <c r="AQ44" s="286">
        <f t="shared" si="10"/>
        <v>7</v>
      </c>
      <c r="AR44" s="286" t="str">
        <f t="shared" si="11"/>
        <v/>
      </c>
      <c r="AS44" s="10">
        <f t="shared" si="12"/>
        <v>756012</v>
      </c>
      <c r="AT44" t="str">
        <f t="shared" si="13"/>
        <v/>
      </c>
      <c r="AU44" s="298">
        <f t="shared" si="14"/>
        <v>1570</v>
      </c>
      <c r="AV44" s="1" t="str">
        <f t="shared" si="15"/>
        <v/>
      </c>
      <c r="AW44" s="1">
        <f t="shared" si="18"/>
        <v>0</v>
      </c>
      <c r="AX44" t="str">
        <f>IF(AND($AL44=$B$23,$AC$24),1,"")</f>
        <v/>
      </c>
      <c r="BS44">
        <f>IFERROR(INDEX('Level Engine'!$AA$9:$AA$55,MATCH(3,'Level Engine'!$BT$9:$BT$55,0)),"")</f>
        <v>7810</v>
      </c>
      <c r="BW44">
        <f>$BS$44</f>
        <v>7810</v>
      </c>
    </row>
    <row r="45" spans="1:75" ht="15" customHeight="1" x14ac:dyDescent="0.25">
      <c r="A45" s="287">
        <v>7805</v>
      </c>
      <c r="B45" s="288">
        <v>874234</v>
      </c>
      <c r="C45" s="289">
        <v>308525</v>
      </c>
      <c r="D45" s="319">
        <v>1622710</v>
      </c>
      <c r="E45" s="551">
        <v>-328578</v>
      </c>
      <c r="F45" s="306">
        <v>796346</v>
      </c>
      <c r="G45" s="289">
        <v>582</v>
      </c>
      <c r="H45" s="289">
        <v>47</v>
      </c>
      <c r="I45" s="289">
        <v>4759</v>
      </c>
      <c r="J45" s="290" t="str">
        <f t="shared" si="2"/>
        <v>FLIP</v>
      </c>
      <c r="K45" s="291">
        <v>1244</v>
      </c>
      <c r="L45" s="292">
        <v>595</v>
      </c>
      <c r="M45" s="292"/>
      <c r="N45" s="312"/>
      <c r="O45" s="313"/>
      <c r="P45" s="294" t="str">
        <f t="shared" si="3"/>
        <v/>
      </c>
      <c r="Q45" s="295" t="str">
        <f>IF(A45="","",IF(AND(A45=MROUND($B$4,5),ISNUMBER(SEARCH("LONG trigger",'GEX Depth'!$C$54))),"Long Trigger",IF(AND(A45=MROUND($B$4,5),ISNUMBER(SEARCH("SHORT trigger",'GEX Depth'!$C$54))),"Short Trigger",IF(OR(COUNTIF($AL$42:$AL$45,A45)&gt;0,OR(AND($AM45=1,A45&gt;$B$4),AND($AM46=1,A46&gt;$B$4)),AND(ISNUMBER('Level Engine'!$CT$3),A45&gt;=MIN('Level Engine'!$CT$3,'Level Engine'!$CT$4),A45&lt;=MAX('Level Engine'!$CT$3,'Level Engine'!$CT$4))),"R",IF(OR(COUNTIF($AL$49:$AL$52,A45)&gt;0,OR(AND($AM45=1,A45&lt;$B$4),AND($AM44=1,A44&lt;$B$4)),AND(ISNUMBER('Level Engine'!$CW$3),A45&gt;=MIN('Level Engine'!$CW$3,'Level Engine'!$CW$4),A45&lt;=MAX('Level Engine'!$CW$3,'Level Engine'!$CW$4))),"S","")))))</f>
        <v>R</v>
      </c>
      <c r="R45" s="1" t="str">
        <f>IF(A45="","",IF(AND(COUNT($S$69:$S$72)&gt;0,A45=MAX($S$69:$S$72)),"◀ sell-stop floor",IF(AND('Level Engine'!$CW$2=1,ISNUMBER('Level Engine'!$FI$3),ISNUMBER('Level Engine'!$FI$4),A45&gt;=MIN('Level Engine'!$FI$3,'Level Engine'!$FI$4),A45&lt;=MAX('Level Engine'!$FI$3,'Level Engine'!$FI$4)),"◀ support "&amp;'Level Engine'!$CW$9,IF(AND('Level Engine'!$CT$2=1,ISNUMBER('Level Engine'!$FH$3),ISNUMBER('Level Engine'!$FH$4),A45&gt;=MIN('Level Engine'!$FH$3,'Level Engine'!$FH$4),A45&lt;=MAX('Level Engine'!$FH$3,'Level Engine'!$FH$4)),"◀ resistance "&amp;'Level Engine'!$CT$9,""))))</f>
        <v/>
      </c>
      <c r="S45" s="307"/>
      <c r="T45" s="307"/>
      <c r="U45" s="308"/>
      <c r="V45" s="308"/>
      <c r="W45" s="308"/>
      <c r="X45" s="308"/>
      <c r="Y45" s="308"/>
      <c r="Z45" s="276">
        <f t="shared" si="16"/>
        <v>3297968</v>
      </c>
      <c r="AA45" s="100"/>
      <c r="AB45" s="181">
        <f t="shared" si="4"/>
        <v>387420489</v>
      </c>
      <c r="AC45" s="297">
        <f t="shared" si="5"/>
        <v>16</v>
      </c>
      <c r="AD45" s="297">
        <f t="shared" si="6"/>
        <v>0</v>
      </c>
      <c r="AE45" s="181" t="str">
        <f>IFERROR(LOOKUP(2,1/((ISNUMBER('Level Engine'!$AT$9:$AT$55))*($A45&gt;='Level Engine'!$AT$9:$AT$55)*($A45&lt;='Level Engine'!$AU$9:$AU$41)),'Level Engine'!$BB$9:$BB$55),"")</f>
        <v/>
      </c>
      <c r="AF45" s="218">
        <f t="shared" si="7"/>
        <v>387420489</v>
      </c>
      <c r="AG45" s="10">
        <f t="shared" si="8"/>
        <v>308525</v>
      </c>
      <c r="AH45" s="10">
        <f t="shared" si="9"/>
        <v>0</v>
      </c>
      <c r="AI45" s="218">
        <f t="shared" si="17"/>
        <v>-3546814</v>
      </c>
      <c r="AJ45" t="str">
        <f>IF($S45="","",IFERROR(INDEX('Level Engine'!$DI$9:$DI$55,MATCH($AL45,'Level Engine'!$AA$9:$AA$55,0)),""))</f>
        <v/>
      </c>
      <c r="AK45" t="str">
        <f>IF($S45="","",IFERROR(INDEX('Level Engine'!$DJ$9:$DJ$55,MATCH($AL45,'Level Engine'!$AA$9:$AA$55,0)),""))</f>
        <v/>
      </c>
      <c r="AM45" s="218">
        <f>IFERROR(INDEX('Level Engine'!$AN$9:$AN$55,MATCH(A45,'Level Engine'!$AA$9:$AA$55,0)),0)</f>
        <v>1</v>
      </c>
      <c r="AQ45" s="286">
        <f t="shared" si="10"/>
        <v>6</v>
      </c>
      <c r="AR45" s="286" t="str">
        <f t="shared" si="11"/>
        <v/>
      </c>
      <c r="AS45" s="10">
        <f t="shared" si="12"/>
        <v>874234</v>
      </c>
      <c r="AT45" t="str">
        <f t="shared" si="13"/>
        <v/>
      </c>
      <c r="AU45" s="10">
        <f t="shared" si="14"/>
        <v>1244</v>
      </c>
      <c r="AV45" s="10" t="str">
        <f t="shared" si="15"/>
        <v/>
      </c>
      <c r="AW45" s="1">
        <f t="shared" si="18"/>
        <v>0</v>
      </c>
      <c r="BS45" t="str">
        <f>IFERROR(INDEX('Level Engine'!$AA$9:$AA$55,MATCH(4,'Level Engine'!$BT$9:$BT$55,0)),"")</f>
        <v/>
      </c>
      <c r="BW45" t="str">
        <f>$BS$45</f>
        <v/>
      </c>
    </row>
    <row r="46" spans="1:75" ht="15" customHeight="1" x14ac:dyDescent="0.25">
      <c r="A46" s="287">
        <v>7800</v>
      </c>
      <c r="B46" s="288">
        <v>3752257</v>
      </c>
      <c r="C46" s="289">
        <v>-80182</v>
      </c>
      <c r="D46" s="319">
        <v>-135715</v>
      </c>
      <c r="E46" s="289">
        <v>-1757071</v>
      </c>
      <c r="F46" s="306">
        <v>-174329</v>
      </c>
      <c r="G46" s="289">
        <v>1772</v>
      </c>
      <c r="H46" s="289">
        <v>196</v>
      </c>
      <c r="I46" s="289">
        <v>-1066</v>
      </c>
      <c r="J46" s="290" t="str">
        <f t="shared" si="2"/>
        <v/>
      </c>
      <c r="K46" s="291">
        <v>2931</v>
      </c>
      <c r="L46" s="292">
        <v>3059</v>
      </c>
      <c r="M46" s="292"/>
      <c r="N46" s="312"/>
      <c r="O46" s="313"/>
      <c r="P46" s="294" t="str">
        <f t="shared" si="3"/>
        <v/>
      </c>
      <c r="Q46" s="295" t="str">
        <f>IF(A46="","",IF(AND(A46=MROUND($B$4,5),ISNUMBER(SEARCH("LONG trigger",'GEX Depth'!$C$54))),"Long Trigger",IF(AND(A46=MROUND($B$4,5),ISNUMBER(SEARCH("SHORT trigger",'GEX Depth'!$C$54))),"Short Trigger",IF(OR(COUNTIF($AL$42:$AL$45,A46)&gt;0,OR(AND($AM46=1,A46&gt;$B$4),AND($AM47=1,A47&gt;$B$4)),AND(ISNUMBER('Level Engine'!$CT$3),A46&gt;=MIN('Level Engine'!$CT$3,'Level Engine'!$CT$4),A46&lt;=MAX('Level Engine'!$CT$3,'Level Engine'!$CT$4))),"R",IF(OR(COUNTIF($AL$49:$AL$52,A46)&gt;0,OR(AND($AM46=1,A46&lt;$B$4),AND($AM45=1,A45&lt;$B$4)),AND(ISNUMBER('Level Engine'!$CW$3),A46&gt;=MIN('Level Engine'!$CW$3,'Level Engine'!$CW$4),A46&lt;=MAX('Level Engine'!$CW$3,'Level Engine'!$CW$4))),"S","")))))</f>
        <v>R</v>
      </c>
      <c r="R46" s="1" t="str">
        <f>IF(A46="","",IF(AND(COUNT($S$69:$S$72)&gt;0,A46=MAX($S$69:$S$72)),"◀ sell-stop floor",IF(AND('Level Engine'!$CW$2=1,ISNUMBER('Level Engine'!$FI$3),ISNUMBER('Level Engine'!$FI$4),A46&gt;=MIN('Level Engine'!$FI$3,'Level Engine'!$FI$4),A46&lt;=MAX('Level Engine'!$FI$3,'Level Engine'!$FI$4)),"◀ support "&amp;'Level Engine'!$CW$9,IF(AND('Level Engine'!$CT$2=1,ISNUMBER('Level Engine'!$FH$3),ISNUMBER('Level Engine'!$FH$4),A46&gt;=MIN('Level Engine'!$FH$3,'Level Engine'!$FH$4),A46&lt;=MAX('Level Engine'!$FH$3,'Level Engine'!$FH$4)),"◀ resistance "&amp;'Level Engine'!$CT$9,""))))</f>
        <v/>
      </c>
      <c r="S46" s="173" t="str">
        <f>IF(ISNUMBER($B$4),IF(AND(MAX($AQ$29:$AQ$75)&lt;$L$27,MAX($AR$29:$AR$75)&lt;$L$27),"⚠  Minimal DEX: Choppy",""),"")</f>
        <v/>
      </c>
      <c r="U46" s="276"/>
      <c r="V46" s="276"/>
      <c r="W46" s="276"/>
      <c r="X46" s="276"/>
      <c r="Y46" s="276"/>
      <c r="Z46" s="276">
        <f t="shared" si="16"/>
        <v>3217786</v>
      </c>
      <c r="AB46" s="181">
        <f t="shared" si="4"/>
        <v>387420489</v>
      </c>
      <c r="AC46" s="297">
        <f t="shared" si="5"/>
        <v>6</v>
      </c>
      <c r="AD46" s="297">
        <f t="shared" si="6"/>
        <v>0</v>
      </c>
      <c r="AE46" s="181" t="str">
        <f>IFERROR(LOOKUP(2,1/((ISNUMBER('Level Engine'!$AT$9:$AT$55))*($A46&gt;='Level Engine'!$AT$9:$AT$55)*($A46&lt;='Level Engine'!$AU$9:$AU$41)),'Level Engine'!$BB$9:$BB$55),"")</f>
        <v/>
      </c>
      <c r="AF46" s="218">
        <f t="shared" si="7"/>
        <v>387420489</v>
      </c>
      <c r="AG46" s="10">
        <f t="shared" si="8"/>
        <v>0</v>
      </c>
      <c r="AH46" s="10">
        <f t="shared" si="9"/>
        <v>-80182</v>
      </c>
      <c r="AI46" s="218">
        <f t="shared" si="17"/>
        <v>-5303885</v>
      </c>
      <c r="AM46" s="218">
        <f>IFERROR(INDEX('Level Engine'!$AN$9:$AN$55,MATCH(A46,'Level Engine'!$AA$9:$AA$55,0)),0)</f>
        <v>1</v>
      </c>
      <c r="AQ46" s="286">
        <f t="shared" si="10"/>
        <v>5</v>
      </c>
      <c r="AR46" s="286" t="str">
        <f t="shared" si="11"/>
        <v/>
      </c>
      <c r="AS46" s="10" t="str">
        <f t="shared" si="12"/>
        <v/>
      </c>
      <c r="AT46">
        <f t="shared" si="13"/>
        <v>3752257</v>
      </c>
      <c r="AU46" s="298">
        <f t="shared" si="14"/>
        <v>2931</v>
      </c>
      <c r="AV46" s="1" t="str">
        <f t="shared" si="15"/>
        <v/>
      </c>
      <c r="AW46" s="1">
        <f t="shared" si="18"/>
        <v>0</v>
      </c>
      <c r="BS46">
        <f>IF(AND(ISNUMBER('Level Engine'!$W$13),'Level Engine'!$W$13&gt;$B$4,IFERROR(INDEX('Level Engine'!$CU$9:$CU$55,MATCH('Level Engine'!$W$13,'Level Engine'!$AA$9:$AA$55,0)),0)=1,NOT(AND(IFERROR(INDEX('Level Engine'!$AU$9:$AU$55,MATCH('Level Engine'!$W$13,'Level Engine'!$AA$9:$AA$55,0)),'Level Engine'!$W$13)=IFERROR(INDEX('Level Engine'!$AT$9:$AT$55,MATCH('Level Engine'!$W$13,'Level Engine'!$AA$9:$AA$55,0)),'Level Engine'!$W$13),OR(AND(ISNUMBER('Level Engine'!$W$9),'Level Engine'!$W$9&lt;&gt;'Level Engine'!$W$13,IFERROR(INDEX('Level Engine'!$CU$9:$CU$55,MATCH('Level Engine'!$W$9,'Level Engine'!$AA$9:$AA$55,0)),0)=1,IFERROR(INDEX('Level Engine'!$AU$9:$AU$55,MATCH('Level Engine'!$W$9,'Level Engine'!$AA$9:$AA$55,0)),'Level Engine'!$W$9)&lt;&gt;IFERROR(INDEX('Level Engine'!$AT$9:$AT$55,MATCH('Level Engine'!$W$9,'Level Engine'!$AA$9:$AA$55,0)),'Level Engine'!$W$9),IFERROR(INDEX('Level Engine'!$AT$9:$AT$55,MATCH('Level Engine'!$W$9,'Level Engine'!$AA$9:$AA$55,0)),'Level Engine'!$W$9)&lt;='Level Engine'!$W$13,'Level Engine'!$W$13&lt;=IFERROR(INDEX('Level Engine'!$AU$9:$AU$55,MATCH('Level Engine'!$W$9,'Level Engine'!$AA$9:$AA$55,0)),'Level Engine'!$W$9)),AND(ISNUMBER('Level Engine'!$W$10),'Level Engine'!$W$10&lt;&gt;'Level Engine'!$W$13,IFERROR(INDEX('Level Engine'!$CU$9:$CU$55,MATCH('Level Engine'!$W$10,'Level Engine'!$AA$9:$AA$55,0)),0)=1,IFERROR(INDEX('Level Engine'!$AU$9:$AU$55,MATCH('Level Engine'!$W$10,'Level Engine'!$AA$9:$AA$55,0)),'Level Engine'!$W$10)&lt;&gt;IFERROR(INDEX('Level Engine'!$AT$9:$AT$55,MATCH('Level Engine'!$W$10,'Level Engine'!$AA$9:$AA$55,0)),'Level Engine'!$W$10),IFERROR(INDEX('Level Engine'!$AT$9:$AT$55,MATCH('Level Engine'!$W$10,'Level Engine'!$AA$9:$AA$55,0)),'Level Engine'!$W$10)&lt;='Level Engine'!$W$13,'Level Engine'!$W$13&lt;=IFERROR(INDEX('Level Engine'!$AU$9:$AU$55,MATCH('Level Engine'!$W$10,'Level Engine'!$AA$9:$AA$55,0)),'Level Engine'!$W$10)),AND(ISNUMBER('Level Engine'!$W$11),'Level Engine'!$W$11&lt;&gt;'Level Engine'!$W$13,IFERROR(INDEX('Level Engine'!$CU$9:$CU$55,MATCH('Level Engine'!$W$11,'Level Engine'!$AA$9:$AA$55,0)),0)=1,IFERROR(INDEX('Level Engine'!$AU$9:$AU$55,MATCH('Level Engine'!$W$11,'Level Engine'!$AA$9:$AA$55,0)),'Level Engine'!$W$11)&lt;&gt;IFERROR(INDEX('Level Engine'!$AT$9:$AT$55,MATCH('Level Engine'!$W$11,'Level Engine'!$AA$9:$AA$55,0)),'Level Engine'!$W$11),IFERROR(INDEX('Level Engine'!$AT$9:$AT$55,MATCH('Level Engine'!$W$11,'Level Engine'!$AA$9:$AA$55,0)),'Level Engine'!$W$11)&lt;='Level Engine'!$W$13,'Level Engine'!$W$13&lt;=IFERROR(INDEX('Level Engine'!$AU$9:$AU$55,MATCH('Level Engine'!$W$11,'Level Engine'!$AA$9:$AA$55,0)),'Level Engine'!$W$11)),AND(ISNUMBER('Level Engine'!$W$12),'Level Engine'!$W$12&lt;&gt;'Level Engine'!$W$13,IFERROR(INDEX('Level Engine'!$CU$9:$CU$55,MATCH('Level Engine'!$W$12,'Level Engine'!$AA$9:$AA$55,0)),0)=1,IFERROR(INDEX('Level Engine'!$AU$9:$AU$55,MATCH('Level Engine'!$W$12,'Level Engine'!$AA$9:$AA$55,0)),'Level Engine'!$W$12)&lt;&gt;IFERROR(INDEX('Level Engine'!$AT$9:$AT$55,MATCH('Level Engine'!$W$12,'Level Engine'!$AA$9:$AA$55,0)),'Level Engine'!$W$12),IFERROR(INDEX('Level Engine'!$AT$9:$AT$55,MATCH('Level Engine'!$W$12,'Level Engine'!$AA$9:$AA$55,0)),'Level Engine'!$W$12)&lt;='Level Engine'!$W$13,'Level Engine'!$W$13&lt;=IFERROR(INDEX('Level Engine'!$AU$9:$AU$55,MATCH('Level Engine'!$W$12,'Level Engine'!$AA$9:$AA$55,0)),'Level Engine'!$W$12)),AND(ISNUMBER('Level Engine'!$W$13),'Level Engine'!$W$13&lt;&gt;'Level Engine'!$W$13,IFERROR(INDEX('Level Engine'!$CU$9:$CU$55,MATCH('Level Engine'!$W$13,'Level Engine'!$AA$9:$AA$55,0)),0)=1,IFERROR(INDEX('Level Engine'!$AU$9:$AU$55,MATCH('Level Engine'!$W$13,'Level Engine'!$AA$9:$AA$55,0)),'Level Engine'!$W$13)&lt;&gt;IFERROR(INDEX('Level Engine'!$AT$9:$AT$55,MATCH('Level Engine'!$W$13,'Level Engine'!$AA$9:$AA$55,0)),'Level Engine'!$W$13),IFERROR(INDEX('Level Engine'!$AT$9:$AT$55,MATCH('Level Engine'!$W$13,'Level Engine'!$AA$9:$AA$55,0)),'Level Engine'!$W$13)&lt;='Level Engine'!$W$13,'Level Engine'!$W$13&lt;=IFERROR(INDEX('Level Engine'!$AU$9:$AU$55,MATCH('Level Engine'!$W$13,'Level Engine'!$AA$9:$AA$55,0)),'Level Engine'!$W$13)),AND(ISNUMBER('Level Engine'!$W$14),'Level Engine'!$W$14&lt;&gt;'Level Engine'!$W$13,IFERROR(INDEX('Level Engine'!$CU$9:$CU$55,MATCH('Level Engine'!$W$14,'Level Engine'!$AA$9:$AA$55,0)),0)=1,IFERROR(INDEX('Level Engine'!$AU$9:$AU$55,MATCH('Level Engine'!$W$14,'Level Engine'!$AA$9:$AA$55,0)),'Level Engine'!$W$14)&lt;&gt;IFERROR(INDEX('Level Engine'!$AT$9:$AT$55,MATCH('Level Engine'!$W$14,'Level Engine'!$AA$9:$AA$55,0)),'Level Engine'!$W$14),IFERROR(INDEX('Level Engine'!$AT$9:$AT$55,MATCH('Level Engine'!$W$14,'Level Engine'!$AA$9:$AA$55,0)),'Level Engine'!$W$14)&lt;='Level Engine'!$W$13,'Level Engine'!$W$13&lt;=IFERROR(INDEX('Level Engine'!$AU$9:$AU$55,MATCH('Level Engine'!$W$14,'Level Engine'!$AA$9:$AA$55,0)),'Level Engine'!$W$14)))))),ABS('Level Engine'!$W$13-$B$4),99999)</f>
        <v>4.6099999999996726</v>
      </c>
    </row>
    <row r="47" spans="1:75" ht="15" customHeight="1" x14ac:dyDescent="0.25">
      <c r="A47" s="287">
        <v>7795</v>
      </c>
      <c r="B47" s="288">
        <v>1459310</v>
      </c>
      <c r="C47" s="289">
        <v>46251</v>
      </c>
      <c r="D47" s="319">
        <v>-74441</v>
      </c>
      <c r="E47" s="289">
        <v>-421779</v>
      </c>
      <c r="F47" s="306">
        <v>80270</v>
      </c>
      <c r="G47" s="289">
        <v>439</v>
      </c>
      <c r="H47" s="289">
        <v>75</v>
      </c>
      <c r="I47" s="289">
        <v>499</v>
      </c>
      <c r="J47" s="290" t="str">
        <f t="shared" si="2"/>
        <v/>
      </c>
      <c r="K47" s="291">
        <v>944</v>
      </c>
      <c r="L47" s="292">
        <v>886</v>
      </c>
      <c r="M47" s="292"/>
      <c r="N47" s="312"/>
      <c r="O47" s="313"/>
      <c r="P47" s="294" t="str">
        <f t="shared" si="3"/>
        <v/>
      </c>
      <c r="Q47" s="295" t="str">
        <f>IF(A47="","",IF(AND(A47=MROUND($B$4,5),ISNUMBER(SEARCH("LONG trigger",'GEX Depth'!$C$54))),"Long Trigger",IF(AND(A47=MROUND($B$4,5),ISNUMBER(SEARCH("SHORT trigger",'GEX Depth'!$C$54))),"Short Trigger",IF(OR(COUNTIF($AL$42:$AL$45,A47)&gt;0,OR(AND($AM47=1,A47&gt;$B$4),AND($AM48=1,A48&gt;$B$4)),AND(ISNUMBER('Level Engine'!$CT$3),A47&gt;=MIN('Level Engine'!$CT$3,'Level Engine'!$CT$4),A47&lt;=MAX('Level Engine'!$CT$3,'Level Engine'!$CT$4))),"R",IF(OR(COUNTIF($AL$49:$AL$52,A47)&gt;0,OR(AND($AM47=1,A47&lt;$B$4),AND($AM46=1,A46&lt;$B$4)),AND(ISNUMBER('Level Engine'!$CW$3),A47&gt;=MIN('Level Engine'!$CW$3,'Level Engine'!$CW$4),A47&lt;=MAX('Level Engine'!$CW$3,'Level Engine'!$CW$4))),"S","")))))</f>
        <v/>
      </c>
      <c r="R47" s="1" t="str">
        <f>IF(A47="","",IF(AND(COUNT($S$69:$S$72)&gt;0,A47=MAX($S$69:$S$72)),"◀ sell-stop floor",IF(AND('Level Engine'!$CW$2=1,ISNUMBER('Level Engine'!$FI$3),ISNUMBER('Level Engine'!$FI$4),A47&gt;=MIN('Level Engine'!$FI$3,'Level Engine'!$FI$4),A47&lt;=MAX('Level Engine'!$FI$3,'Level Engine'!$FI$4)),"◀ support "&amp;'Level Engine'!$CW$9,IF(AND('Level Engine'!$CT$2=1,ISNUMBER('Level Engine'!$FH$3),ISNUMBER('Level Engine'!$FH$4),A47&gt;=MIN('Level Engine'!$FH$3,'Level Engine'!$FH$4),A47&lt;=MAX('Level Engine'!$FH$3,'Level Engine'!$FH$4)),"◀ resistance "&amp;'Level Engine'!$CT$9,""))))</f>
        <v/>
      </c>
      <c r="S47" s="315" t="s">
        <v>43</v>
      </c>
      <c r="T47" s="316"/>
      <c r="U47" s="317"/>
      <c r="V47" s="317"/>
      <c r="W47" s="317"/>
      <c r="X47" s="276"/>
      <c r="Y47" s="276"/>
      <c r="Z47" s="276">
        <f t="shared" si="16"/>
        <v>3264037</v>
      </c>
      <c r="AB47" s="181">
        <f t="shared" si="4"/>
        <v>387420489</v>
      </c>
      <c r="AC47" s="297">
        <f t="shared" si="5"/>
        <v>18</v>
      </c>
      <c r="AD47" s="297">
        <f t="shared" si="6"/>
        <v>0</v>
      </c>
      <c r="AE47" s="181" t="str">
        <f>IFERROR(LOOKUP(2,1/((ISNUMBER('Level Engine'!$AT$9:$AT$55))*($A47&gt;='Level Engine'!$AT$9:$AT$55)*($A47&lt;='Level Engine'!$AU$9:$AU$41)),'Level Engine'!$BB$9:$BB$55),"")</f>
        <v/>
      </c>
      <c r="AF47" s="218">
        <f t="shared" si="7"/>
        <v>387420489</v>
      </c>
      <c r="AG47" s="10">
        <f t="shared" si="8"/>
        <v>46251</v>
      </c>
      <c r="AH47" s="10">
        <f t="shared" si="9"/>
        <v>0</v>
      </c>
      <c r="AI47" s="218">
        <f t="shared" si="17"/>
        <v>-5725664</v>
      </c>
      <c r="AM47" s="218">
        <f>IFERROR(INDEX('Level Engine'!$AN$9:$AN$55,MATCH(A47,'Level Engine'!$AA$9:$AA$55,0)),0)</f>
        <v>0</v>
      </c>
      <c r="AQ47" s="286">
        <f t="shared" si="10"/>
        <v>4</v>
      </c>
      <c r="AR47" s="286" t="str">
        <f t="shared" si="11"/>
        <v/>
      </c>
      <c r="AS47" s="10">
        <f t="shared" si="12"/>
        <v>1459310</v>
      </c>
      <c r="AT47" t="str">
        <f t="shared" si="13"/>
        <v/>
      </c>
      <c r="AU47" s="298">
        <f t="shared" si="14"/>
        <v>944</v>
      </c>
      <c r="AV47" s="1" t="str">
        <f t="shared" si="15"/>
        <v/>
      </c>
      <c r="AW47" s="1">
        <f t="shared" si="18"/>
        <v>0</v>
      </c>
      <c r="BS47">
        <f>IF(AND(ISNUMBER('Level Engine'!$W$14),'Level Engine'!$W$14&gt;$B$4,IFERROR(INDEX('Level Engine'!$CU$9:$CU$55,MATCH('Level Engine'!$W$14,'Level Engine'!$AA$9:$AA$55,0)),0)=1,NOT(AND(IFERROR(INDEX('Level Engine'!$AU$9:$AU$55,MATCH('Level Engine'!$W$14,'Level Engine'!$AA$9:$AA$55,0)),'Level Engine'!$W$14)=IFERROR(INDEX('Level Engine'!$AT$9:$AT$55,MATCH('Level Engine'!$W$14,'Level Engine'!$AA$9:$AA$55,0)),'Level Engine'!$W$14),OR(AND(ISNUMBER('Level Engine'!$W$9),'Level Engine'!$W$9&lt;&gt;'Level Engine'!$W$14,IFERROR(INDEX('Level Engine'!$CU$9:$CU$55,MATCH('Level Engine'!$W$9,'Level Engine'!$AA$9:$AA$55,0)),0)=1,IFERROR(INDEX('Level Engine'!$AU$9:$AU$55,MATCH('Level Engine'!$W$9,'Level Engine'!$AA$9:$AA$55,0)),'Level Engine'!$W$9)&lt;&gt;IFERROR(INDEX('Level Engine'!$AT$9:$AT$55,MATCH('Level Engine'!$W$9,'Level Engine'!$AA$9:$AA$55,0)),'Level Engine'!$W$9),IFERROR(INDEX('Level Engine'!$AT$9:$AT$55,MATCH('Level Engine'!$W$9,'Level Engine'!$AA$9:$AA$55,0)),'Level Engine'!$W$9)&lt;='Level Engine'!$W$14,'Level Engine'!$W$14&lt;=IFERROR(INDEX('Level Engine'!$AU$9:$AU$55,MATCH('Level Engine'!$W$9,'Level Engine'!$AA$9:$AA$55,0)),'Level Engine'!$W$9)),AND(ISNUMBER('Level Engine'!$W$10),'Level Engine'!$W$10&lt;&gt;'Level Engine'!$W$14,IFERROR(INDEX('Level Engine'!$CU$9:$CU$55,MATCH('Level Engine'!$W$10,'Level Engine'!$AA$9:$AA$55,0)),0)=1,IFERROR(INDEX('Level Engine'!$AU$9:$AU$55,MATCH('Level Engine'!$W$10,'Level Engine'!$AA$9:$AA$55,0)),'Level Engine'!$W$10)&lt;&gt;IFERROR(INDEX('Level Engine'!$AT$9:$AT$55,MATCH('Level Engine'!$W$10,'Level Engine'!$AA$9:$AA$55,0)),'Level Engine'!$W$10),IFERROR(INDEX('Level Engine'!$AT$9:$AT$55,MATCH('Level Engine'!$W$10,'Level Engine'!$AA$9:$AA$55,0)),'Level Engine'!$W$10)&lt;='Level Engine'!$W$14,'Level Engine'!$W$14&lt;=IFERROR(INDEX('Level Engine'!$AU$9:$AU$55,MATCH('Level Engine'!$W$10,'Level Engine'!$AA$9:$AA$55,0)),'Level Engine'!$W$10)),AND(ISNUMBER('Level Engine'!$W$11),'Level Engine'!$W$11&lt;&gt;'Level Engine'!$W$14,IFERROR(INDEX('Level Engine'!$CU$9:$CU$55,MATCH('Level Engine'!$W$11,'Level Engine'!$AA$9:$AA$55,0)),0)=1,IFERROR(INDEX('Level Engine'!$AU$9:$AU$55,MATCH('Level Engine'!$W$11,'Level Engine'!$AA$9:$AA$55,0)),'Level Engine'!$W$11)&lt;&gt;IFERROR(INDEX('Level Engine'!$AT$9:$AT$55,MATCH('Level Engine'!$W$11,'Level Engine'!$AA$9:$AA$55,0)),'Level Engine'!$W$11),IFERROR(INDEX('Level Engine'!$AT$9:$AT$55,MATCH('Level Engine'!$W$11,'Level Engine'!$AA$9:$AA$55,0)),'Level Engine'!$W$11)&lt;='Level Engine'!$W$14,'Level Engine'!$W$14&lt;=IFERROR(INDEX('Level Engine'!$AU$9:$AU$55,MATCH('Level Engine'!$W$11,'Level Engine'!$AA$9:$AA$55,0)),'Level Engine'!$W$11)),AND(ISNUMBER('Level Engine'!$W$12),'Level Engine'!$W$12&lt;&gt;'Level Engine'!$W$14,IFERROR(INDEX('Level Engine'!$CU$9:$CU$55,MATCH('Level Engine'!$W$12,'Level Engine'!$AA$9:$AA$55,0)),0)=1,IFERROR(INDEX('Level Engine'!$AU$9:$AU$55,MATCH('Level Engine'!$W$12,'Level Engine'!$AA$9:$AA$55,0)),'Level Engine'!$W$12)&lt;&gt;IFERROR(INDEX('Level Engine'!$AT$9:$AT$55,MATCH('Level Engine'!$W$12,'Level Engine'!$AA$9:$AA$55,0)),'Level Engine'!$W$12),IFERROR(INDEX('Level Engine'!$AT$9:$AT$55,MATCH('Level Engine'!$W$12,'Level Engine'!$AA$9:$AA$55,0)),'Level Engine'!$W$12)&lt;='Level Engine'!$W$14,'Level Engine'!$W$14&lt;=IFERROR(INDEX('Level Engine'!$AU$9:$AU$55,MATCH('Level Engine'!$W$12,'Level Engine'!$AA$9:$AA$55,0)),'Level Engine'!$W$12)),AND(ISNUMBER('Level Engine'!$W$13),'Level Engine'!$W$13&lt;&gt;'Level Engine'!$W$14,IFERROR(INDEX('Level Engine'!$CU$9:$CU$55,MATCH('Level Engine'!$W$13,'Level Engine'!$AA$9:$AA$55,0)),0)=1,IFERROR(INDEX('Level Engine'!$AU$9:$AU$55,MATCH('Level Engine'!$W$13,'Level Engine'!$AA$9:$AA$55,0)),'Level Engine'!$W$13)&lt;&gt;IFERROR(INDEX('Level Engine'!$AT$9:$AT$55,MATCH('Level Engine'!$W$13,'Level Engine'!$AA$9:$AA$55,0)),'Level Engine'!$W$13),IFERROR(INDEX('Level Engine'!$AT$9:$AT$55,MATCH('Level Engine'!$W$13,'Level Engine'!$AA$9:$AA$55,0)),'Level Engine'!$W$13)&lt;='Level Engine'!$W$14,'Level Engine'!$W$14&lt;=IFERROR(INDEX('Level Engine'!$AU$9:$AU$55,MATCH('Level Engine'!$W$13,'Level Engine'!$AA$9:$AA$55,0)),'Level Engine'!$W$13)),AND(ISNUMBER('Level Engine'!$W$14),'Level Engine'!$W$14&lt;&gt;'Level Engine'!$W$14,IFERROR(INDEX('Level Engine'!$CU$9:$CU$55,MATCH('Level Engine'!$W$14,'Level Engine'!$AA$9:$AA$55,0)),0)=1,IFERROR(INDEX('Level Engine'!$AU$9:$AU$55,MATCH('Level Engine'!$W$14,'Level Engine'!$AA$9:$AA$55,0)),'Level Engine'!$W$14)&lt;&gt;IFERROR(INDEX('Level Engine'!$AT$9:$AT$55,MATCH('Level Engine'!$W$14,'Level Engine'!$AA$9:$AA$55,0)),'Level Engine'!$W$14),IFERROR(INDEX('Level Engine'!$AT$9:$AT$55,MATCH('Level Engine'!$W$14,'Level Engine'!$AA$9:$AA$55,0)),'Level Engine'!$W$14)&lt;='Level Engine'!$W$14,'Level Engine'!$W$14&lt;=IFERROR(INDEX('Level Engine'!$AU$9:$AU$55,MATCH('Level Engine'!$W$14,'Level Engine'!$AA$9:$AA$55,0)),'Level Engine'!$W$14)))))),ABS('Level Engine'!$W$14-$B$4),99999)</f>
        <v>99999</v>
      </c>
    </row>
    <row r="48" spans="1:75" ht="15" customHeight="1" x14ac:dyDescent="0.25">
      <c r="A48" s="287">
        <v>7790</v>
      </c>
      <c r="B48" s="288">
        <v>1987754</v>
      </c>
      <c r="C48" s="289">
        <v>-302758</v>
      </c>
      <c r="D48" s="289">
        <v>1321863</v>
      </c>
      <c r="E48" s="319">
        <v>-508371</v>
      </c>
      <c r="F48" s="318">
        <v>-385075</v>
      </c>
      <c r="G48" s="319">
        <v>322</v>
      </c>
      <c r="H48" s="319">
        <v>101</v>
      </c>
      <c r="I48" s="289">
        <v>-2416</v>
      </c>
      <c r="J48" s="290" t="str">
        <f t="shared" si="2"/>
        <v/>
      </c>
      <c r="K48" s="291">
        <v>871</v>
      </c>
      <c r="L48" s="292">
        <v>1184</v>
      </c>
      <c r="M48" s="292"/>
      <c r="N48" s="312"/>
      <c r="O48" s="313"/>
      <c r="P48" s="294" t="str">
        <f t="shared" si="3"/>
        <v/>
      </c>
      <c r="Q48" s="295" t="str">
        <f>IF(A48="","",IF(AND(A48=MROUND($B$4,5),ISNUMBER(SEARCH("LONG trigger",'GEX Depth'!$C$54))),"Long Trigger",IF(AND(A48=MROUND($B$4,5),ISNUMBER(SEARCH("SHORT trigger",'GEX Depth'!$C$54))),"Short Trigger",IF(OR(COUNTIF($AL$42:$AL$45,A48)&gt;0,OR(AND($AM48=1,A48&gt;$B$4),AND($AM49=1,A49&gt;$B$4)),AND(ISNUMBER('Level Engine'!$CT$3),A48&gt;=MIN('Level Engine'!$CT$3,'Level Engine'!$CT$4),A48&lt;=MAX('Level Engine'!$CT$3,'Level Engine'!$CT$4))),"R",IF(OR(COUNTIF($AL$49:$AL$52,A48)&gt;0,OR(AND($AM48=1,A48&lt;$B$4),AND($AM47=1,A47&lt;$B$4)),AND(ISNUMBER('Level Engine'!$CW$3),A48&gt;=MIN('Level Engine'!$CW$3,'Level Engine'!$CW$4),A48&lt;=MAX('Level Engine'!$CW$3,'Level Engine'!$CW$4))),"S","")))))</f>
        <v/>
      </c>
      <c r="R48" s="1" t="str">
        <f>IF(A48="","",IF(AND(COUNT($S$69:$S$72)&gt;0,A48=MAX($S$69:$S$72)),"◀ sell-stop floor",IF(AND('Level Engine'!$CW$2=1,ISNUMBER('Level Engine'!$FI$3),ISNUMBER('Level Engine'!$FI$4),A48&gt;=MIN('Level Engine'!$FI$3,'Level Engine'!$FI$4),A48&lt;=MAX('Level Engine'!$FI$3,'Level Engine'!$FI$4)),"◀ support "&amp;'Level Engine'!$CW$9,IF(AND('Level Engine'!$CT$2=1,ISNUMBER('Level Engine'!$FH$3),ISNUMBER('Level Engine'!$FH$4),A48&gt;=MIN('Level Engine'!$FH$3,'Level Engine'!$FH$4),A48&lt;=MAX('Level Engine'!$FH$3,'Level Engine'!$FH$4)),"◀ resistance "&amp;'Level Engine'!$CT$9,""))))</f>
        <v/>
      </c>
      <c r="S48" s="304" t="s">
        <v>33</v>
      </c>
      <c r="T48" s="304" t="s">
        <v>34</v>
      </c>
      <c r="U48" s="305" t="s">
        <v>35</v>
      </c>
      <c r="V48" s="305" t="s">
        <v>36</v>
      </c>
      <c r="W48" s="305" t="s">
        <v>37</v>
      </c>
      <c r="X48" s="305" t="s">
        <v>38</v>
      </c>
      <c r="Y48" s="305" t="s">
        <v>40</v>
      </c>
      <c r="Z48" s="276">
        <f t="shared" si="16"/>
        <v>2961279</v>
      </c>
      <c r="AA48" s="100"/>
      <c r="AB48" s="181">
        <f t="shared" si="4"/>
        <v>387420489</v>
      </c>
      <c r="AC48" s="297">
        <f t="shared" si="5"/>
        <v>19</v>
      </c>
      <c r="AD48" s="297">
        <f t="shared" si="6"/>
        <v>0</v>
      </c>
      <c r="AE48" s="181" t="str">
        <f>IFERROR(LOOKUP(2,1/((ISNUMBER('Level Engine'!$AT$9:$AT$55))*($A48&gt;='Level Engine'!$AT$9:$AT$55)*($A48&lt;='Level Engine'!$AU$9:$AU$41)),'Level Engine'!$BB$9:$BB$55),"")</f>
        <v/>
      </c>
      <c r="AF48" s="218">
        <f t="shared" si="7"/>
        <v>387420489</v>
      </c>
      <c r="AG48" s="10">
        <f t="shared" si="8"/>
        <v>0</v>
      </c>
      <c r="AH48" s="10">
        <f t="shared" si="9"/>
        <v>-302758</v>
      </c>
      <c r="AI48" s="218">
        <f t="shared" si="17"/>
        <v>-6234035</v>
      </c>
      <c r="AL48" s="320" t="s">
        <v>155</v>
      </c>
      <c r="AM48" s="218">
        <f>IFERROR(INDEX('Level Engine'!$AN$9:$AN$55,MATCH(A48,'Level Engine'!$AA$9:$AA$55,0)),0)</f>
        <v>0</v>
      </c>
      <c r="AQ48" s="286">
        <f t="shared" si="10"/>
        <v>3</v>
      </c>
      <c r="AR48" s="286" t="str">
        <f t="shared" si="11"/>
        <v/>
      </c>
      <c r="AS48" s="10" t="str">
        <f t="shared" si="12"/>
        <v/>
      </c>
      <c r="AT48">
        <f t="shared" si="13"/>
        <v>1987754</v>
      </c>
      <c r="AU48" s="298">
        <f t="shared" si="14"/>
        <v>871</v>
      </c>
      <c r="AV48" s="1" t="str">
        <f t="shared" si="15"/>
        <v/>
      </c>
      <c r="AZ48" s="218" t="s">
        <v>156</v>
      </c>
      <c r="BA48" t="s">
        <v>1547</v>
      </c>
    </row>
    <row r="49" spans="1:77" ht="15" customHeight="1" x14ac:dyDescent="0.25">
      <c r="A49" s="287">
        <v>7785</v>
      </c>
      <c r="B49" s="288">
        <v>1617739</v>
      </c>
      <c r="C49" s="289">
        <v>-60487</v>
      </c>
      <c r="D49" s="319">
        <v>381759</v>
      </c>
      <c r="E49" s="319">
        <v>-199877</v>
      </c>
      <c r="F49" s="319">
        <v>-47604</v>
      </c>
      <c r="G49" s="319">
        <v>102</v>
      </c>
      <c r="H49" s="319">
        <v>82</v>
      </c>
      <c r="I49" s="289">
        <v>-296</v>
      </c>
      <c r="J49" s="290" t="str">
        <f t="shared" si="2"/>
        <v/>
      </c>
      <c r="K49" s="291">
        <v>708</v>
      </c>
      <c r="L49" s="292">
        <v>763</v>
      </c>
      <c r="M49" s="292"/>
      <c r="N49" s="312"/>
      <c r="O49" s="313"/>
      <c r="P49" s="294" t="str">
        <f t="shared" si="3"/>
        <v/>
      </c>
      <c r="Q49" s="321" t="str">
        <f>IF(A49="","",IF(AND(A49=MROUND($B$4,5),ISNUMBER(SEARCH("LONG trigger",'GEX Depth'!$C$54))),"Long Trigger",IF(AND(A49=MROUND($B$4,5),ISNUMBER(SEARCH("SHORT trigger",'GEX Depth'!$C$54))),"Short Trigger",IF(OR(COUNTIF($AL$42:$AL$45,A49)&gt;0,OR(AND($AM49=1,A49&gt;$B$4),AND($AM50=1,A50&gt;$B$4)),AND(ISNUMBER('Level Engine'!$CT$3),A49&gt;=MIN('Level Engine'!$CT$3,'Level Engine'!$CT$4),A49&lt;=MAX('Level Engine'!$CT$3,'Level Engine'!$CT$4))),"R",IF(OR(COUNTIF($AL$49:$AL$52,A49)&gt;0,OR(AND($AM49=1,A49&lt;$B$4),AND($AM48=1,A48&lt;$B$4)),AND(ISNUMBER('Level Engine'!$CW$3),A49&gt;=MIN('Level Engine'!$CW$3,'Level Engine'!$CW$4),A49&lt;=MAX('Level Engine'!$CW$3,'Level Engine'!$CW$4))),"S","")))))</f>
        <v>R</v>
      </c>
      <c r="R49" s="1" t="str">
        <f>IF(A49="","",IF(AND(COUNT($S$69:$S$72)&gt;0,A49=MAX($S$69:$S$72)),"◀ sell-stop floor",IF(AND('Level Engine'!$CW$2=1,ISNUMBER('Level Engine'!$FI$3),ISNUMBER('Level Engine'!$FI$4),A49&gt;=MIN('Level Engine'!$FI$3,'Level Engine'!$FI$4),A49&lt;=MAX('Level Engine'!$FI$3,'Level Engine'!$FI$4)),"◀ support "&amp;'Level Engine'!$CW$9,IF(AND('Level Engine'!$CT$2=1,ISNUMBER('Level Engine'!$FH$3),ISNUMBER('Level Engine'!$FH$4),A49&gt;=MIN('Level Engine'!$FH$3,'Level Engine'!$FH$4),A49&lt;=MAX('Level Engine'!$FH$3,'Level Engine'!$FH$4)),"◀ resistance "&amp;'Level Engine'!$CT$9,""))))</f>
        <v/>
      </c>
      <c r="S49" s="307" t="str">
        <f>SUBSTITUTE(IF(((IFERROR(IF($AL49="","",TEXT($AL49,"0")&amp;IF(AND(INDEX('Level Engine'!$AN$9:$AN$55,MATCH($AL49,'Level Engine'!$AA$9:$AA$55,0))=1,IFERROR($AB$20&lt;&gt;$AB$21,FALSE()),$AL49&lt;&gt;$AN$70,IFERROR(INDEX('Level Engine'!$IB$9:$IB$55,MATCH($AL49,'Level Engine'!$AA$9:$AA$55,0)),0)&lt;&gt;1),IF(OR($A$8="Neg",N('Level Engine'!$BG$72)=1),""," (box "&amp;TEXT($AB$20,"0")&amp;"-"&amp;TEXT($AB$21,"0")&amp;")"),"")&amp;IF(AND('Level Engine'!$CW$2=1,ISNUMBER($AL49),$AL49&gt;='Level Engine'!$FI$3,$AL49&lt;='Level Engine'!$FI$4)," ("&amp;'Level Engine'!$CW$9&amp;" "&amp;TEXT('Level Engine'!$FI$3,"0")&amp;"-"&amp;TEXT('Level Engine'!$FI$4,"0")&amp;")","")&amp;IF(IFERROR(INDEX('Level Engine'!$EY$9:$EY$55,MATCH($AL49,'Level Engine'!$AA$9:$AA$55,0)),0)=1," (peak "&amp;TEXT($AL49,"0")&amp;")","")),""))&amp;IF(OR($AL49='Level Engine'!$CP$4,$AL49='Level Engine'!$CP$5,$AL49='Level Engine'!$CP$6,$AL49='Level Engine'!$CP$7)," ☄","")&amp;IF($AL49='Level Engine'!$CP$1," ◆","")&amp;IF(OR($AL49='Level Engine'!$CP$2,$AL49='Level Engine'!$CP$3)," ★","")&amp;IF(AND('Level Engine'!$EL$7=1,$AL49=$D$26)," Ⓕ","")&amp;IF($AL49=$F$24," ⟂","")&amp;IF(IFERROR(INDEX('Level Engine'!$GV$9:$GV$55,MATCH($AL49,'Level Engine'!$AA$9:$AA$55,0)),0)=1," Ⓥ"&amp;IF(IFERROR(INDEX('Level Engine'!$ET$9:$ET$55,MATCH($AL49,'Level Engine'!$AA$9:$AA$55,0)),0)=1,"+",""),"")&amp;IF(AND($AN$70&lt;&gt;"",ISNUMBER($AL49),$AN$70&gt;=IFERROR(IF(ISNUMBER(INDEX('Level Engine'!$AT$9:$AT$55,MATCH($AL49,'Level Engine'!$AA$9:$AA$55,0))),INDEX('Level Engine'!$AT$9:$AT$55,MATCH($AL49,'Level Engine'!$AA$9:$AA$55,0)),$AL49),$AL49),$AN$70&lt;=IFERROR(IF(ISNUMBER(INDEX('Level Engine'!$AU$9:$AU$55,MATCH($AL49,'Level Engine'!$AA$9:$AA$55,0))),INDEX('Level Engine'!$AU$9:$AU$55,MATCH($AL49,'Level Engine'!$AA$9:$AA$55,0)),$AL49),$AL49))," ‹chop edge"&amp;IF($AL49=$AN$70,""," "&amp;TEXT($AN$70,"0"))&amp;"›",""))="","",((IFERROR(IF($AL49="","",TEXT($AL49,"0")&amp;IF(AND(INDEX('Level Engine'!$AN$9:$AN$55,MATCH($AL49,'Level Engine'!$AA$9:$AA$55,0))=1,IFERROR($AB$20&lt;&gt;$AB$21,FALSE()),$AL49&lt;&gt;$AN$70,IFERROR(INDEX('Level Engine'!$IB$9:$IB$55,MATCH($AL49,'Level Engine'!$AA$9:$AA$55,0)),0)&lt;&gt;1),IF(OR($A$8="Neg",N('Level Engine'!$BG$72)=1),""," (box "&amp;TEXT($AB$20,"0")&amp;"-"&amp;TEXT($AB$21,"0")&amp;")"),"")&amp;IF(AND('Level Engine'!$CW$2=1,ISNUMBER($AL49),$AL49&gt;='Level Engine'!$FI$3,$AL49&lt;='Level Engine'!$FI$4)," ("&amp;'Level Engine'!$CW$9&amp;" "&amp;TEXT('Level Engine'!$FI$3,"0")&amp;"-"&amp;TEXT('Level Engine'!$FI$4,"0")&amp;")","")&amp;IF(IFERROR(INDEX('Level Engine'!$EY$9:$EY$55,MATCH($AL49,'Level Engine'!$AA$9:$AA$55,0)),0)=1," (peak "&amp;TEXT($AL49,"0")&amp;")","")),""))&amp;IF(OR($AL49='Level Engine'!$CP$4,$AL49='Level Engine'!$CP$5,$AL49='Level Engine'!$CP$6,$AL49='Level Engine'!$CP$7)," ☄","")&amp;IF($AL49='Level Engine'!$CP$1," ◆","")&amp;IF(OR($AL49='Level Engine'!$CP$2,$AL49='Level Engine'!$CP$3)," ★","")&amp;IF(AND('Level Engine'!$EL$7=1,$AL49=$D$26)," Ⓕ","")&amp;IF($AL49=$F$24," ⟂","")&amp;IF(IFERROR(INDEX('Level Engine'!$GV$9:$GV$55,MATCH($AL49,'Level Engine'!$AA$9:$AA$55,0)),0)=1," Ⓥ"&amp;IF(IFERROR(INDEX('Level Engine'!$ET$9:$ET$55,MATCH($AL49,'Level Engine'!$AA$9:$AA$55,0)),0)=1,"+",""),"")&amp;IF(AND($AN$70&lt;&gt;"",ISNUMBER($AL49),$AN$70&gt;=IFERROR(IF(ISNUMBER(INDEX('Level Engine'!$AT$9:$AT$55,MATCH($AL49,'Level Engine'!$AA$9:$AA$55,0))),INDEX('Level Engine'!$AT$9:$AT$55,MATCH($AL49,'Level Engine'!$AA$9:$AA$55,0)),$AL49),$AL49),$AN$70&lt;=IFERROR(IF(ISNUMBER(INDEX('Level Engine'!$AU$9:$AU$55,MATCH($AL49,'Level Engine'!$AA$9:$AA$55,0))),INDEX('Level Engine'!$AU$9:$AU$55,MATCH($AL49,'Level Engine'!$AA$9:$AA$55,0)),$AL49),$AL49))," ‹chop edge"&amp;IF($AL49=$AN$70,""," "&amp;TEXT($AN$70,"0"))&amp;"›",""))),"(shelf ","(ladder ")</f>
        <v>7775 (wall 7770-7780) ‹chop edge›</v>
      </c>
      <c r="T49" s="314">
        <f>IF($AL49="","",$AL49-$B$4)</f>
        <v>-0.39000000000032742</v>
      </c>
      <c r="U49" s="308">
        <f>IF($AL49="","",IFERROR(INDEX($C$29:$C$75,MATCH($AL49,$A$29:$A$75,0)),0))</f>
        <v>-49207</v>
      </c>
      <c r="V49" s="308" t="str">
        <f>IF($AL49="","",TRIM(SUBSTITUTE(SUBSTITUTE(SUBSTITUTE(SUBSTITUTE(SUBSTITUTE(SUBSTITUTE(SUBSTITUTE(SUBSTITUTE(SUBSTITUTE(SUBSTITUTE(SUBSTITUTE(SUBSTITUTE(" "&amp;(IF(IFERROR(OR(INDEX('Level Engine'!$GK$9:$GK$55,MATCH($AL49,'Level Engine'!$AA$9:$AA$55,0))=1,AND(INDEX('Level Engine'!$GK$9:$GK$55,MATCH($AL49,'Level Engine'!$AA$9:$AA$55,0))="",INDEX('Level Engine'!$AH$9:$AH$55,MATCH($AL49,'Level Engine'!$AA$9:$AA$55,0))&lt;&gt;"",INDEX('Level Engine'!$AH$9:$AH$55,MATCH($AL49,'Level Engine'!$AA$9:$AA$55,0))&lt;='Level Engine'!$GL$2)),FALSE),"Gam ","")&amp;IF(IFERROR(OR(AND(INDEX('Level Engine'!$AG$9:$AG$55,MATCH($AL49,'Level Engine'!$AA$9:$AA$55,0))="R",INDEX('Level Engine'!$JV$9:$JV$55,MATCH($AL49,'Level Engine'!$AA$9:$AA$55,0))="SELL"),AND(INDEX('Level Engine'!$AG$9:$AG$55,MATCH($AL49,'Level Engine'!$AA$9:$AA$55,0))="S",INDEX('Level Engine'!$JV$9:$JV$55,MATCH($AL49,'Level Engine'!$AA$9:$AA$55,0))="BUY")),FALSE),"Vex ","")&amp;IF(IFERROR(AND(INDEX('Level Engine'!$AK$9:$AK$55,MATCH($AL49,'Level Engine'!$AA$9:$AA$55,0))=1,OR(AND(INDEX('Level Engine'!$AG$9:$AG$55,MATCH($AL49,'Level Engine'!$AA$9:$AA$55,0))="R",INDEX('Level Engine'!$AE$9:$AE$55,MATCH($AL49,'Level Engine'!$AA$9:$AA$55,0))&lt;0),AND(INDEX('Level Engine'!$AG$9:$AG$55,MATCH($AL49,'Level Engine'!$AA$9:$AA$55,0))="S",INDEX('Level Engine'!$AE$9:$AE$55,MATCH($AL49,'Level Engine'!$AA$9:$AA$55,0))&gt;0))),FALSE),"Dex ","")&amp;IF(IFERROR(INDEX('Level Engine'!$LA$9:$LA$55,MATCH($AL49,'Level Engine'!$AA$9:$AA$55,0))=1,FALSE),"Zom ","")&amp;IF(IFERROR(INDEX('Level Engine'!$BA$9:$BA$55,MATCH($AL49,'Level Engine'!$AA$9:$AA$55,0))=1,FALSE),"Spd ","")&amp;IFERROR(INDEX('Level Engine'!$LK$9:$LK$55,MATCH($AL49,'Level Engine'!$AA$9:$AA$55,0)),"")&amp;IF(IFERROR(INDEX('Level Engine'!$LR$9:$LR$55,MATCH($AL49,'Level Engine'!$AA$9:$AA$55,0))=1,FALSE),"SAND ","")&amp;IF(IFERROR(INDEX('Level Engine'!$AJ$9:$AJ$55,MATCH($AL49,'Level Engine'!$AA$9:$AA$55,0))=1,FALSE),"Dex↓ ","")&amp;IF(IFERROR(AND(INDEX('Level Engine'!$AV$9:$AV$55,MATCH($AL49,'Level Engine'!$AA$9:$AA$55,0))=1,INDEX('Level Engine'!$KG$9:$KG$55,MATCH($AL49,'Level Engine'!$AA$9:$AA$55,0))&lt;&gt;1),FALSE),"iDex ","")&amp;IF(IFERROR(INDEX('Level Engine'!$KG$9:$KG$55,MATCH($AL49,'Level Engine'!$AA$9:$AA$55,0))=1,FALSE),"gDex ","")&amp;IF(IFERROR(OR(INDEX('Level Engine'!$BD$9:$BD$55,MATCH($AL49,'Level Engine'!$AA$9:$AA$55,0))=1,INDEX('Level Engine'!$GZ$9:$GZ$55,MATCH($AL49,'Level Engine'!$AA$9:$AA$55,0))=1,AND(INDEX('Level Engine'!$GY$9:$GY$55,MATCH($AL49,'Level Engine'!$AA$9:$AA$55,0))=1,'King Node Model'!$A$8="Pos")),FALSE),"γSh ","")&amp;IF(IFERROR(OR(INDEX('Level Engine'!$JX$9:$JX$55,MATCH($AL49,'Level Engine'!$AA$9:$AA$55,0))=1,INDEX('Level Engine'!$JX$9:$JX$55,MATCH($AL49,'Level Engine'!$AA$9:$AA$55,0))=1),FALSE),"Zsh ","")&amp;IF(IFERROR(INDEX('Level Engine'!$BI$9:$BI$55,MATCH($AL49,'Level Engine'!$AA$9:$AA$55,0))=1,FALSE),"Vxi ","")&amp;IF(IFERROR(INDEX('Level Engine'!$BJ$9:$BJ$55,MATCH($AL49,'Level Engine'!$AA$9:$AA$55,0))=1,FALSE),"Spi ","")&amp;IF(IFERROR(INDEX('Level Engine'!$BO$9:$BO$55,MATCH($AL49,'Level Engine'!$AA$9:$AA$55,0))=1,FALSE),"Vgf ","")&amp;IF(IFERROR(INDEX('Level Engine'!$BX$9:$BX$55,MATCH($AL49,'Level Engine'!$AA$9:$AA$55,0))=1,FALSE),"Gxp ","")&amp;IF(IFERROR(INDEX('Level Engine'!$BY$9:$BY$55,MATCH($AL49,'Level Engine'!$AA$9:$AA$55,0))=1,FALSE),"Gfx ","")&amp;IF(IFERROR(INDEX('Level Engine'!$CB$9:$CB$55,MATCH($AL49,'Level Engine'!$AA$9:$AA$55,0))=1,FALSE),"ZG ","")&amp;IF(IFERROR(INDEX('Level Engine'!$CZ$9:$CZ$55,MATCH($AL49,'Level Engine'!$AA$9:$AA$55,0))=1,FALSE),"dEdge ","")&amp;IF(IFERROR(INDEX('Level Engine'!$DS$9:$DS$55,MATCH($AL49,'Level Engine'!$AA$9:$AA$55,0))=1,FALSE),"oEdge ","")&amp;IF(IFERROR(INDEX('Level Engine'!$JD$9:$JD$55,MATCH($AL49,'Level Engine'!$AA$9:$AA$55,0)),"")="P","P-OI ",IF(IFERROR(INDEX('Level Engine'!$JD$9:$JD$55,MATCH($AL49,'Level Engine'!$AA$9:$AA$55,0)),"")="C","C-OI ","")))&amp;" ",IF(IFERROR(INDEX('Level Engine'!$KK$9:$KK$55,MATCH($AL49,'Level Engine'!$AA$9:$AA$55,0)),0)=1," Dex↓ ",CHAR(1))," "),IF(IFERROR(INDEX('Level Engine'!$KK$9:$KK$55,MATCH($AL49,'Level Engine'!$AA$9:$AA$55,0)),0)=1," γSh ",CHAR(1))," "),IF(IFERROR(INDEX('Level Engine'!$KK$9:$KK$55,MATCH($AL49,'Level Engine'!$AA$9:$AA$55,0)),0)=1," Zsh ",CHAR(1))," "),IF(IFERROR(INDEX('Level Engine'!$KK$9:$KK$55,MATCH($AL49,'Level Engine'!$AA$9:$AA$55,0)),0)=1," dEdge ",CHAR(1))," "),IF(IFERROR(INDEX('Level Engine'!$KK$9:$KK$55,MATCH($AL49,'Level Engine'!$AA$9:$AA$55,0)),0)=1," oEdge ",CHAR(1))," "),IF(IFERROR(INDEX('Level Engine'!$KK$9:$KK$55,MATCH($AL49,'Level Engine'!$AA$9:$AA$55,0)),0)=1," iDex ",CHAR(1))," "),IF(IFERROR(INDEX('Level Engine'!$KK$9:$KK$55,MATCH($AL49,'Level Engine'!$AA$9:$AA$55,0)),0)=1," gDex ",CHAR(1))," "),IF(IFERROR(INDEX('Level Engine'!$KK$9:$KK$55,MATCH($AL49,'Level Engine'!$AA$9:$AA$55,0)),0)=1," Vxi ",CHAR(1))," "),IF(IFERROR(INDEX('Level Engine'!$KK$9:$KK$55,MATCH($AL49,'Level Engine'!$AA$9:$AA$55,0)),0)=1," Spi ",CHAR(1))," "),IF(IFERROR(INDEX('Level Engine'!$KJ$9:$KJ$55,MATCH($AL49,'Level Engine'!$AA$9:$AA$55,0)),0)=1," Gxp ",CHAR(1))," "),IF(IFERROR(INDEX('Level Engine'!$KL$9:$KL$55,MATCH($AL49,'Level Engine'!$AA$9:$AA$55,0)),0)=1," P-OI ",CHAR(1))," "),IF(IFERROR(INDEX('Level Engine'!$KL$9:$KL$55,MATCH($AL49,'Level Engine'!$AA$9:$AA$55,0)),0)=1," C-OI ",CHAR(1))," ")))</f>
        <v>iDex Vgf ZG dEdge C-OI</v>
      </c>
      <c r="W49" s="308">
        <f>IF($AL49="","",IFERROR(INDEX('Level Engine'!$AM$9:$AM$55,MATCH($AL49,'Level Engine'!$AA$9:$AA$55,0)),""))</f>
        <v>5</v>
      </c>
      <c r="X49" s="308" t="str">
        <f>IF($AL49="","","STRUCT · "&amp;IFERROR(IF(AND(INDEX('Level Engine'!$AX$9:$AX$55,MATCH($AL49,'Level Engine'!$AA$9:$AA$55,0))=1,'Level Engine'!$D$5="DOWN"),"VOMMA BID","stable"),"stable")&amp;IFERROR(IF(INDEX('Level Engine'!$CG$9:$CG$55,MATCH($AL49,'Level Engine'!$AA$9:$AA$55,0))="","", " · "&amp;INDEX('Level Engine'!$CG$9:$CG$55,MATCH($AL49,'Level Engine'!$AA$9:$AA$55,0))),""))</f>
        <v>STRUCT · stable</v>
      </c>
      <c r="Y49" s="308" t="str">
        <f>IF(ISNUMBER($U49),IF(OR($AX49=1,AND($AL49='Level Engine'!$BG$28,$S$52&lt;&gt;"")),"⚡ ⊙ PIN"&amp;IF(AND($AL49&lt;&gt;"",$AL49='Master Dashboard'!$AN$37)," ‹nearest›",""),(IF(NOT(ISNUMBER($U49)),"",IF(AND(IFERROR(INDEX('Level Engine'!$AN$9:$AN$55,MATCH($AL49,'Level Engine'!$AA$9:$AA$55,0)),0)=1,$AX49&lt;&gt;1),IF(IF(IFERROR(INDEX('Level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"&amp;IF(ABS($U49)&gt;=ABS(IFERROR(INDEX($C$29:$C$75,MATCH($AL49+5,$A$29:$A$75,0)),0)),"accelerates","slows"),"")="","REVERSAL"&amp;IF(AND($AC$24,($AL49&gt;$B$4)=($B$23&gt;$B$4),ABS($B$23-$B$4)&lt;ABS($AL49-$B$4))," → "&amp;TEXT($B$23,"0"),""),"REVERSAL"&amp;IF(AND($AC$24,($AL49&gt;$B$4)=($B$23&gt;$B$4),ABS($B$23-$B$4)&lt;ABS($AL49-$B$4))," → "&amp;TEXT($B$23,"0"),"")&amp;" · "&amp;IF(IFERROR(INDEX('Level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"&amp;IF(ABS($U49)&gt;=ABS(IFERROR(INDEX($C$29:$C$75,MATCH($AL49+5,$A$29:$A$75,0)),0)),"accelerates","slows"),"")))&amp;IF(AND(ISNUMBER($U49),AND(IFERROR(INDEX('Level Engine'!$AN$9:$AN$55,MATCH($AL49,'Level Engine'!$AA$9:$AA$55,0)),0)=1,$AX49&lt;&gt;1)),"","")&amp;IF($AX49=1,CHAR(10)&amp;"⊙ PIN","")&amp;IF(AND($AL49&lt;&gt;"",$AL49='Master Dashboard'!$AN$37)," ‹nearest›",""))),(IF(NOT(ISNUMBER($U49)),"",IF(AND(IFERROR(INDEX('Level Engine'!$AN$9:$AN$55,MATCH($AL49,'Level Engine'!$AA$9:$AA$55,0)),0)=1,$AX49&lt;&gt;1),IF(IF(IFERROR(INDEX('Level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"&amp;IF(ABS($U49)&gt;=ABS(IFERROR(INDEX($C$29:$C$75,MATCH($AL49+5,$A$29:$A$75,0)),0)),"accelerates","slows"),"")="","REVERSAL"&amp;IF(AND($AC$24,($AL49&gt;$B$4)=($B$23&gt;$B$4),ABS($B$23-$B$4)&lt;ABS($AL49-$B$4))," → "&amp;TEXT($B$23,"0"),""),"REVERSAL"&amp;IF(AND($AC$24,($AL49&gt;$B$4)=($B$23&gt;$B$4),ABS($B$23-$B$4)&lt;ABS($AL49-$B$4))," → "&amp;TEXT($B$23,"0"),"")&amp;" · "&amp;IF(IFERROR(INDEX('Level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"&amp;IF(ABS($U49)&gt;=ABS(IFERROR(INDEX($C$29:$C$75,MATCH($AL49+5,$A$29:$A$75,0)),0)),"accelerates","slows"),"")))&amp;IF(AND(ISNUMBER($U49),AND(IFERROR(INDEX('Level Engine'!$AN$9:$AN$55,MATCH($AL49,'Level Engine'!$AA$9:$AA$55,0)),0)=1,$AX49&lt;&gt;1)),"","")&amp;IF($AX49=1,CHAR(10)&amp;"⊙ PIN","")&amp;IF(AND($AL49&lt;&gt;"",$AL49='Master Dashboard'!$AN$37)," ‹nearest›","")))&amp;IF(IFERROR(INDEX('Level Engine'!$GV$9:$GV$55,MATCH($AL49,'Level Engine'!$AA$9:$AA$55,0)),0)=1,CHAR(10)&amp;"Ⓥ vol-bounce"&amp;IF(IFERROR(INDEX('Level Engine'!$ET$9:$ET$55,MATCH($AL49,'Level Engine'!$AA$9:$AA$55,0)),0)=1," · sharp",""),"")</f>
        <v>REVERSAL · dEdge Cliff · slows ‹nearest›</v>
      </c>
      <c r="Z49" s="276">
        <f t="shared" si="16"/>
        <v>2900792</v>
      </c>
      <c r="AA49" s="100"/>
      <c r="AB49" s="181">
        <f t="shared" si="4"/>
        <v>387420489</v>
      </c>
      <c r="AC49" s="297">
        <f t="shared" si="5"/>
        <v>21</v>
      </c>
      <c r="AD49" s="297">
        <f t="shared" si="6"/>
        <v>0</v>
      </c>
      <c r="AE49" s="181" t="str">
        <f>IFERROR(LOOKUP(2,1/((ISNUMBER('Level Engine'!$AT$9:$AT$55))*($A49&gt;='Level Engine'!$AT$9:$AT$55)*($A49&lt;='Level Engine'!$AU$9:$AU$41)),'Level Engine'!$BB$9:$BB$55),"")</f>
        <v/>
      </c>
      <c r="AF49" s="218">
        <f t="shared" si="7"/>
        <v>387420489</v>
      </c>
      <c r="AG49" s="10">
        <f t="shared" si="8"/>
        <v>0</v>
      </c>
      <c r="AH49" s="10">
        <f t="shared" si="9"/>
        <v>-60487</v>
      </c>
      <c r="AI49" s="218">
        <f t="shared" si="17"/>
        <v>-6433912</v>
      </c>
      <c r="AJ49" s="33">
        <f>IF($S49="","",IFERROR(INDEX('Level Engine'!$DI$9:$DI$55,MATCH($AL49,'Level Engine'!$AA$9:$AA$55,0)),""))</f>
        <v>1</v>
      </c>
      <c r="AK49" s="33">
        <f>IF($S49="","",IFERROR(INDEX('Level Engine'!$DJ$9:$DJ$55,MATCH($AL49,'Level Engine'!$AA$9:$AA$55,0)),""))</f>
        <v>1</v>
      </c>
      <c r="AL49" s="32">
        <f>IF($BT$49&lt;&gt;"",$BT$49,$BU$49)</f>
        <v>7775</v>
      </c>
      <c r="AM49" s="218">
        <f>IFERROR(INDEX('Level Engine'!$AN$9:$AN$55,MATCH(A49,'Level Engine'!$AA$9:$AA$55,0)),0)</f>
        <v>0</v>
      </c>
      <c r="AQ49" s="286">
        <f t="shared" si="10"/>
        <v>2</v>
      </c>
      <c r="AR49" s="286" t="str">
        <f t="shared" si="11"/>
        <v/>
      </c>
      <c r="AS49" s="10" t="str">
        <f t="shared" si="12"/>
        <v/>
      </c>
      <c r="AT49">
        <f t="shared" si="13"/>
        <v>1617739</v>
      </c>
      <c r="AU49" s="298">
        <f t="shared" si="14"/>
        <v>708</v>
      </c>
      <c r="AV49" s="1" t="str">
        <f t="shared" si="15"/>
        <v/>
      </c>
      <c r="AX49" t="str">
        <f>IF(AND($AL49=$B$23,$AC$24),1,"")</f>
        <v/>
      </c>
      <c r="AZ49" s="218">
        <f>IF(OR(ISNUMBER(SEARCH("Choppy",$S$38)),$S$52&lt;&gt;"",ISNUMBER($AN$70)),IF(AND(IF($AN$70&lt;&gt;"",$AN$70,$T$28)&lt;&gt;"-",ISNUMBER(IF($AN$70&lt;&gt;"",$AN$70,$T$28)),IF($AN$70&lt;&gt;"",$AN$70,$T$28)&lt;$B$4),IF($AN$70&lt;&gt;"",$AN$70,$T$28),IF(AND(ISNUMBER('Level Engine'!$W$18),'Level Engine'!$W$18&lt;$B$4,IFERROR(INDEX('Level Engine'!$CV$9:$CV$55,MATCH('Level Engine'!$W$18,'Level Engine'!$AA$9:$AA$55,0)),0)=1),'Level Engine'!$W$18,IF(AND(ISNUMBER('Level Engine'!$W$19),'Level Engine'!$W$19&lt;$B$4,IFERROR(INDEX('Level Engine'!$CV$9:$CV$55,MATCH('Level Engine'!$W$19,'Level Engine'!$AA$9:$AA$55,0)),0)=1),'Level Engine'!$W$19,IF(AND(ISNUMBER('Level Engine'!$W$20),'Level Engine'!$W$20&lt;$B$4,IFERROR(INDEX('Level Engine'!$CV$9:$CV$55,MATCH('Level Engine'!$W$20,'Level Engine'!$AA$9:$AA$55,0)),0)=1),'Level Engine'!$W$20,IF(AND(ISNUMBER('Level Engine'!$W$21),'Level Engine'!$W$21&lt;$B$4,IFERROR(INDEX('Level Engine'!$CV$9:$CV$55,MATCH('Level Engine'!$W$21,'Level Engine'!$AA$9:$AA$55,0)),0)=1),'Level Engine'!$W$21,IF(AND(ISNUMBER('Level Engine'!$W$22),'Level Engine'!$W$22&lt;$B$4,IFERROR(INDEX('Level Engine'!$CV$9:$CV$55,MATCH('Level Engine'!$W$22,'Level Engine'!$AA$9:$AA$55,0)),0)=1),'Level Engine'!$W$22,IF(AND(ISNUMBER('Level Engine'!$W$23),'Level Engine'!$W$23&lt;$B$4,IFERROR(INDEX('Level Engine'!$CV$9:$CV$55,MATCH('Level Engine'!$W$23,'Level Engine'!$AA$9:$AA$55,0)),0)=1),'Level Engine'!$W$23,""))))))),IF(AND(ISNUMBER('Level Engine'!$W$18),'Level Engine'!$W$18&lt;$B$4,IFERROR(INDEX('Level Engine'!$CV$9:$CV$55,MATCH('Level Engine'!$W$18,'Level Engine'!$AA$9:$AA$55,0)),0)=1),'Level Engine'!$W$18,IF(AND(ISNUMBER('Level Engine'!$W$19),'Level Engine'!$W$19&lt;$B$4,IFERROR(INDEX('Level Engine'!$CV$9:$CV$55,MATCH('Level Engine'!$W$19,'Level Engine'!$AA$9:$AA$55,0)),0)=1),'Level Engine'!$W$19,IF(AND(ISNUMBER('Level Engine'!$W$20),'Level Engine'!$W$20&lt;$B$4,IFERROR(INDEX('Level Engine'!$CV$9:$CV$55,MATCH('Level Engine'!$W$20,'Level Engine'!$AA$9:$AA$55,0)),0)=1),'Level Engine'!$W$20,IF(AND(ISNUMBER('Level Engine'!$W$21),'Level Engine'!$W$21&lt;$B$4,IFERROR(INDEX('Level Engine'!$CV$9:$CV$55,MATCH('Level Engine'!$W$21,'Level Engine'!$AA$9:$AA$55,0)),0)=1),'Level Engine'!$W$21,IF(AND(ISNUMBER('Level Engine'!$W$22),'Level Engine'!$W$22&lt;$B$4,IFERROR(INDEX('Level Engine'!$CV$9:$CV$55,MATCH('Level Engine'!$W$22,'Level Engine'!$AA$9:$AA$55,0)),0)=1),'Level Engine'!$W$22,IF(AND(ISNUMBER('Level Engine'!$W$23),'Level Engine'!$W$23&lt;$B$4,IFERROR(INDEX('Level Engine'!$CV$9:$CV$55,MATCH('Level Engine'!$W$23,'Level Engine'!$AA$9:$AA$55,0)),0)=1),'Level Engine'!$W$23,"")))))))</f>
        <v>7775</v>
      </c>
      <c r="BA49">
        <f>IFERROR(IF(SUMPRODUCT((('Level Engine'!$E$18:$E$23="REVERSAL")*((('Level Engine'!$F$18:$F$23="stable")+('Level Engine'!$F$18:$F$23="VOMMA BID"))&gt;0)))&gt;=1,SUMPRODUCT((('Level Engine'!$E$18:$E$23="REVERSAL")*((('Level Engine'!$F$18:$F$23="stable")+('Level Engine'!$F$18:$F$23="VOMMA BID"))&gt;0))*(ABS('Level Engine'!$W$18:$W$23-$B$4)=$BN$49)*'Level Engine'!$W$18:$W$23),""),"")</f>
        <v>7775</v>
      </c>
      <c r="BB49" t="str">
        <f>IF($BA49="","",IFERROR(INDEX('Level Engine'!$A$18:$A$23,MATCH($BA49,'Level Engine'!$W$18:$W$23,0)),""))</f>
        <v>7775</v>
      </c>
      <c r="BC49">
        <f>IF($BA49="","",IFERROR(INDEX('Level Engine'!$B$18:$B$23,MATCH($BA49,'Level Engine'!$W$18:$W$23,0)),""))</f>
        <v>-49207</v>
      </c>
      <c r="BD49" t="str">
        <f>IF($BA49="","",IFERROR(INDEX('Level Engine'!$C$18:$C$23,MATCH($BA49,'Level Engine'!$W$18:$W$23,0)),""))</f>
        <v>iDex Vgf ZG dEdge C-OI</v>
      </c>
      <c r="BE49">
        <f>IF($BA49="","",IFERROR(INDEX('Level Engine'!$D$18:$D$23,MATCH($BA49,'Level Engine'!$W$18:$W$23,0)),""))</f>
        <v>5</v>
      </c>
      <c r="BF49" t="str">
        <f>IF($BA49="","",IFERROR(INDEX('Level Engine'!$E$18:$E$23,MATCH($BA49,'Level Engine'!$W$18:$W$23,0)),""))</f>
        <v>REVERSAL</v>
      </c>
      <c r="BH49" t="str">
        <f>IF($BA49="","",IFERROR(INDEX('Level Engine'!$F$18:$F$23,MATCH($BA49,'Level Engine'!$W$18:$W$23,0)),""))</f>
        <v>stable</v>
      </c>
      <c r="BN49">
        <f t="array" ref="BN49">MIN(IF((('Level Engine'!$E$18:$E$23="REVERSAL")*((('Level Engine'!$F$18:$F$23="stable")+('Level Engine'!$F$18:$F$23="VOMMA BID"))&gt;0))=1,ABS('Level Engine'!$W$18:$W$23-$B$4)))</f>
        <v>0.39000000000032742</v>
      </c>
      <c r="BO49" t="str">
        <f>IF(AND($BA49=$B$23,$AC$24),1,"")</f>
        <v/>
      </c>
      <c r="BP49" t="str">
        <f>IF(ISNUMBER($BC49),IF(OR($BO49=1,AND($BA49='Level Engine'!$BG$28,$S$52&lt;&gt;"")),"⚡ ⊙ PIN"&amp;IF(AND($BA49&lt;&gt;"",$BA49='Master Dashboard'!$AN$37)," ‹nearest›",""),(IF(NOT(ISNUMBER($BC49)),"",IF(AND(IFERROR(INDEX('Level Engine'!$AN$9:$AN$55,MATCH($BA49,'Level Engine'!$AA$9:$AA$55,0)),0)=1,$BO49&lt;&gt;1),IF(IF(IFERROR(INDEX('Level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"&amp;IF(ABS($BC49)&gt;=ABS(IFERROR(INDEX($C$29:$C$75,MATCH($BA49+5,$A$29:$A$75,0)),0)),"accelerates","slows"),"")="","REVERSAL"&amp;IF(AND($AC$24,($BA49&gt;$B$4)=($B$23&gt;$B$4),ABS($B$23-$B$4)&lt;ABS($BA49-$B$4))," → "&amp;TEXT($B$23,"0"),""),"REVERSAL"&amp;IF(AND($AC$24,($BA49&gt;$B$4)=($B$23&gt;$B$4),ABS($B$23-$B$4)&lt;ABS($BA49-$B$4))," → "&amp;TEXT($B$23,"0"),"")&amp;" · "&amp;IF(IFERROR(INDEX('Level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"&amp;IF(ABS($BC49)&gt;=ABS(IFERROR(INDEX($C$29:$C$75,MATCH($BA49+5,$A$29:$A$75,0)),0)),"accelerates","slows"),"")))&amp;IF(AND(ISNUMBER($BC49),AND(IFERROR(INDEX('Level Engine'!$AN$9:$AN$55,MATCH($BA49,'Level Engine'!$AA$9:$AA$55,0)),0)=1,$BO49&lt;&gt;1)),"","")&amp;IF($BO49=1,CHAR(10)&amp;"⊙ PIN","")&amp;IF(AND($BA49&lt;&gt;"",$BA49='Master Dashboard'!$AN$37)," ‹nearest›",""))),(IF(NOT(ISNUMBER($BC49)),"",IF(AND(IFERROR(INDEX('Level Engine'!$AN$9:$AN$55,MATCH($BA49,'Level Engine'!$AA$9:$AA$55,0)),0)=1,$BO49&lt;&gt;1),IF(IF(IFERROR(INDEX('Level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"&amp;IF(ABS($BC49)&gt;=ABS(IFERROR(INDEX($C$29:$C$75,MATCH($BA49+5,$A$29:$A$75,0)),0)),"accelerates","slows"),"")="","REVERSAL"&amp;IF(AND($AC$24,($BA49&gt;$B$4)=($B$23&gt;$B$4),ABS($B$23-$B$4)&lt;ABS($BA49-$B$4))," → "&amp;TEXT($B$23,"0"),""),"REVERSAL"&amp;IF(AND($AC$24,($BA49&gt;$B$4)=($B$23&gt;$B$4),ABS($B$23-$B$4)&lt;ABS($BA49-$B$4))," → "&amp;TEXT($B$23,"0"),"")&amp;" · "&amp;IF(IFERROR(INDEX('Level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"&amp;IF(ABS($BC49)&gt;=ABS(IFERROR(INDEX($C$29:$C$75,MATCH($BA49+5,$A$29:$A$75,0)),0)),"accelerates","slows"),"")))&amp;IF(AND(ISNUMBER($BC49),AND(IFERROR(INDEX('Level Engine'!$AN$9:$AN$55,MATCH($BA49,'Level Engine'!$AA$9:$AA$55,0)),0)=1,$BO49&lt;&gt;1)),"","")&amp;IF($BO49=1,CHAR(10)&amp;"⊙ PIN","")&amp;IF(AND($BA49&lt;&gt;"",$BA49='Master Dashboard'!$AN$37)," ‹nearest›","")))&amp;IF(IFERROR(INDEX('Level Engine'!$GV$9:$GV$55,MATCH($BA49,'Level Engine'!$AA$9:$AA$55,0)),0)=1,CHAR(10)&amp;"Ⓥ vol-bounce"&amp;IF(IFERROR(INDEX('Level Engine'!$ET$9:$ET$55,MATCH($BA49,'Level Engine'!$AA$9:$AA$55,0)),0)=1," · sharp",""),"")</f>
        <v>REVERSAL · dEdge Cliff · slows ‹nearest›</v>
      </c>
      <c r="BQ49" t="str">
        <f>IF($BA49="","",TRIM(SUBSTITUTE(SUBSTITUTE(SUBSTITUTE(SUBSTITUTE(SUBSTITUTE(SUBSTITUTE(SUBSTITUTE(SUBSTITUTE(SUBSTITUTE(SUBSTITUTE(SUBSTITUTE(SUBSTITUTE(" "&amp;(IF(IFERROR(OR(INDEX('Level Engine'!$GK$9:$GK$55,MATCH($BA49,'Level Engine'!$AA$9:$AA$55,0))=1,AND(INDEX('Level Engine'!$GK$9:$GK$55,MATCH($BA49,'Level Engine'!$AA$9:$AA$55,0))="",INDEX('Level Engine'!$AH$9:$AH$55,MATCH($BA49,'Level Engine'!$AA$9:$AA$55,0))&lt;&gt;"",INDEX('Level Engine'!$AH$9:$AH$55,MATCH($BA49,'Level Engine'!$AA$9:$AA$55,0))&lt;='Level Engine'!$GL$2)),FALSE),"Gam ","")&amp;IF(IFERROR(OR(AND(INDEX('Level Engine'!$AG$9:$AG$55,MATCH($BA49,'Level Engine'!$AA$9:$AA$55,0))="R",INDEX('Level Engine'!$JV$9:$JV$55,MATCH($BA49,'Level Engine'!$AA$9:$AA$55,0))="SELL"),AND(INDEX('Level Engine'!$AG$9:$AG$55,MATCH($BA49,'Level Engine'!$AA$9:$AA$55,0))="S",INDEX('Level Engine'!$JV$9:$JV$55,MATCH($BA49,'Level Engine'!$AA$9:$AA$55,0))="BUY")),FALSE),"Vex ","")&amp;IF(IFERROR(AND(INDEX('Level Engine'!$AK$9:$AK$55,MATCH($BA49,'Level Engine'!$AA$9:$AA$55,0))=1,OR(AND(INDEX('Level Engine'!$AG$9:$AG$55,MATCH($BA49,'Level Engine'!$AA$9:$AA$55,0))="R",INDEX('Level Engine'!$AE$9:$AE$55,MATCH($BA49,'Level Engine'!$AA$9:$AA$55,0))&lt;0),AND(INDEX('Level Engine'!$AG$9:$AG$55,MATCH($BA49,'Level Engine'!$AA$9:$AA$55,0))="S",INDEX('Level Engine'!$AE$9:$AE$55,MATCH($BA49,'Level Engine'!$AA$9:$AA$55,0))&gt;0))),FALSE),"Dex ","")&amp;IF(IFERROR(INDEX('Level Engine'!$LA$9:$LA$55,MATCH($BA49,'Level Engine'!$AA$9:$AA$55,0))=1,FALSE),"Zom ","")&amp;IF(IFERROR(INDEX('Level Engine'!$BA$9:$BA$55,MATCH($BA49,'Level Engine'!$AA$9:$AA$55,0))=1,FALSE),"Spd ","")&amp;IFERROR(INDEX('Level Engine'!$LK$9:$LK$55,MATCH($BA49,'Level Engine'!$AA$9:$AA$55,0)),"")&amp;IF(IFERROR(INDEX('Level Engine'!$LR$9:$LR$55,MATCH($BA49,'Level Engine'!$AA$9:$AA$55,0))=1,FALSE),"SAND ","")&amp;IF(IFERROR(INDEX('Level Engine'!$AJ$9:$AJ$55,MATCH($BA49,'Level Engine'!$AA$9:$AA$55,0))=1,FALSE),"Dex↓ ","")&amp;IF(IFERROR(AND(INDEX('Level Engine'!$AV$9:$AV$55,MATCH($BA49,'Level Engine'!$AA$9:$AA$55,0))=1,INDEX('Level Engine'!$KG$9:$KG$55,MATCH($BA49,'Level Engine'!$AA$9:$AA$55,0))&lt;&gt;1),FALSE),"iDex ","")&amp;IF(IFERROR(INDEX('Level Engine'!$KG$9:$KG$55,MATCH($BA49,'Level Engine'!$AA$9:$AA$55,0))=1,FALSE),"gDex ","")&amp;IF(IFERROR(OR(INDEX('Level Engine'!$BD$9:$BD$55,MATCH($BA49,'Level Engine'!$AA$9:$AA$55,0))=1,INDEX('Level Engine'!$GZ$9:$GZ$55,MATCH($BA49,'Level Engine'!$AA$9:$AA$55,0))=1,AND(INDEX('Level Engine'!$GY$9:$GY$55,MATCH($BA49,'Level Engine'!$AA$9:$AA$55,0))=1,'King Node Model'!$A$8="Pos")),FALSE),"γSh ","")&amp;IF(IFERROR(OR(INDEX('Level Engine'!$JX$9:$JX$55,MATCH($BA49,'Level Engine'!$AA$9:$AA$55,0))=1,INDEX('Level Engine'!$JX$9:$JX$55,MATCH($BA49,'Level Engine'!$AA$9:$AA$55,0))=1),FALSE),"Zsh ","")&amp;IF(IFERROR(INDEX('Level Engine'!$BI$9:$BI$55,MATCH($BA49,'Level Engine'!$AA$9:$AA$55,0))=1,FALSE),"Vxi ","")&amp;IF(IFERROR(INDEX('Level Engine'!$BJ$9:$BJ$55,MATCH($BA49,'Level Engine'!$AA$9:$AA$55,0))=1,FALSE),"Spi ","")&amp;IF(IFERROR(INDEX('Level Engine'!$BO$9:$BO$55,MATCH($BA49,'Level Engine'!$AA$9:$AA$55,0))=1,FALSE),"Vgf ","")&amp;IF(IFERROR(INDEX('Level Engine'!$BX$9:$BX$55,MATCH($BA49,'Level Engine'!$AA$9:$AA$55,0))=1,FALSE),"Gxp ","")&amp;IF(IFERROR(INDEX('Level Engine'!$BY$9:$BY$55,MATCH($BA49,'Level Engine'!$AA$9:$AA$55,0))=1,FALSE),"Gfx ","")&amp;IF(IFERROR(INDEX('Level Engine'!$CB$9:$CB$55,MATCH($BA49,'Level Engine'!$AA$9:$AA$55,0))=1,FALSE),"ZG ","")&amp;IF(IFERROR(INDEX('Level Engine'!$CZ$9:$CZ$55,MATCH($BA49,'Level Engine'!$AA$9:$AA$55,0))=1,FALSE),"dEdge ","")&amp;IF(IFERROR(INDEX('Level Engine'!$DS$9:$DS$55,MATCH($BA49,'Level Engine'!$AA$9:$AA$55,0))=1,FALSE),"oEdge ","")&amp;IF(IFERROR(INDEX('Level Engine'!$JD$9:$JD$55,MATCH($BA49,'Level Engine'!$AA$9:$AA$55,0)),"")="P","P-OI ",IF(IFERROR(INDEX('Level Engine'!$JD$9:$JD$55,MATCH($BA49,'Level Engine'!$AA$9:$AA$55,0)),"")="C","C-OI ","")))&amp;" ",IF(IFERROR(INDEX('Level Engine'!$KK$9:$KK$55,MATCH($BA49,'Level Engine'!$AA$9:$AA$55,0)),0)=1," Dex↓ ",CHAR(1))," "),IF(IFERROR(INDEX('Level Engine'!$KK$9:$KK$55,MATCH($BA49,'Level Engine'!$AA$9:$AA$55,0)),0)=1," γSh ",CHAR(1))," "),IF(IFERROR(INDEX('Level Engine'!$KK$9:$KK$55,MATCH($BA49,'Level Engine'!$AA$9:$AA$55,0)),0)=1," Zsh ",CHAR(1))," "),IF(IFERROR(INDEX('Level Engine'!$KK$9:$KK$55,MATCH($BA49,'Level Engine'!$AA$9:$AA$55,0)),0)=1," dEdge ",CHAR(1))," "),IF(IFERROR(INDEX('Level Engine'!$KK$9:$KK$55,MATCH($BA49,'Level Engine'!$AA$9:$AA$55,0)),0)=1," oEdge ",CHAR(1))," "),IF(IFERROR(INDEX('Level Engine'!$KK$9:$KK$55,MATCH($BA49,'Level Engine'!$AA$9:$AA$55,0)),0)=1," iDex ",CHAR(1))," "),IF(IFERROR(INDEX('Level Engine'!$KK$9:$KK$55,MATCH($BA49,'Level Engine'!$AA$9:$AA$55,0)),0)=1," gDex ",CHAR(1))," "),IF(IFERROR(INDEX('Level Engine'!$KK$9:$KK$55,MATCH($BA49,'Level Engine'!$AA$9:$AA$55,0)),0)=1," Vxi ",CHAR(1))," "),IF(IFERROR(INDEX('Level Engine'!$KK$9:$KK$55,MATCH($BA49,'Level Engine'!$AA$9:$AA$55,0)),0)=1," Spi ",CHAR(1))," "),IF(IFERROR(INDEX('Level Engine'!$KJ$9:$KJ$55,MATCH($BA49,'Level Engine'!$AA$9:$AA$55,0)),0)=1," Gxp ",CHAR(1))," "),IF(IFERROR(INDEX('Level Engine'!$KL$9:$KL$55,MATCH($BA49,'Level Engine'!$AA$9:$AA$55,0)),0)=1," P-OI ",CHAR(1))," "),IF(IFERROR(INDEX('Level Engine'!$KL$9:$KL$55,MATCH($BA49,'Level Engine'!$AA$9:$AA$55,0)),0)=1," C-OI ",CHAR(1))," ")))</f>
        <v>iDex Vgf ZG dEdge C-OI</v>
      </c>
      <c r="BR49" t="str">
        <f>IF($BA49="","","STRUCT · "&amp;IFERROR(IF(AND(INDEX('Level Engine'!$AX$9:$AX$55,MATCH($BA49,'Level Engine'!$AA$9:$AA$55,0))=1,'Level Engine'!$D$5="DOWN"),"VOMMA BID","stable"),"stable")&amp;IFERROR(IF(INDEX('Level Engine'!$CG$9:$CG$55,MATCH($BA49,'Level Engine'!$AA$9:$AA$55,0))="","", " · "&amp;INDEX('Level Engine'!$CG$9:$CG$55,MATCH($BA49,'Level Engine'!$AA$9:$AA$55,0))),""))</f>
        <v>STRUCT · stable</v>
      </c>
      <c r="BS49">
        <f>IFERROR(INDEX('Level Engine'!$AA$9:$AA$55,MATCH(1,'Level Engine'!$DN$9:$DN$55,0)),"")</f>
        <v>7775</v>
      </c>
      <c r="BT49">
        <f>IF(ISNUMBER($AB$19),$AB$19,"")</f>
        <v>7775</v>
      </c>
      <c r="BU49">
        <f>IF($BW$49&lt;&gt;"",$BW$49,IF($BW$50&lt;&gt;"",$BW$50,IF($BW$51&lt;&gt;"",$BW$51,$BW$52)))</f>
        <v>7775</v>
      </c>
      <c r="BV49">
        <f>IF(AND($BW$49&lt;&gt;"",$BW$49&lt;&gt;$BU$49),$BW$49,IF(AND($BW$50&lt;&gt;"",$BW$50&lt;&gt;$BU$49),$BW$50,IF(AND($BW$51&lt;&gt;"",$BW$51&lt;&gt;$BU$49),$BW$51,IF(AND($BW$52&lt;&gt;"",$BW$52&lt;&gt;$BU$49),$BW$52,""))))</f>
        <v>7770</v>
      </c>
      <c r="BW49">
        <f>$BS$49</f>
        <v>7775</v>
      </c>
      <c r="BX49" t="str">
        <f>IF(AND($BS$49&lt;&gt;"",$BW$49=""),$BS$49,IF(AND($BS$50&lt;&gt;"",$BW$50=""),$BS$50,IF(AND($BS$51&lt;&gt;"",$BW$51=""),$BS$51,IF(AND($BS$52&lt;&gt;"",$BW$52=""),$BS$52,""))))</f>
        <v/>
      </c>
      <c r="BY49" t="str">
        <f>IF($BX$49="","","  ·  "&amp;TEXT($BX$49,"0")&amp;IF(OR($BX$49='Level Engine'!$CP$2,$BX$49='Level Engine'!$CP$3)," ★","")&amp;" absorbed")</f>
        <v/>
      </c>
    </row>
    <row r="50" spans="1:77" ht="15" customHeight="1" x14ac:dyDescent="0.25">
      <c r="A50" s="287">
        <v>7780</v>
      </c>
      <c r="B50" s="288">
        <v>4038999</v>
      </c>
      <c r="C50" s="289">
        <v>-2299593</v>
      </c>
      <c r="D50" s="319">
        <v>16854279</v>
      </c>
      <c r="E50" s="319">
        <v>-923901</v>
      </c>
      <c r="F50" s="318">
        <v>-699070</v>
      </c>
      <c r="G50" s="319">
        <v>43</v>
      </c>
      <c r="H50" s="319">
        <v>206</v>
      </c>
      <c r="I50" s="289">
        <v>-4227</v>
      </c>
      <c r="J50" s="290" t="str">
        <f t="shared" si="2"/>
        <v/>
      </c>
      <c r="K50" s="291">
        <v>739</v>
      </c>
      <c r="L50" s="292">
        <v>2693</v>
      </c>
      <c r="M50" s="292"/>
      <c r="N50" s="312"/>
      <c r="O50" s="313"/>
      <c r="P50" s="294" t="str">
        <f t="shared" si="3"/>
        <v/>
      </c>
      <c r="Q50" s="295" t="str">
        <f>IF(A50="","",IF(AND(A50=MROUND($B$4,5),ISNUMBER(SEARCH("LONG trigger",'GEX Depth'!$C$54))),"Long Trigger",IF(AND(A50=MROUND($B$4,5),ISNUMBER(SEARCH("SHORT trigger",'GEX Depth'!$C$54))),"Short Trigger",IF(OR(COUNTIF($AL$42:$AL$45,A50)&gt;0,OR(AND($AM50=1,A50&gt;$B$4),AND($AM51=1,A51&gt;$B$4)),AND(ISNUMBER('Level Engine'!$CT$3),A50&gt;=MIN('Level Engine'!$CT$3,'Level Engine'!$CT$4),A50&lt;=MAX('Level Engine'!$CT$3,'Level Engine'!$CT$4))),"R",IF(OR(COUNTIF($AL$49:$AL$52,A50)&gt;0,OR(AND($AM50=1,A50&lt;$B$4),AND($AM49=1,A49&lt;$B$4)),AND(ISNUMBER('Level Engine'!$CW$3),A50&gt;=MIN('Level Engine'!$CW$3,'Level Engine'!$CW$4),A50&lt;=MAX('Level Engine'!$CW$3,'Level Engine'!$CW$4))),"S","")))))</f>
        <v>R</v>
      </c>
      <c r="R50" s="1" t="str">
        <f>IF(A50="","",IF(AND(COUNT($S$69:$S$72)&gt;0,A50=MAX($S$69:$S$72)),"◀ sell-stop floor",IF(AND('Level Engine'!$CW$2=1,ISNUMBER('Level Engine'!$FI$3),ISNUMBER('Level Engine'!$FI$4),A50&gt;=MIN('Level Engine'!$FI$3,'Level Engine'!$FI$4),A50&lt;=MAX('Level Engine'!$FI$3,'Level Engine'!$FI$4)),"◀ support "&amp;'Level Engine'!$CW$9,IF(AND('Level Engine'!$CT$2=1,ISNUMBER('Level Engine'!$FH$3),ISNUMBER('Level Engine'!$FH$4),A50&gt;=MIN('Level Engine'!$FH$3,'Level Engine'!$FH$4),A50&lt;=MAX('Level Engine'!$FH$3,'Level Engine'!$FH$4)),"◀ resistance "&amp;'Level Engine'!$CT$9,""))))</f>
        <v>◀ support wall</v>
      </c>
      <c r="S50" s="307" t="str">
        <f>SUBSTITUTE(IF(((IFERROR(IF($AL50="","",TEXT($AL50,"0")&amp;IF(AND(INDEX('Level Engine'!$AN$9:$AN$55,MATCH($AL50,'Level Engine'!$AA$9:$AA$55,0))=1,INDEX('Level Engine'!$AT$9:$AT$55,MATCH($AL50,'Level Engine'!$AA$9:$AA$55,0))&lt;&gt;INDEX('Level Engine'!$AU$9:$AU$55,MATCH($AL50,'Level Engine'!$AA$9:$AA$55,0)),$AL50&lt;&gt;$AN$70,IFERROR(INDEX('Level Engine'!$IB$9:$IB$55,MATCH($AL50,'Level Engine'!$AA$9:$AA$55,0)),0)&lt;&gt;1),IF(OR($A$8="Neg",N('Level Engine'!$BG$72)=1),""," (box "&amp;TEXT(INDEX('Level Engine'!$AT$9:$AT$55,MATCH($AL50,'Level Engine'!$AA$9:$AA$55,0)),"0")&amp;"-"&amp;TEXT(INDEX('Level Engine'!$AU$9:$AU$55,MATCH($AL50,'Level Engine'!$AA$9:$AA$55,0)),"0")&amp;")"),"")&amp;IF(AND('Level Engine'!$CW$2=1,ISNUMBER($AL50),$AL50&gt;='Level Engine'!$FI$3,$AL50&lt;='Level Engine'!$FI$4)," ("&amp;'Level Engine'!$CW$9&amp;" "&amp;TEXT('Level Engine'!$FI$3,"0")&amp;"-"&amp;TEXT('Level Engine'!$FI$4,"0")&amp;")","")&amp;IF(IFERROR(INDEX('Level Engine'!$EY$9:$EY$55,MATCH($AL50,'Level Engine'!$AA$9:$AA$55,0)),0)=1," (peak "&amp;TEXT($AL50,"0")&amp;")","")),""))&amp;IF(OR($AL50='Level Engine'!$CP$4,$AL50='Level Engine'!$CP$5,$AL50='Level Engine'!$CP$6,$AL50='Level Engine'!$CP$7)," ☄","")&amp;IF($AL50='Level Engine'!$CP$1," ◆","")&amp;IF(OR($AL50='Level Engine'!$CP$2,$AL50='Level Engine'!$CP$3)," ★","")&amp;IF(AND('Level Engine'!$EL$7=1,$AL50=$D$26)," Ⓕ","")&amp;IF($AL50=$F$24," ⟂","")&amp;IF(IFERROR(INDEX('Level Engine'!$GV$9:$GV$55,MATCH($AL50,'Level Engine'!$AA$9:$AA$55,0)),0)=1," Ⓥ"&amp;IF(IFERROR(INDEX('Level Engine'!$ET$9:$ET$55,MATCH($AL50,'Level Engine'!$AA$9:$AA$55,0)),0)=1,"+",""),""))="","",((IFERROR(IF($AL50="","",TEXT($AL50,"0")&amp;IF(AND(INDEX('Level Engine'!$AN$9:$AN$55,MATCH($AL50,'Level Engine'!$AA$9:$AA$55,0))=1,INDEX('Level Engine'!$AT$9:$AT$55,MATCH($AL50,'Level Engine'!$AA$9:$AA$55,0))&lt;&gt;INDEX('Level Engine'!$AU$9:$AU$55,MATCH($AL50,'Level Engine'!$AA$9:$AA$55,0)),$AL50&lt;&gt;$AN$70,IFERROR(INDEX('Level Engine'!$IB$9:$IB$55,MATCH($AL50,'Level Engine'!$AA$9:$AA$55,0)),0)&lt;&gt;1),IF(OR($A$8="Neg",N('Level Engine'!$BG$72)=1),""," (box "&amp;TEXT(INDEX('Level Engine'!$AT$9:$AT$55,MATCH($AL50,'Level Engine'!$AA$9:$AA$55,0)),"0")&amp;"-"&amp;TEXT(INDEX('Level Engine'!$AU$9:$AU$55,MATCH($AL50,'Level Engine'!$AA$9:$AA$55,0)),"0")&amp;")"),"")&amp;IF(AND('Level Engine'!$CW$2=1,ISNUMBER($AL50),$AL50&gt;='Level Engine'!$FI$3,$AL50&lt;='Level Engine'!$FI$4)," ("&amp;'Level Engine'!$CW$9&amp;" "&amp;TEXT('Level Engine'!$FI$3,"0")&amp;"-"&amp;TEXT('Level Engine'!$FI$4,"0")&amp;")","")&amp;IF(IFERROR(INDEX('Level Engine'!$EY$9:$EY$55,MATCH($AL50,'Level Engine'!$AA$9:$AA$55,0)),0)=1," (peak "&amp;TEXT($AL50,"0")&amp;")","")),""))&amp;IF(OR($AL50='Level Engine'!$CP$4,$AL50='Level Engine'!$CP$5,$AL50='Level Engine'!$CP$6,$AL50='Level Engine'!$CP$7)," ☄","")&amp;IF($AL50='Level Engine'!$CP$1," ◆","")&amp;IF(OR($AL50='Level Engine'!$CP$2,$AL50='Level Engine'!$CP$3)," ★","")&amp;IF(AND('Level Engine'!$EL$7=1,$AL50=$D$26)," Ⓕ","")&amp;IF($AL50=$F$24," ⟂","")&amp;IF(IFERROR(INDEX('Level Engine'!$GV$9:$GV$55,MATCH($AL50,'Level Engine'!$AA$9:$AA$55,0)),0)=1," Ⓥ"&amp;IF(IFERROR(INDEX('Level Engine'!$ET$9:$ET$55,MATCH($AL50,'Level Engine'!$AA$9:$AA$55,0)),0)=1,"+",""),""))),"(shelf ","(ladder ")</f>
        <v>7770 (wall 7770-7780) ◆ ★</v>
      </c>
      <c r="T50" s="307">
        <f>IF($AL50="","",$AL50-$B$4)</f>
        <v>-5.3900000000003274</v>
      </c>
      <c r="U50" s="308">
        <f>IF($AL50="","",IFERROR(INDEX($C$29:$C$75,MATCH($AL50,$A$29:$A$75,0)),0))</f>
        <v>-3137174</v>
      </c>
      <c r="V50" s="308" t="str">
        <f>IF($AL50="","",TRIM(SUBSTITUTE(SUBSTITUTE(SUBSTITUTE(SUBSTITUTE(SUBSTITUTE(SUBSTITUTE(SUBSTITUTE(SUBSTITUTE(SUBSTITUTE(SUBSTITUTE(SUBSTITUTE(SUBSTITUTE(" "&amp;(IF(IFERROR(OR(INDEX('Level Engine'!$GK$9:$GK$55,MATCH($AL50,'Level Engine'!$AA$9:$AA$55,0))=1,AND(INDEX('Level Engine'!$GK$9:$GK$55,MATCH($AL50,'Level Engine'!$AA$9:$AA$55,0))="",INDEX('Level Engine'!$AH$9:$AH$55,MATCH($AL50,'Level Engine'!$AA$9:$AA$55,0))&lt;&gt;"",INDEX('Level Engine'!$AH$9:$AH$55,MATCH($AL50,'Level Engine'!$AA$9:$AA$55,0))&lt;='Level Engine'!$GL$2)),FALSE),"Gam ","")&amp;IF(IFERROR(OR(AND(INDEX('Level Engine'!$AG$9:$AG$55,MATCH($AL50,'Level Engine'!$AA$9:$AA$55,0))="R",INDEX('Level Engine'!$JV$9:$JV$55,MATCH($AL50,'Level Engine'!$AA$9:$AA$55,0))="SELL"),AND(INDEX('Level Engine'!$AG$9:$AG$55,MATCH($AL50,'Level Engine'!$AA$9:$AA$55,0))="S",INDEX('Level Engine'!$JV$9:$JV$55,MATCH($AL50,'Level Engine'!$AA$9:$AA$55,0))="BUY")),FALSE),"Vex ","")&amp;IF(IFERROR(AND(INDEX('Level Engine'!$AK$9:$AK$55,MATCH($AL50,'Level Engine'!$AA$9:$AA$55,0))=1,OR(AND(INDEX('Level Engine'!$AG$9:$AG$55,MATCH($AL50,'Level Engine'!$AA$9:$AA$55,0))="R",INDEX('Level Engine'!$AE$9:$AE$55,MATCH($AL50,'Level Engine'!$AA$9:$AA$55,0))&lt;0),AND(INDEX('Level Engine'!$AG$9:$AG$55,MATCH($AL50,'Level Engine'!$AA$9:$AA$55,0))="S",INDEX('Level Engine'!$AE$9:$AE$55,MATCH($AL50,'Level Engine'!$AA$9:$AA$55,0))&gt;0))),FALSE),"Dex ","")&amp;IF(IFERROR(INDEX('Level Engine'!$LA$9:$LA$55,MATCH($AL50,'Level Engine'!$AA$9:$AA$55,0))=1,FALSE),"Zom ","")&amp;IF(IFERROR(INDEX('Level Engine'!$BA$9:$BA$55,MATCH($AL50,'Level Engine'!$AA$9:$AA$55,0))=1,FALSE),"Spd ","")&amp;IFERROR(INDEX('Level Engine'!$LK$9:$LK$55,MATCH($AL50,'Level Engine'!$AA$9:$AA$55,0)),"")&amp;IF(IFERROR(INDEX('Level Engine'!$LR$9:$LR$55,MATCH($AL50,'Level Engine'!$AA$9:$AA$55,0))=1,FALSE),"SAND ","")&amp;IF(IFERROR(INDEX('Level Engine'!$AJ$9:$AJ$55,MATCH($AL50,'Level Engine'!$AA$9:$AA$55,0))=1,FALSE),"Dex↓ ","")&amp;IF(IFERROR(AND(INDEX('Level Engine'!$AV$9:$AV$55,MATCH($AL50,'Level Engine'!$AA$9:$AA$55,0))=1,INDEX('Level Engine'!$KG$9:$KG$55,MATCH($AL50,'Level Engine'!$AA$9:$AA$55,0))&lt;&gt;1),FALSE),"iDex ","")&amp;IF(IFERROR(INDEX('Level Engine'!$KG$9:$KG$55,MATCH($AL50,'Level Engine'!$AA$9:$AA$55,0))=1,FALSE),"gDex ","")&amp;IF(IFERROR(OR(INDEX('Level Engine'!$BD$9:$BD$55,MATCH($AL50,'Level Engine'!$AA$9:$AA$55,0))=1,INDEX('Level Engine'!$GZ$9:$GZ$55,MATCH($AL50,'Level Engine'!$AA$9:$AA$55,0))=1,AND(INDEX('Level Engine'!$GY$9:$GY$55,MATCH($AL50,'Level Engine'!$AA$9:$AA$55,0))=1,'King Node Model'!$A$8="Pos")),FALSE),"γSh ","")&amp;IF(IFERROR(OR(INDEX('Level Engine'!$JX$9:$JX$55,MATCH($AL50,'Level Engine'!$AA$9:$AA$55,0))=1,INDEX('Level Engine'!$JX$9:$JX$55,MATCH($AL50,'Level Engine'!$AA$9:$AA$55,0))=1),FALSE),"Zsh ","")&amp;IF(IFERROR(INDEX('Level Engine'!$BI$9:$BI$55,MATCH($AL50,'Level Engine'!$AA$9:$AA$55,0))=1,FALSE),"Vxi ","")&amp;IF(IFERROR(INDEX('Level Engine'!$BJ$9:$BJ$55,MATCH($AL50,'Level Engine'!$AA$9:$AA$55,0))=1,FALSE),"Spi ","")&amp;IF(IFERROR(INDEX('Level Engine'!$BO$9:$BO$55,MATCH($AL50,'Level Engine'!$AA$9:$AA$55,0))=1,FALSE),"Vgf ","")&amp;IF(IFERROR(INDEX('Level Engine'!$BX$9:$BX$55,MATCH($AL50,'Level Engine'!$AA$9:$AA$55,0))=1,FALSE),"Gxp ","")&amp;IF(IFERROR(INDEX('Level Engine'!$BY$9:$BY$55,MATCH($AL50,'Level Engine'!$AA$9:$AA$55,0))=1,FALSE),"Gfx ","")&amp;IF(IFERROR(INDEX('Level Engine'!$CB$9:$CB$55,MATCH($AL50,'Level Engine'!$AA$9:$AA$55,0))=1,FALSE),"ZG ","")&amp;IF(IFERROR(INDEX('Level Engine'!$CZ$9:$CZ$55,MATCH($AL50,'Level Engine'!$AA$9:$AA$55,0))=1,FALSE),"dEdge ","")&amp;IF(IFERROR(INDEX('Level Engine'!$DS$9:$DS$55,MATCH($AL50,'Level Engine'!$AA$9:$AA$55,0))=1,FALSE),"oEdge ","")&amp;IF(IFERROR(INDEX('Level Engine'!$JD$9:$JD$55,MATCH($AL50,'Level Engine'!$AA$9:$AA$55,0)),"")="P","P-OI ",IF(IFERROR(INDEX('Level Engine'!$JD$9:$JD$55,MATCH($AL50,'Level Engine'!$AA$9:$AA$55,0)),"")="C","C-OI ","")))&amp;" ",IF(IFERROR(INDEX('Level Engine'!$KK$9:$KK$55,MATCH($AL50,'Level Engine'!$AA$9:$AA$55,0)),0)=1," Dex↓ ",CHAR(1))," "),IF(IFERROR(INDEX('Level Engine'!$KK$9:$KK$55,MATCH($AL50,'Level Engine'!$AA$9:$AA$55,0)),0)=1," γSh ",CHAR(1))," "),IF(IFERROR(INDEX('Level Engine'!$KK$9:$KK$55,MATCH($AL50,'Level Engine'!$AA$9:$AA$55,0)),0)=1," Zsh ",CHAR(1))," "),IF(IFERROR(INDEX('Level Engine'!$KK$9:$KK$55,MATCH($AL50,'Level Engine'!$AA$9:$AA$55,0)),0)=1," dEdge ",CHAR(1))," "),IF(IFERROR(INDEX('Level Engine'!$KK$9:$KK$55,MATCH($AL50,'Level Engine'!$AA$9:$AA$55,0)),0)=1," oEdge ",CHAR(1))," "),IF(IFERROR(INDEX('Level Engine'!$KK$9:$KK$55,MATCH($AL50,'Level Engine'!$AA$9:$AA$55,0)),0)=1," iDex ",CHAR(1))," "),IF(IFERROR(INDEX('Level Engine'!$KK$9:$KK$55,MATCH($AL50,'Level Engine'!$AA$9:$AA$55,0)),0)=1," gDex ",CHAR(1))," "),IF(IFERROR(INDEX('Level Engine'!$KK$9:$KK$55,MATCH($AL50,'Level Engine'!$AA$9:$AA$55,0)),0)=1," Vxi ",CHAR(1))," "),IF(IFERROR(INDEX('Level Engine'!$KK$9:$KK$55,MATCH($AL50,'Level Engine'!$AA$9:$AA$55,0)),0)=1," Spi ",CHAR(1))," "),IF(IFERROR(INDEX('Level Engine'!$KJ$9:$KJ$55,MATCH($AL50,'Level Engine'!$AA$9:$AA$55,0)),0)=1," Gxp ",CHAR(1))," "),IF(IFERROR(INDEX('Level Engine'!$KL$9:$KL$55,MATCH($AL50,'Level Engine'!$AA$9:$AA$55,0)),0)=1," P-OI ",CHAR(1))," "),IF(IFERROR(INDEX('Level Engine'!$KL$9:$KL$55,MATCH($AL50,'Level Engine'!$AA$9:$AA$55,0)),0)=1," C-OI ",CHAR(1))," ")))</f>
        <v>Zom Dex↓ Vgf</v>
      </c>
      <c r="W50" s="308">
        <f>IF($AL50="","",IFERROR(INDEX('Level Engine'!$AM$9:$AM$55,MATCH($AL50,'Level Engine'!$AA$9:$AA$55,0)),""))</f>
        <v>3</v>
      </c>
      <c r="X50" s="308" t="str">
        <f>IF($AL50="","","STRUCT · "&amp;IFERROR(IF(AND(INDEX('Level Engine'!$AX$9:$AX$55,MATCH($AL50,'Level Engine'!$AA$9:$AA$55,0))=1,'Level Engine'!$D$5="DOWN"),"VOMMA BID","stable"),"stable")&amp;IFERROR(IF(INDEX('Level Engine'!$CG$9:$CG$55,MATCH($AL50,'Level Engine'!$AA$9:$AA$55,0))="","", " · "&amp;INDEX('Level Engine'!$CG$9:$CG$55,MATCH($AL50,'Level Engine'!$AA$9:$AA$55,0))),""))</f>
        <v>STRUCT · stable · ACCEL fading · Neg gamma ↓ (firmer support)</v>
      </c>
      <c r="Y50" s="308" t="str">
        <f>IF(ISNUMBER($U50),IF(OR($AX50=1,AND($AL50='Level Engine'!$BG$28,$S$52&lt;&gt;"")),"⚡ ⊙ PIN"&amp;IF(AND($AL50&lt;&gt;"",$AL50='Master Dashboard'!$AN$37)," ‹nearest›",""),(IF(NOT(ISNUMBER($U50)),"",IF(AND(IFERROR(INDEX('Level Engine'!$AN$9:$AN$55,MATCH($AL50,'Level Engine'!$AA$9:$AA$55,0)),0)=1,$AX50&lt;&gt;1),IF(IF(IFERROR(INDEX('Level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"&amp;IF(ABS($U50)&gt;=ABS(IFERROR(INDEX($C$29:$C$75,MATCH($AL50+5,$A$29:$A$75,0)),0)),"accelerates","slows"),"")="","REVERSAL"&amp;IF(AND($AC$24,($AL50&gt;$B$4)=($B$23&gt;$B$4),ABS($B$23-$B$4)&lt;ABS($AL50-$B$4))," → "&amp;TEXT($B$23,"0"),""),"REVERSAL"&amp;IF(AND($AC$24,($AL50&gt;$B$4)=($B$23&gt;$B$4),ABS($B$23-$B$4)&lt;ABS($AL50-$B$4))," → "&amp;TEXT($B$23,"0"),"")&amp;" · "&amp;IF(IFERROR(INDEX('Level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"&amp;IF(ABS($U50)&gt;=ABS(IFERROR(INDEX($C$29:$C$75,MATCH($AL50+5,$A$29:$A$75,0)),0)),"accelerates","slows"),"")))&amp;IF(AND(ISNUMBER($U50),AND(IFERROR(INDEX('Level Engine'!$AN$9:$AN$55,MATCH($AL50,'Level Engine'!$AA$9:$AA$55,0)),0)=1,$AX50&lt;&gt;1)),"","")&amp;IF($AX50=1,CHAR(10)&amp;"⊙ PIN","")&amp;IF(AND($AL50&lt;&gt;"",$AL50='Master Dashboard'!$AN$37)," ‹nearest›",""))),(IF(NOT(ISNUMBER($U50)),"",IF(AND(IFERROR(INDEX('Level Engine'!$AN$9:$AN$55,MATCH($AL50,'Level Engine'!$AA$9:$AA$55,0)),0)=1,$AX50&lt;&gt;1),IF(IF(IFERROR(INDEX('Level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"&amp;IF(ABS($U50)&gt;=ABS(IFERROR(INDEX($C$29:$C$75,MATCH($AL50+5,$A$29:$A$75,0)),0)),"accelerates","slows"),"")="","REVERSAL"&amp;IF(AND($AC$24,($AL50&gt;$B$4)=($B$23&gt;$B$4),ABS($B$23-$B$4)&lt;ABS($AL50-$B$4))," → "&amp;TEXT($B$23,"0"),""),"REVERSAL"&amp;IF(AND($AC$24,($AL50&gt;$B$4)=($B$23&gt;$B$4),ABS($B$23-$B$4)&lt;ABS($AL50-$B$4))," → "&amp;TEXT($B$23,"0"),"")&amp;" · "&amp;IF(IFERROR(INDEX('Level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"&amp;IF(ABS($U50)&gt;=ABS(IFERROR(INDEX($C$29:$C$75,MATCH($AL50+5,$A$29:$A$75,0)),0)),"accelerates","slows"),"")))&amp;IF(AND(ISNUMBER($U50),AND(IFERROR(INDEX('Level Engine'!$AN$9:$AN$55,MATCH($AL50,'Level Engine'!$AA$9:$AA$55,0)),0)=1,$AX50&lt;&gt;1)),"","")&amp;IF($AX50=1,CHAR(10)&amp;"⊙ PIN","")&amp;IF(AND($AL50&lt;&gt;"",$AL50='Master Dashboard'!$AN$37)," ‹nearest›","")))&amp;IF(IFERROR(INDEX('Level Engine'!$GV$9:$GV$55,MATCH($AL50,'Level Engine'!$AA$9:$AA$55,0)),0)=1,CHAR(10)&amp;"Ⓥ vol-bounce"&amp;IF(IFERROR(INDEX('Level Engine'!$ET$9:$ET$55,MATCH($AL50,'Level Engine'!$AA$9:$AA$55,0)),0)=1," · sharp",""),"")</f>
        <v>REVERSAL · DOM · accelerates</v>
      </c>
      <c r="Z50" s="276">
        <f t="shared" si="16"/>
        <v>601199</v>
      </c>
      <c r="AA50" s="100"/>
      <c r="AB50" s="181">
        <f t="shared" si="4"/>
        <v>387420489</v>
      </c>
      <c r="AC50" s="297">
        <f t="shared" si="5"/>
        <v>20</v>
      </c>
      <c r="AD50" s="297">
        <f t="shared" si="6"/>
        <v>0</v>
      </c>
      <c r="AE50" s="181" t="str">
        <f>IFERROR(LOOKUP(2,1/((ISNUMBER('Level Engine'!$AT$9:$AT$55))*($A50&gt;='Level Engine'!$AT$9:$AT$55)*($A50&lt;='Level Engine'!$AU$9:$AU$41)),'Level Engine'!$BB$9:$BB$55),"")</f>
        <v/>
      </c>
      <c r="AF50" s="218">
        <f t="shared" si="7"/>
        <v>387420489</v>
      </c>
      <c r="AG50" s="10">
        <f t="shared" si="8"/>
        <v>0</v>
      </c>
      <c r="AH50" s="10">
        <f t="shared" si="9"/>
        <v>-2299593</v>
      </c>
      <c r="AI50" s="218">
        <f t="shared" si="17"/>
        <v>-7357813</v>
      </c>
      <c r="AJ50">
        <f>IF($S50="","",IFERROR(INDEX('Level Engine'!$DI$9:$DI$55,MATCH($AL50,'Level Engine'!$AA$9:$AA$55,0)),""))</f>
        <v>1</v>
      </c>
      <c r="AK50">
        <f>IF($S50="","",IFERROR(INDEX('Level Engine'!$DJ$9:$DJ$55,MATCH($AL50,'Level Engine'!$AA$9:$AA$55,0)),""))</f>
        <v>1</v>
      </c>
      <c r="AL50" s="1">
        <f>IF(IFERROR(VALUE(IF($BT$49="",$BV$49,IF(IFERROR(VALUE($BU$49),"~a")=IFERROR(VALUE($BT$49),"~b"),$BV$49,$BU$49)))=VALUE($AL$49),FALSE()),$BV$49,IF($BT$49="",$BV$49,IF(IFERROR(VALUE($BU$49),"~a")=IFERROR(VALUE($BT$49),"~b"),$BV$49,$BU$49)))</f>
        <v>7770</v>
      </c>
      <c r="AM50" s="218">
        <f>IFERROR(INDEX('Level Engine'!$AN$9:$AN$55,MATCH(A50,'Level Engine'!$AA$9:$AA$55,0)),0)</f>
        <v>1</v>
      </c>
      <c r="AQ50" s="286">
        <f t="shared" si="10"/>
        <v>1</v>
      </c>
      <c r="AR50" s="286" t="str">
        <f t="shared" si="11"/>
        <v/>
      </c>
      <c r="AS50" s="10" t="str">
        <f t="shared" si="12"/>
        <v/>
      </c>
      <c r="AT50">
        <f t="shared" si="13"/>
        <v>4038999</v>
      </c>
      <c r="AU50" s="298">
        <f t="shared" si="14"/>
        <v>739</v>
      </c>
      <c r="AV50" s="1" t="str">
        <f t="shared" si="15"/>
        <v/>
      </c>
      <c r="AX50" t="str">
        <f>IF(AND($AL50=$B$23,$AC$24),1,"")</f>
        <v/>
      </c>
      <c r="BA50">
        <f>IFERROR(IF(SUMPRODUCT((('Level Engine'!$E$18:$E$23="REVERSAL")*((('Level Engine'!$F$18:$F$23="stable")+('Level Engine'!$F$18:$F$23="VOMMA BID"))&gt;0)))&gt;=2,SUMPRODUCT((('Level Engine'!$E$18:$E$23="REVERSAL")*((('Level Engine'!$F$18:$F$23="stable")+('Level Engine'!$F$18:$F$23="VOMMA BID"))&gt;0))*(ABS('Level Engine'!$W$18:$W$23-$B$4)=$BN$50)*'Level Engine'!$W$18:$W$23),""),"")</f>
        <v>7765</v>
      </c>
      <c r="BB50" t="str">
        <f>IF($BA50="","",IFERROR(INDEX('Level Engine'!$A$18:$A$23,MATCH($BA50,'Level Engine'!$W$18:$W$23,0)),""))</f>
        <v>7765</v>
      </c>
      <c r="BC50">
        <f>IF($BA50="","",IFERROR(INDEX('Level Engine'!$B$18:$B$23,MATCH($BA50,'Level Engine'!$W$18:$W$23,0)),""))</f>
        <v>-1477513</v>
      </c>
      <c r="BD50" t="str">
        <f>IF($BA50="","",IFERROR(INDEX('Level Engine'!$C$18:$C$23,MATCH($BA50,'Level Engine'!$W$18:$W$23,0)),""))</f>
        <v>Zom Dex↓ Zsh P-OI</v>
      </c>
      <c r="BE50">
        <f>IF($BA50="","",IFERROR(INDEX('Level Engine'!$D$18:$D$23,MATCH($BA50,'Level Engine'!$W$18:$W$23,0)),""))</f>
        <v>4</v>
      </c>
      <c r="BF50" t="str">
        <f>IF($BA50="","",IFERROR(INDEX('Level Engine'!$E$18:$E$23,MATCH($BA50,'Level Engine'!$W$18:$W$23,0)),""))</f>
        <v>REVERSAL</v>
      </c>
      <c r="BH50" t="str">
        <f>IF($BA50="","",IFERROR(INDEX('Level Engine'!$F$18:$F$23,MATCH($BA50,'Level Engine'!$W$18:$W$23,0)),""))</f>
        <v>stable</v>
      </c>
      <c r="BN50">
        <f t="array" ref="BN50">MIN(IF(((('Level Engine'!$E$18:$E$23="REVERSAL")*((('Level Engine'!$F$18:$F$23="stable")+('Level Engine'!$F$18:$F$23="VOMMA BID"))&gt;0))=1)*(ABS('Level Engine'!$W$18:$W$23-$B$4)&gt;$BN$49),ABS('Level Engine'!$W$18:$W$23-$B$4)))</f>
        <v>10.390000000000327</v>
      </c>
      <c r="BO50" t="str">
        <f>IF(AND($BA50=$B$23,$AC$24),1,"")</f>
        <v/>
      </c>
      <c r="BP50" t="str">
        <f>IF(ISNUMBER($BC50),IF(OR($BO50=1,AND($BA50='Level Engine'!$BG$28,$S$52&lt;&gt;"")),"⚡ ⊙ PIN"&amp;IF(AND($BA50&lt;&gt;"",$BA50='Master Dashboard'!$AN$37)," ‹nearest›",""),(IF(NOT(ISNUMBER($BC50)),"",IF(AND(IFERROR(INDEX('Level Engine'!$AN$9:$AN$55,MATCH($BA50,'Level Engine'!$AA$9:$AA$55,0)),0)=1,$BO50&lt;&gt;1),IF(IF(IFERROR(INDEX('Level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"&amp;IF(ABS($BC50)&gt;=ABS(IFERROR(INDEX($C$29:$C$75,MATCH($BA50+5,$A$29:$A$75,0)),0)),"accelerates","slows"),"")="","REVERSAL"&amp;IF(AND($AC$24,($BA50&gt;$B$4)=($B$23&gt;$B$4),ABS($B$23-$B$4)&lt;ABS($BA50-$B$4))," → "&amp;TEXT($B$23,"0"),""),"REVERSAL"&amp;IF(AND($AC$24,($BA50&gt;$B$4)=($B$23&gt;$B$4),ABS($B$23-$B$4)&lt;ABS($BA50-$B$4))," → "&amp;TEXT($B$23,"0"),"")&amp;" · "&amp;IF(IFERROR(INDEX('Level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"&amp;IF(ABS($BC50)&gt;=ABS(IFERROR(INDEX($C$29:$C$75,MATCH($BA50+5,$A$29:$A$75,0)),0)),"accelerates","slows"),"")))&amp;IF(AND(ISNUMBER($BC50),AND(IFERROR(INDEX('Level Engine'!$AN$9:$AN$55,MATCH($BA50,'Level Engine'!$AA$9:$AA$55,0)),0)=1,$BO50&lt;&gt;1)),"","")&amp;IF($BO50=1,CHAR(10)&amp;"⊙ PIN","")&amp;IF(AND($BA50&lt;&gt;"",$BA50='Master Dashboard'!$AN$37)," ‹nearest›",""))),(IF(NOT(ISNUMBER($BC50)),"",IF(AND(IFERROR(INDEX('Level Engine'!$AN$9:$AN$55,MATCH($BA50,'Level Engine'!$AA$9:$AA$55,0)),0)=1,$BO50&lt;&gt;1),IF(IF(IFERROR(INDEX('Level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"&amp;IF(ABS($BC50)&gt;=ABS(IFERROR(INDEX($C$29:$C$75,MATCH($BA50+5,$A$29:$A$75,0)),0)),"accelerates","slows"),"")="","REVERSAL"&amp;IF(AND($AC$24,($BA50&gt;$B$4)=($B$23&gt;$B$4),ABS($B$23-$B$4)&lt;ABS($BA50-$B$4))," → "&amp;TEXT($B$23,"0"),""),"REVERSAL"&amp;IF(AND($AC$24,($BA50&gt;$B$4)=($B$23&gt;$B$4),ABS($B$23-$B$4)&lt;ABS($BA50-$B$4))," → "&amp;TEXT($B$23,"0"),"")&amp;" · "&amp;IF(IFERROR(INDEX('Level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"&amp;IF(ABS($BC50)&gt;=ABS(IFERROR(INDEX($C$29:$C$75,MATCH($BA50+5,$A$29:$A$75,0)),0)),"accelerates","slows"),"")))&amp;IF(AND(ISNUMBER($BC50),AND(IFERROR(INDEX('Level Engine'!$AN$9:$AN$55,MATCH($BA50,'Level Engine'!$AA$9:$AA$55,0)),0)=1,$BO50&lt;&gt;1)),"","")&amp;IF($BO50=1,CHAR(10)&amp;"⊙ PIN","")&amp;IF(AND($BA50&lt;&gt;"",$BA50='Master Dashboard'!$AN$37)," ‹nearest›","")))&amp;IF(IFERROR(INDEX('Level Engine'!$GV$9:$GV$55,MATCH($BA50,'Level Engine'!$AA$9:$AA$55,0)),0)=1,CHAR(10)&amp;"Ⓥ vol-bounce"&amp;IF(IFERROR(INDEX('Level Engine'!$ET$9:$ET$55,MATCH($BA50,'Level Engine'!$AA$9:$AA$55,0)),0)=1," · sharp",""),"")</f>
        <v>REVERSAL · Trough · slows</v>
      </c>
      <c r="BQ50" t="str">
        <f>IF($BA50="","",TRIM(SUBSTITUTE(SUBSTITUTE(SUBSTITUTE(SUBSTITUTE(SUBSTITUTE(SUBSTITUTE(SUBSTITUTE(SUBSTITUTE(SUBSTITUTE(SUBSTITUTE(SUBSTITUTE(SUBSTITUTE(" "&amp;(IF(IFERROR(OR(INDEX('Level Engine'!$GK$9:$GK$55,MATCH($BA50,'Level Engine'!$AA$9:$AA$55,0))=1,AND(INDEX('Level Engine'!$GK$9:$GK$55,MATCH($BA50,'Level Engine'!$AA$9:$AA$55,0))="",INDEX('Level Engine'!$AH$9:$AH$55,MATCH($BA50,'Level Engine'!$AA$9:$AA$55,0))&lt;&gt;"",INDEX('Level Engine'!$AH$9:$AH$55,MATCH($BA50,'Level Engine'!$AA$9:$AA$55,0))&lt;='Level Engine'!$GL$2)),FALSE),"Gam ","")&amp;IF(IFERROR(OR(AND(INDEX('Level Engine'!$AG$9:$AG$55,MATCH($BA50,'Level Engine'!$AA$9:$AA$55,0))="R",INDEX('Level Engine'!$JV$9:$JV$55,MATCH($BA50,'Level Engine'!$AA$9:$AA$55,0))="SELL"),AND(INDEX('Level Engine'!$AG$9:$AG$55,MATCH($BA50,'Level Engine'!$AA$9:$AA$55,0))="S",INDEX('Level Engine'!$JV$9:$JV$55,MATCH($BA50,'Level Engine'!$AA$9:$AA$55,0))="BUY")),FALSE),"Vex ","")&amp;IF(IFERROR(AND(INDEX('Level Engine'!$AK$9:$AK$55,MATCH($BA50,'Level Engine'!$AA$9:$AA$55,0))=1,OR(AND(INDEX('Level Engine'!$AG$9:$AG$55,MATCH($BA50,'Level Engine'!$AA$9:$AA$55,0))="R",INDEX('Level Engine'!$AE$9:$AE$55,MATCH($BA50,'Level Engine'!$AA$9:$AA$55,0))&lt;0),AND(INDEX('Level Engine'!$AG$9:$AG$55,MATCH($BA50,'Level Engine'!$AA$9:$AA$55,0))="S",INDEX('Level Engine'!$AE$9:$AE$55,MATCH($BA50,'Level Engine'!$AA$9:$AA$55,0))&gt;0))),FALSE),"Dex ","")&amp;IF(IFERROR(INDEX('Level Engine'!$LA$9:$LA$55,MATCH($BA50,'Level Engine'!$AA$9:$AA$55,0))=1,FALSE),"Zom ","")&amp;IF(IFERROR(INDEX('Level Engine'!$BA$9:$BA$55,MATCH($BA50,'Level Engine'!$AA$9:$AA$55,0))=1,FALSE),"Spd ","")&amp;IFERROR(INDEX('Level Engine'!$LK$9:$LK$55,MATCH($BA50,'Level Engine'!$AA$9:$AA$55,0)),"")&amp;IF(IFERROR(INDEX('Level Engine'!$LR$9:$LR$55,MATCH($BA50,'Level Engine'!$AA$9:$AA$55,0))=1,FALSE),"SAND ","")&amp;IF(IFERROR(INDEX('Level Engine'!$AJ$9:$AJ$55,MATCH($BA50,'Level Engine'!$AA$9:$AA$55,0))=1,FALSE),"Dex↓ ","")&amp;IF(IFERROR(AND(INDEX('Level Engine'!$AV$9:$AV$55,MATCH($BA50,'Level Engine'!$AA$9:$AA$55,0))=1,INDEX('Level Engine'!$KG$9:$KG$55,MATCH($BA50,'Level Engine'!$AA$9:$AA$55,0))&lt;&gt;1),FALSE),"iDex ","")&amp;IF(IFERROR(INDEX('Level Engine'!$KG$9:$KG$55,MATCH($BA50,'Level Engine'!$AA$9:$AA$55,0))=1,FALSE),"gDex ","")&amp;IF(IFERROR(OR(INDEX('Level Engine'!$BD$9:$BD$55,MATCH($BA50,'Level Engine'!$AA$9:$AA$55,0))=1,INDEX('Level Engine'!$GZ$9:$GZ$55,MATCH($BA50,'Level Engine'!$AA$9:$AA$55,0))=1,AND(INDEX('Level Engine'!$GY$9:$GY$55,MATCH($BA50,'Level Engine'!$AA$9:$AA$55,0))=1,'King Node Model'!$A$8="Pos")),FALSE),"γSh ","")&amp;IF(IFERROR(OR(INDEX('Level Engine'!$JX$9:$JX$55,MATCH($BA50,'Level Engine'!$AA$9:$AA$55,0))=1,INDEX('Level Engine'!$JX$9:$JX$55,MATCH($BA50,'Level Engine'!$AA$9:$AA$55,0))=1),FALSE),"Zsh ","")&amp;IF(IFERROR(INDEX('Level Engine'!$BI$9:$BI$55,MATCH($BA50,'Level Engine'!$AA$9:$AA$55,0))=1,FALSE),"Vxi ","")&amp;IF(IFERROR(INDEX('Level Engine'!$BJ$9:$BJ$55,MATCH($BA50,'Level Engine'!$AA$9:$AA$55,0))=1,FALSE),"Spi ","")&amp;IF(IFERROR(INDEX('Level Engine'!$BO$9:$BO$55,MATCH($BA50,'Level Engine'!$AA$9:$AA$55,0))=1,FALSE),"Vgf ","")&amp;IF(IFERROR(INDEX('Level Engine'!$BX$9:$BX$55,MATCH($BA50,'Level Engine'!$AA$9:$AA$55,0))=1,FALSE),"Gxp ","")&amp;IF(IFERROR(INDEX('Level Engine'!$BY$9:$BY$55,MATCH($BA50,'Level Engine'!$AA$9:$AA$55,0))=1,FALSE),"Gfx ","")&amp;IF(IFERROR(INDEX('Level Engine'!$CB$9:$CB$55,MATCH($BA50,'Level Engine'!$AA$9:$AA$55,0))=1,FALSE),"ZG ","")&amp;IF(IFERROR(INDEX('Level Engine'!$CZ$9:$CZ$55,MATCH($BA50,'Level Engine'!$AA$9:$AA$55,0))=1,FALSE),"dEdge ","")&amp;IF(IFERROR(INDEX('Level Engine'!$DS$9:$DS$55,MATCH($BA50,'Level Engine'!$AA$9:$AA$55,0))=1,FALSE),"oEdge ","")&amp;IF(IFERROR(INDEX('Level Engine'!$JD$9:$JD$55,MATCH($BA50,'Level Engine'!$AA$9:$AA$55,0)),"")="P","P-OI ",IF(IFERROR(INDEX('Level Engine'!$JD$9:$JD$55,MATCH($BA50,'Level Engine'!$AA$9:$AA$55,0)),"")="C","C-OI ","")))&amp;" ",IF(IFERROR(INDEX('Level Engine'!$KK$9:$KK$55,MATCH($BA50,'Level Engine'!$AA$9:$AA$55,0)),0)=1," Dex↓ ",CHAR(1))," "),IF(IFERROR(INDEX('Level Engine'!$KK$9:$KK$55,MATCH($BA50,'Level Engine'!$AA$9:$AA$55,0)),0)=1," γSh ",CHAR(1))," "),IF(IFERROR(INDEX('Level Engine'!$KK$9:$KK$55,MATCH($BA50,'Level Engine'!$AA$9:$AA$55,0)),0)=1," Zsh ",CHAR(1))," "),IF(IFERROR(INDEX('Level Engine'!$KK$9:$KK$55,MATCH($BA50,'Level Engine'!$AA$9:$AA$55,0)),0)=1," dEdge ",CHAR(1))," "),IF(IFERROR(INDEX('Level Engine'!$KK$9:$KK$55,MATCH($BA50,'Level Engine'!$AA$9:$AA$55,0)),0)=1," oEdge ",CHAR(1))," "),IF(IFERROR(INDEX('Level Engine'!$KK$9:$KK$55,MATCH($BA50,'Level Engine'!$AA$9:$AA$55,0)),0)=1," iDex ",CHAR(1))," "),IF(IFERROR(INDEX('Level Engine'!$KK$9:$KK$55,MATCH($BA50,'Level Engine'!$AA$9:$AA$55,0)),0)=1," gDex ",CHAR(1))," "),IF(IFERROR(INDEX('Level Engine'!$KK$9:$KK$55,MATCH($BA50,'Level Engine'!$AA$9:$AA$55,0)),0)=1," Vxi ",CHAR(1))," "),IF(IFERROR(INDEX('Level Engine'!$KK$9:$KK$55,MATCH($BA50,'Level Engine'!$AA$9:$AA$55,0)),0)=1," Spi ",CHAR(1))," "),IF(IFERROR(INDEX('Level Engine'!$KJ$9:$KJ$55,MATCH($BA50,'Level Engine'!$AA$9:$AA$55,0)),0)=1," Gxp ",CHAR(1))," "),IF(IFERROR(INDEX('Level Engine'!$KL$9:$KL$55,MATCH($BA50,'Level Engine'!$AA$9:$AA$55,0)),0)=1," P-OI ",CHAR(1))," "),IF(IFERROR(INDEX('Level Engine'!$KL$9:$KL$55,MATCH($BA50,'Level Engine'!$AA$9:$AA$55,0)),0)=1," C-OI ",CHAR(1))," ")))</f>
        <v>Zom Dex↓ Zsh P-OI</v>
      </c>
      <c r="BR50" t="str">
        <f>IF($BA50="","","STRUCT · "&amp;IFERROR(IF(AND(INDEX('Level Engine'!$AX$9:$AX$55,MATCH($BA50,'Level Engine'!$AA$9:$AA$55,0))=1,'Level Engine'!$D$5="DOWN"),"VOMMA BID","stable"),"stable")&amp;IFERROR(IF(INDEX('Level Engine'!$CG$9:$CG$55,MATCH($BA50,'Level Engine'!$AA$9:$AA$55,0))="","", " · "&amp;INDEX('Level Engine'!$CG$9:$CG$55,MATCH($BA50,'Level Engine'!$AA$9:$AA$55,0))),""))</f>
        <v>STRUCT · stable · ACCEL fading · Neg gamma ↓ (firmer support)</v>
      </c>
      <c r="BS50">
        <f>IFERROR(INDEX('Level Engine'!$AA$9:$AA$55,MATCH(2,'Level Engine'!$DN$9:$DN$55,0)),"")</f>
        <v>7770</v>
      </c>
      <c r="BW50">
        <f>$BS$50</f>
        <v>7770</v>
      </c>
    </row>
    <row r="51" spans="1:77" ht="15" customHeight="1" x14ac:dyDescent="0.25">
      <c r="A51" s="287">
        <v>7775</v>
      </c>
      <c r="B51" s="288">
        <v>4056043</v>
      </c>
      <c r="C51" s="289">
        <v>-49207</v>
      </c>
      <c r="D51" s="319">
        <v>361389</v>
      </c>
      <c r="E51" s="551">
        <v>81141</v>
      </c>
      <c r="F51" s="319">
        <v>8652</v>
      </c>
      <c r="G51" s="319">
        <v>20</v>
      </c>
      <c r="H51" s="319">
        <v>209</v>
      </c>
      <c r="I51" s="289">
        <v>58</v>
      </c>
      <c r="J51" s="290" t="str">
        <f t="shared" si="2"/>
        <v>ZG</v>
      </c>
      <c r="K51" s="291">
        <v>1710</v>
      </c>
      <c r="L51" s="292">
        <v>1752</v>
      </c>
      <c r="M51" s="292"/>
      <c r="N51" s="312"/>
      <c r="O51" s="313"/>
      <c r="P51" s="294" t="str">
        <f t="shared" si="3"/>
        <v>spot ▶</v>
      </c>
      <c r="Q51" s="295" t="str">
        <f>IF(A51="","",IF(AND(A51=MROUND($B$4,5),ISNUMBER(SEARCH("LONG trigger",'GEX Depth'!$C$54))),"Long Trigger",IF(AND(A51=MROUND($B$4,5),ISNUMBER(SEARCH("SHORT trigger",'GEX Depth'!$C$54))),"Short Trigger",IF(OR(COUNTIF($AL$42:$AL$45,A51)&gt;0,OR(AND($AM51=1,A51&gt;$B$4),AND($AM52=1,A52&gt;$B$4)),AND(ISNUMBER('Level Engine'!$CT$3),A51&gt;=MIN('Level Engine'!$CT$3,'Level Engine'!$CT$4),A51&lt;=MAX('Level Engine'!$CT$3,'Level Engine'!$CT$4))),"R",IF(OR(COUNTIF($AL$49:$AL$52,A51)&gt;0,OR(AND($AM51=1,A51&lt;$B$4),AND($AM50=1,A50&lt;$B$4)),AND(ISNUMBER('Level Engine'!$CW$3),A51&gt;=MIN('Level Engine'!$CW$3,'Level Engine'!$CW$4),A51&lt;=MAX('Level Engine'!$CW$3,'Level Engine'!$CW$4))),"S","")))))</f>
        <v>R</v>
      </c>
      <c r="R51" s="1" t="str">
        <f>IF(A51="","",IF(AND(COUNT($S$69:$S$72)&gt;0,A51=MAX($S$69:$S$72)),"◀ sell-stop floor",IF(AND('Level Engine'!$CW$2=1,ISNUMBER('Level Engine'!$FI$3),ISNUMBER('Level Engine'!$FI$4),A51&gt;=MIN('Level Engine'!$FI$3,'Level Engine'!$FI$4),A51&lt;=MAX('Level Engine'!$FI$3,'Level Engine'!$FI$4)),"◀ support "&amp;'Level Engine'!$CW$9,IF(AND('Level Engine'!$CT$2=1,ISNUMBER('Level Engine'!$FH$3),ISNUMBER('Level Engine'!$FH$4),A51&gt;=MIN('Level Engine'!$FH$3,'Level Engine'!$FH$4),A51&lt;=MAX('Level Engine'!$FH$3,'Level Engine'!$FH$4)),"◀ resistance "&amp;'Level Engine'!$CT$9,""))))</f>
        <v>◀ sell-stop floor</v>
      </c>
      <c r="S51" s="307" t="str">
        <f>SUBSTITUTE(IF(((IFERROR(IF($AL51="","",TEXT($AL51,"0")&amp;IF(AND(INDEX('Level Engine'!$AN$9:$AN$55,MATCH($AL51,'Level Engine'!$AA$9:$AA$55,0))=1,INDEX('Level Engine'!$AT$9:$AT$55,MATCH($AL51,'Level Engine'!$AA$9:$AA$55,0))&lt;&gt;INDEX('Level Engine'!$AU$9:$AU$55,MATCH($AL51,'Level Engine'!$AA$9:$AA$55,0)),$AL51&lt;&gt;$AN$70,IFERROR(INDEX('Level Engine'!$IB$9:$IB$55,MATCH($AL51,'Level Engine'!$AA$9:$AA$55,0)),0)&lt;&gt;1),IF(OR($A$8="Neg",N('Level Engine'!$BG$72)=1),""," (box "&amp;TEXT(INDEX('Level Engine'!$AT$9:$AT$55,MATCH($AL51,'Level Engine'!$AA$9:$AA$55,0)),"0")&amp;"-"&amp;TEXT(INDEX('Level Engine'!$AU$9:$AU$55,MATCH($AL51,'Level Engine'!$AA$9:$AA$55,0)),"0")&amp;")"),"")&amp;IF(AND('Level Engine'!$CW$2=1,ISNUMBER($AL51),$AL51&gt;='Level Engine'!$FI$3,$AL51&lt;='Level Engine'!$FI$4)," ("&amp;'Level Engine'!$CW$9&amp;" "&amp;TEXT('Level Engine'!$FI$3,"0")&amp;"-"&amp;TEXT('Level Engine'!$FI$4,"0")&amp;")","")&amp;IF(IFERROR(INDEX('Level Engine'!$EY$9:$EY$55,MATCH($AL51,'Level Engine'!$AA$9:$AA$55,0)),0)=1," (peak "&amp;TEXT($AL51,"0")&amp;")","")),""))&amp;IF(OR($AL51='Level Engine'!$CP$4,$AL51='Level Engine'!$CP$5,$AL51='Level Engine'!$CP$6,$AL51='Level Engine'!$CP$7)," ☄","")&amp;IF($AL51='Level Engine'!$CP$1," ◆","")&amp;IF(OR($AL51='Level Engine'!$CP$2,$AL51='Level Engine'!$CP$3)," ★","")&amp;IF(AND('Level Engine'!$EL$7=1,$AL51=$D$26)," Ⓕ","")&amp;IF($AL51=$F$24," ⟂","")&amp;IF(IFERROR(INDEX('Level Engine'!$GV$9:$GV$55,MATCH($AL51,'Level Engine'!$AA$9:$AA$55,0)),0)=1," Ⓥ"&amp;IF(IFERROR(INDEX('Level Engine'!$ET$9:$ET$55,MATCH($AL51,'Level Engine'!$AA$9:$AA$55,0)),0)=1,"+",""),""))="","",((IFERROR(IF($AL51="","",TEXT($AL51,"0")&amp;IF(AND(INDEX('Level Engine'!$AN$9:$AN$55,MATCH($AL51,'Level Engine'!$AA$9:$AA$55,0))=1,INDEX('Level Engine'!$AT$9:$AT$55,MATCH($AL51,'Level Engine'!$AA$9:$AA$55,0))&lt;&gt;INDEX('Level Engine'!$AU$9:$AU$55,MATCH($AL51,'Level Engine'!$AA$9:$AA$55,0)),$AL51&lt;&gt;$AN$70,IFERROR(INDEX('Level Engine'!$IB$9:$IB$55,MATCH($AL51,'Level Engine'!$AA$9:$AA$55,0)),0)&lt;&gt;1),IF(OR($A$8="Neg",N('Level Engine'!$BG$72)=1),""," (box "&amp;TEXT(INDEX('Level Engine'!$AT$9:$AT$55,MATCH($AL51,'Level Engine'!$AA$9:$AA$55,0)),"0")&amp;"-"&amp;TEXT(INDEX('Level Engine'!$AU$9:$AU$55,MATCH($AL51,'Level Engine'!$AA$9:$AA$55,0)),"0")&amp;")"),"")&amp;IF(AND('Level Engine'!$CW$2=1,ISNUMBER($AL51),$AL51&gt;='Level Engine'!$FI$3,$AL51&lt;='Level Engine'!$FI$4)," ("&amp;'Level Engine'!$CW$9&amp;" "&amp;TEXT('Level Engine'!$FI$3,"0")&amp;"-"&amp;TEXT('Level Engine'!$FI$4,"0")&amp;")","")&amp;IF(IFERROR(INDEX('Level Engine'!$EY$9:$EY$55,MATCH($AL51,'Level Engine'!$AA$9:$AA$55,0)),0)=1," (peak "&amp;TEXT($AL51,"0")&amp;")","")),""))&amp;IF(OR($AL51='Level Engine'!$CP$4,$AL51='Level Engine'!$CP$5,$AL51='Level Engine'!$CP$6,$AL51='Level Engine'!$CP$7)," ☄","")&amp;IF($AL51='Level Engine'!$CP$1," ◆","")&amp;IF(OR($AL51='Level Engine'!$CP$2,$AL51='Level Engine'!$CP$3)," ★","")&amp;IF(AND('Level Engine'!$EL$7=1,$AL51=$D$26)," Ⓕ","")&amp;IF($AL51=$F$24," ⟂","")&amp;IF(IFERROR(INDEX('Level Engine'!$GV$9:$GV$55,MATCH($AL51,'Level Engine'!$AA$9:$AA$55,0)),0)=1," Ⓥ"&amp;IF(IFERROR(INDEX('Level Engine'!$ET$9:$ET$55,MATCH($AL51,'Level Engine'!$AA$9:$AA$55,0)),0)=1,"+",""),""))),"(shelf ","(ladder ")</f>
        <v/>
      </c>
      <c r="T51" s="307" t="str">
        <f>IF($AL51="","",$AL51-$B$4)</f>
        <v/>
      </c>
      <c r="U51" s="308" t="str">
        <f>IF($AL51="","",IFERROR(INDEX($C$29:$C$75,MATCH($AL51,$A$29:$A$75,0)),0))</f>
        <v/>
      </c>
      <c r="V51" s="308" t="str">
        <f>IF($AL51="","",TRIM(SUBSTITUTE(SUBSTITUTE(SUBSTITUTE(SUBSTITUTE(SUBSTITUTE(SUBSTITUTE(SUBSTITUTE(SUBSTITUTE(SUBSTITUTE(SUBSTITUTE(SUBSTITUTE(SUBSTITUTE(" "&amp;(IF(IFERROR(OR(INDEX('Level Engine'!$GK$9:$GK$55,MATCH($AL51,'Level Engine'!$AA$9:$AA$55,0))=1,AND(INDEX('Level Engine'!$GK$9:$GK$55,MATCH($AL51,'Level Engine'!$AA$9:$AA$55,0))="",INDEX('Level Engine'!$AH$9:$AH$55,MATCH($AL51,'Level Engine'!$AA$9:$AA$55,0))&lt;&gt;"",INDEX('Level Engine'!$AH$9:$AH$55,MATCH($AL51,'Level Engine'!$AA$9:$AA$55,0))&lt;='Level Engine'!$GL$2)),FALSE),"Gam ","")&amp;IF(IFERROR(OR(AND(INDEX('Level Engine'!$AG$9:$AG$55,MATCH($AL51,'Level Engine'!$AA$9:$AA$55,0))="R",INDEX('Level Engine'!$JV$9:$JV$55,MATCH($AL51,'Level Engine'!$AA$9:$AA$55,0))="SELL"),AND(INDEX('Level Engine'!$AG$9:$AG$55,MATCH($AL51,'Level Engine'!$AA$9:$AA$55,0))="S",INDEX('Level Engine'!$JV$9:$JV$55,MATCH($AL51,'Level Engine'!$AA$9:$AA$55,0))="BUY")),FALSE),"Vex ","")&amp;IF(IFERROR(AND(INDEX('Level Engine'!$AK$9:$AK$55,MATCH($AL51,'Level Engine'!$AA$9:$AA$55,0))=1,OR(AND(INDEX('Level Engine'!$AG$9:$AG$55,MATCH($AL51,'Level Engine'!$AA$9:$AA$55,0))="R",INDEX('Level Engine'!$AE$9:$AE$55,MATCH($AL51,'Level Engine'!$AA$9:$AA$55,0))&lt;0),AND(INDEX('Level Engine'!$AG$9:$AG$55,MATCH($AL51,'Level Engine'!$AA$9:$AA$55,0))="S",INDEX('Level Engine'!$AE$9:$AE$55,MATCH($AL51,'Level Engine'!$AA$9:$AA$55,0))&gt;0))),FALSE),"Dex ","")&amp;IF(IFERROR(INDEX('Level Engine'!$LA$9:$LA$55,MATCH($AL51,'Level Engine'!$AA$9:$AA$55,0))=1,FALSE),"Zom ","")&amp;IF(IFERROR(INDEX('Level Engine'!$BA$9:$BA$55,MATCH($AL51,'Level Engine'!$AA$9:$AA$55,0))=1,FALSE),"Spd ","")&amp;IFERROR(INDEX('Level Engine'!$LK$9:$LK$55,MATCH($AL51,'Level Engine'!$AA$9:$AA$55,0)),"")&amp;IF(IFERROR(INDEX('Level Engine'!$LR$9:$LR$55,MATCH($AL51,'Level Engine'!$AA$9:$AA$55,0))=1,FALSE),"SAND ","")&amp;IF(IFERROR(INDEX('Level Engine'!$AJ$9:$AJ$55,MATCH($AL51,'Level Engine'!$AA$9:$AA$55,0))=1,FALSE),"Dex↓ ","")&amp;IF(IFERROR(AND(INDEX('Level Engine'!$AV$9:$AV$55,MATCH($AL51,'Level Engine'!$AA$9:$AA$55,0))=1,INDEX('Level Engine'!$KG$9:$KG$55,MATCH($AL51,'Level Engine'!$AA$9:$AA$55,0))&lt;&gt;1),FALSE),"iDex ","")&amp;IF(IFERROR(INDEX('Level Engine'!$KG$9:$KG$55,MATCH($AL51,'Level Engine'!$AA$9:$AA$55,0))=1,FALSE),"gDex ","")&amp;IF(IFERROR(OR(INDEX('Level Engine'!$BD$9:$BD$55,MATCH($AL51,'Level Engine'!$AA$9:$AA$55,0))=1,INDEX('Level Engine'!$GZ$9:$GZ$55,MATCH($AL51,'Level Engine'!$AA$9:$AA$55,0))=1,AND(INDEX('Level Engine'!$GY$9:$GY$55,MATCH($AL51,'Level Engine'!$AA$9:$AA$55,0))=1,'King Node Model'!$A$8="Pos")),FALSE),"γSh ","")&amp;IF(IFERROR(OR(INDEX('Level Engine'!$JX$9:$JX$55,MATCH($AL51,'Level Engine'!$AA$9:$AA$55,0))=1,INDEX('Level Engine'!$JX$9:$JX$55,MATCH($AL51,'Level Engine'!$AA$9:$AA$55,0))=1),FALSE),"Zsh ","")&amp;IF(IFERROR(INDEX('Level Engine'!$BI$9:$BI$55,MATCH($AL51,'Level Engine'!$AA$9:$AA$55,0))=1,FALSE),"Vxi ","")&amp;IF(IFERROR(INDEX('Level Engine'!$BJ$9:$BJ$55,MATCH($AL51,'Level Engine'!$AA$9:$AA$55,0))=1,FALSE),"Spi ","")&amp;IF(IFERROR(INDEX('Level Engine'!$BO$9:$BO$55,MATCH($AL51,'Level Engine'!$AA$9:$AA$55,0))=1,FALSE),"Vgf ","")&amp;IF(IFERROR(INDEX('Level Engine'!$BX$9:$BX$55,MATCH($AL51,'Level Engine'!$AA$9:$AA$55,0))=1,FALSE),"Gxp ","")&amp;IF(IFERROR(INDEX('Level Engine'!$BY$9:$BY$55,MATCH($AL51,'Level Engine'!$AA$9:$AA$55,0))=1,FALSE),"Gfx ","")&amp;IF(IFERROR(INDEX('Level Engine'!$CB$9:$CB$55,MATCH($AL51,'Level Engine'!$AA$9:$AA$55,0))=1,FALSE),"ZG ","")&amp;IF(IFERROR(INDEX('Level Engine'!$CZ$9:$CZ$55,MATCH($AL51,'Level Engine'!$AA$9:$AA$55,0))=1,FALSE),"dEdge ","")&amp;IF(IFERROR(INDEX('Level Engine'!$DS$9:$DS$55,MATCH($AL51,'Level Engine'!$AA$9:$AA$55,0))=1,FALSE),"oEdge ","")&amp;IF(IFERROR(INDEX('Level Engine'!$JD$9:$JD$55,MATCH($AL51,'Level Engine'!$AA$9:$AA$55,0)),"")="P","P-OI ",IF(IFERROR(INDEX('Level Engine'!$JD$9:$JD$55,MATCH($AL51,'Level Engine'!$AA$9:$AA$55,0)),"")="C","C-OI ","")))&amp;" ",IF(IFERROR(INDEX('Level Engine'!$KK$9:$KK$55,MATCH($AL51,'Level Engine'!$AA$9:$AA$55,0)),0)=1," Dex↓ ",CHAR(1))," "),IF(IFERROR(INDEX('Level Engine'!$KK$9:$KK$55,MATCH($AL51,'Level Engine'!$AA$9:$AA$55,0)),0)=1," γSh ",CHAR(1))," "),IF(IFERROR(INDEX('Level Engine'!$KK$9:$KK$55,MATCH($AL51,'Level Engine'!$AA$9:$AA$55,0)),0)=1," Zsh ",CHAR(1))," "),IF(IFERROR(INDEX('Level Engine'!$KK$9:$KK$55,MATCH($AL51,'Level Engine'!$AA$9:$AA$55,0)),0)=1," dEdge ",CHAR(1))," "),IF(IFERROR(INDEX('Level Engine'!$KK$9:$KK$55,MATCH($AL51,'Level Engine'!$AA$9:$AA$55,0)),0)=1," oEdge ",CHAR(1))," "),IF(IFERROR(INDEX('Level Engine'!$KK$9:$KK$55,MATCH($AL51,'Level Engine'!$AA$9:$AA$55,0)),0)=1," iDex ",CHAR(1))," "),IF(IFERROR(INDEX('Level Engine'!$KK$9:$KK$55,MATCH($AL51,'Level Engine'!$AA$9:$AA$55,0)),0)=1," gDex ",CHAR(1))," "),IF(IFERROR(INDEX('Level Engine'!$KK$9:$KK$55,MATCH($AL51,'Level Engine'!$AA$9:$AA$55,0)),0)=1," Vxi ",CHAR(1))," "),IF(IFERROR(INDEX('Level Engine'!$KK$9:$KK$55,MATCH($AL51,'Level Engine'!$AA$9:$AA$55,0)),0)=1," Spi ",CHAR(1))," "),IF(IFERROR(INDEX('Level Engine'!$KJ$9:$KJ$55,MATCH($AL51,'Level Engine'!$AA$9:$AA$55,0)),0)=1," Gxp ",CHAR(1))," "),IF(IFERROR(INDEX('Level Engine'!$KL$9:$KL$55,MATCH($AL51,'Level Engine'!$AA$9:$AA$55,0)),0)=1," P-OI ",CHAR(1))," "),IF(IFERROR(INDEX('Level Engine'!$KL$9:$KL$55,MATCH($AL51,'Level Engine'!$AA$9:$AA$55,0)),0)=1," C-OI ",CHAR(1))," ")))</f>
        <v/>
      </c>
      <c r="W51" s="308" t="str">
        <f>IF($AL51="","",IFERROR(INDEX('Level Engine'!$AM$9:$AM$55,MATCH($AL51,'Level Engine'!$AA$9:$AA$55,0)),""))</f>
        <v/>
      </c>
      <c r="X51" s="308" t="str">
        <f>IF($AL51="","","STRUCT · "&amp;IFERROR(IF(AND(INDEX('Level Engine'!$AX$9:$AX$55,MATCH($AL51,'Level Engine'!$AA$9:$AA$55,0))=1,'Level Engine'!$D$5="DOWN"),"VOMMA BID","stable"),"stable")&amp;IFERROR(IF(INDEX('Level Engine'!$CG$9:$CG$55,MATCH($AL51,'Level Engine'!$AA$9:$AA$55,0))="","", " · "&amp;INDEX('Level Engine'!$CG$9:$CG$55,MATCH($AL51,'Level Engine'!$AA$9:$AA$55,0))),""))</f>
        <v/>
      </c>
      <c r="Y51" s="308" t="str">
        <f>IF(ISNUMBER($U51),IF(OR($AX51=1,AND($AL51='Level Engine'!$BG$28,$S$52&lt;&gt;"")),"⚡ ⊙ PIN"&amp;IF(AND($AL51&lt;&gt;"",$AL51='Master Dashboard'!$AN$37)," ‹nearest›",""),(IF(NOT(ISNUMBER($U51)),"",IF(AND(IFERROR(INDEX('Level Engine'!$AN$9:$AN$55,MATCH($AL51,'Level Engine'!$AA$9:$AA$55,0)),0)=1,$AX51&lt;&gt;1),IF(IF(IFERROR(INDEX('Level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"&amp;IF(ABS($U51)&gt;=ABS(IFERROR(INDEX($C$29:$C$75,MATCH($AL51+5,$A$29:$A$75,0)),0)),"accelerates","slows"),"")="","REVERSAL"&amp;IF(AND($AC$24,($AL51&gt;$B$4)=($B$23&gt;$B$4),ABS($B$23-$B$4)&lt;ABS($AL51-$B$4))," → "&amp;TEXT($B$23,"0"),""),"REVERSAL"&amp;IF(AND($AC$24,($AL51&gt;$B$4)=($B$23&gt;$B$4),ABS($B$23-$B$4)&lt;ABS($AL51-$B$4))," → "&amp;TEXT($B$23,"0"),"")&amp;" · "&amp;IF(IFERROR(INDEX('Level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"&amp;IF(ABS($U51)&gt;=ABS(IFERROR(INDEX($C$29:$C$75,MATCH($AL51+5,$A$29:$A$75,0)),0)),"accelerates","slows"),"")))&amp;IF(AND(ISNUMBER($U51),AND(IFERROR(INDEX('Level Engine'!$AN$9:$AN$55,MATCH($AL51,'Level Engine'!$AA$9:$AA$55,0)),0)=1,$AX51&lt;&gt;1)),"","")&amp;IF($AX51=1,CHAR(10)&amp;"⊙ PIN","")&amp;IF(AND($AL51&lt;&gt;"",$AL51='Master Dashboard'!$AN$37)," ‹nearest›",""))),(IF(NOT(ISNUMBER($U51)),"",IF(AND(IFERROR(INDEX('Level Engine'!$AN$9:$AN$55,MATCH($AL51,'Level Engine'!$AA$9:$AA$55,0)),0)=1,$AX51&lt;&gt;1),IF(IF(IFERROR(INDEX('Level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"&amp;IF(ABS($U51)&gt;=ABS(IFERROR(INDEX($C$29:$C$75,MATCH($AL51+5,$A$29:$A$75,0)),0)),"accelerates","slows"),"")="","REVERSAL"&amp;IF(AND($AC$24,($AL51&gt;$B$4)=($B$23&gt;$B$4),ABS($B$23-$B$4)&lt;ABS($AL51-$B$4))," → "&amp;TEXT($B$23,"0"),""),"REVERSAL"&amp;IF(AND($AC$24,($AL51&gt;$B$4)=($B$23&gt;$B$4),ABS($B$23-$B$4)&lt;ABS($AL51-$B$4))," → "&amp;TEXT($B$23,"0"),"")&amp;" · "&amp;IF(IFERROR(INDEX('Level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"&amp;IF(ABS($U51)&gt;=ABS(IFERROR(INDEX($C$29:$C$75,MATCH($AL51+5,$A$29:$A$75,0)),0)),"accelerates","slows"),"")))&amp;IF(AND(ISNUMBER($U51),AND(IFERROR(INDEX('Level Engine'!$AN$9:$AN$55,MATCH($AL51,'Level Engine'!$AA$9:$AA$55,0)),0)=1,$AX51&lt;&gt;1)),"","")&amp;IF($AX51=1,CHAR(10)&amp;"⊙ PIN","")&amp;IF(AND($AL51&lt;&gt;"",$AL51='Master Dashboard'!$AN$37)," ‹nearest›","")))&amp;IF(IFERROR(INDEX('Level Engine'!$GV$9:$GV$55,MATCH($AL51,'Level Engine'!$AA$9:$AA$55,0)),0)=1,CHAR(10)&amp;"Ⓥ vol-bounce"&amp;IF(IFERROR(INDEX('Level Engine'!$ET$9:$ET$55,MATCH($AL51,'Level Engine'!$AA$9:$AA$55,0)),0)=1," · sharp",""),"")</f>
        <v/>
      </c>
      <c r="Z51" s="276">
        <f t="shared" si="16"/>
        <v>551992</v>
      </c>
      <c r="AA51" s="100"/>
      <c r="AB51" s="181">
        <f t="shared" si="4"/>
        <v>0.39000000000032742</v>
      </c>
      <c r="AC51" s="297">
        <f t="shared" si="5"/>
        <v>2</v>
      </c>
      <c r="AD51" s="297">
        <f t="shared" si="6"/>
        <v>1</v>
      </c>
      <c r="AE51" s="181" t="str">
        <f>IFERROR(LOOKUP(2,1/((ISNUMBER('Level Engine'!$AT$9:$AT$55))*($A51&gt;='Level Engine'!$AT$9:$AT$55)*($A51&lt;='Level Engine'!$AU$9:$AU$41)),'Level Engine'!$BB$9:$BB$55),"")</f>
        <v>S1</v>
      </c>
      <c r="AF51" s="218">
        <f t="shared" si="7"/>
        <v>0.39000000000032742</v>
      </c>
      <c r="AG51" s="10">
        <f t="shared" si="8"/>
        <v>0</v>
      </c>
      <c r="AH51" s="10">
        <f t="shared" si="9"/>
        <v>-49207</v>
      </c>
      <c r="AI51" s="218">
        <f t="shared" si="17"/>
        <v>-7276672</v>
      </c>
      <c r="AJ51" t="str">
        <f>IF($S51="","",IFERROR(INDEX('Level Engine'!$DI$9:$DI$55,MATCH($AL51,'Level Engine'!$AA$9:$AA$55,0)),""))</f>
        <v/>
      </c>
      <c r="AK51" t="str">
        <f>IF($S51="","",IFERROR(INDEX('Level Engine'!$DJ$9:$DJ$55,MATCH($AL51,'Level Engine'!$AA$9:$AA$55,0)),""))</f>
        <v/>
      </c>
      <c r="AL51" s="1" t="str">
        <f>IF(ISNUMBER('Level Engine'!$HR$4),'Level Engine'!$HR$4,"")</f>
        <v/>
      </c>
      <c r="AM51" s="218">
        <f>IFERROR(INDEX('Level Engine'!$AN$9:$AN$55,MATCH(A51,'Level Engine'!$AA$9:$AA$55,0)),0)</f>
        <v>1</v>
      </c>
      <c r="AQ51" s="286" t="str">
        <f t="shared" si="10"/>
        <v/>
      </c>
      <c r="AR51" s="286">
        <f t="shared" si="11"/>
        <v>0</v>
      </c>
      <c r="AS51" s="10" t="str">
        <f t="shared" si="12"/>
        <v/>
      </c>
      <c r="AT51">
        <f t="shared" si="13"/>
        <v>4056043</v>
      </c>
      <c r="AU51" s="1" t="str">
        <f t="shared" si="14"/>
        <v/>
      </c>
      <c r="AV51" s="1">
        <f t="shared" si="15"/>
        <v>1752</v>
      </c>
      <c r="AX51" t="str">
        <f>IF(AND($AL51=$B$23,$AC$24),1,"")</f>
        <v/>
      </c>
      <c r="BS51" t="str">
        <f>IFERROR(INDEX('Level Engine'!$AA$9:$AA$55,MATCH(3,'Level Engine'!$DN$9:$DN$55,0)),"")</f>
        <v/>
      </c>
      <c r="BW51" t="str">
        <f>$BS$51</f>
        <v/>
      </c>
    </row>
    <row r="52" spans="1:77" ht="15" customHeight="1" x14ac:dyDescent="0.25">
      <c r="A52" s="287">
        <v>7770</v>
      </c>
      <c r="B52" s="288">
        <v>4471438</v>
      </c>
      <c r="C52" s="289">
        <v>-3137174</v>
      </c>
      <c r="D52" s="319">
        <v>20439820</v>
      </c>
      <c r="E52" s="551">
        <v>-696485</v>
      </c>
      <c r="F52" s="306">
        <v>2025848</v>
      </c>
      <c r="G52" s="289">
        <v>198</v>
      </c>
      <c r="H52" s="289">
        <v>232</v>
      </c>
      <c r="I52" s="289">
        <v>12803</v>
      </c>
      <c r="J52" s="290" t="str">
        <f t="shared" si="2"/>
        <v/>
      </c>
      <c r="K52" s="291">
        <v>605</v>
      </c>
      <c r="L52" s="292">
        <v>3450</v>
      </c>
      <c r="M52" s="292"/>
      <c r="N52" s="312"/>
      <c r="O52" s="313"/>
      <c r="P52" s="294" t="str">
        <f t="shared" si="3"/>
        <v/>
      </c>
      <c r="Q52" s="295" t="str">
        <f>IF(A52="","",IF(AND(A52=MROUND($B$4,5),ISNUMBER(SEARCH("LONG trigger",'GEX Depth'!$C$54))),"Long Trigger",IF(AND(A52=MROUND($B$4,5),ISNUMBER(SEARCH("SHORT trigger",'GEX Depth'!$C$54))),"Short Trigger",IF(OR(COUNTIF($AL$42:$AL$45,A52)&gt;0,OR(AND($AM52=1,A52&gt;$B$4),AND($AM53=1,A53&gt;$B$4)),AND(ISNUMBER('Level Engine'!$CT$3),A52&gt;=MIN('Level Engine'!$CT$3,'Level Engine'!$CT$4),A52&lt;=MAX('Level Engine'!$CT$3,'Level Engine'!$CT$4))),"R",IF(OR(COUNTIF($AL$49:$AL$52,A52)&gt;0,OR(AND($AM52=1,A52&lt;$B$4),AND($AM51=1,A51&lt;$B$4)),AND(ISNUMBER('Level Engine'!$CW$3),A52&gt;=MIN('Level Engine'!$CW$3,'Level Engine'!$CW$4),A52&lt;=MAX('Level Engine'!$CW$3,'Level Engine'!$CW$4))),"S","")))))</f>
        <v>R</v>
      </c>
      <c r="R52" s="1" t="str">
        <f>IF(A52="","",IF(AND(COUNT($S$69:$S$72)&gt;0,A52=MAX($S$69:$S$72)),"◀ sell-stop floor",IF(AND('Level Engine'!$CW$2=1,ISNUMBER('Level Engine'!$FI$3),ISNUMBER('Level Engine'!$FI$4),A52&gt;=MIN('Level Engine'!$FI$3,'Level Engine'!$FI$4),A52&lt;=MAX('Level Engine'!$FI$3,'Level Engine'!$FI$4)),"◀ support "&amp;'Level Engine'!$CW$9,IF(AND('Level Engine'!$CT$2=1,ISNUMBER('Level Engine'!$FH$3),ISNUMBER('Level Engine'!$FH$4),A52&gt;=MIN('Level Engine'!$FH$3,'Level Engine'!$FH$4),A52&lt;=MAX('Level Engine'!$FH$3,'Level Engine'!$FH$4)),"◀ resistance "&amp;'Level Engine'!$CT$9,""))))</f>
        <v>◀ support wall</v>
      </c>
      <c r="S52" s="307" t="str">
        <f>IF(NOT(ISNUMBER('Level Engine'!$BG$29)),"",IF(OR(AND(ISNUMBER($E$23),ISNUMBER($C$23),ISNUMBER($C$24),ABS($C$23-$C$24)&gt;=10,$E$23&gt;MIN($C$23,$C$24),$E$23&lt;MAX($C$23,$C$24),ABS($E$23-'Level Engine'!$BG$29)&lt;='Level Engine'!$BG$46),AND(ISNUMBER($E$24),ISNUMBER($C$23),ISNUMBER($C$24),ABS($C$23-$C$24)&gt;=10,$E$24&gt;MIN($C$23,$C$24),$E$24&lt;MAX($C$23,$C$24),ABS($E$24-'Level Engine'!$BG$29)&lt;='Level Engine'!$BG$46)),"⚠  DEX peaks in the middle at "&amp;IFERROR(TEXT(IF(AND(ISNUMBER($E$23),OR(NOT(ISNUMBER($E$24)),ABS($E$23-'Level Engine'!$BG$29)&lt;=ABS($E$24-'Level Engine'!$BG$29))),$E$23,$E$24),"0"),"?")&amp;"!"&amp;IF($H$8="Pos"," The market is engineered to chop!",IF($H$8="Neg"," The market is engineered to chop but with a small downward drift!","")),""))</f>
        <v>⚠  DEX peaks in the middle at 7800! The market is engineered to chop!</v>
      </c>
      <c r="T52" s="307"/>
      <c r="U52" s="308"/>
      <c r="V52" s="308"/>
      <c r="W52" s="308"/>
      <c r="X52" s="308"/>
      <c r="Y52" s="308"/>
      <c r="Z52" s="276">
        <f t="shared" si="16"/>
        <v>-2585182</v>
      </c>
      <c r="AA52" s="100"/>
      <c r="AB52" s="181">
        <f t="shared" si="4"/>
        <v>387420489</v>
      </c>
      <c r="AC52" s="297">
        <f t="shared" si="5"/>
        <v>9</v>
      </c>
      <c r="AD52" s="297">
        <f t="shared" si="6"/>
        <v>0</v>
      </c>
      <c r="AE52" s="181" t="str">
        <f>IFERROR(LOOKUP(2,1/((ISNUMBER('Level Engine'!$AT$9:$AT$55))*($A52&gt;='Level Engine'!$AT$9:$AT$55)*($A52&lt;='Level Engine'!$AU$9:$AU$41)),'Level Engine'!$BB$9:$BB$55),"")</f>
        <v>S3</v>
      </c>
      <c r="AF52" s="218">
        <f t="shared" si="7"/>
        <v>387420489</v>
      </c>
      <c r="AG52" s="10">
        <f t="shared" si="8"/>
        <v>0</v>
      </c>
      <c r="AH52" s="10">
        <f t="shared" si="9"/>
        <v>-3137174</v>
      </c>
      <c r="AI52" s="218">
        <f t="shared" si="17"/>
        <v>-7973157</v>
      </c>
      <c r="AJ52" t="str">
        <f>IF($S52="","",IFERROR(INDEX('Level Engine'!$DI$9:$DI$55,MATCH($AL52,'Level Engine'!$AA$9:$AA$55,0)),""))</f>
        <v/>
      </c>
      <c r="AK52" t="str">
        <f>IF($S52="","",IFERROR(INDEX('Level Engine'!$DJ$9:$DJ$55,MATCH($AL52,'Level Engine'!$AA$9:$AA$55,0)),""))</f>
        <v/>
      </c>
      <c r="AM52" s="218">
        <f>IFERROR(INDEX('Level Engine'!$AN$9:$AN$55,MATCH(A52,'Level Engine'!$AA$9:$AA$55,0)),0)</f>
        <v>1</v>
      </c>
      <c r="AQ52" s="286" t="str">
        <f t="shared" si="10"/>
        <v/>
      </c>
      <c r="AR52" s="286">
        <f t="shared" si="11"/>
        <v>0</v>
      </c>
      <c r="AS52" s="10" t="str">
        <f t="shared" si="12"/>
        <v/>
      </c>
      <c r="AT52">
        <f t="shared" si="13"/>
        <v>4471438</v>
      </c>
      <c r="AU52" s="1" t="str">
        <f t="shared" si="14"/>
        <v/>
      </c>
      <c r="AV52" s="1">
        <f t="shared" si="15"/>
        <v>3450</v>
      </c>
      <c r="BS52" t="str">
        <f>IFERROR(INDEX('Level Engine'!$AA$9:$AA$55,MATCH(4,'Level Engine'!$DN$9:$DN$55,0)),"")</f>
        <v/>
      </c>
      <c r="BW52" t="str">
        <f>$BS$52</f>
        <v/>
      </c>
    </row>
    <row r="53" spans="1:77" ht="15" customHeight="1" x14ac:dyDescent="0.25">
      <c r="A53" s="287">
        <v>7765</v>
      </c>
      <c r="B53" s="288">
        <v>1894098</v>
      </c>
      <c r="C53" s="289">
        <v>-1477513</v>
      </c>
      <c r="D53" s="319">
        <v>7227835</v>
      </c>
      <c r="E53" s="551">
        <v>-268421</v>
      </c>
      <c r="F53" s="289">
        <v>1615409</v>
      </c>
      <c r="G53" s="289">
        <v>232</v>
      </c>
      <c r="H53" s="289">
        <v>101</v>
      </c>
      <c r="I53" s="289">
        <v>9905</v>
      </c>
      <c r="J53" s="290" t="str">
        <f t="shared" si="2"/>
        <v/>
      </c>
      <c r="K53" s="291">
        <v>214</v>
      </c>
      <c r="L53" s="292">
        <v>1732</v>
      </c>
      <c r="M53" s="292"/>
      <c r="N53" s="312"/>
      <c r="O53" s="313"/>
      <c r="P53" s="294" t="str">
        <f t="shared" si="3"/>
        <v/>
      </c>
      <c r="Q53" s="295" t="str">
        <f>IF(A53="","",IF(AND(A53=MROUND($B$4,5),ISNUMBER(SEARCH("LONG trigger",'GEX Depth'!$C$54))),"Long Trigger",IF(AND(A53=MROUND($B$4,5),ISNUMBER(SEARCH("SHORT trigger",'GEX Depth'!$C$54))),"Short Trigger",IF(OR(COUNTIF($AL$42:$AL$45,A53)&gt;0,OR(AND($AM53=1,A53&gt;$B$4),AND($AM54=1,A54&gt;$B$4)),AND(ISNUMBER('Level Engine'!$CT$3),A53&gt;=MIN('Level Engine'!$CT$3,'Level Engine'!$CT$4),A53&lt;=MAX('Level Engine'!$CT$3,'Level Engine'!$CT$4))),"R",IF(OR(COUNTIF($AL$49:$AL$52,A53)&gt;0,OR(AND($AM53=1,A53&lt;$B$4),AND($AM52=1,A52&lt;$B$4)),AND(ISNUMBER('Level Engine'!$CW$3),A53&gt;=MIN('Level Engine'!$CW$3,'Level Engine'!$CW$4),A53&lt;=MAX('Level Engine'!$CW$3,'Level Engine'!$CW$4))),"S","")))))</f>
        <v>S</v>
      </c>
      <c r="R53" s="1" t="str">
        <f>IF(A53="","",IF(AND(COUNT($S$69:$S$72)&gt;0,A53=MAX($S$69:$S$72)),"◀ sell-stop floor",IF(AND('Level Engine'!$CW$2=1,ISNUMBER('Level Engine'!$FI$3),ISNUMBER('Level Engine'!$FI$4),A53&gt;=MIN('Level Engine'!$FI$3,'Level Engine'!$FI$4),A53&lt;=MAX('Level Engine'!$FI$3,'Level Engine'!$FI$4)),"◀ support "&amp;'Level Engine'!$CW$9,IF(AND('Level Engine'!$CT$2=1,ISNUMBER('Level Engine'!$FH$3),ISNUMBER('Level Engine'!$FH$4),A53&gt;=MIN('Level Engine'!$FH$3,'Level Engine'!$FH$4),A53&lt;=MAX('Level Engine'!$FH$3,'Level Engine'!$FH$4)),"◀ resistance "&amp;'Level Engine'!$CT$9,""))))</f>
        <v/>
      </c>
      <c r="U53" s="276"/>
      <c r="V53" s="276"/>
      <c r="W53" s="276"/>
      <c r="X53" s="276"/>
      <c r="Y53" s="276"/>
      <c r="Z53" s="276">
        <f t="shared" si="16"/>
        <v>-4062695</v>
      </c>
      <c r="AB53" s="181">
        <f t="shared" si="4"/>
        <v>387420489</v>
      </c>
      <c r="AC53" s="297">
        <f t="shared" si="5"/>
        <v>15</v>
      </c>
      <c r="AD53" s="297">
        <f t="shared" si="6"/>
        <v>0</v>
      </c>
      <c r="AE53" s="181" t="str">
        <f>IFERROR(LOOKUP(2,1/((ISNUMBER('Level Engine'!$AT$9:$AT$55))*($A53&gt;='Level Engine'!$AT$9:$AT$55)*($A53&lt;='Level Engine'!$AU$9:$AU$41)),'Level Engine'!$BB$9:$BB$55),"")</f>
        <v>S3</v>
      </c>
      <c r="AF53" s="218">
        <f t="shared" si="7"/>
        <v>387420489</v>
      </c>
      <c r="AG53" s="322">
        <f t="shared" si="8"/>
        <v>0</v>
      </c>
      <c r="AH53" s="10">
        <f t="shared" si="9"/>
        <v>-1477513</v>
      </c>
      <c r="AI53" s="218">
        <f t="shared" si="17"/>
        <v>-8241578</v>
      </c>
      <c r="AM53" s="218">
        <f>IFERROR(INDEX('Level Engine'!$AN$9:$AN$55,MATCH(A53,'Level Engine'!$AA$9:$AA$55,0)),0)</f>
        <v>1</v>
      </c>
      <c r="AQ53" s="286" t="str">
        <f t="shared" si="10"/>
        <v/>
      </c>
      <c r="AR53" s="286">
        <f t="shared" si="11"/>
        <v>0</v>
      </c>
      <c r="AS53" s="322" t="str">
        <f t="shared" si="12"/>
        <v/>
      </c>
      <c r="AT53" s="10">
        <f t="shared" si="13"/>
        <v>1894098</v>
      </c>
      <c r="AU53" s="1" t="str">
        <f t="shared" si="14"/>
        <v/>
      </c>
      <c r="AV53" s="1">
        <f t="shared" si="15"/>
        <v>1732</v>
      </c>
      <c r="BS53">
        <f>IF(AND(ISNUMBER('Level Engine'!$W$22),'Level Engine'!$W$22&lt;$B$4,IFERROR(INDEX('Level Engine'!$CV$9:$CV$55,MATCH('Level Engine'!$W$22,'Level Engine'!$AA$9:$AA$55,0)),0)=1,NOT(AND(IFERROR(INDEX('Level Engine'!$AU$9:$AU$55,MATCH('Level Engine'!$W$22,'Level Engine'!$AA$9:$AA$55,0)),'Level Engine'!$W$22)=IFERROR(INDEX('Level Engine'!$AT$9:$AT$55,MATCH('Level Engine'!$W$22,'Level Engine'!$AA$9:$AA$55,0)),'Level Engine'!$W$22),OR(AND(ISNUMBER('Level Engine'!$W$18),'Level Engine'!$W$18&lt;&gt;'Level Engine'!$W$22,IFERROR(INDEX('Level Engine'!$CV$9:$CV$55,MATCH('Level Engine'!$W$18,'Level Engine'!$AA$9:$AA$55,0)),0)=1,IFERROR(INDEX('Level Engine'!$AU$9:$AU$55,MATCH('Level Engine'!$W$18,'Level Engine'!$AA$9:$AA$55,0)),'Level Engine'!$W$18)&lt;&gt;IFERROR(INDEX('Level Engine'!$AT$9:$AT$55,MATCH('Level Engine'!$W$18,'Level Engine'!$AA$9:$AA$55,0)),'Level Engine'!$W$18),IFERROR(INDEX('Level Engine'!$AT$9:$AT$55,MATCH('Level Engine'!$W$18,'Level Engine'!$AA$9:$AA$55,0)),'Level Engine'!$W$18)&lt;='Level Engine'!$W$22,'Level Engine'!$W$22&lt;=IFERROR(INDEX('Level Engine'!$AU$9:$AU$55,MATCH('Level Engine'!$W$18,'Level Engine'!$AA$9:$AA$55,0)),'Level Engine'!$W$18)),AND(ISNUMBER('Level Engine'!$W$19),'Level Engine'!$W$19&lt;&gt;'Level Engine'!$W$22,IFERROR(INDEX('Level Engine'!$CV$9:$CV$55,MATCH('Level Engine'!$W$19,'Level Engine'!$AA$9:$AA$55,0)),0)=1,IFERROR(INDEX('Level Engine'!$AU$9:$AU$55,MATCH('Level Engine'!$W$19,'Level Engine'!$AA$9:$AA$55,0)),'Level Engine'!$W$19)&lt;&gt;IFERROR(INDEX('Level Engine'!$AT$9:$AT$55,MATCH('Level Engine'!$W$19,'Level Engine'!$AA$9:$AA$55,0)),'Level Engine'!$W$19),IFERROR(INDEX('Level Engine'!$AT$9:$AT$55,MATCH('Level Engine'!$W$19,'Level Engine'!$AA$9:$AA$55,0)),'Level Engine'!$W$19)&lt;='Level Engine'!$W$22,'Level Engine'!$W$22&lt;=IFERROR(INDEX('Level Engine'!$AU$9:$AU$55,MATCH('Level Engine'!$W$19,'Level Engine'!$AA$9:$AA$55,0)),'Level Engine'!$W$19)),AND(ISNUMBER('Level Engine'!$W$20),'Level Engine'!$W$20&lt;&gt;'Level Engine'!$W$22,IFERROR(INDEX('Level Engine'!$CV$9:$CV$55,MATCH('Level Engine'!$W$20,'Level Engine'!$AA$9:$AA$55,0)),0)=1,IFERROR(INDEX('Level Engine'!$AU$9:$AU$55,MATCH('Level Engine'!$W$20,'Level Engine'!$AA$9:$AA$55,0)),'Level Engine'!$W$20)&lt;&gt;IFERROR(INDEX('Level Engine'!$AT$9:$AT$55,MATCH('Level Engine'!$W$20,'Level Engine'!$AA$9:$AA$55,0)),'Level Engine'!$W$20),IFERROR(INDEX('Level Engine'!$AT$9:$AT$55,MATCH('Level Engine'!$W$20,'Level Engine'!$AA$9:$AA$55,0)),'Level Engine'!$W$20)&lt;='Level Engine'!$W$22,'Level Engine'!$W$22&lt;=IFERROR(INDEX('Level Engine'!$AU$9:$AU$55,MATCH('Level Engine'!$W$20,'Level Engine'!$AA$9:$AA$55,0)),'Level Engine'!$W$20)),AND(ISNUMBER('Level Engine'!$W$21),'Level Engine'!$W$21&lt;&gt;'Level Engine'!$W$22,IFERROR(INDEX('Level Engine'!$CV$9:$CV$55,MATCH('Level Engine'!$W$21,'Level Engine'!$AA$9:$AA$55,0)),0)=1,IFERROR(INDEX('Level Engine'!$AU$9:$AU$55,MATCH('Level Engine'!$W$21,'Level Engine'!$AA$9:$AA$55,0)),'Level Engine'!$W$21)&lt;&gt;IFERROR(INDEX('Level Engine'!$AT$9:$AT$55,MATCH('Level Engine'!$W$21,'Level Engine'!$AA$9:$AA$55,0)),'Level Engine'!$W$21),IFERROR(INDEX('Level Engine'!$AT$9:$AT$55,MATCH('Level Engine'!$W$21,'Level Engine'!$AA$9:$AA$55,0)),'Level Engine'!$W$21)&lt;='Level Engine'!$W$22,'Level Engine'!$W$22&lt;=IFERROR(INDEX('Level Engine'!$AU$9:$AU$55,MATCH('Level Engine'!$W$21,'Level Engine'!$AA$9:$AA$55,0)),'Level Engine'!$W$21)),AND(ISNUMBER('Level Engine'!$W$22),'Level Engine'!$W$22&lt;&gt;'Level Engine'!$W$22,IFERROR(INDEX('Level Engine'!$CV$9:$CV$55,MATCH('Level Engine'!$W$22,'Level Engine'!$AA$9:$AA$55,0)),0)=1,IFERROR(INDEX('Level Engine'!$AU$9:$AU$55,MATCH('Level Engine'!$W$22,'Level Engine'!$AA$9:$AA$55,0)),'Level Engine'!$W$22)&lt;&gt;IFERROR(INDEX('Level Engine'!$AT$9:$AT$55,MATCH('Level Engine'!$W$22,'Level Engine'!$AA$9:$AA$55,0)),'Level Engine'!$W$22),IFERROR(INDEX('Level Engine'!$AT$9:$AT$55,MATCH('Level Engine'!$W$22,'Level Engine'!$AA$9:$AA$55,0)),'Level Engine'!$W$22)&lt;='Level Engine'!$W$22,'Level Engine'!$W$22&lt;=IFERROR(INDEX('Level Engine'!$AU$9:$AU$55,MATCH('Level Engine'!$W$22,'Level Engine'!$AA$9:$AA$55,0)),'Level Engine'!$W$22)),AND(ISNUMBER('Level Engine'!$W$23),'Level Engine'!$W$23&lt;&gt;'Level Engine'!$W$22,IFERROR(INDEX('Level Engine'!$CV$9:$CV$55,MATCH('Level Engine'!$W$23,'Level Engine'!$AA$9:$AA$55,0)),0)=1,IFERROR(INDEX('Level Engine'!$AU$9:$AU$55,MATCH('Level Engine'!$W$23,'Level Engine'!$AA$9:$AA$55,0)),'Level Engine'!$W$23)&lt;&gt;IFERROR(INDEX('Level Engine'!$AT$9:$AT$55,MATCH('Level Engine'!$W$23,'Level Engine'!$AA$9:$AA$55,0)),'Level Engine'!$W$23),IFERROR(INDEX('Level Engine'!$AT$9:$AT$55,MATCH('Level Engine'!$W$23,'Level Engine'!$AA$9:$AA$55,0)),'Level Engine'!$W$23)&lt;='Level Engine'!$W$22,'Level Engine'!$W$22&lt;=IFERROR(INDEX('Level Engine'!$AU$9:$AU$55,MATCH('Level Engine'!$W$23,'Level Engine'!$AA$9:$AA$55,0)),'Level Engine'!$W$23)))))),ABS('Level Engine'!$W$22-$B$4),99999)</f>
        <v>99999</v>
      </c>
    </row>
    <row r="54" spans="1:77" ht="15" customHeight="1" x14ac:dyDescent="0.25">
      <c r="A54" s="287">
        <v>7760</v>
      </c>
      <c r="B54" s="288">
        <v>2069312</v>
      </c>
      <c r="C54" s="289">
        <v>-1166250</v>
      </c>
      <c r="D54" s="319">
        <v>3160433</v>
      </c>
      <c r="E54" s="551">
        <v>2138</v>
      </c>
      <c r="F54" s="306">
        <v>1776625</v>
      </c>
      <c r="G54" s="289">
        <v>487</v>
      </c>
      <c r="H54" s="289">
        <v>112</v>
      </c>
      <c r="I54" s="289">
        <v>10634</v>
      </c>
      <c r="J54" s="290" t="str">
        <f t="shared" si="2"/>
        <v/>
      </c>
      <c r="K54" s="291">
        <v>549</v>
      </c>
      <c r="L54" s="292">
        <v>1967</v>
      </c>
      <c r="M54" s="292"/>
      <c r="N54" s="312"/>
      <c r="O54" s="313"/>
      <c r="P54" s="294" t="str">
        <f t="shared" si="3"/>
        <v/>
      </c>
      <c r="Q54" s="295" t="str">
        <f>IF(A54="","",IF(AND(A54=MROUND($B$4,5),ISNUMBER(SEARCH("LONG trigger",'GEX Depth'!$C$54))),"Long Trigger",IF(AND(A54=MROUND($B$4,5),ISNUMBER(SEARCH("SHORT trigger",'GEX Depth'!$C$54))),"Short Trigger",IF(OR(COUNTIF($AL$42:$AL$45,A54)&gt;0,OR(AND($AM54=1,A54&gt;$B$4),AND($AM55=1,A55&gt;$B$4)),AND(ISNUMBER('Level Engine'!$CT$3),A54&gt;=MIN('Level Engine'!$CT$3,'Level Engine'!$CT$4),A54&lt;=MAX('Level Engine'!$CT$3,'Level Engine'!$CT$4))),"R",IF(OR(COUNTIF($AL$49:$AL$52,A54)&gt;0,OR(AND($AM54=1,A54&lt;$B$4),AND($AM53=1,A53&lt;$B$4)),AND(ISNUMBER('Level Engine'!$CW$3),A54&gt;=MIN('Level Engine'!$CW$3,'Level Engine'!$CW$4),A54&lt;=MAX('Level Engine'!$CW$3,'Level Engine'!$CW$4))),"S","")))))</f>
        <v>S</v>
      </c>
      <c r="R54" s="1" t="str">
        <f>IF(A54="","",IF(AND(COUNT($S$69:$S$72)&gt;0,A54=MAX($S$69:$S$72)),"◀ sell-stop floor",IF(AND('Level Engine'!$CW$2=1,ISNUMBER('Level Engine'!$FI$3),ISNUMBER('Level Engine'!$FI$4),A54&gt;=MIN('Level Engine'!$FI$3,'Level Engine'!$FI$4),A54&lt;=MAX('Level Engine'!$FI$3,'Level Engine'!$FI$4)),"◀ support "&amp;'Level Engine'!$CW$9,IF(AND('Level Engine'!$CT$2=1,ISNUMBER('Level Engine'!$FH$3),ISNUMBER('Level Engine'!$FH$4),A54&gt;=MIN('Level Engine'!$FH$3,'Level Engine'!$FH$4),A54&lt;=MAX('Level Engine'!$FH$3,'Level Engine'!$FH$4)),"◀ resistance "&amp;'Level Engine'!$CT$9,""))))</f>
        <v/>
      </c>
      <c r="S54" s="323" t="s">
        <v>157</v>
      </c>
      <c r="Y54" s="276"/>
      <c r="Z54" s="276">
        <f t="shared" si="16"/>
        <v>-5228945</v>
      </c>
      <c r="AB54" s="181">
        <f t="shared" si="4"/>
        <v>387420489</v>
      </c>
      <c r="AC54" s="297">
        <f t="shared" si="5"/>
        <v>12</v>
      </c>
      <c r="AD54" s="297">
        <f t="shared" si="6"/>
        <v>0</v>
      </c>
      <c r="AE54" s="181" t="str">
        <f>IFERROR(LOOKUP(2,1/((ISNUMBER('Level Engine'!$AT$9:$AT$55))*($A54&gt;='Level Engine'!$AT$9:$AT$55)*($A54&lt;='Level Engine'!$AU$9:$AU$41)),'Level Engine'!$BB$9:$BB$55),"")</f>
        <v/>
      </c>
      <c r="AF54" s="218">
        <f t="shared" si="7"/>
        <v>387420489</v>
      </c>
      <c r="AG54" s="322">
        <f t="shared" si="8"/>
        <v>0</v>
      </c>
      <c r="AH54" s="10">
        <f t="shared" si="9"/>
        <v>-1166250</v>
      </c>
      <c r="AI54" s="218">
        <f t="shared" si="17"/>
        <v>-8239440</v>
      </c>
      <c r="AM54" s="218">
        <f>IFERROR(INDEX('Level Engine'!$AN$9:$AN$55,MATCH(A54,'Level Engine'!$AA$9:$AA$55,0)),0)</f>
        <v>0</v>
      </c>
      <c r="AQ54" s="286" t="str">
        <f t="shared" si="10"/>
        <v/>
      </c>
      <c r="AR54" s="286">
        <f t="shared" si="11"/>
        <v>0</v>
      </c>
      <c r="AS54" s="322" t="str">
        <f t="shared" si="12"/>
        <v/>
      </c>
      <c r="AT54" s="10">
        <f t="shared" si="13"/>
        <v>2069312</v>
      </c>
      <c r="AU54" s="1" t="str">
        <f t="shared" si="14"/>
        <v/>
      </c>
      <c r="AV54" s="1">
        <f t="shared" si="15"/>
        <v>1967</v>
      </c>
      <c r="BS54">
        <f>IF(AND(ISNUMBER('Level Engine'!$W$23),'Level Engine'!$W$23&lt;$B$4,IFERROR(INDEX('Level Engine'!$CV$9:$CV$55,MATCH('Level Engine'!$W$23,'Level Engine'!$AA$9:$AA$55,0)),0)=1,NOT(AND(IFERROR(INDEX('Level Engine'!$AU$9:$AU$55,MATCH('Level Engine'!$W$23,'Level Engine'!$AA$9:$AA$55,0)),'Level Engine'!$W$23)=IFERROR(INDEX('Level Engine'!$AT$9:$AT$55,MATCH('Level Engine'!$W$23,'Level Engine'!$AA$9:$AA$55,0)),'Level Engine'!$W$23),OR(AND(ISNUMBER('Level Engine'!$W$18),'Level Engine'!$W$18&lt;&gt;'Level Engine'!$W$23,IFERROR(INDEX('Level Engine'!$CV$9:$CV$55,MATCH('Level Engine'!$W$18,'Level Engine'!$AA$9:$AA$55,0)),0)=1,IFERROR(INDEX('Level Engine'!$AU$9:$AU$55,MATCH('Level Engine'!$W$18,'Level Engine'!$AA$9:$AA$55,0)),'Level Engine'!$W$18)&lt;&gt;IFERROR(INDEX('Level Engine'!$AT$9:$AT$55,MATCH('Level Engine'!$W$18,'Level Engine'!$AA$9:$AA$55,0)),'Level Engine'!$W$18),IFERROR(INDEX('Level Engine'!$AT$9:$AT$55,MATCH('Level Engine'!$W$18,'Level Engine'!$AA$9:$AA$55,0)),'Level Engine'!$W$18)&lt;='Level Engine'!$W$23,'Level Engine'!$W$23&lt;=IFERROR(INDEX('Level Engine'!$AU$9:$AU$55,MATCH('Level Engine'!$W$18,'Level Engine'!$AA$9:$AA$55,0)),'Level Engine'!$W$18)),AND(ISNUMBER('Level Engine'!$W$19),'Level Engine'!$W$19&lt;&gt;'Level Engine'!$W$23,IFERROR(INDEX('Level Engine'!$CV$9:$CV$55,MATCH('Level Engine'!$W$19,'Level Engine'!$AA$9:$AA$55,0)),0)=1,IFERROR(INDEX('Level Engine'!$AU$9:$AU$55,MATCH('Level Engine'!$W$19,'Level Engine'!$AA$9:$AA$55,0)),'Level Engine'!$W$19)&lt;&gt;IFERROR(INDEX('Level Engine'!$AT$9:$AT$55,MATCH('Level Engine'!$W$19,'Level Engine'!$AA$9:$AA$55,0)),'Level Engine'!$W$19),IFERROR(INDEX('Level Engine'!$AT$9:$AT$55,MATCH('Level Engine'!$W$19,'Level Engine'!$AA$9:$AA$55,0)),'Level Engine'!$W$19)&lt;='Level Engine'!$W$23,'Level Engine'!$W$23&lt;=IFERROR(INDEX('Level Engine'!$AU$9:$AU$55,MATCH('Level Engine'!$W$19,'Level Engine'!$AA$9:$AA$55,0)),'Level Engine'!$W$19)),AND(ISNUMBER('Level Engine'!$W$20),'Level Engine'!$W$20&lt;&gt;'Level Engine'!$W$23,IFERROR(INDEX('Level Engine'!$CV$9:$CV$55,MATCH('Level Engine'!$W$20,'Level Engine'!$AA$9:$AA$55,0)),0)=1,IFERROR(INDEX('Level Engine'!$AU$9:$AU$55,MATCH('Level Engine'!$W$20,'Level Engine'!$AA$9:$AA$55,0)),'Level Engine'!$W$20)&lt;&gt;IFERROR(INDEX('Level Engine'!$AT$9:$AT$55,MATCH('Level Engine'!$W$20,'Level Engine'!$AA$9:$AA$55,0)),'Level Engine'!$W$20),IFERROR(INDEX('Level Engine'!$AT$9:$AT$55,MATCH('Level Engine'!$W$20,'Level Engine'!$AA$9:$AA$55,0)),'Level Engine'!$W$20)&lt;='Level Engine'!$W$23,'Level Engine'!$W$23&lt;=IFERROR(INDEX('Level Engine'!$AU$9:$AU$55,MATCH('Level Engine'!$W$20,'Level Engine'!$AA$9:$AA$55,0)),'Level Engine'!$W$20)),AND(ISNUMBER('Level Engine'!$W$21),'Level Engine'!$W$21&lt;&gt;'Level Engine'!$W$23,IFERROR(INDEX('Level Engine'!$CV$9:$CV$55,MATCH('Level Engine'!$W$21,'Level Engine'!$AA$9:$AA$55,0)),0)=1,IFERROR(INDEX('Level Engine'!$AU$9:$AU$55,MATCH('Level Engine'!$W$21,'Level Engine'!$AA$9:$AA$55,0)),'Level Engine'!$W$21)&lt;&gt;IFERROR(INDEX('Level Engine'!$AT$9:$AT$55,MATCH('Level Engine'!$W$21,'Level Engine'!$AA$9:$AA$55,0)),'Level Engine'!$W$21),IFERROR(INDEX('Level Engine'!$AT$9:$AT$55,MATCH('Level Engine'!$W$21,'Level Engine'!$AA$9:$AA$55,0)),'Level Engine'!$W$21)&lt;='Level Engine'!$W$23,'Level Engine'!$W$23&lt;=IFERROR(INDEX('Level Engine'!$AU$9:$AU$55,MATCH('Level Engine'!$W$21,'Level Engine'!$AA$9:$AA$55,0)),'Level Engine'!$W$21)),AND(ISNUMBER('Level Engine'!$W$22),'Level Engine'!$W$22&lt;&gt;'Level Engine'!$W$23,IFERROR(INDEX('Level Engine'!$CV$9:$CV$55,MATCH('Level Engine'!$W$22,'Level Engine'!$AA$9:$AA$55,0)),0)=1,IFERROR(INDEX('Level Engine'!$AU$9:$AU$55,MATCH('Level Engine'!$W$22,'Level Engine'!$AA$9:$AA$55,0)),'Level Engine'!$W$22)&lt;&gt;IFERROR(INDEX('Level Engine'!$AT$9:$AT$55,MATCH('Level Engine'!$W$22,'Level Engine'!$AA$9:$AA$55,0)),'Level Engine'!$W$22),IFERROR(INDEX('Level Engine'!$AT$9:$AT$55,MATCH('Level Engine'!$W$22,'Level Engine'!$AA$9:$AA$55,0)),'Level Engine'!$W$22)&lt;='Level Engine'!$W$23,'Level Engine'!$W$23&lt;=IFERROR(INDEX('Level Engine'!$AU$9:$AU$55,MATCH('Level Engine'!$W$22,'Level Engine'!$AA$9:$AA$55,0)),'Level Engine'!$W$22)),AND(ISNUMBER('Level Engine'!$W$23),'Level Engine'!$W$23&lt;&gt;'Level Engine'!$W$23,IFERROR(INDEX('Level Engine'!$CV$9:$CV$55,MATCH('Level Engine'!$W$23,'Level Engine'!$AA$9:$AA$55,0)),0)=1,IFERROR(INDEX('Level Engine'!$AU$9:$AU$55,MATCH('Level Engine'!$W$23,'Level Engine'!$AA$9:$AA$55,0)),'Level Engine'!$W$23)&lt;&gt;IFERROR(INDEX('Level Engine'!$AT$9:$AT$55,MATCH('Level Engine'!$W$23,'Level Engine'!$AA$9:$AA$55,0)),'Level Engine'!$W$23),IFERROR(INDEX('Level Engine'!$AT$9:$AT$55,MATCH('Level Engine'!$W$23,'Level Engine'!$AA$9:$AA$55,0)),'Level Engine'!$W$23)&lt;='Level Engine'!$W$23,'Level Engine'!$W$23&lt;=IFERROR(INDEX('Level Engine'!$AU$9:$AU$55,MATCH('Level Engine'!$W$23,'Level Engine'!$AA$9:$AA$55,0)),'Level Engine'!$W$23)))))),ABS('Level Engine'!$W$23-$B$4),99999)</f>
        <v>99999</v>
      </c>
    </row>
    <row r="55" spans="1:77" ht="15" customHeight="1" x14ac:dyDescent="0.25">
      <c r="A55" s="287">
        <v>7755</v>
      </c>
      <c r="B55" s="288">
        <v>1134998</v>
      </c>
      <c r="C55" s="289">
        <v>-393911</v>
      </c>
      <c r="D55" s="319">
        <v>82619</v>
      </c>
      <c r="E55" s="289">
        <v>216510</v>
      </c>
      <c r="F55" s="289">
        <v>754668</v>
      </c>
      <c r="G55" s="289">
        <v>420</v>
      </c>
      <c r="H55" s="289">
        <v>63</v>
      </c>
      <c r="I55" s="289">
        <v>4371</v>
      </c>
      <c r="J55" s="290" t="str">
        <f t="shared" si="2"/>
        <v/>
      </c>
      <c r="K55" s="291">
        <v>555</v>
      </c>
      <c r="L55" s="292">
        <v>1145</v>
      </c>
      <c r="M55" s="292"/>
      <c r="N55" s="312"/>
      <c r="O55" s="313"/>
      <c r="P55" s="294" t="str">
        <f t="shared" si="3"/>
        <v/>
      </c>
      <c r="Q55" s="295" t="str">
        <f>IF(A55="","",IF(AND(A55=MROUND($B$4,5),ISNUMBER(SEARCH("LONG trigger",'GEX Depth'!$C$54))),"Long Trigger",IF(AND(A55=MROUND($B$4,5),ISNUMBER(SEARCH("SHORT trigger",'GEX Depth'!$C$54))),"Short Trigger",IF(OR(COUNTIF($AL$42:$AL$45,A55)&gt;0,OR(AND($AM55=1,A55&gt;$B$4),AND($AM56=1,A56&gt;$B$4)),AND(ISNUMBER('Level Engine'!$CT$3),A55&gt;=MIN('Level Engine'!$CT$3,'Level Engine'!$CT$4),A55&lt;=MAX('Level Engine'!$CT$3,'Level Engine'!$CT$4))),"R",IF(OR(COUNTIF($AL$49:$AL$52,A55)&gt;0,OR(AND($AM55=1,A55&lt;$B$4),AND($AM54=1,A54&lt;$B$4)),AND(ISNUMBER('Level Engine'!$CW$3),A55&gt;=MIN('Level Engine'!$CW$3,'Level Engine'!$CW$4),A55&lt;=MAX('Level Engine'!$CW$3,'Level Engine'!$CW$4))),"S","")))))</f>
        <v/>
      </c>
      <c r="R55" s="1" t="str">
        <f>IF(A55="","",IF(AND(COUNT($S$69:$S$72)&gt;0,A55=MAX($S$69:$S$72)),"◀ sell-stop floor",IF(AND('Level Engine'!$CW$2=1,ISNUMBER('Level Engine'!$FI$3),ISNUMBER('Level Engine'!$FI$4),A55&gt;=MIN('Level Engine'!$FI$3,'Level Engine'!$FI$4),A55&lt;=MAX('Level Engine'!$FI$3,'Level Engine'!$FI$4)),"◀ support "&amp;'Level Engine'!$CW$9,IF(AND('Level Engine'!$CT$2=1,ISNUMBER('Level Engine'!$FH$3),ISNUMBER('Level Engine'!$FH$4),A55&gt;=MIN('Level Engine'!$FH$3,'Level Engine'!$FH$4),A55&lt;=MAX('Level Engine'!$FH$3,'Level Engine'!$FH$4)),"◀ resistance "&amp;'Level Engine'!$CT$9,""))))</f>
        <v/>
      </c>
      <c r="S55" s="324" t="s">
        <v>33</v>
      </c>
      <c r="T55" s="324" t="s">
        <v>34</v>
      </c>
      <c r="U55" s="325" t="s">
        <v>45</v>
      </c>
      <c r="V55" s="325" t="s">
        <v>35</v>
      </c>
      <c r="W55" s="325" t="s">
        <v>46</v>
      </c>
      <c r="X55" s="325" t="s">
        <v>47</v>
      </c>
      <c r="Y55" s="276"/>
      <c r="Z55" s="276">
        <f t="shared" si="16"/>
        <v>-5622856</v>
      </c>
      <c r="AB55" s="181">
        <f t="shared" si="4"/>
        <v>387420489</v>
      </c>
      <c r="AC55" s="297">
        <f t="shared" si="5"/>
        <v>11</v>
      </c>
      <c r="AD55" s="297">
        <f t="shared" si="6"/>
        <v>0</v>
      </c>
      <c r="AE55" s="181" t="str">
        <f>IFERROR(LOOKUP(2,1/((ISNUMBER('Level Engine'!$AT$9:$AT$55))*($A55&gt;='Level Engine'!$AT$9:$AT$55)*($A55&lt;='Level Engine'!$AU$9:$AU$41)),'Level Engine'!$BB$9:$BB$55),"")</f>
        <v/>
      </c>
      <c r="AF55" s="218">
        <f t="shared" si="7"/>
        <v>387420489</v>
      </c>
      <c r="AG55" s="322">
        <f t="shared" si="8"/>
        <v>0</v>
      </c>
      <c r="AH55" s="10">
        <f t="shared" si="9"/>
        <v>-393911</v>
      </c>
      <c r="AI55" s="218">
        <f t="shared" si="17"/>
        <v>-8022930</v>
      </c>
      <c r="AM55" s="218">
        <f>IFERROR(INDEX('Level Engine'!$AN$9:$AN$55,MATCH(A55,'Level Engine'!$AA$9:$AA$55,0)),0)</f>
        <v>0</v>
      </c>
      <c r="AQ55" s="286" t="str">
        <f t="shared" si="10"/>
        <v/>
      </c>
      <c r="AR55" s="286">
        <f t="shared" si="11"/>
        <v>0</v>
      </c>
      <c r="AS55" s="322" t="str">
        <f t="shared" si="12"/>
        <v/>
      </c>
      <c r="AT55" s="10">
        <f t="shared" si="13"/>
        <v>1134998</v>
      </c>
      <c r="AU55" s="1" t="str">
        <f t="shared" si="14"/>
        <v/>
      </c>
      <c r="AV55" s="1">
        <f t="shared" si="15"/>
        <v>1145</v>
      </c>
    </row>
    <row r="56" spans="1:77" ht="15" customHeight="1" x14ac:dyDescent="0.25">
      <c r="A56" s="287">
        <v>7750</v>
      </c>
      <c r="B56" s="288">
        <v>3240730</v>
      </c>
      <c r="C56" s="289">
        <v>-1614015</v>
      </c>
      <c r="D56" s="319">
        <v>-3878047</v>
      </c>
      <c r="E56" s="289">
        <v>617231</v>
      </c>
      <c r="F56" s="289">
        <v>3673666</v>
      </c>
      <c r="G56" s="289">
        <v>1690</v>
      </c>
      <c r="H56" s="289">
        <v>187</v>
      </c>
      <c r="I56" s="289">
        <v>20533</v>
      </c>
      <c r="J56" s="290" t="str">
        <f t="shared" si="2"/>
        <v/>
      </c>
      <c r="K56" s="291">
        <v>1537</v>
      </c>
      <c r="L56" s="292">
        <v>4587</v>
      </c>
      <c r="M56" s="292"/>
      <c r="N56" s="312"/>
      <c r="O56" s="313"/>
      <c r="P56" s="294" t="str">
        <f t="shared" si="3"/>
        <v/>
      </c>
      <c r="Q56" s="295" t="str">
        <f>IF(A56="","",IF(AND(A56=MROUND($B$4,5),ISNUMBER(SEARCH("LONG trigger",'GEX Depth'!$C$54))),"Long Trigger",IF(AND(A56=MROUND($B$4,5),ISNUMBER(SEARCH("SHORT trigger",'GEX Depth'!$C$54))),"Short Trigger",IF(OR(COUNTIF($AL$42:$AL$45,A56)&gt;0,OR(AND($AM56=1,A56&gt;$B$4),AND($AM57=1,A57&gt;$B$4)),AND(ISNUMBER('Level Engine'!$CT$3),A56&gt;=MIN('Level Engine'!$CT$3,'Level Engine'!$CT$4),A56&lt;=MAX('Level Engine'!$CT$3,'Level Engine'!$CT$4))),"R",IF(OR(COUNTIF($AL$49:$AL$52,A56)&gt;0,OR(AND($AM56=1,A56&lt;$B$4),AND($AM55=1,A55&lt;$B$4)),AND(ISNUMBER('Level Engine'!$CW$3),A56&gt;=MIN('Level Engine'!$CW$3,'Level Engine'!$CW$4),A56&lt;=MAX('Level Engine'!$CW$3,'Level Engine'!$CW$4))),"S","")))))</f>
        <v>S</v>
      </c>
      <c r="R56" s="1" t="str">
        <f>IF(A56="","",IF(AND(COUNT($S$69:$S$72)&gt;0,A56=MAX($S$69:$S$72)),"◀ sell-stop floor",IF(AND('Level Engine'!$CW$2=1,ISNUMBER('Level Engine'!$FI$3),ISNUMBER('Level Engine'!$FI$4),A56&gt;=MIN('Level Engine'!$FI$3,'Level Engine'!$FI$4),A56&lt;=MAX('Level Engine'!$FI$3,'Level Engine'!$FI$4)),"◀ support "&amp;'Level Engine'!$CW$9,IF(AND('Level Engine'!$CT$2=1,ISNUMBER('Level Engine'!$FH$3),ISNUMBER('Level Engine'!$FH$4),A56&gt;=MIN('Level Engine'!$FH$3,'Level Engine'!$FH$4),A56&lt;=MAX('Level Engine'!$FH$3,'Level Engine'!$FH$4)),"◀ resistance "&amp;'Level Engine'!$CT$9,""))))</f>
        <v/>
      </c>
      <c r="S56" s="307">
        <f>IFERROR(INDEX('Level Engine'!$AA$9:$AA$55,MATCH(ROWS($S$56:$S56),'Level Engine'!$CY$9:$CY$55,0)),"")</f>
        <v>7765</v>
      </c>
      <c r="T56" s="307">
        <f>IF($S56="","",$S56-$B$4)</f>
        <v>-10.390000000000327</v>
      </c>
      <c r="U56" s="308">
        <f>IF($S56="","",IFERROR(INDEX('Level Engine'!$AC$9:$AC$55,MATCH($S56,'Level Engine'!$AA$9:$AA$55,0)),""))</f>
        <v>1894098</v>
      </c>
      <c r="V56" s="308">
        <f>IF($S56="","",IFERROR(INDEX('Level Engine'!$BC$9:$BC$55,MATCH($S56,'Level Engine'!$AA$9:$AA$55,0)),""))</f>
        <v>-1477513</v>
      </c>
      <c r="W56" s="308" t="str">
        <f>IF($S56="","",IFERROR(INDEX('Level Engine'!$AG$9:$AG$55,MATCH($S56,'Level Engine'!$AA$9:$AA$55,0)),""))</f>
        <v>S</v>
      </c>
      <c r="X56" s="308" t="str">
        <f>IF($S56="","",IFERROR(IF(AND(INDEX('Level Engine'!$AX$9:$AX$55,MATCH($S56,'Level Engine'!$AA$9:$AA$55,0))=1,'Level Engine'!$D$5="DOWN"),IF($W56="R","VOMMA CAP","VOMMA BID"),"stable"),"stable"))</f>
        <v>stable</v>
      </c>
      <c r="Y56" s="276"/>
      <c r="Z56" s="276">
        <f t="shared" si="16"/>
        <v>-7236871</v>
      </c>
      <c r="AB56" s="181">
        <f t="shared" si="4"/>
        <v>387420489</v>
      </c>
      <c r="AC56" s="297">
        <f t="shared" si="5"/>
        <v>3</v>
      </c>
      <c r="AD56" s="297">
        <f t="shared" si="6"/>
        <v>1</v>
      </c>
      <c r="AE56" s="181" t="str">
        <f>IFERROR(LOOKUP(2,1/((ISNUMBER('Level Engine'!$AT$9:$AT$55))*($A56&gt;='Level Engine'!$AT$9:$AT$55)*($A56&lt;='Level Engine'!$AU$9:$AU$41)),'Level Engine'!$BB$9:$BB$55),"")</f>
        <v/>
      </c>
      <c r="AF56" s="218">
        <f t="shared" si="7"/>
        <v>387420489</v>
      </c>
      <c r="AG56" s="322">
        <f t="shared" si="8"/>
        <v>0</v>
      </c>
      <c r="AH56" s="10">
        <f t="shared" si="9"/>
        <v>-1614015</v>
      </c>
      <c r="AI56" s="218">
        <f t="shared" si="17"/>
        <v>-7405699</v>
      </c>
      <c r="AM56" s="218">
        <f>IFERROR(INDEX('Level Engine'!$AN$9:$AN$55,MATCH(A56,'Level Engine'!$AA$9:$AA$55,0)),0)</f>
        <v>1</v>
      </c>
      <c r="AQ56" s="286" t="str">
        <f t="shared" si="10"/>
        <v/>
      </c>
      <c r="AR56" s="286">
        <f t="shared" si="11"/>
        <v>0</v>
      </c>
      <c r="AS56" s="322" t="str">
        <f t="shared" si="12"/>
        <v/>
      </c>
      <c r="AT56" s="10">
        <f t="shared" si="13"/>
        <v>3240730</v>
      </c>
      <c r="AU56" s="1" t="str">
        <f t="shared" si="14"/>
        <v/>
      </c>
      <c r="AV56" s="1">
        <f t="shared" si="15"/>
        <v>4587</v>
      </c>
    </row>
    <row r="57" spans="1:77" ht="15" customHeight="1" x14ac:dyDescent="0.25">
      <c r="A57" s="287">
        <v>7745</v>
      </c>
      <c r="B57" s="288">
        <v>1233853</v>
      </c>
      <c r="C57" s="289">
        <v>-1009366</v>
      </c>
      <c r="D57" s="289">
        <v>-4964885</v>
      </c>
      <c r="E57" s="319">
        <v>-632</v>
      </c>
      <c r="F57" s="306">
        <v>2622675</v>
      </c>
      <c r="G57" s="289">
        <v>837</v>
      </c>
      <c r="H57" s="289">
        <v>74</v>
      </c>
      <c r="I57" s="289">
        <v>14087</v>
      </c>
      <c r="J57" s="290" t="str">
        <f t="shared" si="2"/>
        <v/>
      </c>
      <c r="K57" s="291">
        <v>271</v>
      </c>
      <c r="L57" s="292">
        <v>2708</v>
      </c>
      <c r="M57" s="292"/>
      <c r="N57" s="312"/>
      <c r="O57" s="313"/>
      <c r="P57" s="294" t="str">
        <f t="shared" si="3"/>
        <v/>
      </c>
      <c r="Q57" s="295" t="str">
        <f>IF(A57="","",IF(AND(A57=MROUND($B$4,5),ISNUMBER(SEARCH("LONG trigger",'GEX Depth'!$C$54))),"Long Trigger",IF(AND(A57=MROUND($B$4,5),ISNUMBER(SEARCH("SHORT trigger",'GEX Depth'!$C$54))),"Short Trigger",IF(OR(COUNTIF($AL$42:$AL$45,A57)&gt;0,OR(AND($AM57=1,A57&gt;$B$4),AND($AM58=1,A58&gt;$B$4)),AND(ISNUMBER('Level Engine'!$CT$3),A57&gt;=MIN('Level Engine'!$CT$3,'Level Engine'!$CT$4),A57&lt;=MAX('Level Engine'!$CT$3,'Level Engine'!$CT$4))),"R",IF(OR(COUNTIF($AL$49:$AL$52,A57)&gt;0,OR(AND($AM57=1,A57&lt;$B$4),AND($AM56=1,A56&lt;$B$4)),AND(ISNUMBER('Level Engine'!$CW$3),A57&gt;=MIN('Level Engine'!$CW$3,'Level Engine'!$CW$4),A57&lt;=MAX('Level Engine'!$CW$3,'Level Engine'!$CW$4))),"S","")))))</f>
        <v>S</v>
      </c>
      <c r="R57" s="1" t="str">
        <f>IF(A57="","",IF(AND(COUNT($S$69:$S$72)&gt;0,A57=MAX($S$69:$S$72)),"◀ sell-stop floor",IF(AND('Level Engine'!$CW$2=1,ISNUMBER('Level Engine'!$FI$3),ISNUMBER('Level Engine'!$FI$4),A57&gt;=MIN('Level Engine'!$FI$3,'Level Engine'!$FI$4),A57&lt;=MAX('Level Engine'!$FI$3,'Level Engine'!$FI$4)),"◀ support "&amp;'Level Engine'!$CW$9,IF(AND('Level Engine'!$CT$2=1,ISNUMBER('Level Engine'!$FH$3),ISNUMBER('Level Engine'!$FH$4),A57&gt;=MIN('Level Engine'!$FH$3,'Level Engine'!$FH$4),A57&lt;=MAX('Level Engine'!$FH$3,'Level Engine'!$FH$4)),"◀ resistance "&amp;'Level Engine'!$CT$9,""))))</f>
        <v/>
      </c>
      <c r="S57" s="307" t="str">
        <f>IFERROR(INDEX('Level Engine'!$AA$9:$AA$55,MATCH(ROWS($S$56:$S57),'Level Engine'!$CY$9:$CY$55,0)),"")</f>
        <v/>
      </c>
      <c r="T57" s="307" t="str">
        <f>IF($S57="","",$S57-$B$4)</f>
        <v/>
      </c>
      <c r="U57" s="308" t="str">
        <f>IF($S57="","",IFERROR(INDEX('Level Engine'!$AC$9:$AC$55,MATCH($S57,'Level Engine'!$AA$9:$AA$55,0)),""))</f>
        <v/>
      </c>
      <c r="V57" s="308" t="str">
        <f>IF($S57="","",IFERROR(INDEX('Level Engine'!$BC$9:$BC$55,MATCH($S57,'Level Engine'!$AA$9:$AA$55,0)),""))</f>
        <v/>
      </c>
      <c r="W57" s="308" t="str">
        <f>IF($S57="","",IFERROR(INDEX('Level Engine'!$AG$9:$AG$55,MATCH($S57,'Level Engine'!$AA$9:$AA$55,0)),""))</f>
        <v/>
      </c>
      <c r="X57" s="308" t="str">
        <f>IF($S57="","",IFERROR(IF(AND(INDEX('Level Engine'!$AX$9:$AX$55,MATCH($S57,'Level Engine'!$AA$9:$AA$55,0))=1,'Level Engine'!$D$5="DOWN"),IF($W57="R","VOMMA CAP","VOMMA BID"),"stable"),"stable"))</f>
        <v/>
      </c>
      <c r="Y57" s="276"/>
      <c r="Z57" s="276">
        <f t="shared" si="16"/>
        <v>-8246237</v>
      </c>
      <c r="AB57" s="181">
        <f t="shared" si="4"/>
        <v>387420489</v>
      </c>
      <c r="AC57" s="297">
        <f t="shared" si="5"/>
        <v>14</v>
      </c>
      <c r="AD57" s="297">
        <f t="shared" si="6"/>
        <v>0</v>
      </c>
      <c r="AE57" s="181" t="str">
        <f>IFERROR(LOOKUP(2,1/((ISNUMBER('Level Engine'!$AT$9:$AT$55))*($A57&gt;='Level Engine'!$AT$9:$AT$55)*($A57&lt;='Level Engine'!$AU$9:$AU$41)),'Level Engine'!$BB$9:$BB$55),"")</f>
        <v>S5</v>
      </c>
      <c r="AF57" s="218">
        <f t="shared" si="7"/>
        <v>387420489</v>
      </c>
      <c r="AG57" s="322">
        <f t="shared" si="8"/>
        <v>0</v>
      </c>
      <c r="AH57" s="10">
        <f t="shared" si="9"/>
        <v>-1009366</v>
      </c>
      <c r="AI57" s="218">
        <f t="shared" si="17"/>
        <v>-7406331</v>
      </c>
      <c r="AM57" s="218">
        <f>IFERROR(INDEX('Level Engine'!$AN$9:$AN$55,MATCH(A57,'Level Engine'!$AA$9:$AA$55,0)),0)</f>
        <v>0</v>
      </c>
      <c r="AQ57" s="286" t="str">
        <f t="shared" si="10"/>
        <v/>
      </c>
      <c r="AR57" s="286">
        <f t="shared" si="11"/>
        <v>0</v>
      </c>
      <c r="AS57" s="322" t="str">
        <f t="shared" si="12"/>
        <v/>
      </c>
      <c r="AT57" s="10">
        <f t="shared" si="13"/>
        <v>1233853</v>
      </c>
      <c r="AU57" s="1" t="str">
        <f t="shared" si="14"/>
        <v/>
      </c>
      <c r="AV57" s="1">
        <f t="shared" si="15"/>
        <v>2708</v>
      </c>
    </row>
    <row r="58" spans="1:77" ht="15" customHeight="1" x14ac:dyDescent="0.25">
      <c r="A58" s="287">
        <v>7740</v>
      </c>
      <c r="B58" s="288">
        <v>619804</v>
      </c>
      <c r="C58" s="289">
        <v>-252679</v>
      </c>
      <c r="D58" s="319">
        <v>-1864682</v>
      </c>
      <c r="E58" s="289">
        <v>341275</v>
      </c>
      <c r="F58" s="289">
        <v>732398</v>
      </c>
      <c r="G58" s="289">
        <v>523</v>
      </c>
      <c r="H58" s="289">
        <v>39</v>
      </c>
      <c r="I58" s="289">
        <v>3788</v>
      </c>
      <c r="J58" s="290" t="str">
        <f t="shared" si="2"/>
        <v/>
      </c>
      <c r="K58" s="291">
        <v>571</v>
      </c>
      <c r="L58" s="292">
        <v>1357</v>
      </c>
      <c r="M58" s="292"/>
      <c r="N58" s="312"/>
      <c r="O58" s="313"/>
      <c r="P58" s="294" t="str">
        <f t="shared" si="3"/>
        <v/>
      </c>
      <c r="Q58" s="295" t="str">
        <f>IF(A58="","",IF(AND(A58=MROUND($B$4,5),ISNUMBER(SEARCH("LONG trigger",'GEX Depth'!$C$54))),"Long Trigger",IF(AND(A58=MROUND($B$4,5),ISNUMBER(SEARCH("SHORT trigger",'GEX Depth'!$C$54))),"Short Trigger",IF(OR(COUNTIF($AL$42:$AL$45,A58)&gt;0,OR(AND($AM58=1,A58&gt;$B$4),AND($AM59=1,A59&gt;$B$4)),AND(ISNUMBER('Level Engine'!$CT$3),A58&gt;=MIN('Level Engine'!$CT$3,'Level Engine'!$CT$4),A58&lt;=MAX('Level Engine'!$CT$3,'Level Engine'!$CT$4))),"R",IF(OR(COUNTIF($AL$49:$AL$52,A58)&gt;0,OR(AND($AM58=1,A58&lt;$B$4),AND($AM57=1,A57&lt;$B$4)),AND(ISNUMBER('Level Engine'!$CW$3),A58&gt;=MIN('Level Engine'!$CW$3,'Level Engine'!$CW$4),A58&lt;=MAX('Level Engine'!$CW$3,'Level Engine'!$CW$4))),"S","")))))</f>
        <v>S</v>
      </c>
      <c r="R58" s="1" t="str">
        <f>IF(A58="","",IF(AND(COUNT($S$69:$S$72)&gt;0,A58=MAX($S$69:$S$72)),"◀ sell-stop floor",IF(AND('Level Engine'!$CW$2=1,ISNUMBER('Level Engine'!$FI$3),ISNUMBER('Level Engine'!$FI$4),A58&gt;=MIN('Level Engine'!$FI$3,'Level Engine'!$FI$4),A58&lt;=MAX('Level Engine'!$FI$3,'Level Engine'!$FI$4)),"◀ support "&amp;'Level Engine'!$CW$9,IF(AND('Level Engine'!$CT$2=1,ISNUMBER('Level Engine'!$FH$3),ISNUMBER('Level Engine'!$FH$4),A58&gt;=MIN('Level Engine'!$FH$3,'Level Engine'!$FH$4),A58&lt;=MAX('Level Engine'!$FH$3,'Level Engine'!$FH$4)),"◀ resistance "&amp;'Level Engine'!$CT$9,""))))</f>
        <v/>
      </c>
      <c r="S58" s="307" t="str">
        <f>IFERROR(INDEX('Level Engine'!$AA$9:$AA$55,MATCH(ROWS($S$56:$S58),'Level Engine'!$CY$9:$CY$55,0)),"")</f>
        <v/>
      </c>
      <c r="T58" s="307" t="str">
        <f>IF($S58="","",$S58-$B$4)</f>
        <v/>
      </c>
      <c r="U58" s="308" t="str">
        <f>IF($S58="","",IFERROR(INDEX('Level Engine'!$AC$9:$AC$55,MATCH($S58,'Level Engine'!$AA$9:$AA$55,0)),""))</f>
        <v/>
      </c>
      <c r="V58" s="308" t="str">
        <f>IF($S58="","",IFERROR(INDEX('Level Engine'!$BC$9:$BC$55,MATCH($S58,'Level Engine'!$AA$9:$AA$55,0)),""))</f>
        <v/>
      </c>
      <c r="W58" s="308" t="str">
        <f>IF($S58="","",IFERROR(INDEX('Level Engine'!$AG$9:$AG$55,MATCH($S58,'Level Engine'!$AA$9:$AA$55,0)),""))</f>
        <v/>
      </c>
      <c r="X58" s="308" t="str">
        <f>IF($S58="","",IFERROR(IF(AND(INDEX('Level Engine'!$AX$9:$AX$55,MATCH($S58,'Level Engine'!$AA$9:$AA$55,0))=1,'Level Engine'!$D$5="DOWN"),IF($W58="R","VOMMA CAP","VOMMA BID"),"stable"),"stable"))</f>
        <v/>
      </c>
      <c r="Y58" s="276"/>
      <c r="Z58" s="276">
        <f t="shared" si="16"/>
        <v>-8498916</v>
      </c>
      <c r="AB58" s="181">
        <f t="shared" si="4"/>
        <v>387420489</v>
      </c>
      <c r="AC58" s="297">
        <f t="shared" si="5"/>
        <v>10</v>
      </c>
      <c r="AD58" s="297">
        <f t="shared" si="6"/>
        <v>0</v>
      </c>
      <c r="AE58" s="181" t="str">
        <f>IFERROR(LOOKUP(2,1/((ISNUMBER('Level Engine'!$AT$9:$AT$55))*($A58&gt;='Level Engine'!$AT$9:$AT$55)*($A58&lt;='Level Engine'!$AU$9:$AU$41)),'Level Engine'!$BB$9:$BB$55),"")</f>
        <v>S5</v>
      </c>
      <c r="AF58" s="218">
        <f t="shared" si="7"/>
        <v>387420489</v>
      </c>
      <c r="AG58" s="322">
        <f t="shared" si="8"/>
        <v>0</v>
      </c>
      <c r="AH58" s="10">
        <f t="shared" si="9"/>
        <v>-252679</v>
      </c>
      <c r="AI58" s="218">
        <f t="shared" si="17"/>
        <v>-7065056</v>
      </c>
      <c r="AM58" s="218">
        <f>IFERROR(INDEX('Level Engine'!$AN$9:$AN$55,MATCH(A58,'Level Engine'!$AA$9:$AA$55,0)),0)</f>
        <v>1</v>
      </c>
      <c r="AQ58" s="286" t="str">
        <f t="shared" si="10"/>
        <v/>
      </c>
      <c r="AR58" s="286">
        <f t="shared" si="11"/>
        <v>0</v>
      </c>
      <c r="AS58" s="322" t="str">
        <f t="shared" si="12"/>
        <v/>
      </c>
      <c r="AT58" s="10">
        <f t="shared" si="13"/>
        <v>619804</v>
      </c>
      <c r="AU58" s="1" t="str">
        <f t="shared" si="14"/>
        <v/>
      </c>
      <c r="AV58" s="1">
        <f t="shared" si="15"/>
        <v>1357</v>
      </c>
    </row>
    <row r="59" spans="1:77" ht="15" customHeight="1" x14ac:dyDescent="0.25">
      <c r="A59" s="287">
        <v>7735</v>
      </c>
      <c r="B59" s="288">
        <v>379726</v>
      </c>
      <c r="C59" s="289">
        <v>-277071</v>
      </c>
      <c r="D59" s="289">
        <v>-2676576</v>
      </c>
      <c r="E59" s="289">
        <v>98643</v>
      </c>
      <c r="F59" s="306">
        <v>878831</v>
      </c>
      <c r="G59" s="289">
        <v>383</v>
      </c>
      <c r="H59" s="289">
        <v>25</v>
      </c>
      <c r="I59" s="289">
        <v>4375</v>
      </c>
      <c r="J59" s="290" t="str">
        <f t="shared" si="2"/>
        <v/>
      </c>
      <c r="K59" s="291">
        <v>206</v>
      </c>
      <c r="L59" s="292">
        <v>1318</v>
      </c>
      <c r="M59" s="292"/>
      <c r="N59" s="312"/>
      <c r="O59" s="313"/>
      <c r="P59" s="294" t="str">
        <f t="shared" si="3"/>
        <v/>
      </c>
      <c r="Q59" s="295" t="str">
        <f>IF(A59="","",IF(AND(A59=MROUND($B$4,5),ISNUMBER(SEARCH("LONG trigger",'GEX Depth'!$C$54))),"Long Trigger",IF(AND(A59=MROUND($B$4,5),ISNUMBER(SEARCH("SHORT trigger",'GEX Depth'!$C$54))),"Short Trigger",IF(OR(COUNTIF($AL$42:$AL$45,A59)&gt;0,OR(AND($AM59=1,A59&gt;$B$4),AND($AM60=1,A60&gt;$B$4)),AND(ISNUMBER('Level Engine'!$CT$3),A59&gt;=MIN('Level Engine'!$CT$3,'Level Engine'!$CT$4),A59&lt;=MAX('Level Engine'!$CT$3,'Level Engine'!$CT$4))),"R",IF(OR(COUNTIF($AL$49:$AL$52,A59)&gt;0,OR(AND($AM59=1,A59&lt;$B$4),AND($AM58=1,A58&lt;$B$4)),AND(ISNUMBER('Level Engine'!$CW$3),A59&gt;=MIN('Level Engine'!$CW$3,'Level Engine'!$CW$4),A59&lt;=MAX('Level Engine'!$CW$3,'Level Engine'!$CW$4))),"S","")))))</f>
        <v>S</v>
      </c>
      <c r="R59" s="1" t="str">
        <f>IF(A59="","",IF(AND(COUNT($S$69:$S$72)&gt;0,A59=MAX($S$69:$S$72)),"◀ sell-stop floor",IF(AND('Level Engine'!$CW$2=1,ISNUMBER('Level Engine'!$FI$3),ISNUMBER('Level Engine'!$FI$4),A59&gt;=MIN('Level Engine'!$FI$3,'Level Engine'!$FI$4),A59&lt;=MAX('Level Engine'!$FI$3,'Level Engine'!$FI$4)),"◀ support "&amp;'Level Engine'!$CW$9,IF(AND('Level Engine'!$CT$2=1,ISNUMBER('Level Engine'!$FH$3),ISNUMBER('Level Engine'!$FH$4),A59&gt;=MIN('Level Engine'!$FH$3,'Level Engine'!$FH$4),A59&lt;=MAX('Level Engine'!$FH$3,'Level Engine'!$FH$4)),"◀ resistance "&amp;'Level Engine'!$CT$9,""))))</f>
        <v/>
      </c>
      <c r="S59" s="307" t="str">
        <f>IFERROR(INDEX('Level Engine'!$AA$9:$AA$55,MATCH(ROWS($S$56:$S59),'Level Engine'!$CY$9:$CY$55,0)),"")</f>
        <v/>
      </c>
      <c r="T59" s="307" t="str">
        <f>IF($S59="","",$S59-$B$4)</f>
        <v/>
      </c>
      <c r="U59" s="308" t="str">
        <f>IF($S59="","",IFERROR(INDEX('Level Engine'!$AC$9:$AC$55,MATCH($S59,'Level Engine'!$AA$9:$AA$55,0)),""))</f>
        <v/>
      </c>
      <c r="V59" s="308" t="str">
        <f>IF($S59="","",IFERROR(INDEX('Level Engine'!$BC$9:$BC$55,MATCH($S59,'Level Engine'!$AA$9:$AA$55,0)),""))</f>
        <v/>
      </c>
      <c r="W59" s="308" t="str">
        <f>IF($S59="","",IFERROR(INDEX('Level Engine'!$AG$9:$AG$55,MATCH($S59,'Level Engine'!$AA$9:$AA$55,0)),""))</f>
        <v/>
      </c>
      <c r="X59" s="308" t="str">
        <f>IF($S59="","",IFERROR(IF(AND(INDEX('Level Engine'!$AX$9:$AX$55,MATCH($S59,'Level Engine'!$AA$9:$AA$55,0))=1,'Level Engine'!$D$5="DOWN"),IF($W59="R","VOMMA CAP","VOMMA BID"),"stable"),"stable"))</f>
        <v/>
      </c>
      <c r="Y59" s="276"/>
      <c r="Z59" s="276">
        <f t="shared" si="16"/>
        <v>-8775987</v>
      </c>
      <c r="AB59" s="181">
        <f t="shared" si="4"/>
        <v>387420489</v>
      </c>
      <c r="AC59" s="297">
        <f t="shared" si="5"/>
        <v>17</v>
      </c>
      <c r="AD59" s="297">
        <f t="shared" si="6"/>
        <v>0</v>
      </c>
      <c r="AE59" s="181" t="str">
        <f>IFERROR(LOOKUP(2,1/((ISNUMBER('Level Engine'!$AT$9:$AT$55))*($A59&gt;='Level Engine'!$AT$9:$AT$55)*($A59&lt;='Level Engine'!$AU$9:$AU$41)),'Level Engine'!$BB$9:$BB$55),"")</f>
        <v/>
      </c>
      <c r="AF59" s="218">
        <f t="shared" si="7"/>
        <v>387420489</v>
      </c>
      <c r="AG59" s="322">
        <f t="shared" si="8"/>
        <v>0</v>
      </c>
      <c r="AH59" s="10">
        <f t="shared" si="9"/>
        <v>-277071</v>
      </c>
      <c r="AI59" s="218">
        <f t="shared" si="17"/>
        <v>-6966413</v>
      </c>
      <c r="AM59" s="218">
        <f>IFERROR(INDEX('Level Engine'!$AN$9:$AN$55,MATCH(A59,'Level Engine'!$AA$9:$AA$55,0)),0)</f>
        <v>0</v>
      </c>
      <c r="AQ59" s="286" t="str">
        <f t="shared" si="10"/>
        <v/>
      </c>
      <c r="AR59" s="286">
        <f t="shared" si="11"/>
        <v>0</v>
      </c>
      <c r="AS59" s="322" t="str">
        <f t="shared" si="12"/>
        <v/>
      </c>
      <c r="AT59" s="10">
        <f t="shared" si="13"/>
        <v>379726</v>
      </c>
      <c r="AU59" s="1" t="str">
        <f t="shared" si="14"/>
        <v/>
      </c>
      <c r="AV59" s="1">
        <f t="shared" si="15"/>
        <v>1318</v>
      </c>
    </row>
    <row r="60" spans="1:77" ht="15" customHeight="1" x14ac:dyDescent="0.25">
      <c r="A60" s="287">
        <v>7730</v>
      </c>
      <c r="B60" s="288">
        <v>900491</v>
      </c>
      <c r="C60" s="289">
        <v>-9171</v>
      </c>
      <c r="D60" s="319">
        <v>-105977</v>
      </c>
      <c r="E60" s="319">
        <v>1631395</v>
      </c>
      <c r="F60" s="306">
        <v>31252</v>
      </c>
      <c r="G60" s="289">
        <v>1049</v>
      </c>
      <c r="H60" s="289">
        <v>61</v>
      </c>
      <c r="I60" s="289">
        <v>149</v>
      </c>
      <c r="J60" s="290" t="str">
        <f t="shared" si="2"/>
        <v/>
      </c>
      <c r="K60" s="291">
        <v>2284</v>
      </c>
      <c r="L60" s="292">
        <v>2331</v>
      </c>
      <c r="M60" s="292"/>
      <c r="N60" s="312"/>
      <c r="O60" s="313"/>
      <c r="P60" s="294" t="str">
        <f t="shared" si="3"/>
        <v/>
      </c>
      <c r="Q60" s="295" t="str">
        <f>IF(A60="","",IF(AND(A60=MROUND($B$4,5),ISNUMBER(SEARCH("LONG trigger",'GEX Depth'!$C$54))),"Long Trigger",IF(AND(A60=MROUND($B$4,5),ISNUMBER(SEARCH("SHORT trigger",'GEX Depth'!$C$54))),"Short Trigger",IF(OR(COUNTIF($AL$42:$AL$45,A60)&gt;0,OR(AND($AM60=1,A60&gt;$B$4),AND($AM61=1,A61&gt;$B$4)),AND(ISNUMBER('Level Engine'!$CT$3),A60&gt;=MIN('Level Engine'!$CT$3,'Level Engine'!$CT$4),A60&lt;=MAX('Level Engine'!$CT$3,'Level Engine'!$CT$4))),"R",IF(OR(COUNTIF($AL$49:$AL$52,A60)&gt;0,OR(AND($AM60=1,A60&lt;$B$4),AND($AM59=1,A59&lt;$B$4)),AND(ISNUMBER('Level Engine'!$CW$3),A60&gt;=MIN('Level Engine'!$CW$3,'Level Engine'!$CW$4),A60&lt;=MAX('Level Engine'!$CW$3,'Level Engine'!$CW$4))),"S","")))))</f>
        <v>S</v>
      </c>
      <c r="R60" s="1" t="str">
        <f>IF(A60="","",IF(AND(COUNT($S$69:$S$72)&gt;0,A60=MAX($S$69:$S$72)),"◀ sell-stop floor",IF(AND('Level Engine'!$CW$2=1,ISNUMBER('Level Engine'!$FI$3),ISNUMBER('Level Engine'!$FI$4),A60&gt;=MIN('Level Engine'!$FI$3,'Level Engine'!$FI$4),A60&lt;=MAX('Level Engine'!$FI$3,'Level Engine'!$FI$4)),"◀ support "&amp;'Level Engine'!$CW$9,IF(AND('Level Engine'!$CT$2=1,ISNUMBER('Level Engine'!$FH$3),ISNUMBER('Level Engine'!$FH$4),A60&gt;=MIN('Level Engine'!$FH$3,'Level Engine'!$FH$4),A60&lt;=MAX('Level Engine'!$FH$3,'Level Engine'!$FH$4)),"◀ resistance "&amp;'Level Engine'!$CT$9,""))))</f>
        <v/>
      </c>
      <c r="Y60" s="276"/>
      <c r="Z60" s="276">
        <f t="shared" si="16"/>
        <v>-8785158</v>
      </c>
      <c r="AB60" s="181">
        <f t="shared" si="4"/>
        <v>387420489</v>
      </c>
      <c r="AC60" s="297">
        <f t="shared" si="5"/>
        <v>1</v>
      </c>
      <c r="AD60" s="297">
        <f t="shared" si="6"/>
        <v>1</v>
      </c>
      <c r="AE60" s="181" t="str">
        <f>IFERROR(LOOKUP(2,1/((ISNUMBER('Level Engine'!$AT$9:$AT$55))*($A60&gt;='Level Engine'!$AT$9:$AT$55)*($A60&lt;='Level Engine'!$AU$9:$AU$41)),'Level Engine'!$BB$9:$BB$55),"")</f>
        <v/>
      </c>
      <c r="AF60" s="218">
        <f t="shared" si="7"/>
        <v>387420489</v>
      </c>
      <c r="AG60" s="322">
        <f t="shared" si="8"/>
        <v>0</v>
      </c>
      <c r="AH60" s="10">
        <f t="shared" si="9"/>
        <v>-9171</v>
      </c>
      <c r="AI60" s="218">
        <f t="shared" si="17"/>
        <v>-5335018</v>
      </c>
      <c r="AM60" s="218">
        <f>IFERROR(INDEX('Level Engine'!$AN$9:$AN$55,MATCH(A60,'Level Engine'!$AA$9:$AA$55,0)),0)</f>
        <v>1</v>
      </c>
      <c r="AQ60" s="286" t="str">
        <f t="shared" si="10"/>
        <v/>
      </c>
      <c r="AR60" s="286">
        <f t="shared" si="11"/>
        <v>0</v>
      </c>
      <c r="AS60" s="322" t="str">
        <f t="shared" si="12"/>
        <v/>
      </c>
      <c r="AT60" s="10">
        <f t="shared" si="13"/>
        <v>900491</v>
      </c>
      <c r="AU60" s="1" t="str">
        <f t="shared" si="14"/>
        <v/>
      </c>
      <c r="AV60" s="1">
        <f t="shared" si="15"/>
        <v>2331</v>
      </c>
    </row>
    <row r="61" spans="1:77" ht="15" customHeight="1" x14ac:dyDescent="0.25">
      <c r="A61" s="287">
        <v>7725</v>
      </c>
      <c r="B61" s="288">
        <v>516893</v>
      </c>
      <c r="C61" s="289">
        <v>-134113</v>
      </c>
      <c r="D61" s="289">
        <v>-1748805</v>
      </c>
      <c r="E61" s="289">
        <v>875424</v>
      </c>
      <c r="F61" s="306">
        <v>483964</v>
      </c>
      <c r="G61" s="289">
        <v>675</v>
      </c>
      <c r="H61" s="289">
        <v>37</v>
      </c>
      <c r="I61" s="289">
        <v>2208</v>
      </c>
      <c r="J61" s="290" t="str">
        <f t="shared" si="2"/>
        <v/>
      </c>
      <c r="K61" s="291">
        <v>1233</v>
      </c>
      <c r="L61" s="292">
        <v>2097</v>
      </c>
      <c r="M61" s="292"/>
      <c r="N61" s="312"/>
      <c r="O61" s="313"/>
      <c r="P61" s="294" t="str">
        <f t="shared" si="3"/>
        <v/>
      </c>
      <c r="Q61" s="295" t="str">
        <f>IF(A61="","",IF(AND(A61=MROUND($B$4,5),ISNUMBER(SEARCH("LONG trigger",'GEX Depth'!$C$54))),"Long Trigger",IF(AND(A61=MROUND($B$4,5),ISNUMBER(SEARCH("SHORT trigger",'GEX Depth'!$C$54))),"Short Trigger",IF(OR(COUNTIF($AL$42:$AL$45,A61)&gt;0,OR(AND($AM61=1,A61&gt;$B$4),AND($AM62=1,A62&gt;$B$4)),AND(ISNUMBER('Level Engine'!$CT$3),A61&gt;=MIN('Level Engine'!$CT$3,'Level Engine'!$CT$4),A61&lt;=MAX('Level Engine'!$CT$3,'Level Engine'!$CT$4))),"R",IF(OR(COUNTIF($AL$49:$AL$52,A61)&gt;0,OR(AND($AM61=1,A61&lt;$B$4),AND($AM60=1,A60&lt;$B$4)),AND(ISNUMBER('Level Engine'!$CW$3),A61&gt;=MIN('Level Engine'!$CW$3,'Level Engine'!$CW$4),A61&lt;=MAX('Level Engine'!$CW$3,'Level Engine'!$CW$4))),"S","")))))</f>
        <v>S</v>
      </c>
      <c r="R61" s="1" t="str">
        <f>IF(A61="","",IF(AND(COUNT($S$69:$S$72)&gt;0,A61=MAX($S$69:$S$72)),"◀ sell-stop floor",IF(AND('Level Engine'!$CW$2=1,ISNUMBER('Level Engine'!$FI$3),ISNUMBER('Level Engine'!$FI$4),A61&gt;=MIN('Level Engine'!$FI$3,'Level Engine'!$FI$4),A61&lt;=MAX('Level Engine'!$FI$3,'Level Engine'!$FI$4)),"◀ support "&amp;'Level Engine'!$CW$9,IF(AND('Level Engine'!$CT$2=1,ISNUMBER('Level Engine'!$FH$3),ISNUMBER('Level Engine'!$FH$4),A61&gt;=MIN('Level Engine'!$FH$3,'Level Engine'!$FH$4),A61&lt;=MAX('Level Engine'!$FH$3,'Level Engine'!$FH$4)),"◀ resistance "&amp;'Level Engine'!$CT$9,""))))</f>
        <v/>
      </c>
      <c r="S61" s="323" t="s">
        <v>158</v>
      </c>
      <c r="U61" s="276"/>
      <c r="V61" s="276"/>
      <c r="W61" s="276"/>
      <c r="X61" s="276"/>
      <c r="Z61" s="10">
        <f t="shared" si="16"/>
        <v>-8919271</v>
      </c>
      <c r="AB61" s="218">
        <f t="shared" si="4"/>
        <v>387420489</v>
      </c>
      <c r="AE61" s="181" t="str">
        <f>IFERROR(LOOKUP(2,1/((ISNUMBER('Level Engine'!$AT$9:$AT$55))*($A61&gt;='Level Engine'!$AT$9:$AT$55)*($A61&lt;='Level Engine'!$AU$9:$AU$41)),'Level Engine'!$BB$9:$BB$55),"")</f>
        <v/>
      </c>
      <c r="AF61" s="218">
        <f t="shared" si="7"/>
        <v>387420489</v>
      </c>
      <c r="AG61" s="322">
        <f t="shared" si="8"/>
        <v>0</v>
      </c>
      <c r="AH61" s="10">
        <f t="shared" si="9"/>
        <v>-134113</v>
      </c>
      <c r="AI61" s="218">
        <f t="shared" si="17"/>
        <v>-4459594</v>
      </c>
      <c r="AM61" s="218">
        <f>IFERROR(INDEX('Level Engine'!$AN$9:$AN$55,MATCH(A61,'Level Engine'!$AA$9:$AA$55,0)),0)</f>
        <v>0</v>
      </c>
      <c r="AN61" s="218" t="s">
        <v>159</v>
      </c>
      <c r="AQ61" s="286" t="str">
        <f t="shared" si="10"/>
        <v/>
      </c>
      <c r="AR61" s="286">
        <f t="shared" si="11"/>
        <v>0</v>
      </c>
      <c r="AS61" s="322" t="str">
        <f t="shared" si="12"/>
        <v/>
      </c>
      <c r="AT61" s="10">
        <f t="shared" si="13"/>
        <v>516893</v>
      </c>
      <c r="AU61" s="1" t="str">
        <f t="shared" si="14"/>
        <v/>
      </c>
      <c r="AV61" s="1">
        <f t="shared" si="15"/>
        <v>2097</v>
      </c>
    </row>
    <row r="62" spans="1:77" ht="15" customHeight="1" x14ac:dyDescent="0.25">
      <c r="A62" s="287">
        <v>7720</v>
      </c>
      <c r="B62" s="288">
        <v>1152307</v>
      </c>
      <c r="C62" s="289">
        <v>-913709</v>
      </c>
      <c r="D62" s="289">
        <v>-12996522</v>
      </c>
      <c r="E62" s="289">
        <v>553177</v>
      </c>
      <c r="F62" s="306">
        <v>3458031</v>
      </c>
      <c r="G62" s="289">
        <v>1654</v>
      </c>
      <c r="H62" s="289">
        <v>85</v>
      </c>
      <c r="I62" s="289">
        <v>15083</v>
      </c>
      <c r="J62" s="290" t="str">
        <f t="shared" si="2"/>
        <v/>
      </c>
      <c r="K62" s="291">
        <v>953</v>
      </c>
      <c r="L62" s="292">
        <v>8252</v>
      </c>
      <c r="M62" s="292"/>
      <c r="N62" s="312"/>
      <c r="O62" s="313"/>
      <c r="P62" s="294" t="str">
        <f t="shared" si="3"/>
        <v/>
      </c>
      <c r="Q62" s="295" t="str">
        <f>IF(A62="","",IF(AND(A62=MROUND($B$4,5),ISNUMBER(SEARCH("LONG trigger",'GEX Depth'!$C$54))),"Long Trigger",IF(AND(A62=MROUND($B$4,5),ISNUMBER(SEARCH("SHORT trigger",'GEX Depth'!$C$54))),"Short Trigger",IF(OR(COUNTIF($AL$42:$AL$45,A62)&gt;0,OR(AND($AM62=1,A62&gt;$B$4),AND($AM63=1,A63&gt;$B$4)),AND(ISNUMBER('Level Engine'!$CT$3),A62&gt;=MIN('Level Engine'!$CT$3,'Level Engine'!$CT$4),A62&lt;=MAX('Level Engine'!$CT$3,'Level Engine'!$CT$4))),"R",IF(OR(COUNTIF($AL$49:$AL$52,A62)&gt;0,OR(AND($AM62=1,A62&lt;$B$4),AND($AM61=1,A61&lt;$B$4)),AND(ISNUMBER('Level Engine'!$CW$3),A62&gt;=MIN('Level Engine'!$CW$3,'Level Engine'!$CW$4),A62&lt;=MAX('Level Engine'!$CW$3,'Level Engine'!$CW$4))),"S","")))))</f>
        <v/>
      </c>
      <c r="R62" s="1" t="str">
        <f>IF(A62="","",IF(AND(COUNT($S$69:$S$72)&gt;0,A62=MAX($S$69:$S$72)),"◀ sell-stop floor",IF(AND('Level Engine'!$CW$2=1,ISNUMBER('Level Engine'!$FI$3),ISNUMBER('Level Engine'!$FI$4),A62&gt;=MIN('Level Engine'!$FI$3,'Level Engine'!$FI$4),A62&lt;=MAX('Level Engine'!$FI$3,'Level Engine'!$FI$4)),"◀ support "&amp;'Level Engine'!$CW$9,IF(AND('Level Engine'!$CT$2=1,ISNUMBER('Level Engine'!$FH$3),ISNUMBER('Level Engine'!$FH$4),A62&gt;=MIN('Level Engine'!$FH$3,'Level Engine'!$FH$4),A62&lt;=MAX('Level Engine'!$FH$3,'Level Engine'!$FH$4)),"◀ resistance "&amp;'Level Engine'!$CT$9,""))))</f>
        <v/>
      </c>
      <c r="S62" s="324" t="s">
        <v>33</v>
      </c>
      <c r="T62" s="324" t="s">
        <v>34</v>
      </c>
      <c r="U62" s="325" t="s">
        <v>45</v>
      </c>
      <c r="V62" s="325" t="s">
        <v>35</v>
      </c>
      <c r="W62" s="325" t="s">
        <v>46</v>
      </c>
      <c r="X62" s="325" t="s">
        <v>47</v>
      </c>
      <c r="Y62" s="276"/>
      <c r="Z62" s="276">
        <f t="shared" si="16"/>
        <v>-9832980</v>
      </c>
      <c r="AB62" s="181">
        <f t="shared" si="4"/>
        <v>387420489</v>
      </c>
      <c r="AC62" s="297">
        <f t="shared" ref="AC62:AC75" si="19">IF(A62&gt;$B$4,SUMPRODUCT(($A$29:$A$75&gt;$B$4)*($K$29:$K$75&gt;K62)),IF(A62&lt;$B$4,SUMPRODUCT(($A$29:$A$75&lt;$B$4)*($K$29:$K$75&gt;K62)),""))</f>
        <v>6</v>
      </c>
      <c r="AD62" s="297">
        <f t="shared" ref="AD62:AD75" si="20">IF(AND(A62&gt;$B$4,SUMPRODUCT(($A$29:$A$75&gt;$B$4)*($K$29:$K$75&gt;K62))&lt;4),1,IF(AND(A62&lt;$B$4,SUMPRODUCT(($A$29:$A$75&lt;$B$4)*($K$29:$K$75&gt;K62))&lt;4),1,0))</f>
        <v>0</v>
      </c>
      <c r="AE62" s="181" t="str">
        <f>IFERROR(LOOKUP(2,1/((ISNUMBER('Level Engine'!$AT$9:$AT$55))*($A62&gt;='Level Engine'!$AT$9:$AT$55)*($A62&lt;='Level Engine'!$AU$9:$AU$41)),'Level Engine'!$BB$9:$BB$55),"")</f>
        <v/>
      </c>
      <c r="AF62" s="218">
        <f t="shared" si="7"/>
        <v>387420489</v>
      </c>
      <c r="AG62" s="218">
        <f t="shared" si="8"/>
        <v>0</v>
      </c>
      <c r="AH62" s="10">
        <f t="shared" si="9"/>
        <v>-913709</v>
      </c>
      <c r="AI62" s="218">
        <f t="shared" si="17"/>
        <v>-3906417</v>
      </c>
      <c r="AM62" s="218">
        <f>IFERROR(INDEX('Level Engine'!$AN$9:$AN$55,MATCH(A62,'Level Engine'!$AA$9:$AA$55,0)),0)</f>
        <v>0</v>
      </c>
      <c r="AN62">
        <f>IF(AND($A$8&lt;&gt;"Neg",N('Level Engine'!$BG$72)&lt;&gt;1),"",IF(MIN($AF$29:$AF$74)&gt;=9^9,"",INDEX($A$29:$A$74,MATCH(MIN($AF$29:$AF$74),$AF$29:$AF$74,0))))</f>
        <v>7775</v>
      </c>
      <c r="AO62" s="10">
        <f>IF(NOT(ISNUMBER($AN62)),"",IFERROR(INDEX($C$29:$C$75,MATCH($AN62,$A$29:$A$75,0)),""))</f>
        <v>-49207</v>
      </c>
      <c r="AP62" t="str">
        <f>IF(ISNUMBER($AN62),"FLIP-BACK (zero gamma)","")</f>
        <v>FLIP-BACK (zero gamma)</v>
      </c>
      <c r="AQ62" s="286" t="str">
        <f t="shared" si="10"/>
        <v/>
      </c>
      <c r="AR62" s="286">
        <f t="shared" si="11"/>
        <v>0</v>
      </c>
      <c r="AS62" t="str">
        <f t="shared" si="12"/>
        <v/>
      </c>
      <c r="AT62" s="10">
        <f t="shared" si="13"/>
        <v>1152307</v>
      </c>
      <c r="AU62" s="1" t="str">
        <f t="shared" si="14"/>
        <v/>
      </c>
      <c r="AV62" s="1">
        <f t="shared" si="15"/>
        <v>8252</v>
      </c>
    </row>
    <row r="63" spans="1:77" ht="15" customHeight="1" x14ac:dyDescent="0.25">
      <c r="A63" s="287">
        <v>7715</v>
      </c>
      <c r="B63" s="288">
        <v>246293</v>
      </c>
      <c r="C63" s="289">
        <v>-76852</v>
      </c>
      <c r="D63" s="289">
        <v>-1166531</v>
      </c>
      <c r="E63" s="289">
        <v>603950</v>
      </c>
      <c r="F63" s="306">
        <v>302922</v>
      </c>
      <c r="G63" s="289">
        <v>384</v>
      </c>
      <c r="H63" s="289">
        <v>19</v>
      </c>
      <c r="I63" s="289">
        <v>1264</v>
      </c>
      <c r="J63" s="290" t="str">
        <f t="shared" si="2"/>
        <v/>
      </c>
      <c r="K63" s="291">
        <v>829</v>
      </c>
      <c r="L63" s="292">
        <v>1581</v>
      </c>
      <c r="M63" s="292"/>
      <c r="N63" s="312"/>
      <c r="O63" s="313"/>
      <c r="P63" s="294" t="str">
        <f t="shared" si="3"/>
        <v/>
      </c>
      <c r="Q63" s="295" t="str">
        <f>IF(A63="","",IF(AND(A63=MROUND($B$4,5),ISNUMBER(SEARCH("LONG trigger",'GEX Depth'!$C$54))),"Long Trigger",IF(AND(A63=MROUND($B$4,5),ISNUMBER(SEARCH("SHORT trigger",'GEX Depth'!$C$54))),"Short Trigger",IF(OR(COUNTIF($AL$42:$AL$45,A63)&gt;0,OR(AND($AM63=1,A63&gt;$B$4),AND($AM64=1,A64&gt;$B$4)),AND(ISNUMBER('Level Engine'!$CT$3),A63&gt;=MIN('Level Engine'!$CT$3,'Level Engine'!$CT$4),A63&lt;=MAX('Level Engine'!$CT$3,'Level Engine'!$CT$4))),"R",IF(OR(COUNTIF($AL$49:$AL$52,A63)&gt;0,OR(AND($AM63=1,A63&lt;$B$4),AND($AM62=1,A62&lt;$B$4)),AND(ISNUMBER('Level Engine'!$CW$3),A63&gt;=MIN('Level Engine'!$CW$3,'Level Engine'!$CW$4),A63&lt;=MAX('Level Engine'!$CW$3,'Level Engine'!$CW$4))),"S","")))))</f>
        <v/>
      </c>
      <c r="R63" s="1" t="str">
        <f>IF(A63="","",IF(AND(COUNT($S$69:$S$72)&gt;0,A63=MAX($S$69:$S$72)),"◀ sell-stop floor",IF(AND('Level Engine'!$CW$2=1,ISNUMBER('Level Engine'!$FI$3),ISNUMBER('Level Engine'!$FI$4),A63&gt;=MIN('Level Engine'!$FI$3,'Level Engine'!$FI$4),A63&lt;=MAX('Level Engine'!$FI$3,'Level Engine'!$FI$4)),"◀ support "&amp;'Level Engine'!$CW$9,IF(AND('Level Engine'!$CT$2=1,ISNUMBER('Level Engine'!$FH$3),ISNUMBER('Level Engine'!$FH$4),A63&gt;=MIN('Level Engine'!$FH$3,'Level Engine'!$FH$4),A63&lt;=MAX('Level Engine'!$FH$3,'Level Engine'!$FH$4)),"◀ resistance "&amp;'Level Engine'!$CT$9,""))))</f>
        <v/>
      </c>
      <c r="S63" s="307">
        <f>IFERROR(INDEX('Level Engine'!$AA$9:$AA$55,MATCH(1,'Level Engine'!$CA$9:$CA$55,0)),"")</f>
        <v>7800</v>
      </c>
      <c r="T63" s="307">
        <f>IF($S63="","",$S63-$B$4)</f>
        <v>24.609999999999673</v>
      </c>
      <c r="U63" s="308">
        <f>IF($S63="","",IFERROR(INDEX('Level Engine'!$AC$9:$AC$55,MATCH($S63,'Level Engine'!$AA$9:$AA$55,0)),""))</f>
        <v>3752257</v>
      </c>
      <c r="V63" s="308">
        <f>IF($S63="","",IFERROR(INDEX('Level Engine'!$BC$9:$BC$55,MATCH($S63,'Level Engine'!$AA$9:$AA$55,0)),""))</f>
        <v>-80182</v>
      </c>
      <c r="W63" s="308" t="str">
        <f>IF($S63="","",IFERROR(INDEX('Level Engine'!$AG$9:$AG$55,MATCH($S63,'Level Engine'!$AA$9:$AA$55,0)),""))</f>
        <v>R</v>
      </c>
      <c r="X63" s="308" t="str">
        <f>IF($S63="","",IFERROR(IF(INDEX('Level Engine'!$AY$9:$AY$55,MATCH($S63,'Level Engine'!$AA$9:$AA$55,0))=1,"ACCELERANT",IF(AND(INDEX('Level Engine'!$AX$9:$AX$55,MATCH($S63,'Level Engine'!$AA$9:$AA$55,0))=1,'Level Engine'!$D$5="UP"),"FRAGILE",IF(INDEX('Level Engine'!$CI$9:$CI$55,MATCH($S63,'Level Engine'!$AA$9:$AA$55,0))=1,"accelerating","—"))),"—"))</f>
        <v>ACCELERANT</v>
      </c>
      <c r="Y63" s="276"/>
      <c r="Z63" s="276">
        <f t="shared" si="16"/>
        <v>-9909832</v>
      </c>
      <c r="AB63" s="181">
        <f t="shared" si="4"/>
        <v>387420489</v>
      </c>
      <c r="AC63" s="297">
        <f t="shared" si="19"/>
        <v>7</v>
      </c>
      <c r="AD63" s="297">
        <f t="shared" si="20"/>
        <v>0</v>
      </c>
      <c r="AE63" s="181" t="str">
        <f>IFERROR(LOOKUP(2,1/((ISNUMBER('Level Engine'!$AT$9:$AT$55))*($A63&gt;='Level Engine'!$AT$9:$AT$55)*($A63&lt;='Level Engine'!$AU$9:$AU$41)),'Level Engine'!$BB$9:$BB$55),"")</f>
        <v/>
      </c>
      <c r="AF63" s="218">
        <f t="shared" si="7"/>
        <v>387420489</v>
      </c>
      <c r="AG63" s="218">
        <f t="shared" si="8"/>
        <v>0</v>
      </c>
      <c r="AH63" s="10">
        <f t="shared" si="9"/>
        <v>-76852</v>
      </c>
      <c r="AI63" s="218">
        <f t="shared" si="17"/>
        <v>-3302467</v>
      </c>
      <c r="AM63" s="218">
        <f>IFERROR(INDEX('Level Engine'!$AN$9:$AN$55,MATCH(A63,'Level Engine'!$AA$9:$AA$55,0)),0)</f>
        <v>0</v>
      </c>
      <c r="AN63" t="str">
        <f>IF(AND($A$8&lt;&gt;"Neg",N('Level Engine'!$BG$72)&lt;&gt;1),"",IFERROR(INDEX('Level Engine'!$AA$9:$AA$55,MATCH(LARGE('Level Engine'!$CE$9:$CE$55,1),'Level Engine'!$CE$9:$CE$55,0)),""))</f>
        <v/>
      </c>
      <c r="AO63" t="str">
        <f>IF(NOT(ISNUMBER($AN63)),"",IFERROR(LARGE('Level Engine'!$CE$9:$CE$55,1),""))</f>
        <v/>
      </c>
      <c r="AP63" t="str">
        <f>IF(ISNUMBER($AN63),"+GEX wall / put support","")</f>
        <v/>
      </c>
      <c r="AQ63" s="286" t="str">
        <f t="shared" si="10"/>
        <v/>
      </c>
      <c r="AR63" s="286">
        <f t="shared" si="11"/>
        <v>0</v>
      </c>
      <c r="AS63" t="str">
        <f t="shared" si="12"/>
        <v/>
      </c>
      <c r="AT63" s="10">
        <f t="shared" si="13"/>
        <v>246293</v>
      </c>
      <c r="AU63" s="1" t="str">
        <f t="shared" si="14"/>
        <v/>
      </c>
      <c r="AV63" s="1">
        <f t="shared" si="15"/>
        <v>1581</v>
      </c>
    </row>
    <row r="64" spans="1:77" ht="15" customHeight="1" x14ac:dyDescent="0.25">
      <c r="A64" s="287">
        <v>7710</v>
      </c>
      <c r="B64" s="288">
        <v>182333</v>
      </c>
      <c r="C64" s="289">
        <v>-132005</v>
      </c>
      <c r="D64" s="289">
        <v>-2096053</v>
      </c>
      <c r="E64" s="289">
        <v>200245</v>
      </c>
      <c r="F64" s="306">
        <v>538342</v>
      </c>
      <c r="G64" s="289">
        <v>304</v>
      </c>
      <c r="H64" s="289">
        <v>15</v>
      </c>
      <c r="I64" s="289">
        <v>2149</v>
      </c>
      <c r="J64" s="290" t="str">
        <f t="shared" si="2"/>
        <v/>
      </c>
      <c r="K64" s="291">
        <v>297</v>
      </c>
      <c r="L64" s="292">
        <v>1855</v>
      </c>
      <c r="M64" s="292"/>
      <c r="N64" s="312"/>
      <c r="O64" s="313"/>
      <c r="P64" s="294" t="str">
        <f t="shared" si="3"/>
        <v/>
      </c>
      <c r="Q64" s="295" t="str">
        <f>IF(A64="","",IF(AND(A64=MROUND($B$4,5),ISNUMBER(SEARCH("LONG trigger",'GEX Depth'!$C$54))),"Long Trigger",IF(AND(A64=MROUND($B$4,5),ISNUMBER(SEARCH("SHORT trigger",'GEX Depth'!$C$54))),"Short Trigger",IF(OR(COUNTIF($AL$42:$AL$45,A64)&gt;0,OR(AND($AM64=1,A64&gt;$B$4),AND($AM65=1,A65&gt;$B$4)),AND(ISNUMBER('Level Engine'!$CT$3),A64&gt;=MIN('Level Engine'!$CT$3,'Level Engine'!$CT$4),A64&lt;=MAX('Level Engine'!$CT$3,'Level Engine'!$CT$4))),"R",IF(OR(COUNTIF($AL$49:$AL$52,A64)&gt;0,OR(AND($AM64=1,A64&lt;$B$4),AND($AM63=1,A63&lt;$B$4)),AND(ISNUMBER('Level Engine'!$CW$3),A64&gt;=MIN('Level Engine'!$CW$3,'Level Engine'!$CW$4),A64&lt;=MAX('Level Engine'!$CW$3,'Level Engine'!$CW$4))),"S","")))))</f>
        <v/>
      </c>
      <c r="R64" s="1" t="str">
        <f>IF(A64="","",IF(AND(COUNT($S$69:$S$72)&gt;0,A64=MAX($S$69:$S$72)),"◀ sell-stop floor",IF(AND('Level Engine'!$CW$2=1,ISNUMBER('Level Engine'!$FI$3),ISNUMBER('Level Engine'!$FI$4),A64&gt;=MIN('Level Engine'!$FI$3,'Level Engine'!$FI$4),A64&lt;=MAX('Level Engine'!$FI$3,'Level Engine'!$FI$4)),"◀ support "&amp;'Level Engine'!$CW$9,IF(AND('Level Engine'!$CT$2=1,ISNUMBER('Level Engine'!$FH$3),ISNUMBER('Level Engine'!$FH$4),A64&gt;=MIN('Level Engine'!$FH$3,'Level Engine'!$FH$4),A64&lt;=MAX('Level Engine'!$FH$3,'Level Engine'!$FH$4)),"◀ resistance "&amp;'Level Engine'!$CT$9,""))))</f>
        <v/>
      </c>
      <c r="S64" s="307">
        <f>IFERROR(INDEX('Level Engine'!$AA$9:$AA$55,MATCH(2,'Level Engine'!$CA$9:$CA$55,0)),"")</f>
        <v>7750</v>
      </c>
      <c r="T64" s="307">
        <f>IF($S64="","",$S64-$B$4)</f>
        <v>-25.390000000000327</v>
      </c>
      <c r="U64" s="308">
        <f>IF($S64="","",IFERROR(INDEX('Level Engine'!$AC$9:$AC$55,MATCH($S64,'Level Engine'!$AA$9:$AA$55,0)),""))</f>
        <v>3240730</v>
      </c>
      <c r="V64" s="308">
        <f>IF($S64="","",IFERROR(INDEX('Level Engine'!$BC$9:$BC$55,MATCH($S64,'Level Engine'!$AA$9:$AA$55,0)),""))</f>
        <v>-1614015</v>
      </c>
      <c r="W64" s="308" t="str">
        <f>IF($S64="","",IFERROR(INDEX('Level Engine'!$AG$9:$AG$55,MATCH($S64,'Level Engine'!$AA$9:$AA$55,0)),""))</f>
        <v>S</v>
      </c>
      <c r="X64" s="308" t="str">
        <f>IF($S64="","",IFERROR(IF(INDEX('Level Engine'!$AY$9:$AY$55,MATCH($S64,'Level Engine'!$AA$9:$AA$55,0))=1,"ACCELERANT",IF(AND(INDEX('Level Engine'!$AX$9:$AX$55,MATCH($S64,'Level Engine'!$AA$9:$AA$55,0))=1,'Level Engine'!$D$5="UP"),"FRAGILE",IF(INDEX('Level Engine'!$CI$9:$CI$55,MATCH($S64,'Level Engine'!$AA$9:$AA$55,0))=1,"accelerating","—"))),"—"))</f>
        <v>ACCELERANT</v>
      </c>
      <c r="Y64" s="276"/>
      <c r="Z64" s="276">
        <f t="shared" si="16"/>
        <v>-10041837</v>
      </c>
      <c r="AB64" s="181">
        <f t="shared" si="4"/>
        <v>387420489</v>
      </c>
      <c r="AC64" s="297">
        <f t="shared" si="19"/>
        <v>13</v>
      </c>
      <c r="AD64" s="297">
        <f t="shared" si="20"/>
        <v>0</v>
      </c>
      <c r="AE64" s="181" t="str">
        <f>IFERROR(LOOKUP(2,1/((ISNUMBER('Level Engine'!$AT$9:$AT$55))*($A64&gt;='Level Engine'!$AT$9:$AT$55)*($A64&lt;='Level Engine'!$AU$9:$AU$41)),'Level Engine'!$BB$9:$BB$55),"")</f>
        <v/>
      </c>
      <c r="AF64" s="218">
        <f t="shared" si="7"/>
        <v>387420489</v>
      </c>
      <c r="AG64" s="218">
        <f t="shared" si="8"/>
        <v>0</v>
      </c>
      <c r="AH64" s="10">
        <f t="shared" si="9"/>
        <v>-132005</v>
      </c>
      <c r="AI64" s="218">
        <f t="shared" si="17"/>
        <v>-3102222</v>
      </c>
      <c r="AM64" s="218">
        <f>IFERROR(INDEX('Level Engine'!$AN$9:$AN$55,MATCH(A64,'Level Engine'!$AA$9:$AA$55,0)),0)</f>
        <v>0</v>
      </c>
      <c r="AN64" t="str">
        <f>IF(AND($A$8&lt;&gt;"Neg",N('Level Engine'!$BG$72)&lt;&gt;1),"",IFERROR(INDEX('Level Engine'!$AA$9:$AA$55,MATCH(LARGE('Level Engine'!$CE$9:$CE$55,2),'Level Engine'!$CE$9:$CE$55,0)),""))</f>
        <v/>
      </c>
      <c r="AO64" t="str">
        <f>IF(NOT(ISNUMBER($AN64)),"",IFERROR(LARGE('Level Engine'!$CE$9:$CE$55,2),""))</f>
        <v/>
      </c>
      <c r="AP64" t="str">
        <f>IF(ISNUMBER($AN64),"+GEX wall / put support","")</f>
        <v/>
      </c>
      <c r="AQ64" s="286" t="str">
        <f t="shared" si="10"/>
        <v/>
      </c>
      <c r="AR64" s="286">
        <f t="shared" si="11"/>
        <v>0</v>
      </c>
      <c r="AS64" t="str">
        <f t="shared" si="12"/>
        <v/>
      </c>
      <c r="AT64" s="10">
        <f t="shared" si="13"/>
        <v>182333</v>
      </c>
      <c r="AU64" s="1" t="str">
        <f t="shared" si="14"/>
        <v/>
      </c>
      <c r="AV64" s="1">
        <f t="shared" si="15"/>
        <v>1855</v>
      </c>
    </row>
    <row r="65" spans="1:48" ht="15" customHeight="1" x14ac:dyDescent="0.25">
      <c r="A65" s="287">
        <v>7705</v>
      </c>
      <c r="B65" s="288">
        <v>399334</v>
      </c>
      <c r="C65" s="289">
        <v>-70311</v>
      </c>
      <c r="D65" s="289">
        <v>-1146794</v>
      </c>
      <c r="E65" s="289">
        <v>1719742</v>
      </c>
      <c r="F65" s="306">
        <v>294831</v>
      </c>
      <c r="G65" s="289">
        <v>704</v>
      </c>
      <c r="H65" s="289">
        <v>34</v>
      </c>
      <c r="I65" s="289">
        <v>1126</v>
      </c>
      <c r="J65" s="290" t="str">
        <f t="shared" si="2"/>
        <v/>
      </c>
      <c r="K65" s="291">
        <v>2300</v>
      </c>
      <c r="L65" s="292">
        <v>3283</v>
      </c>
      <c r="M65" s="292"/>
      <c r="N65" s="312"/>
      <c r="O65" s="313"/>
      <c r="P65" s="294" t="str">
        <f t="shared" si="3"/>
        <v/>
      </c>
      <c r="Q65" s="295" t="str">
        <f>IF(A65="","",IF(AND(A65=MROUND($B$4,5),ISNUMBER(SEARCH("LONG trigger",'GEX Depth'!$C$54))),"Long Trigger",IF(AND(A65=MROUND($B$4,5),ISNUMBER(SEARCH("SHORT trigger",'GEX Depth'!$C$54))),"Short Trigger",IF(OR(COUNTIF($AL$42:$AL$45,A65)&gt;0,OR(AND($AM65=1,A65&gt;$B$4),AND($AM66=1,A66&gt;$B$4)),AND(ISNUMBER('Level Engine'!$CT$3),A65&gt;=MIN('Level Engine'!$CT$3,'Level Engine'!$CT$4),A65&lt;=MAX('Level Engine'!$CT$3,'Level Engine'!$CT$4))),"R",IF(OR(COUNTIF($AL$49:$AL$52,A65)&gt;0,OR(AND($AM65=1,A65&lt;$B$4),AND($AM64=1,A64&lt;$B$4)),AND(ISNUMBER('Level Engine'!$CW$3),A65&gt;=MIN('Level Engine'!$CW$3,'Level Engine'!$CW$4),A65&lt;=MAX('Level Engine'!$CW$3,'Level Engine'!$CW$4))),"S","")))))</f>
        <v/>
      </c>
      <c r="R65" s="1" t="str">
        <f>IF(A65="","",IF(AND(COUNT($S$69:$S$72)&gt;0,A65=MAX($S$69:$S$72)),"◀ sell-stop floor",IF(AND('Level Engine'!$CW$2=1,ISNUMBER('Level Engine'!$FI$3),ISNUMBER('Level Engine'!$FI$4),A65&gt;=MIN('Level Engine'!$FI$3,'Level Engine'!$FI$4),A65&lt;=MAX('Level Engine'!$FI$3,'Level Engine'!$FI$4)),"◀ support "&amp;'Level Engine'!$CW$9,IF(AND('Level Engine'!$CT$2=1,ISNUMBER('Level Engine'!$FH$3),ISNUMBER('Level Engine'!$FH$4),A65&gt;=MIN('Level Engine'!$FH$3,'Level Engine'!$FH$4),A65&lt;=MAX('Level Engine'!$FH$3,'Level Engine'!$FH$4)),"◀ resistance "&amp;'Level Engine'!$CT$9,""))))</f>
        <v/>
      </c>
      <c r="S65" s="307">
        <f>IFERROR(INDEX('Level Engine'!$AA$9:$AA$55,MATCH(3,'Level Engine'!$CA$9:$CA$55,0)),"")</f>
        <v>7730</v>
      </c>
      <c r="T65" s="307">
        <f>IF($S65="","",$S65-$B$4)</f>
        <v>-45.390000000000327</v>
      </c>
      <c r="U65" s="308">
        <f>IF($S65="","",IFERROR(INDEX('Level Engine'!$AC$9:$AC$55,MATCH($S65,'Level Engine'!$AA$9:$AA$55,0)),""))</f>
        <v>900491</v>
      </c>
      <c r="V65" s="308">
        <f>IF($S65="","",IFERROR(INDEX('Level Engine'!$BC$9:$BC$55,MATCH($S65,'Level Engine'!$AA$9:$AA$55,0)),""))</f>
        <v>-9171</v>
      </c>
      <c r="W65" s="308" t="str">
        <f>IF($S65="","",IFERROR(INDEX('Level Engine'!$AG$9:$AG$55,MATCH($S65,'Level Engine'!$AA$9:$AA$55,0)),""))</f>
        <v>S</v>
      </c>
      <c r="X65" s="308" t="str">
        <f>IF($S65="","",IFERROR(IF(INDEX('Level Engine'!$AY$9:$AY$55,MATCH($S65,'Level Engine'!$AA$9:$AA$55,0))=1,"ACCELERANT",IF(AND(INDEX('Level Engine'!$AX$9:$AX$55,MATCH($S65,'Level Engine'!$AA$9:$AA$55,0))=1,'Level Engine'!$D$5="UP"),"FRAGILE",IF(INDEX('Level Engine'!$CI$9:$CI$55,MATCH($S65,'Level Engine'!$AA$9:$AA$55,0))=1,"accelerating","—"))),"—"))</f>
        <v>ACCELERANT</v>
      </c>
      <c r="Y65" s="276"/>
      <c r="Z65" s="276">
        <f t="shared" si="16"/>
        <v>-10112148</v>
      </c>
      <c r="AB65" s="181">
        <f t="shared" si="4"/>
        <v>387420489</v>
      </c>
      <c r="AC65" s="297">
        <f t="shared" si="19"/>
        <v>0</v>
      </c>
      <c r="AD65" s="297">
        <f t="shared" si="20"/>
        <v>1</v>
      </c>
      <c r="AE65" s="181" t="str">
        <f>IFERROR(LOOKUP(2,1/((ISNUMBER('Level Engine'!$AT$9:$AT$55))*($A65&gt;='Level Engine'!$AT$9:$AT$55)*($A65&lt;='Level Engine'!$AU$9:$AU$41)),'Level Engine'!$BB$9:$BB$55),"")</f>
        <v/>
      </c>
      <c r="AF65" s="218">
        <f t="shared" si="7"/>
        <v>387420489</v>
      </c>
      <c r="AG65" s="218">
        <f t="shared" si="8"/>
        <v>0</v>
      </c>
      <c r="AH65" s="10">
        <f t="shared" si="9"/>
        <v>-70311</v>
      </c>
      <c r="AI65" s="218">
        <f t="shared" si="17"/>
        <v>-1382480</v>
      </c>
      <c r="AM65" s="218">
        <f>IFERROR(INDEX('Level Engine'!$AN$9:$AN$55,MATCH(A65,'Level Engine'!$AA$9:$AA$55,0)),0)</f>
        <v>0</v>
      </c>
      <c r="AN65" t="str">
        <f>IF(AND($A$8&lt;&gt;"Neg",N('Level Engine'!$BG$72)&lt;&gt;1),"",IFERROR(INDEX('Level Engine'!$AA$9:$AA$55,MATCH(LARGE('Level Engine'!$CE$9:$CE$55,3),'Level Engine'!$CE$9:$CE$55,0)),""))</f>
        <v/>
      </c>
      <c r="AO65" t="str">
        <f>IF(NOT(ISNUMBER($AN65)),"",IFERROR(LARGE('Level Engine'!$CE$9:$CE$55,3),""))</f>
        <v/>
      </c>
      <c r="AP65" t="str">
        <f>IF(ISNUMBER($AN65),"+GEX wall / put support","")</f>
        <v/>
      </c>
      <c r="AQ65" s="286" t="str">
        <f t="shared" si="10"/>
        <v/>
      </c>
      <c r="AR65" s="286">
        <f t="shared" si="11"/>
        <v>0</v>
      </c>
      <c r="AS65" t="str">
        <f t="shared" si="12"/>
        <v/>
      </c>
      <c r="AT65" s="10">
        <f t="shared" si="13"/>
        <v>399334</v>
      </c>
      <c r="AU65" s="1" t="str">
        <f t="shared" si="14"/>
        <v/>
      </c>
      <c r="AV65" s="1">
        <f t="shared" si="15"/>
        <v>3283</v>
      </c>
    </row>
    <row r="66" spans="1:48" ht="15" customHeight="1" x14ac:dyDescent="0.25">
      <c r="A66" s="287">
        <v>7700</v>
      </c>
      <c r="B66" s="288">
        <v>414842</v>
      </c>
      <c r="C66" s="289">
        <v>-274698</v>
      </c>
      <c r="D66" s="289">
        <v>-4539203</v>
      </c>
      <c r="E66" s="289">
        <v>813766</v>
      </c>
      <c r="F66" s="306">
        <v>1178471</v>
      </c>
      <c r="G66" s="289">
        <v>765</v>
      </c>
      <c r="H66" s="289">
        <v>37</v>
      </c>
      <c r="I66" s="289">
        <v>4302</v>
      </c>
      <c r="J66" s="290" t="str">
        <f t="shared" si="2"/>
        <v/>
      </c>
      <c r="K66" s="291">
        <v>1141</v>
      </c>
      <c r="L66" s="292">
        <v>5614</v>
      </c>
      <c r="M66" s="292"/>
      <c r="N66" s="312"/>
      <c r="O66" s="313"/>
      <c r="P66" s="294" t="str">
        <f t="shared" si="3"/>
        <v/>
      </c>
      <c r="Q66" s="295" t="str">
        <f>IF(A66="","",IF(AND(A66=MROUND($B$4,5),ISNUMBER(SEARCH("LONG trigger",'GEX Depth'!$C$54))),"Long Trigger",IF(AND(A66=MROUND($B$4,5),ISNUMBER(SEARCH("SHORT trigger",'GEX Depth'!$C$54))),"Short Trigger",IF(OR(COUNTIF($AL$42:$AL$45,A66)&gt;0,OR(AND($AM66=1,A66&gt;$B$4),AND($AM67=1,A67&gt;$B$4)),AND(ISNUMBER('Level Engine'!$CT$3),A66&gt;=MIN('Level Engine'!$CT$3,'Level Engine'!$CT$4),A66&lt;=MAX('Level Engine'!$CT$3,'Level Engine'!$CT$4))),"R",IF(OR(COUNTIF($AL$49:$AL$52,A66)&gt;0,OR(AND($AM66=1,A66&lt;$B$4),AND($AM65=1,A65&lt;$B$4)),AND(ISNUMBER('Level Engine'!$CW$3),A66&gt;=MIN('Level Engine'!$CW$3,'Level Engine'!$CW$4),A66&lt;=MAX('Level Engine'!$CW$3,'Level Engine'!$CW$4))),"S","")))))</f>
        <v/>
      </c>
      <c r="R66" s="1" t="str">
        <f>IF(A66="","",IF(AND(COUNT($S$69:$S$72)&gt;0,A66=MAX($S$69:$S$72)),"◀ sell-stop floor",IF(AND('Level Engine'!$CW$2=1,ISNUMBER('Level Engine'!$FI$3),ISNUMBER('Level Engine'!$FI$4),A66&gt;=MIN('Level Engine'!$FI$3,'Level Engine'!$FI$4),A66&lt;=MAX('Level Engine'!$FI$3,'Level Engine'!$FI$4)),"◀ support "&amp;'Level Engine'!$CW$9,IF(AND('Level Engine'!$CT$2=1,ISNUMBER('Level Engine'!$FH$3),ISNUMBER('Level Engine'!$FH$4),A66&gt;=MIN('Level Engine'!$FH$3,'Level Engine'!$FH$4),A66&lt;=MAX('Level Engine'!$FH$3,'Level Engine'!$FH$4)),"◀ resistance "&amp;'Level Engine'!$CT$9,""))))</f>
        <v/>
      </c>
      <c r="S66" s="307">
        <f>IFERROR(INDEX('Level Engine'!$AA$9:$AA$55,MATCH(4,'Level Engine'!$CA$9:$CA$55,0)),"")</f>
        <v>7825</v>
      </c>
      <c r="T66" s="307">
        <f>IF($S66="","",$S66-$B$4)</f>
        <v>49.609999999999673</v>
      </c>
      <c r="U66" s="308">
        <f>IF($S66="","",IFERROR(INDEX('Level Engine'!$AC$9:$AC$55,MATCH($S66,'Level Engine'!$AA$9:$AA$55,0)),""))</f>
        <v>680164</v>
      </c>
      <c r="V66" s="308">
        <f>IF($S66="","",IFERROR(INDEX('Level Engine'!$BC$9:$BC$55,MATCH($S66,'Level Engine'!$AA$9:$AA$55,0)),""))</f>
        <v>538591</v>
      </c>
      <c r="W66" s="308" t="str">
        <f>IF($S66="","",IFERROR(INDEX('Level Engine'!$AG$9:$AG$55,MATCH($S66,'Level Engine'!$AA$9:$AA$55,0)),""))</f>
        <v>R</v>
      </c>
      <c r="X66" s="308" t="str">
        <f>IF($S66="","",IFERROR(IF(INDEX('Level Engine'!$AY$9:$AY$55,MATCH($S66,'Level Engine'!$AA$9:$AA$55,0))=1,"ACCELERANT",IF(AND(INDEX('Level Engine'!$AX$9:$AX$55,MATCH($S66,'Level Engine'!$AA$9:$AA$55,0))=1,'Level Engine'!$D$5="UP"),"FRAGILE",IF(INDEX('Level Engine'!$CI$9:$CI$55,MATCH($S66,'Level Engine'!$AA$9:$AA$55,0))=1,"accelerating","—"))),"—"))</f>
        <v>FRAGILE</v>
      </c>
      <c r="Y66" s="276"/>
      <c r="Z66" s="276">
        <f t="shared" si="16"/>
        <v>-10386846</v>
      </c>
      <c r="AB66" s="181">
        <f t="shared" si="4"/>
        <v>387420489</v>
      </c>
      <c r="AC66" s="297">
        <f t="shared" si="19"/>
        <v>5</v>
      </c>
      <c r="AD66" s="297">
        <f t="shared" si="20"/>
        <v>0</v>
      </c>
      <c r="AE66" s="181" t="str">
        <f>IFERROR(LOOKUP(2,1/((ISNUMBER('Level Engine'!$AT$9:$AT$55))*($A66&gt;='Level Engine'!$AT$9:$AT$55)*($A66&lt;='Level Engine'!$AU$9:$AU$41)),'Level Engine'!$BB$9:$BB$55),"")</f>
        <v/>
      </c>
      <c r="AF66" s="218">
        <f t="shared" si="7"/>
        <v>387420489</v>
      </c>
      <c r="AG66" s="218">
        <f t="shared" si="8"/>
        <v>0</v>
      </c>
      <c r="AH66" s="10">
        <f t="shared" si="9"/>
        <v>-274698</v>
      </c>
      <c r="AI66" s="218">
        <f t="shared" si="17"/>
        <v>-568714</v>
      </c>
      <c r="AM66" s="218">
        <f>IFERROR(INDEX('Level Engine'!$AN$9:$AN$55,MATCH(A66,'Level Engine'!$AA$9:$AA$55,0)),0)</f>
        <v>0</v>
      </c>
      <c r="AN66">
        <f>IF(COUNT($S$69:$S$72)&gt;0,MAX($S$69:$S$72),"")</f>
        <v>7775</v>
      </c>
      <c r="AO66">
        <f>IF(AND(ISNUMBER('Level Engine'!$W$18),ISNUMBER($AN$66),$AN$66&gt;=IFERROR(IF(ISNUMBER(INDEX('Level Engine'!$AT$9:$AT$55,MATCH('Level Engine'!$W$18,'Level Engine'!$AA$9:$AA$55,0))),INDEX('Level Engine'!$AT$9:$AT$55,MATCH('Level Engine'!$W$18,'Level Engine'!$AA$9:$AA$55,0)),'Level Engine'!$W$18),'Level Engine'!$W$18),$AN$66&lt;=IFERROR(IF(ISNUMBER(INDEX('Level Engine'!$AU$9:$AU$55,MATCH('Level Engine'!$W$18,'Level Engine'!$AA$9:$AA$55,0))),INDEX('Level Engine'!$AU$9:$AU$55,MATCH('Level Engine'!$W$18,'Level Engine'!$AA$9:$AA$55,0)),'Level Engine'!$W$18),'Level Engine'!$W$18)),ABS('Level Engine'!$W$18-$B$4),9^9)</f>
        <v>0.39000000000032742</v>
      </c>
      <c r="AP66">
        <f>IF(AND(ISNUMBER('Level Engine'!$W$19),ISNUMBER($AN$66),$AN$66&gt;=IFERROR(IF(ISNUMBER(INDEX('Level Engine'!$AT$9:$AT$55,MATCH('Level Engine'!$W$19,'Level Engine'!$AA$9:$AA$55,0))),INDEX('Level Engine'!$AT$9:$AT$55,MATCH('Level Engine'!$W$19,'Level Engine'!$AA$9:$AA$55,0)),'Level Engine'!$W$19),'Level Engine'!$W$19),$AN$66&lt;=IFERROR(IF(ISNUMBER(INDEX('Level Engine'!$AU$9:$AU$55,MATCH('Level Engine'!$W$19,'Level Engine'!$AA$9:$AA$55,0))),INDEX('Level Engine'!$AU$9:$AU$55,MATCH('Level Engine'!$W$19,'Level Engine'!$AA$9:$AA$55,0)),'Level Engine'!$W$19),'Level Engine'!$W$19)),ABS('Level Engine'!$W$19-$B$4),9^9)</f>
        <v>387420489</v>
      </c>
      <c r="AQ66" s="286" t="str">
        <f t="shared" si="10"/>
        <v/>
      </c>
      <c r="AR66" s="286">
        <f t="shared" si="11"/>
        <v>0</v>
      </c>
      <c r="AS66" t="str">
        <f t="shared" si="12"/>
        <v/>
      </c>
      <c r="AT66" s="10">
        <f t="shared" si="13"/>
        <v>414842</v>
      </c>
      <c r="AU66" s="1" t="str">
        <f t="shared" si="14"/>
        <v/>
      </c>
      <c r="AV66" s="1">
        <f t="shared" si="15"/>
        <v>5614</v>
      </c>
    </row>
    <row r="67" spans="1:48" ht="15" customHeight="1" x14ac:dyDescent="0.25">
      <c r="A67" s="287">
        <v>7695</v>
      </c>
      <c r="B67" s="288">
        <v>72674</v>
      </c>
      <c r="C67" s="289">
        <v>-63476</v>
      </c>
      <c r="D67" s="289">
        <v>-1052789</v>
      </c>
      <c r="E67" s="289">
        <v>53608</v>
      </c>
      <c r="F67" s="306">
        <v>277575</v>
      </c>
      <c r="G67" s="289">
        <v>139</v>
      </c>
      <c r="H67" s="289">
        <v>7</v>
      </c>
      <c r="I67" s="289">
        <v>969</v>
      </c>
      <c r="J67" s="290" t="str">
        <f t="shared" si="2"/>
        <v/>
      </c>
      <c r="K67" s="291">
        <v>86</v>
      </c>
      <c r="L67" s="292">
        <v>1273</v>
      </c>
      <c r="M67" s="292"/>
      <c r="N67" s="312"/>
      <c r="O67" s="313"/>
      <c r="P67" s="294" t="str">
        <f t="shared" si="3"/>
        <v/>
      </c>
      <c r="Q67" s="295" t="str">
        <f>IF(A67="","",IF(AND(A67=MROUND($B$4,5),ISNUMBER(SEARCH("LONG trigger",'GEX Depth'!$C$54))),"Long Trigger",IF(AND(A67=MROUND($B$4,5),ISNUMBER(SEARCH("SHORT trigger",'GEX Depth'!$C$54))),"Short Trigger",IF(OR(COUNTIF($AL$42:$AL$45,A67)&gt;0,OR(AND($AM67=1,A67&gt;$B$4),AND($AM68=1,A68&gt;$B$4)),AND(ISNUMBER('Level Engine'!$CT$3),A67&gt;=MIN('Level Engine'!$CT$3,'Level Engine'!$CT$4),A67&lt;=MAX('Level Engine'!$CT$3,'Level Engine'!$CT$4))),"R",IF(OR(COUNTIF($AL$49:$AL$52,A67)&gt;0,OR(AND($AM67=1,A67&lt;$B$4),AND($AM66=1,A66&lt;$B$4)),AND(ISNUMBER('Level Engine'!$CW$3),A67&gt;=MIN('Level Engine'!$CW$3,'Level Engine'!$CW$4),A67&lt;=MAX('Level Engine'!$CW$3,'Level Engine'!$CW$4))),"S","")))))</f>
        <v/>
      </c>
      <c r="R67" s="1" t="str">
        <f>IF(A67="","",IF(AND(COUNT($S$69:$S$72)&gt;0,A67=MAX($S$69:$S$72)),"◀ sell-stop floor",IF(AND('Level Engine'!$CW$2=1,ISNUMBER('Level Engine'!$FI$3),ISNUMBER('Level Engine'!$FI$4),A67&gt;=MIN('Level Engine'!$FI$3,'Level Engine'!$FI$4),A67&lt;=MAX('Level Engine'!$FI$3,'Level Engine'!$FI$4)),"◀ support "&amp;'Level Engine'!$CW$9,IF(AND('Level Engine'!$CT$2=1,ISNUMBER('Level Engine'!$FH$3),ISNUMBER('Level Engine'!$FH$4),A67&gt;=MIN('Level Engine'!$FH$3,'Level Engine'!$FH$4),A67&lt;=MAX('Level Engine'!$FH$3,'Level Engine'!$FH$4)),"◀ resistance "&amp;'Level Engine'!$CT$9,""))))</f>
        <v/>
      </c>
      <c r="S67" s="323" t="s">
        <v>160</v>
      </c>
      <c r="U67" s="276"/>
      <c r="V67" s="276"/>
      <c r="W67" s="276"/>
      <c r="X67" s="276"/>
      <c r="Y67" s="276"/>
      <c r="Z67" s="276">
        <f t="shared" si="16"/>
        <v>-10450322</v>
      </c>
      <c r="AB67" s="181">
        <f t="shared" si="4"/>
        <v>387420489</v>
      </c>
      <c r="AC67" s="297">
        <f t="shared" si="19"/>
        <v>22</v>
      </c>
      <c r="AD67" s="297">
        <f t="shared" si="20"/>
        <v>0</v>
      </c>
      <c r="AE67" s="181" t="str">
        <f>IFERROR(LOOKUP(2,1/((ISNUMBER('Level Engine'!$AT$9:$AT$55))*($A67&gt;='Level Engine'!$AT$9:$AT$55)*($A67&lt;='Level Engine'!$AU$9:$AU$41)),'Level Engine'!$BB$9:$BB$55),"")</f>
        <v/>
      </c>
      <c r="AF67" s="218">
        <f t="shared" si="7"/>
        <v>387420489</v>
      </c>
      <c r="AG67" s="218">
        <f t="shared" si="8"/>
        <v>0</v>
      </c>
      <c r="AH67" s="10">
        <f t="shared" si="9"/>
        <v>-63476</v>
      </c>
      <c r="AI67" s="218">
        <f t="shared" si="17"/>
        <v>-515106</v>
      </c>
      <c r="AL67">
        <f>IF(AND(ISNUMBER($AN$66),$AL$50=$AN$66,$AN$67&lt;&gt;""),IF(NOT(ISNUMBER($AN$66)),"",IF(MIN($AO$66,$AP$66,$AO$67)&gt;=9^9,"",IF($AO$66=MIN($AO$66,$AP$66,$AO$67),'Level Engine'!$W$18,IF($AP$66=MIN($AO$66,$AP$66,$AO$67),'Level Engine'!$W$19,'Level Engine'!$W$20)))),$AL$50)</f>
        <v>7770</v>
      </c>
      <c r="AM67" s="218">
        <f>IFERROR(INDEX('Level Engine'!$AN$9:$AN$55,MATCH(A67,'Level Engine'!$AA$9:$AA$55,0)),0)</f>
        <v>0</v>
      </c>
      <c r="AN67" t="str">
        <f>IF(NOT(ISNUMBER($AN$66)),"",IF(MIN($AO$66,$AP$66,$AO$67)&gt;=9^9,"",IF($AO$66=MIN($AO$66,$AP$66,$AO$67),IFERROR(INDEX('Level Engine'!$A$18:$A$23,MATCH('Level Engine'!$W$18,'Level Engine'!$W$18:$W$23,0)),"")&amp;IFERROR(" ·s"&amp;MATCH('Level Engine'!$W$18,'Level Engine'!$W$18:$W$23,0),""),IF($AP$66=MIN($AO$66,$AP$66,$AO$67),IFERROR(INDEX('Level Engine'!$A$18:$A$23,MATCH('Level Engine'!$W$19,'Level Engine'!$W$18:$W$23,0)),"")&amp;IFERROR(" ·s"&amp;MATCH('Level Engine'!$W$19,'Level Engine'!$W$18:$W$23,0),""),IFERROR(INDEX('Level Engine'!$A$18:$A$23,MATCH('Level Engine'!$W$20,'Level Engine'!$W$18:$W$23,0)),"")&amp;IFERROR(" ·s"&amp;MATCH('Level Engine'!$W$20,'Level Engine'!$W$18:$W$23,0),"")))))</f>
        <v>7775 ·s1</v>
      </c>
      <c r="AO67">
        <f>IF(AND(ISNUMBER('Level Engine'!$W$20),ISNUMBER($AN$66),$AN$66&gt;=IFERROR(IF(ISNUMBER(INDEX('Level Engine'!$AT$9:$AT$55,MATCH('Level Engine'!$W$20,'Level Engine'!$AA$9:$AA$55,0))),INDEX('Level Engine'!$AT$9:$AT$55,MATCH('Level Engine'!$W$20,'Level Engine'!$AA$9:$AA$55,0)),'Level Engine'!$W$20),'Level Engine'!$W$20),$AN$66&lt;=IFERROR(IF(ISNUMBER(INDEX('Level Engine'!$AU$9:$AU$55,MATCH('Level Engine'!$W$20,'Level Engine'!$AA$9:$AA$55,0))),INDEX('Level Engine'!$AU$9:$AU$55,MATCH('Level Engine'!$W$20,'Level Engine'!$AA$9:$AA$55,0)),'Level Engine'!$W$20),'Level Engine'!$W$20)),ABS('Level Engine'!$W$20-$B$4),9^9)</f>
        <v>387420489</v>
      </c>
      <c r="AP67">
        <f>IF(AND(ISNUMBER($AN$66),$AL$49=$AN$66,$AN$67&lt;&gt;""),IF(NOT(ISNUMBER($AN$66)),"",IF(MIN($AO$66,$AP$66,$AO$67)&gt;=9^9,"",IF($AO$66=MIN($AO$66,$AP$66,$AO$67),'Level Engine'!$W$18,IF($AP$66=MIN($AO$66,$AP$66,$AO$67),'Level Engine'!$W$19,'Level Engine'!$W$20)))),$AL$49)</f>
        <v>7775</v>
      </c>
      <c r="AQ67" s="286" t="str">
        <f t="shared" si="10"/>
        <v/>
      </c>
      <c r="AR67" s="286">
        <f t="shared" si="11"/>
        <v>0</v>
      </c>
      <c r="AS67" t="str">
        <f t="shared" si="12"/>
        <v/>
      </c>
      <c r="AT67" s="10">
        <f t="shared" si="13"/>
        <v>72674</v>
      </c>
      <c r="AU67" s="1" t="str">
        <f t="shared" si="14"/>
        <v/>
      </c>
      <c r="AV67" s="1">
        <f t="shared" si="15"/>
        <v>1273</v>
      </c>
    </row>
    <row r="68" spans="1:48" ht="15" customHeight="1" x14ac:dyDescent="0.25">
      <c r="A68" s="287">
        <v>7690</v>
      </c>
      <c r="B68" s="288">
        <v>74724</v>
      </c>
      <c r="C68" s="289">
        <v>-58328</v>
      </c>
      <c r="D68" s="289">
        <v>-964803</v>
      </c>
      <c r="E68" s="289">
        <v>121244</v>
      </c>
      <c r="F68" s="306">
        <v>259265</v>
      </c>
      <c r="G68" s="289">
        <v>148</v>
      </c>
      <c r="H68" s="289">
        <v>7</v>
      </c>
      <c r="I68" s="289">
        <v>867</v>
      </c>
      <c r="J68" s="290" t="str">
        <f t="shared" si="2"/>
        <v/>
      </c>
      <c r="K68" s="291">
        <v>174</v>
      </c>
      <c r="L68" s="292">
        <v>1412</v>
      </c>
      <c r="M68" s="292"/>
      <c r="N68" s="312"/>
      <c r="O68" s="313"/>
      <c r="P68" s="294" t="str">
        <f t="shared" si="3"/>
        <v/>
      </c>
      <c r="Q68" s="295" t="str">
        <f>IF(A68="","",IF(AND(A68=MROUND($B$4,5),ISNUMBER(SEARCH("LONG trigger",'GEX Depth'!$C$54))),"Long Trigger",IF(AND(A68=MROUND($B$4,5),ISNUMBER(SEARCH("SHORT trigger",'GEX Depth'!$C$54))),"Short Trigger",IF(OR(COUNTIF($AL$42:$AL$45,A68)&gt;0,OR(AND($AM68=1,A68&gt;$B$4),AND($AM69=1,A69&gt;$B$4)),AND(ISNUMBER('Level Engine'!$CT$3),A68&gt;=MIN('Level Engine'!$CT$3,'Level Engine'!$CT$4),A68&lt;=MAX('Level Engine'!$CT$3,'Level Engine'!$CT$4))),"R",IF(OR(COUNTIF($AL$49:$AL$52,A68)&gt;0,OR(AND($AM68=1,A68&lt;$B$4),AND($AM67=1,A67&lt;$B$4)),AND(ISNUMBER('Level Engine'!$CW$3),A68&gt;=MIN('Level Engine'!$CW$3,'Level Engine'!$CW$4),A68&lt;=MAX('Level Engine'!$CW$3,'Level Engine'!$CW$4))),"S","")))))</f>
        <v/>
      </c>
      <c r="R68" s="1" t="str">
        <f>IF(A68="","",IF(AND(COUNT($S$69:$S$72)&gt;0,A68=MAX($S$69:$S$72)),"◀ sell-stop floor",IF(AND('Level Engine'!$CW$2=1,ISNUMBER('Level Engine'!$FI$3),ISNUMBER('Level Engine'!$FI$4),A68&gt;=MIN('Level Engine'!$FI$3,'Level Engine'!$FI$4),A68&lt;=MAX('Level Engine'!$FI$3,'Level Engine'!$FI$4)),"◀ support "&amp;'Level Engine'!$CW$9,IF(AND('Level Engine'!$CT$2=1,ISNUMBER('Level Engine'!$FH$3),ISNUMBER('Level Engine'!$FH$4),A68&gt;=MIN('Level Engine'!$FH$3,'Level Engine'!$FH$4),A68&lt;=MAX('Level Engine'!$FH$3,'Level Engine'!$FH$4)),"◀ resistance "&amp;'Level Engine'!$CT$9,""))))</f>
        <v/>
      </c>
      <c r="S68" s="324" t="s">
        <v>33</v>
      </c>
      <c r="T68" s="324" t="s">
        <v>34</v>
      </c>
      <c r="U68" s="325" t="s">
        <v>35</v>
      </c>
      <c r="V68" s="325" t="s">
        <v>142</v>
      </c>
      <c r="W68" s="276"/>
      <c r="Y68" s="276"/>
      <c r="Z68" s="276">
        <f t="shared" si="16"/>
        <v>-10508650</v>
      </c>
      <c r="AB68" s="181">
        <f t="shared" si="4"/>
        <v>387420489</v>
      </c>
      <c r="AC68" s="297">
        <f t="shared" si="19"/>
        <v>19</v>
      </c>
      <c r="AD68" s="297">
        <f t="shared" si="20"/>
        <v>0</v>
      </c>
      <c r="AE68" s="181" t="str">
        <f>IFERROR(LOOKUP(2,1/((ISNUMBER('Level Engine'!$AT$9:$AT$55))*($A68&gt;='Level Engine'!$AT$9:$AT$55)*($A68&lt;='Level Engine'!$AU$9:$AU$41)),'Level Engine'!$BB$9:$BB$55),"")</f>
        <v/>
      </c>
      <c r="AF68" s="218">
        <f t="shared" si="7"/>
        <v>387420489</v>
      </c>
      <c r="AG68" s="218">
        <f t="shared" si="8"/>
        <v>0</v>
      </c>
      <c r="AH68" s="10">
        <f t="shared" si="9"/>
        <v>-58328</v>
      </c>
      <c r="AI68" s="218">
        <f t="shared" si="17"/>
        <v>-393862</v>
      </c>
      <c r="AJ68">
        <f>IF(AND(ISNUMBER('Level Engine'!$W$18),'Level Engine'!$W$18&lt;$B$4,AND(IFERROR(INDEX('Level Engine'!$AJ$9:$AJ$55,MATCH('Level Engine'!$W$18,'Level Engine'!$AA$9:$AA$55,0)),0)=1,IFERROR(INDEX('Level Engine'!$AK$9:$AK$55,MATCH('Level Engine'!$W$18,'Level Engine'!$AA$9:$AA$55,0)),1)=0),IFERROR(INDEX('Level Engine'!$CV$9:$CV$55,MATCH('Level Engine'!$W$18,'Level Engine'!$AA$9:$AA$55,0)),0)=1,OR(IFERROR(INDEX('Level Engine'!$AX$9:$AX$55,MATCH('Level Engine'!$W$18,'Level Engine'!$AA$9:$AA$55,0)),0)=0,'Level Engine'!$D$5&lt;&gt;"UP")),ABS('Level Engine'!$W$18-$B$4),9^9)</f>
        <v>387420489</v>
      </c>
      <c r="AK68">
        <f>IF(AND(ISNUMBER('Level Engine'!$W$19),'Level Engine'!$W$19&lt;$B$4,AND(IFERROR(INDEX('Level Engine'!$AJ$9:$AJ$55,MATCH('Level Engine'!$W$19,'Level Engine'!$AA$9:$AA$55,0)),0)=1,IFERROR(INDEX('Level Engine'!$AK$9:$AK$55,MATCH('Level Engine'!$W$19,'Level Engine'!$AA$9:$AA$55,0)),1)=0),IFERROR(INDEX('Level Engine'!$CV$9:$CV$55,MATCH('Level Engine'!$W$19,'Level Engine'!$AA$9:$AA$55,0)),0)=1,OR(IFERROR(INDEX('Level Engine'!$AX$9:$AX$55,MATCH('Level Engine'!$W$19,'Level Engine'!$AA$9:$AA$55,0)),0)=0,'Level Engine'!$D$5&lt;&gt;"UP")),ABS('Level Engine'!$W$19-$B$4),9^9)</f>
        <v>387420489</v>
      </c>
      <c r="AL68">
        <f>IF(AND(ISNUMBER('Level Engine'!$W$20),'Level Engine'!$W$20&lt;$B$4,AND(IFERROR(INDEX('Level Engine'!$AJ$9:$AJ$55,MATCH('Level Engine'!$W$20,'Level Engine'!$AA$9:$AA$55,0)),0)=1,IFERROR(INDEX('Level Engine'!$AK$9:$AK$55,MATCH('Level Engine'!$W$20,'Level Engine'!$AA$9:$AA$55,0)),1)=0),IFERROR(INDEX('Level Engine'!$CV$9:$CV$55,MATCH('Level Engine'!$W$20,'Level Engine'!$AA$9:$AA$55,0)),0)=1,OR(IFERROR(INDEX('Level Engine'!$AX$9:$AX$55,MATCH('Level Engine'!$W$20,'Level Engine'!$AA$9:$AA$55,0)),0)=0,'Level Engine'!$D$5&lt;&gt;"UP")),ABS('Level Engine'!$W$20-$B$4),9^9)</f>
        <v>387420489</v>
      </c>
      <c r="AM68" s="218">
        <f>IFERROR(INDEX('Level Engine'!$AN$9:$AN$55,MATCH(A68,'Level Engine'!$AA$9:$AA$55,0)),0)</f>
        <v>0</v>
      </c>
      <c r="AN68" t="str">
        <f>IF(MIN($AJ$68,$AK$68,$AL$68)&gt;=9^9,"",IF($AJ$68=MIN($AJ$68,$AK$68,$AL$68),'Level Engine'!$W$18,IF($AK$68=MIN($AJ$68,$AK$68,$AL$68),'Level Engine'!$W$19,'Level Engine'!$W$20)))</f>
        <v/>
      </c>
      <c r="AQ68" s="286" t="str">
        <f t="shared" si="10"/>
        <v/>
      </c>
      <c r="AR68" s="286">
        <f t="shared" si="11"/>
        <v>0</v>
      </c>
      <c r="AS68" t="str">
        <f t="shared" si="12"/>
        <v/>
      </c>
      <c r="AT68" s="10">
        <f t="shared" si="13"/>
        <v>74724</v>
      </c>
      <c r="AU68" s="1" t="str">
        <f t="shared" si="14"/>
        <v/>
      </c>
      <c r="AV68" s="1">
        <f t="shared" si="15"/>
        <v>1412</v>
      </c>
    </row>
    <row r="69" spans="1:48" ht="15" customHeight="1" x14ac:dyDescent="0.25">
      <c r="A69" s="287">
        <v>7685</v>
      </c>
      <c r="B69" s="288">
        <v>67289</v>
      </c>
      <c r="C69" s="289">
        <v>-63513</v>
      </c>
      <c r="D69" s="289">
        <v>-1042521</v>
      </c>
      <c r="E69" s="289">
        <v>21921</v>
      </c>
      <c r="F69" s="306">
        <v>286299</v>
      </c>
      <c r="G69" s="289">
        <v>137</v>
      </c>
      <c r="H69" s="289">
        <v>7</v>
      </c>
      <c r="I69" s="289">
        <v>918</v>
      </c>
      <c r="J69" s="290" t="str">
        <f t="shared" si="2"/>
        <v/>
      </c>
      <c r="K69" s="291">
        <v>45</v>
      </c>
      <c r="L69" s="292">
        <v>1559</v>
      </c>
      <c r="M69" s="292"/>
      <c r="N69" s="312"/>
      <c r="O69" s="313"/>
      <c r="P69" s="294" t="str">
        <f t="shared" si="3"/>
        <v/>
      </c>
      <c r="Q69" s="295" t="str">
        <f>IF(A69="","",IF(AND(A69=MROUND($B$4,5),ISNUMBER(SEARCH("LONG trigger",'GEX Depth'!$C$54))),"Long Trigger",IF(AND(A69=MROUND($B$4,5),ISNUMBER(SEARCH("SHORT trigger",'GEX Depth'!$C$54))),"Short Trigger",IF(OR(COUNTIF($AL$42:$AL$45,A69)&gt;0,OR(AND($AM69=1,A69&gt;$B$4),AND($AM70=1,A70&gt;$B$4)),AND(ISNUMBER('Level Engine'!$CT$3),A69&gt;=MIN('Level Engine'!$CT$3,'Level Engine'!$CT$4),A69&lt;=MAX('Level Engine'!$CT$3,'Level Engine'!$CT$4))),"R",IF(OR(COUNTIF($AL$49:$AL$52,A69)&gt;0,OR(AND($AM69=1,A69&lt;$B$4),AND($AM68=1,A68&lt;$B$4)),AND(ISNUMBER('Level Engine'!$CW$3),A69&gt;=MIN('Level Engine'!$CW$3,'Level Engine'!$CW$4),A69&lt;=MAX('Level Engine'!$CW$3,'Level Engine'!$CW$4))),"S","")))))</f>
        <v/>
      </c>
      <c r="R69" s="1" t="str">
        <f>IF(A69="","",IF(AND(COUNT($S$69:$S$72)&gt;0,A69=MAX($S$69:$S$72)),"◀ sell-stop floor",IF(AND('Level Engine'!$CW$2=1,ISNUMBER('Level Engine'!$FI$3),ISNUMBER('Level Engine'!$FI$4),A69&gt;=MIN('Level Engine'!$FI$3,'Level Engine'!$FI$4),A69&lt;=MAX('Level Engine'!$FI$3,'Level Engine'!$FI$4)),"◀ support "&amp;'Level Engine'!$CW$9,IF(AND('Level Engine'!$CT$2=1,ISNUMBER('Level Engine'!$FH$3),ISNUMBER('Level Engine'!$FH$4),A69&gt;=MIN('Level Engine'!$FH$3,'Level Engine'!$FH$4),A69&lt;=MAX('Level Engine'!$FH$3,'Level Engine'!$FH$4)),"◀ resistance "&amp;'Level Engine'!$CT$9,""))))</f>
        <v/>
      </c>
      <c r="S69" s="307">
        <f>IF(AND($A$8&lt;&gt;"Neg",N('Level Engine'!$BG$72)&lt;&gt;1),"n/a — positive gamma (use NEXT SUPPORT)",IFERROR(LARGE($AN$62:$AN$65,1),"none below in range"))</f>
        <v>7775</v>
      </c>
      <c r="T69" s="307">
        <f>IF(OR($S69="",NOT(ISNUMBER($S69))),"",$S69-$B$4)</f>
        <v>-0.39000000000032742</v>
      </c>
      <c r="U69" s="308">
        <f>IF(NOT(ISNUMBER($S69)),"",IFERROR(INDEX($AO$62:$AO$65,MATCH($S69,$AN$62:$AN$65,0)),""))</f>
        <v>-49207</v>
      </c>
      <c r="V69" s="308" t="str">
        <f>IF(NOT(ISNUMBER($S69)),"",IFERROR(INDEX($AP$62:$AP$65,MATCH($S69,$AN$62:$AN$65,0)),""))</f>
        <v>FLIP-BACK (zero gamma)</v>
      </c>
      <c r="X69" s="276"/>
      <c r="Y69" s="276"/>
      <c r="Z69" s="276">
        <f t="shared" si="16"/>
        <v>-10572163</v>
      </c>
      <c r="AB69" s="181">
        <f t="shared" si="4"/>
        <v>387420489</v>
      </c>
      <c r="AC69" s="297">
        <f t="shared" si="19"/>
        <v>24</v>
      </c>
      <c r="AD69" s="297">
        <f t="shared" si="20"/>
        <v>0</v>
      </c>
      <c r="AE69" s="181" t="str">
        <f>IFERROR(LOOKUP(2,1/((ISNUMBER('Level Engine'!$AT$9:$AT$55))*($A69&gt;='Level Engine'!$AT$9:$AT$55)*($A69&lt;='Level Engine'!$AU$9:$AU$41)),'Level Engine'!$BB$9:$BB$55),"")</f>
        <v/>
      </c>
      <c r="AF69" s="218">
        <f t="shared" si="7"/>
        <v>387420489</v>
      </c>
      <c r="AG69" s="218">
        <f t="shared" si="8"/>
        <v>0</v>
      </c>
      <c r="AH69" s="10">
        <f t="shared" si="9"/>
        <v>-63513</v>
      </c>
      <c r="AI69" s="218">
        <f t="shared" si="17"/>
        <v>-371941</v>
      </c>
      <c r="AJ69">
        <f>IF(AND(ISNUMBER('Level Engine'!$W$9),'Level Engine'!$W$9&gt;$B$4,AND(IFERROR(INDEX('Level Engine'!$AJ$9:$AJ$55,MATCH('Level Engine'!$W$9,'Level Engine'!$AA$9:$AA$55,0)),0)=1,IFERROR(INDEX('Level Engine'!$AK$9:$AK$55,MATCH('Level Engine'!$W$9,'Level Engine'!$AA$9:$AA$55,0)),1)=0),IFERROR(INDEX('Level Engine'!$CU$9:$CU$55,MATCH('Level Engine'!$W$9,'Level Engine'!$AA$9:$AA$55,0)),0)=1,OR(IFERROR(INDEX('Level Engine'!$AX$9:$AX$55,MATCH('Level Engine'!$W$9,'Level Engine'!$AA$9:$AA$55,0)),0)=0,'Level Engine'!$D$5&lt;&gt;"UP")),ABS('Level Engine'!$W$9-$B$4),9^9)</f>
        <v>387420489</v>
      </c>
      <c r="AK69">
        <f>IF(AND(ISNUMBER('Level Engine'!$W$10),'Level Engine'!$W$10&gt;$B$4,AND(IFERROR(INDEX('Level Engine'!$AJ$9:$AJ$55,MATCH('Level Engine'!$W$10,'Level Engine'!$AA$9:$AA$55,0)),0)=1,IFERROR(INDEX('Level Engine'!$AK$9:$AK$55,MATCH('Level Engine'!$W$10,'Level Engine'!$AA$9:$AA$55,0)),1)=0),IFERROR(INDEX('Level Engine'!$CU$9:$CU$55,MATCH('Level Engine'!$W$10,'Level Engine'!$AA$9:$AA$55,0)),0)=1,OR(IFERROR(INDEX('Level Engine'!$AX$9:$AX$55,MATCH('Level Engine'!$W$10,'Level Engine'!$AA$9:$AA$55,0)),0)=0,'Level Engine'!$D$5&lt;&gt;"UP")),ABS('Level Engine'!$W$10-$B$4),9^9)</f>
        <v>387420489</v>
      </c>
      <c r="AL69">
        <f>IF(AND(ISNUMBER('Level Engine'!$W$11),'Level Engine'!$W$11&gt;$B$4,AND(IFERROR(INDEX('Level Engine'!$AJ$9:$AJ$55,MATCH('Level Engine'!$W$11,'Level Engine'!$AA$9:$AA$55,0)),0)=1,IFERROR(INDEX('Level Engine'!$AK$9:$AK$55,MATCH('Level Engine'!$W$11,'Level Engine'!$AA$9:$AA$55,0)),1)=0),IFERROR(INDEX('Level Engine'!$CU$9:$CU$55,MATCH('Level Engine'!$W$11,'Level Engine'!$AA$9:$AA$55,0)),0)=1,OR(IFERROR(INDEX('Level Engine'!$AX$9:$AX$55,MATCH('Level Engine'!$W$11,'Level Engine'!$AA$9:$AA$55,0)),0)=0,'Level Engine'!$D$5&lt;&gt;"UP")),ABS('Level Engine'!$W$11-$B$4),9^9)</f>
        <v>34.609999999999673</v>
      </c>
      <c r="AM69" s="218">
        <f>IFERROR(INDEX('Level Engine'!$AN$9:$AN$55,MATCH(A69,'Level Engine'!$AA$9:$AA$55,0)),0)</f>
        <v>0</v>
      </c>
      <c r="AN69">
        <f>IF(MIN($AJ$69,$AK$69,$AL$69)&gt;=9^9,"",IF($AJ$69=MIN($AJ$69,$AK$69,$AL$69),'Level Engine'!$W$9,IF($AK$69=MIN($AJ$69,$AK$69,$AL$69),'Level Engine'!$W$10,'Level Engine'!$W$11)))</f>
        <v>7810</v>
      </c>
      <c r="AQ69" s="286" t="str">
        <f t="shared" si="10"/>
        <v/>
      </c>
      <c r="AR69" s="286">
        <f t="shared" si="11"/>
        <v>0</v>
      </c>
      <c r="AS69" t="str">
        <f t="shared" si="12"/>
        <v/>
      </c>
      <c r="AT69" s="10">
        <f t="shared" si="13"/>
        <v>67289</v>
      </c>
      <c r="AU69" s="1" t="str">
        <f t="shared" si="14"/>
        <v/>
      </c>
      <c r="AV69" s="1">
        <f t="shared" si="15"/>
        <v>1559</v>
      </c>
    </row>
    <row r="70" spans="1:48" ht="15" customHeight="1" x14ac:dyDescent="0.25">
      <c r="A70" s="287">
        <v>7680</v>
      </c>
      <c r="B70" s="288">
        <v>128040</v>
      </c>
      <c r="C70" s="289">
        <v>-113930</v>
      </c>
      <c r="D70" s="289">
        <v>-1847842</v>
      </c>
      <c r="E70" s="289">
        <v>119737</v>
      </c>
      <c r="F70" s="306">
        <v>519752</v>
      </c>
      <c r="G70" s="289">
        <v>267</v>
      </c>
      <c r="H70" s="289">
        <v>13</v>
      </c>
      <c r="I70" s="289">
        <v>1599</v>
      </c>
      <c r="J70" s="290" t="str">
        <f t="shared" si="2"/>
        <v/>
      </c>
      <c r="K70" s="291">
        <v>187</v>
      </c>
      <c r="L70" s="292">
        <v>3207</v>
      </c>
      <c r="M70" s="292"/>
      <c r="N70" s="312"/>
      <c r="O70" s="313"/>
      <c r="P70" s="294" t="str">
        <f t="shared" si="3"/>
        <v/>
      </c>
      <c r="Q70" s="295" t="str">
        <f>IF(A70="","",IF(AND(A70=MROUND($B$4,5),ISNUMBER(SEARCH("LONG trigger",'GEX Depth'!$C$54))),"Long Trigger",IF(AND(A70=MROUND($B$4,5),ISNUMBER(SEARCH("SHORT trigger",'GEX Depth'!$C$54))),"Short Trigger",IF(OR(COUNTIF($AL$42:$AL$45,A70)&gt;0,OR(AND($AM70=1,A70&gt;$B$4),AND($AM71=1,A71&gt;$B$4)),AND(ISNUMBER('Level Engine'!$CT$3),A70&gt;=MIN('Level Engine'!$CT$3,'Level Engine'!$CT$4),A70&lt;=MAX('Level Engine'!$CT$3,'Level Engine'!$CT$4))),"R",IF(OR(COUNTIF($AL$49:$AL$52,A70)&gt;0,OR(AND($AM70=1,A70&lt;$B$4),AND($AM69=1,A69&lt;$B$4)),AND(ISNUMBER('Level Engine'!$CW$3),A70&gt;=MIN('Level Engine'!$CW$3,'Level Engine'!$CW$4),A70&lt;=MAX('Level Engine'!$CW$3,'Level Engine'!$CW$4))),"S","")))))</f>
        <v/>
      </c>
      <c r="R70" s="1" t="str">
        <f>IF(A70="","",IF(AND(COUNT($S$69:$S$72)&gt;0,A70=MAX($S$69:$S$72)),"◀ sell-stop floor",IF(AND('Level Engine'!$CW$2=1,ISNUMBER('Level Engine'!$FI$3),ISNUMBER('Level Engine'!$FI$4),A70&gt;=MIN('Level Engine'!$FI$3,'Level Engine'!$FI$4),A70&lt;=MAX('Level Engine'!$FI$3,'Level Engine'!$FI$4)),"◀ support "&amp;'Level Engine'!$CW$9,IF(AND('Level Engine'!$CT$2=1,ISNUMBER('Level Engine'!$FH$3),ISNUMBER('Level Engine'!$FH$4),A70&gt;=MIN('Level Engine'!$FH$3,'Level Engine'!$FH$4),A70&lt;=MAX('Level Engine'!$FH$3,'Level Engine'!$FH$4)),"◀ resistance "&amp;'Level Engine'!$CT$9,""))))</f>
        <v/>
      </c>
      <c r="S70" s="307" t="str">
        <f>IF(AND($A$8&lt;&gt;"Neg",N('Level Engine'!$BG$72)&lt;&gt;1),"",IFERROR(LARGE($AN$62:$AN$65,2),""))</f>
        <v/>
      </c>
      <c r="T70" s="307" t="str">
        <f>IF(OR($S70="",NOT(ISNUMBER($S70))),"",$S70-$B$4)</f>
        <v/>
      </c>
      <c r="U70" s="308" t="str">
        <f>IF(NOT(ISNUMBER($S70)),"",IFERROR(INDEX($AO$62:$AO$65,MATCH($S70,$AN$62:$AN$65,0)),""))</f>
        <v/>
      </c>
      <c r="V70" s="308" t="str">
        <f>IF(NOT(ISNUMBER($S70)),"",IFERROR(INDEX($AP$62:$AP$65,MATCH($S70,$AN$62:$AN$65,0)),""))</f>
        <v/>
      </c>
      <c r="X70" s="276"/>
      <c r="Y70" s="276"/>
      <c r="Z70" s="276">
        <f t="shared" si="16"/>
        <v>-10686093</v>
      </c>
      <c r="AB70" s="181">
        <f t="shared" si="4"/>
        <v>387420489</v>
      </c>
      <c r="AC70" s="297">
        <f t="shared" si="19"/>
        <v>18</v>
      </c>
      <c r="AD70" s="297">
        <f t="shared" si="20"/>
        <v>0</v>
      </c>
      <c r="AE70" s="181" t="str">
        <f>IFERROR(LOOKUP(2,1/((ISNUMBER('Level Engine'!$AT$9:$AT$55))*($A70&gt;='Level Engine'!$AT$9:$AT$55)*($A70&lt;='Level Engine'!$AU$9:$AU$41)),'Level Engine'!$BB$9:$BB$55),"")</f>
        <v/>
      </c>
      <c r="AF70" s="218">
        <f t="shared" si="7"/>
        <v>387420489</v>
      </c>
      <c r="AG70" s="218">
        <f t="shared" si="8"/>
        <v>0</v>
      </c>
      <c r="AH70" s="10">
        <f t="shared" si="9"/>
        <v>-113930</v>
      </c>
      <c r="AI70" s="218">
        <f t="shared" si="17"/>
        <v>-252204</v>
      </c>
      <c r="AM70" s="218">
        <f>IFERROR(INDEX('Level Engine'!$AN$9:$AN$55,MATCH(A70,'Level Engine'!$AA$9:$AA$55,0)),0)</f>
        <v>0</v>
      </c>
      <c r="AN70">
        <f>IF(ISNUMBER($AB$19),$AB$19,$AN$68)</f>
        <v>7775</v>
      </c>
      <c r="AO70">
        <f>IF(ISNUMBER($AB$18),$AB$18,$AN$69)</f>
        <v>7810</v>
      </c>
      <c r="AQ70" s="286" t="str">
        <f t="shared" si="10"/>
        <v/>
      </c>
      <c r="AR70" s="286">
        <f t="shared" si="11"/>
        <v>0</v>
      </c>
      <c r="AS70" t="str">
        <f t="shared" si="12"/>
        <v/>
      </c>
      <c r="AT70" s="10">
        <f t="shared" si="13"/>
        <v>128040</v>
      </c>
      <c r="AU70" s="1" t="str">
        <f t="shared" si="14"/>
        <v/>
      </c>
      <c r="AV70" s="1">
        <f t="shared" si="15"/>
        <v>3207</v>
      </c>
    </row>
    <row r="71" spans="1:48" ht="15" customHeight="1" x14ac:dyDescent="0.25">
      <c r="A71" s="287">
        <v>7675</v>
      </c>
      <c r="B71" s="288">
        <v>100523</v>
      </c>
      <c r="C71" s="289">
        <v>-52061</v>
      </c>
      <c r="D71" s="289">
        <v>-830726</v>
      </c>
      <c r="E71" s="289">
        <v>528971</v>
      </c>
      <c r="F71" s="306">
        <v>239883</v>
      </c>
      <c r="G71" s="289">
        <v>214</v>
      </c>
      <c r="H71" s="289">
        <v>11</v>
      </c>
      <c r="I71" s="289">
        <v>708</v>
      </c>
      <c r="J71" s="290" t="str">
        <f t="shared" si="2"/>
        <v/>
      </c>
      <c r="K71" s="291">
        <v>707</v>
      </c>
      <c r="L71" s="292">
        <v>2226</v>
      </c>
      <c r="M71" s="292"/>
      <c r="N71" s="312"/>
      <c r="O71" s="313"/>
      <c r="P71" s="294" t="str">
        <f t="shared" si="3"/>
        <v/>
      </c>
      <c r="Q71" s="295" t="str">
        <f>IF(A71="","",IF(AND(A71=MROUND($B$4,5),ISNUMBER(SEARCH("LONG trigger",'GEX Depth'!$C$54))),"Long Trigger",IF(AND(A71=MROUND($B$4,5),ISNUMBER(SEARCH("SHORT trigger",'GEX Depth'!$C$54))),"Short Trigger",IF(OR(COUNTIF($AL$42:$AL$45,A71)&gt;0,OR(AND($AM71=1,A71&gt;$B$4),AND($AM72=1,A72&gt;$B$4)),AND(ISNUMBER('Level Engine'!$CT$3),A71&gt;=MIN('Level Engine'!$CT$3,'Level Engine'!$CT$4),A71&lt;=MAX('Level Engine'!$CT$3,'Level Engine'!$CT$4))),"R",IF(OR(COUNTIF($AL$49:$AL$52,A71)&gt;0,OR(AND($AM71=1,A71&lt;$B$4),AND($AM70=1,A70&lt;$B$4)),AND(ISNUMBER('Level Engine'!$CW$3),A71&gt;=MIN('Level Engine'!$CW$3,'Level Engine'!$CW$4),A71&lt;=MAX('Level Engine'!$CW$3,'Level Engine'!$CW$4))),"S","")))))</f>
        <v/>
      </c>
      <c r="R71" s="1" t="str">
        <f>IF(A71="","",IF(AND(COUNT($S$69:$S$72)&gt;0,A71=MAX($S$69:$S$72)),"◀ sell-stop floor",IF(AND('Level Engine'!$CW$2=1,ISNUMBER('Level Engine'!$FI$3),ISNUMBER('Level Engine'!$FI$4),A71&gt;=MIN('Level Engine'!$FI$3,'Level Engine'!$FI$4),A71&lt;=MAX('Level Engine'!$FI$3,'Level Engine'!$FI$4)),"◀ support "&amp;'Level Engine'!$CW$9,IF(AND('Level Engine'!$CT$2=1,ISNUMBER('Level Engine'!$FH$3),ISNUMBER('Level Engine'!$FH$4),A71&gt;=MIN('Level Engine'!$FH$3,'Level Engine'!$FH$4),A71&lt;=MAX('Level Engine'!$FH$3,'Level Engine'!$FH$4)),"◀ resistance "&amp;'Level Engine'!$CT$9,""))))</f>
        <v/>
      </c>
      <c r="S71" s="307" t="str">
        <f>IF(AND($A$8&lt;&gt;"Neg",N('Level Engine'!$BG$72)&lt;&gt;1),"",IFERROR(LARGE($AN$62:$AN$65,3),""))</f>
        <v/>
      </c>
      <c r="T71" s="307" t="str">
        <f>IF(OR($S71="",NOT(ISNUMBER($S71))),"",$S71-$B$4)</f>
        <v/>
      </c>
      <c r="U71" s="308" t="str">
        <f>IF(NOT(ISNUMBER($S71)),"",IFERROR(INDEX($AO$62:$AO$65,MATCH($S71,$AN$62:$AN$65,0)),""))</f>
        <v/>
      </c>
      <c r="V71" s="308" t="str">
        <f>IF(NOT(ISNUMBER($S71)),"",IFERROR(INDEX($AP$62:$AP$65,MATCH($S71,$AN$62:$AN$65,0)),""))</f>
        <v/>
      </c>
      <c r="X71" s="276"/>
      <c r="Y71" s="276"/>
      <c r="Z71" s="276">
        <f t="shared" si="16"/>
        <v>-10738154</v>
      </c>
      <c r="AB71" s="181">
        <f t="shared" si="4"/>
        <v>387420489</v>
      </c>
      <c r="AC71" s="297">
        <f t="shared" si="19"/>
        <v>8</v>
      </c>
      <c r="AD71" s="297">
        <f t="shared" si="20"/>
        <v>0</v>
      </c>
      <c r="AE71" s="181" t="str">
        <f>IFERROR(LOOKUP(2,1/((ISNUMBER('Level Engine'!$AT$9:$AT$55))*($A71&gt;='Level Engine'!$AT$9:$AT$55)*($A71&lt;='Level Engine'!$AU$9:$AU$41)),'Level Engine'!$BB$9:$BB$55),"")</f>
        <v/>
      </c>
      <c r="AF71" s="218">
        <f t="shared" si="7"/>
        <v>387420489</v>
      </c>
      <c r="AG71" s="218">
        <f t="shared" si="8"/>
        <v>0</v>
      </c>
      <c r="AH71" s="10">
        <f t="shared" si="9"/>
        <v>-52061</v>
      </c>
      <c r="AI71" s="218">
        <f t="shared" si="17"/>
        <v>276767</v>
      </c>
      <c r="AM71" s="218">
        <f>IFERROR(INDEX('Level Engine'!$AN$9:$AN$55,MATCH(A71,'Level Engine'!$AA$9:$AA$55,0)),0)</f>
        <v>0</v>
      </c>
      <c r="AQ71" s="286" t="str">
        <f t="shared" si="10"/>
        <v/>
      </c>
      <c r="AR71" s="286">
        <f t="shared" si="11"/>
        <v>0</v>
      </c>
      <c r="AS71" t="str">
        <f t="shared" si="12"/>
        <v/>
      </c>
      <c r="AT71" s="10">
        <f t="shared" si="13"/>
        <v>100523</v>
      </c>
      <c r="AU71" s="1" t="str">
        <f t="shared" si="14"/>
        <v/>
      </c>
      <c r="AV71" s="1">
        <f t="shared" si="15"/>
        <v>2226</v>
      </c>
    </row>
    <row r="72" spans="1:48" ht="15" customHeight="1" x14ac:dyDescent="0.25">
      <c r="A72" s="287">
        <v>7670</v>
      </c>
      <c r="B72" s="288">
        <v>69522</v>
      </c>
      <c r="C72" s="289">
        <v>-56259</v>
      </c>
      <c r="D72" s="289">
        <v>-879998</v>
      </c>
      <c r="E72" s="289">
        <v>149184</v>
      </c>
      <c r="F72" s="306">
        <v>261370</v>
      </c>
      <c r="G72" s="289">
        <v>150</v>
      </c>
      <c r="H72" s="289">
        <v>8</v>
      </c>
      <c r="I72" s="289">
        <v>742</v>
      </c>
      <c r="J72" s="290" t="str">
        <f t="shared" si="2"/>
        <v/>
      </c>
      <c r="K72" s="291">
        <v>211</v>
      </c>
      <c r="L72" s="292">
        <v>2001</v>
      </c>
      <c r="M72" s="292"/>
      <c r="N72" s="312"/>
      <c r="O72" s="313"/>
      <c r="P72" s="294" t="str">
        <f t="shared" si="3"/>
        <v/>
      </c>
      <c r="Q72" s="295" t="str">
        <f>IF(A72="","",IF(AND(A72=MROUND($B$4,5),ISNUMBER(SEARCH("LONG trigger",'GEX Depth'!$C$54))),"Long Trigger",IF(AND(A72=MROUND($B$4,5),ISNUMBER(SEARCH("SHORT trigger",'GEX Depth'!$C$54))),"Short Trigger",IF(OR(COUNTIF($AL$42:$AL$45,A72)&gt;0,OR(AND($AM72=1,A72&gt;$B$4),AND($AM73=1,A73&gt;$B$4)),AND(ISNUMBER('Level Engine'!$CT$3),A72&gt;=MIN('Level Engine'!$CT$3,'Level Engine'!$CT$4),A72&lt;=MAX('Level Engine'!$CT$3,'Level Engine'!$CT$4))),"R",IF(OR(COUNTIF($AL$49:$AL$52,A72)&gt;0,OR(AND($AM72=1,A72&lt;$B$4),AND($AM71=1,A71&lt;$B$4)),AND(ISNUMBER('Level Engine'!$CW$3),A72&gt;=MIN('Level Engine'!$CW$3,'Level Engine'!$CW$4),A72&lt;=MAX('Level Engine'!$CW$3,'Level Engine'!$CW$4))),"S","")))))</f>
        <v/>
      </c>
      <c r="R72" s="1" t="str">
        <f>IF(A72="","",IF(AND(COUNT($S$69:$S$72)&gt;0,A72=MAX($S$69:$S$72)),"◀ sell-stop floor",IF(AND('Level Engine'!$CW$2=1,ISNUMBER('Level Engine'!$FI$3),ISNUMBER('Level Engine'!$FI$4),A72&gt;=MIN('Level Engine'!$FI$3,'Level Engine'!$FI$4),A72&lt;=MAX('Level Engine'!$FI$3,'Level Engine'!$FI$4)),"◀ support "&amp;'Level Engine'!$CW$9,IF(AND('Level Engine'!$CT$2=1,ISNUMBER('Level Engine'!$FH$3),ISNUMBER('Level Engine'!$FH$4),A72&gt;=MIN('Level Engine'!$FH$3,'Level Engine'!$FH$4),A72&lt;=MAX('Level Engine'!$FH$3,'Level Engine'!$FH$4)),"◀ resistance "&amp;'Level Engine'!$CT$9,""))))</f>
        <v/>
      </c>
      <c r="S72" s="307" t="str">
        <f>IF(AND($A$8&lt;&gt;"Neg",N('Level Engine'!$BG$72)&lt;&gt;1),"",IFERROR(LARGE($AN$62:$AN$65,4),""))</f>
        <v/>
      </c>
      <c r="T72" s="307" t="str">
        <f>IF(OR($S72="",NOT(ISNUMBER($S72))),"",$S72-$B$4)</f>
        <v/>
      </c>
      <c r="U72" s="308" t="str">
        <f>IF(NOT(ISNUMBER($S72)),"",IFERROR(INDEX($AO$62:$AO$65,MATCH($S72,$AN$62:$AN$65,0)),""))</f>
        <v/>
      </c>
      <c r="V72" s="308" t="str">
        <f>IF(NOT(ISNUMBER($S72)),"",IFERROR(INDEX($AP$62:$AP$65,MATCH($S72,$AN$62:$AN$65,0)),""))</f>
        <v/>
      </c>
      <c r="X72" s="276"/>
      <c r="Y72" s="276"/>
      <c r="Z72" s="276">
        <f t="shared" si="16"/>
        <v>-10794413</v>
      </c>
      <c r="AB72" s="181">
        <f t="shared" si="4"/>
        <v>387420489</v>
      </c>
      <c r="AC72" s="297">
        <f t="shared" si="19"/>
        <v>16</v>
      </c>
      <c r="AD72" s="297">
        <f t="shared" si="20"/>
        <v>0</v>
      </c>
      <c r="AE72" s="181" t="str">
        <f>IFERROR(LOOKUP(2,1/((ISNUMBER('Level Engine'!$AT$9:$AT$55))*($A72&gt;='Level Engine'!$AT$9:$AT$55)*($A72&lt;='Level Engine'!$AU$9:$AU$41)),'Level Engine'!$BB$9:$BB$55),"")</f>
        <v/>
      </c>
      <c r="AF72" s="218">
        <f t="shared" si="7"/>
        <v>387420489</v>
      </c>
      <c r="AG72" s="218">
        <f t="shared" si="8"/>
        <v>0</v>
      </c>
      <c r="AH72" s="10">
        <f t="shared" si="9"/>
        <v>-56259</v>
      </c>
      <c r="AI72" s="218">
        <f t="shared" si="17"/>
        <v>425951</v>
      </c>
      <c r="AM72" s="218">
        <f>IFERROR(INDEX('Level Engine'!$AN$9:$AN$55,MATCH(A72,'Level Engine'!$AA$9:$AA$55,0)),0)</f>
        <v>0</v>
      </c>
      <c r="AQ72" s="286" t="str">
        <f t="shared" si="10"/>
        <v/>
      </c>
      <c r="AR72" s="286">
        <f t="shared" si="11"/>
        <v>0</v>
      </c>
      <c r="AS72" t="str">
        <f t="shared" si="12"/>
        <v/>
      </c>
      <c r="AT72" s="10">
        <f t="shared" si="13"/>
        <v>69522</v>
      </c>
      <c r="AU72" s="1" t="str">
        <f t="shared" si="14"/>
        <v/>
      </c>
      <c r="AV72" s="1">
        <f t="shared" si="15"/>
        <v>2001</v>
      </c>
    </row>
    <row r="73" spans="1:48" ht="15" customHeight="1" x14ac:dyDescent="0.25">
      <c r="A73" s="287">
        <v>7665</v>
      </c>
      <c r="B73" s="288">
        <v>64859</v>
      </c>
      <c r="C73" s="289">
        <v>-58278</v>
      </c>
      <c r="D73" s="289">
        <v>-895446</v>
      </c>
      <c r="E73" s="289">
        <v>74308</v>
      </c>
      <c r="F73" s="306">
        <v>272984</v>
      </c>
      <c r="G73" s="289">
        <v>143</v>
      </c>
      <c r="H73" s="289">
        <v>8</v>
      </c>
      <c r="I73" s="289">
        <v>746</v>
      </c>
      <c r="J73" s="290" t="str">
        <f t="shared" si="2"/>
        <v/>
      </c>
      <c r="K73" s="291">
        <v>114</v>
      </c>
      <c r="L73" s="292">
        <v>2133</v>
      </c>
      <c r="M73" s="292"/>
      <c r="N73" s="312"/>
      <c r="O73" s="313"/>
      <c r="P73" s="294" t="str">
        <f t="shared" si="3"/>
        <v/>
      </c>
      <c r="Q73" s="295" t="str">
        <f>IF(A73="","",IF(AND(A73=MROUND($B$4,5),ISNUMBER(SEARCH("LONG trigger",'GEX Depth'!$C$54))),"Long Trigger",IF(AND(A73=MROUND($B$4,5),ISNUMBER(SEARCH("SHORT trigger",'GEX Depth'!$C$54))),"Short Trigger",IF(OR(COUNTIF($AL$42:$AL$45,A73)&gt;0,OR(AND($AM73=1,A73&gt;$B$4),AND($AM74=1,A74&gt;$B$4)),AND(ISNUMBER('Level Engine'!$CT$3),A73&gt;=MIN('Level Engine'!$CT$3,'Level Engine'!$CT$4),A73&lt;=MAX('Level Engine'!$CT$3,'Level Engine'!$CT$4))),"R",IF(OR(COUNTIF($AL$49:$AL$52,A73)&gt;0,OR(AND($AM73=1,A73&lt;$B$4),AND($AM72=1,A72&lt;$B$4)),AND(ISNUMBER('Level Engine'!$CW$3),A73&gt;=MIN('Level Engine'!$CW$3,'Level Engine'!$CW$4),A73&lt;=MAX('Level Engine'!$CW$3,'Level Engine'!$CW$4))),"S","")))))</f>
        <v/>
      </c>
      <c r="R73" s="1" t="str">
        <f>IF(A73="","",IF(AND(COUNT($S$69:$S$72)&gt;0,A73=MAX($S$69:$S$72)),"◀ sell-stop floor",IF(AND('Level Engine'!$CW$2=1,ISNUMBER('Level Engine'!$FI$3),ISNUMBER('Level Engine'!$FI$4),A73&gt;=MIN('Level Engine'!$FI$3,'Level Engine'!$FI$4),A73&lt;=MAX('Level Engine'!$FI$3,'Level Engine'!$FI$4)),"◀ support "&amp;'Level Engine'!$CW$9,IF(AND('Level Engine'!$CT$2=1,ISNUMBER('Level Engine'!$FH$3),ISNUMBER('Level Engine'!$FH$4),A73&gt;=MIN('Level Engine'!$FH$3,'Level Engine'!$FH$4),A73&lt;=MAX('Level Engine'!$FH$3,'Level Engine'!$FH$4)),"◀ resistance "&amp;'Level Engine'!$CT$9,""))))</f>
        <v/>
      </c>
      <c r="S73" s="100"/>
      <c r="T73" s="100"/>
      <c r="U73" s="100"/>
      <c r="V73" s="100"/>
      <c r="W73" s="100"/>
      <c r="X73" s="276"/>
      <c r="Y73" s="276"/>
      <c r="Z73" s="276">
        <f t="shared" si="16"/>
        <v>-10852691</v>
      </c>
      <c r="AB73" s="181">
        <f t="shared" si="4"/>
        <v>387420489</v>
      </c>
      <c r="AC73" s="297">
        <f t="shared" si="19"/>
        <v>20</v>
      </c>
      <c r="AD73" s="297">
        <f t="shared" si="20"/>
        <v>0</v>
      </c>
      <c r="AE73" s="181" t="str">
        <f>IFERROR(LOOKUP(2,1/((ISNUMBER('Level Engine'!$AT$9:$AT$55))*($A73&gt;='Level Engine'!$AT$9:$AT$55)*($A73&lt;='Level Engine'!$AU$9:$AU$41)),'Level Engine'!$BB$9:$BB$55),"")</f>
        <v/>
      </c>
      <c r="AF73" s="218">
        <f t="shared" si="7"/>
        <v>387420489</v>
      </c>
      <c r="AG73" s="218">
        <f t="shared" si="8"/>
        <v>0</v>
      </c>
      <c r="AH73" s="10">
        <f t="shared" si="9"/>
        <v>-58278</v>
      </c>
      <c r="AI73" s="218">
        <f t="shared" si="17"/>
        <v>500259</v>
      </c>
      <c r="AM73" s="218">
        <f>IFERROR(INDEX('Level Engine'!$AN$9:$AN$55,MATCH(A73,'Level Engine'!$AA$9:$AA$55,0)),0)</f>
        <v>0</v>
      </c>
      <c r="AQ73" s="286" t="str">
        <f t="shared" si="10"/>
        <v/>
      </c>
      <c r="AR73" s="286">
        <f t="shared" si="11"/>
        <v>0</v>
      </c>
      <c r="AS73" t="str">
        <f t="shared" si="12"/>
        <v/>
      </c>
      <c r="AT73" s="10">
        <f t="shared" si="13"/>
        <v>64859</v>
      </c>
      <c r="AU73" s="1" t="str">
        <f t="shared" si="14"/>
        <v/>
      </c>
      <c r="AV73" s="1">
        <f t="shared" si="15"/>
        <v>2133</v>
      </c>
    </row>
    <row r="74" spans="1:48" ht="15" customHeight="1" x14ac:dyDescent="0.25">
      <c r="A74" s="287">
        <v>7660</v>
      </c>
      <c r="B74" s="288">
        <v>29797</v>
      </c>
      <c r="C74" s="289">
        <v>-25233</v>
      </c>
      <c r="D74" s="289">
        <v>-384770</v>
      </c>
      <c r="E74" s="289">
        <v>60900</v>
      </c>
      <c r="F74" s="306">
        <v>119464</v>
      </c>
      <c r="G74" s="289">
        <v>67</v>
      </c>
      <c r="H74" s="289">
        <v>4</v>
      </c>
      <c r="I74" s="289">
        <v>316</v>
      </c>
      <c r="J74" s="290" t="str">
        <f t="shared" si="2"/>
        <v/>
      </c>
      <c r="K74" s="291">
        <v>87</v>
      </c>
      <c r="L74" s="292">
        <v>1049</v>
      </c>
      <c r="M74" s="292"/>
      <c r="N74" s="312"/>
      <c r="O74" s="313"/>
      <c r="P74" s="294" t="str">
        <f t="shared" si="3"/>
        <v/>
      </c>
      <c r="Q74" s="295" t="str">
        <f>IF(A74="","",IF(AND(A74=MROUND($B$4,5),ISNUMBER(SEARCH("LONG trigger",'GEX Depth'!$C$54))),"Long Trigger",IF(AND(A74=MROUND($B$4,5),ISNUMBER(SEARCH("SHORT trigger",'GEX Depth'!$C$54))),"Short Trigger",IF(OR(COUNTIF($AL$42:$AL$45,A74)&gt;0,OR(AND($AM74=1,A74&gt;$B$4),AND($AM75=1,A75&gt;$B$4)),AND(ISNUMBER('Level Engine'!$CT$3),A74&gt;=MIN('Level Engine'!$CT$3,'Level Engine'!$CT$4),A74&lt;=MAX('Level Engine'!$CT$3,'Level Engine'!$CT$4))),"R",IF(OR(COUNTIF($AL$49:$AL$52,A74)&gt;0,OR(AND($AM74=1,A74&lt;$B$4),AND($AM73=1,A73&lt;$B$4)),AND(ISNUMBER('Level Engine'!$CW$3),A74&gt;=MIN('Level Engine'!$CW$3,'Level Engine'!$CW$4),A74&lt;=MAX('Level Engine'!$CW$3,'Level Engine'!$CW$4))),"S","")))))</f>
        <v/>
      </c>
      <c r="R74" s="1" t="str">
        <f>IF(A74="","",IF(AND(COUNT($S$69:$S$72)&gt;0,A74=MAX($S$69:$S$72)),"◀ sell-stop floor",IF(AND('Level Engine'!$CW$2=1,ISNUMBER('Level Engine'!$FI$3),ISNUMBER('Level Engine'!$FI$4),A74&gt;=MIN('Level Engine'!$FI$3,'Level Engine'!$FI$4),A74&lt;=MAX('Level Engine'!$FI$3,'Level Engine'!$FI$4)),"◀ support "&amp;'Level Engine'!$CW$9,IF(AND('Level Engine'!$CT$2=1,ISNUMBER('Level Engine'!$FH$3),ISNUMBER('Level Engine'!$FH$4),A74&gt;=MIN('Level Engine'!$FH$3,'Level Engine'!$FH$4),A74&lt;=MAX('Level Engine'!$FH$3,'Level Engine'!$FH$4)),"◀ resistance "&amp;'Level Engine'!$CT$9,""))))</f>
        <v/>
      </c>
      <c r="S74" s="76" t="s">
        <v>161</v>
      </c>
      <c r="U74" s="276"/>
      <c r="V74" s="276"/>
      <c r="X74" s="276"/>
      <c r="Y74" s="276"/>
      <c r="Z74" s="276">
        <f t="shared" si="16"/>
        <v>-10877924</v>
      </c>
      <c r="AB74" s="181">
        <f t="shared" si="4"/>
        <v>387420489</v>
      </c>
      <c r="AC74" s="297">
        <f t="shared" si="19"/>
        <v>21</v>
      </c>
      <c r="AD74" s="297">
        <f t="shared" si="20"/>
        <v>0</v>
      </c>
      <c r="AE74" s="181" t="str">
        <f>IFERROR(LOOKUP(2,1/((ISNUMBER('Level Engine'!$AT$9:$AT$55))*($A74&gt;='Level Engine'!$AT$9:$AT$55)*($A74&lt;='Level Engine'!$AU$9:$AU$41)),'Level Engine'!$BB$9:$BB$55),"")</f>
        <v/>
      </c>
      <c r="AF74" s="218">
        <f t="shared" si="7"/>
        <v>387420489</v>
      </c>
      <c r="AG74" s="218">
        <f t="shared" si="8"/>
        <v>0</v>
      </c>
      <c r="AH74" s="10">
        <f t="shared" si="9"/>
        <v>-25233</v>
      </c>
      <c r="AI74" s="218">
        <f t="shared" si="17"/>
        <v>561159</v>
      </c>
      <c r="AM74" s="218">
        <f>IFERROR(INDEX('Level Engine'!$AN$9:$AN$55,MATCH(A74,'Level Engine'!$AA$9:$AA$55,0)),0)</f>
        <v>0</v>
      </c>
      <c r="AQ74" s="286" t="str">
        <f t="shared" si="10"/>
        <v/>
      </c>
      <c r="AR74" s="286">
        <f t="shared" si="11"/>
        <v>0</v>
      </c>
      <c r="AS74" t="str">
        <f t="shared" si="12"/>
        <v/>
      </c>
      <c r="AT74" s="10">
        <f t="shared" si="13"/>
        <v>29797</v>
      </c>
      <c r="AU74" s="1" t="str">
        <f t="shared" si="14"/>
        <v/>
      </c>
      <c r="AV74" s="1">
        <f t="shared" si="15"/>
        <v>1049</v>
      </c>
    </row>
    <row r="75" spans="1:48" ht="15" customHeight="1" x14ac:dyDescent="0.25">
      <c r="A75" s="287">
        <v>7655</v>
      </c>
      <c r="B75" s="288">
        <v>24654</v>
      </c>
      <c r="C75" s="289">
        <v>-21948</v>
      </c>
      <c r="D75" s="289">
        <v>-337744</v>
      </c>
      <c r="E75" s="289">
        <v>39429</v>
      </c>
      <c r="F75" s="306">
        <v>105490</v>
      </c>
      <c r="G75" s="289">
        <v>57</v>
      </c>
      <c r="H75" s="289">
        <v>3</v>
      </c>
      <c r="I75" s="289">
        <v>271</v>
      </c>
      <c r="J75" s="290" t="str">
        <f t="shared" si="2"/>
        <v/>
      </c>
      <c r="K75" s="291">
        <v>58</v>
      </c>
      <c r="L75" s="292">
        <v>999</v>
      </c>
      <c r="M75" s="292"/>
      <c r="N75" s="312"/>
      <c r="O75" s="313"/>
      <c r="P75" s="294" t="str">
        <f t="shared" si="3"/>
        <v/>
      </c>
      <c r="Q75" s="295" t="str">
        <f>IF(A75="","",IF(AND(A75=MROUND($B$4,5),ISNUMBER(SEARCH("LONG trigger",'GEX Depth'!$C$54))),"Long Trigger",IF(AND(A75=MROUND($B$4,5),ISNUMBER(SEARCH("SHORT trigger",'GEX Depth'!$C$54))),"Short Trigger",IF(OR(COUNTIF($AL$42:$AL$45,A75)&gt;0,OR(AND($AM75=1,A75&gt;$B$4),AND($AM76=1,A76&gt;$B$4)),AND(ISNUMBER('Level Engine'!$CT$3),A75&gt;=MIN('Level Engine'!$CT$3,'Level Engine'!$CT$4),A75&lt;=MAX('Level Engine'!$CT$3,'Level Engine'!$CT$4))),"R",IF(OR(COUNTIF($AL$49:$AL$52,A75)&gt;0,OR(AND($AM75=1,A75&lt;$B$4),AND($AM74=1,A74&lt;$B$4)),AND(ISNUMBER('Level Engine'!$CW$3),A75&gt;=MIN('Level Engine'!$CW$3,'Level Engine'!$CW$4),A75&lt;=MAX('Level Engine'!$CW$3,'Level Engine'!$CW$4))),"S","")))))</f>
        <v/>
      </c>
      <c r="R75" s="1" t="str">
        <f>IF(A75="","",IF(AND(COUNT($S$69:$S$72)&gt;0,A75=MAX($S$69:$S$72)),"◀ sell-stop floor",IF(AND('Level Engine'!$CW$2=1,ISNUMBER('Level Engine'!$FI$3),ISNUMBER('Level Engine'!$FI$4),A75&gt;=MIN('Level Engine'!$FI$3,'Level Engine'!$FI$4),A75&lt;=MAX('Level Engine'!$FI$3,'Level Engine'!$FI$4)),"◀ support "&amp;'Level Engine'!$CW$9,IF(AND('Level Engine'!$CT$2=1,ISNUMBER('Level Engine'!$FH$3),ISNUMBER('Level Engine'!$FH$4),A75&gt;=MIN('Level Engine'!$FH$3,'Level Engine'!$FH$4),A75&lt;=MAX('Level Engine'!$FH$3,'Level Engine'!$FH$4)),"◀ resistance "&amp;'Level Engine'!$CT$9,""))))</f>
        <v/>
      </c>
      <c r="S75" s="76" t="s">
        <v>162</v>
      </c>
      <c r="T75" s="158" t="str">
        <f>IF('GEX Depth'!$C$54="","",'GEX Depth'!$C$54)</f>
        <v>FALLING / AT TROUGH</v>
      </c>
      <c r="U75" s="276"/>
      <c r="V75" s="276"/>
      <c r="X75" s="276"/>
      <c r="Y75" s="276"/>
      <c r="Z75" s="276">
        <f t="shared" si="16"/>
        <v>-10899872</v>
      </c>
      <c r="AB75" s="181">
        <f>9^9</f>
        <v>387420489</v>
      </c>
      <c r="AC75" s="297">
        <f t="shared" si="19"/>
        <v>23</v>
      </c>
      <c r="AD75" s="297">
        <f t="shared" si="20"/>
        <v>0</v>
      </c>
      <c r="AE75" s="181" t="str">
        <f>IFERROR(LOOKUP(2,1/((ISNUMBER('Level Engine'!$AT$9:$AT$55))*($A75&gt;='Level Engine'!$AT$9:$AT$55)*($A75&lt;='Level Engine'!$AU$9:$AU$41)),'Level Engine'!$BB$9:$BB$55),"")</f>
        <v/>
      </c>
      <c r="AG75" s="218">
        <f t="shared" si="8"/>
        <v>0</v>
      </c>
      <c r="AH75" s="10">
        <f t="shared" si="9"/>
        <v>-21948</v>
      </c>
      <c r="AI75" s="218">
        <f t="shared" si="17"/>
        <v>600588</v>
      </c>
      <c r="AM75" s="218">
        <f>IFERROR(INDEX('Level Engine'!$AN$9:$AN$55,MATCH(A75,'Level Engine'!$AA$9:$AA$55,0)),0)</f>
        <v>0</v>
      </c>
      <c r="AQ75" s="286" t="str">
        <f t="shared" si="10"/>
        <v/>
      </c>
      <c r="AR75" s="286">
        <f t="shared" si="11"/>
        <v>0</v>
      </c>
      <c r="AS75" t="str">
        <f t="shared" si="12"/>
        <v/>
      </c>
      <c r="AT75" s="10">
        <f t="shared" si="13"/>
        <v>24654</v>
      </c>
      <c r="AU75" s="1" t="str">
        <f t="shared" si="14"/>
        <v/>
      </c>
      <c r="AV75" s="1">
        <f t="shared" si="15"/>
        <v>999</v>
      </c>
    </row>
    <row r="76" spans="1:48" ht="15" customHeight="1" x14ac:dyDescent="0.25">
      <c r="S76" s="76" t="s">
        <v>163</v>
      </c>
      <c r="T76" s="10">
        <f>IF('GEX Depth'!$C$55="","",'GEX Depth'!$C$55)</f>
        <v>4035</v>
      </c>
      <c r="U76" s="326" t="s">
        <v>164</v>
      </c>
      <c r="V76" s="327">
        <f>IF('GEX Depth'!$E$55="","",'GEX Depth'!$E$55)</f>
        <v>0</v>
      </c>
      <c r="X76" s="276"/>
    </row>
    <row r="77" spans="1:48" ht="15" customHeight="1" x14ac:dyDescent="0.25">
      <c r="S77" s="76" t="s">
        <v>165</v>
      </c>
      <c r="T77" s="1" t="str">
        <f>IF('GEX Depth'!$C$56="","",'GEX Depth'!$C$56)</f>
        <v>UP</v>
      </c>
      <c r="U77" s="326" t="s">
        <v>80</v>
      </c>
      <c r="V77" s="328">
        <f>IF('GEX Depth'!$E$56="","",'GEX Depth'!$E$56)</f>
        <v>86.64</v>
      </c>
      <c r="X77" s="276"/>
    </row>
    <row r="78" spans="1:48" ht="15" customHeight="1" x14ac:dyDescent="0.25">
      <c r="S78" s="329">
        <f>IF('GEX Depth'!$B$64="","",'GEX Depth'!$B$64)</f>
        <v>0.73239583333333336</v>
      </c>
      <c r="T78" s="10">
        <f>IF('GEX Depth'!$C$64="","",'GEX Depth'!$C$64)</f>
        <v>4713</v>
      </c>
      <c r="U78" s="330">
        <f>IF('GEX Depth'!$D$64="","",'GEX Depth'!$D$64)</f>
        <v>-43</v>
      </c>
      <c r="W78" s="276"/>
    </row>
    <row r="79" spans="1:48" ht="15" customHeight="1" x14ac:dyDescent="0.25">
      <c r="S79" s="329">
        <f>IF('GEX Depth'!$B$65="","",'GEX Depth'!$B$65)</f>
        <v>0.73180555555555549</v>
      </c>
      <c r="T79" s="10">
        <f>IF('GEX Depth'!$C$65="","",'GEX Depth'!$C$65)</f>
        <v>4756</v>
      </c>
      <c r="U79" s="330" t="str">
        <f>IF('GEX Depth'!$D$65="","",'GEX Depth'!$D$65)</f>
        <v/>
      </c>
      <c r="W79" s="276"/>
    </row>
    <row r="80" spans="1:48" x14ac:dyDescent="0.25">
      <c r="S80" s="307"/>
      <c r="T80" s="307"/>
      <c r="U80" s="308"/>
      <c r="V80" s="308"/>
      <c r="W80" s="308"/>
      <c r="X80" s="308"/>
      <c r="Y80" s="308"/>
    </row>
    <row r="81" spans="19:25" x14ac:dyDescent="0.25">
      <c r="S81" s="307"/>
      <c r="T81" s="307"/>
      <c r="U81" s="308"/>
      <c r="V81" s="308"/>
      <c r="W81" s="308"/>
      <c r="X81" s="308"/>
      <c r="Y81" s="308"/>
    </row>
    <row r="82" spans="19:25" x14ac:dyDescent="0.25">
      <c r="S82" s="307"/>
      <c r="T82" s="307"/>
      <c r="U82" s="308"/>
      <c r="V82" s="308"/>
      <c r="W82" s="308"/>
      <c r="X82" s="308"/>
      <c r="Y82" s="308"/>
    </row>
    <row r="84" spans="19:25" x14ac:dyDescent="0.25">
      <c r="S84" s="307"/>
      <c r="T84" s="307"/>
      <c r="U84" s="308"/>
      <c r="V84" s="308"/>
      <c r="W84" s="308"/>
      <c r="X84" s="308"/>
      <c r="Y84" s="308"/>
    </row>
    <row r="85" spans="19:25" x14ac:dyDescent="0.25">
      <c r="S85" s="307"/>
      <c r="T85" s="307"/>
      <c r="U85" s="308"/>
      <c r="V85" s="308"/>
      <c r="W85" s="308"/>
      <c r="X85" s="308"/>
      <c r="Y85" s="308"/>
    </row>
    <row r="86" spans="19:25" x14ac:dyDescent="0.25">
      <c r="S86" s="307"/>
      <c r="T86" s="307"/>
      <c r="U86" s="308"/>
      <c r="V86" s="308"/>
      <c r="W86" s="308"/>
      <c r="X86" s="308"/>
      <c r="Y86" s="308"/>
    </row>
    <row r="254" spans="19:23" ht="15" customHeight="1" x14ac:dyDescent="0.25">
      <c r="S254" s="100"/>
      <c r="T254" s="100"/>
      <c r="U254" s="100"/>
      <c r="V254" s="100"/>
      <c r="W254" s="100"/>
    </row>
    <row r="255" spans="19:23" ht="15" customHeight="1" x14ac:dyDescent="0.25">
      <c r="S255" s="100"/>
      <c r="T255" s="100"/>
      <c r="U255" s="100"/>
      <c r="V255" s="100"/>
      <c r="W255" s="100"/>
    </row>
    <row r="256" spans="19:23" ht="15" customHeight="1" x14ac:dyDescent="0.25">
      <c r="S256" s="100"/>
      <c r="T256" s="100"/>
      <c r="U256" s="100"/>
      <c r="V256" s="100"/>
      <c r="W256" s="100"/>
    </row>
    <row r="257" spans="19:23" ht="15" customHeight="1" x14ac:dyDescent="0.25">
      <c r="S257" s="100"/>
      <c r="T257" s="100"/>
      <c r="U257" s="100"/>
      <c r="V257" s="100"/>
      <c r="W257" s="100"/>
    </row>
    <row r="258" spans="19:23" ht="15" customHeight="1" x14ac:dyDescent="0.25">
      <c r="S258" s="100"/>
      <c r="T258" s="100"/>
      <c r="U258" s="100"/>
      <c r="V258" s="100"/>
      <c r="W258" s="100"/>
    </row>
    <row r="259" spans="19:23" ht="15" customHeight="1" x14ac:dyDescent="0.25">
      <c r="S259" s="100"/>
      <c r="T259" s="100"/>
      <c r="U259" s="100"/>
      <c r="V259" s="100"/>
      <c r="W259" s="100"/>
    </row>
    <row r="260" spans="19:23" ht="15" customHeight="1" x14ac:dyDescent="0.25">
      <c r="S260" s="100"/>
      <c r="T260" s="100"/>
      <c r="U260" s="100"/>
      <c r="V260" s="100"/>
      <c r="W260" s="100"/>
    </row>
    <row r="261" spans="19:23" ht="15" customHeight="1" x14ac:dyDescent="0.25">
      <c r="S261" s="100"/>
      <c r="T261" s="100"/>
      <c r="U261" s="100"/>
      <c r="V261" s="100"/>
      <c r="W261" s="100"/>
    </row>
    <row r="262" spans="19:23" ht="15" customHeight="1" x14ac:dyDescent="0.25">
      <c r="S262" s="100"/>
      <c r="T262" s="100"/>
      <c r="U262" s="100"/>
      <c r="V262" s="100"/>
      <c r="W262" s="100"/>
    </row>
    <row r="263" spans="19:23" ht="15" customHeight="1" x14ac:dyDescent="0.25">
      <c r="S263" s="100"/>
      <c r="T263" s="100"/>
      <c r="U263" s="100"/>
      <c r="V263" s="100"/>
      <c r="W263" s="100"/>
    </row>
    <row r="264" spans="19:23" ht="15" customHeight="1" x14ac:dyDescent="0.25">
      <c r="S264" s="100"/>
      <c r="T264" s="100"/>
      <c r="U264" s="100"/>
      <c r="V264" s="100"/>
      <c r="W264" s="100"/>
    </row>
    <row r="265" spans="19:23" ht="15" customHeight="1" x14ac:dyDescent="0.25">
      <c r="S265" s="100"/>
      <c r="T265" s="100"/>
      <c r="U265" s="100"/>
      <c r="V265" s="100"/>
      <c r="W265" s="100"/>
    </row>
    <row r="266" spans="19:23" ht="15" customHeight="1" x14ac:dyDescent="0.25">
      <c r="S266" s="100"/>
      <c r="T266" s="100"/>
      <c r="U266" s="100"/>
      <c r="V266" s="100"/>
      <c r="W266" s="100"/>
    </row>
    <row r="267" spans="19:23" ht="15" customHeight="1" x14ac:dyDescent="0.25">
      <c r="S267" s="100"/>
      <c r="T267" s="100"/>
      <c r="U267" s="100"/>
      <c r="V267" s="100"/>
      <c r="W267" s="100"/>
    </row>
    <row r="268" spans="19:23" ht="15" customHeight="1" x14ac:dyDescent="0.25">
      <c r="S268" s="100"/>
      <c r="T268" s="100"/>
      <c r="U268" s="100"/>
      <c r="V268" s="100"/>
      <c r="W268" s="100"/>
    </row>
    <row r="269" spans="19:23" ht="15" customHeight="1" x14ac:dyDescent="0.25">
      <c r="S269" s="100"/>
      <c r="T269" s="100"/>
      <c r="U269" s="100"/>
      <c r="V269" s="100"/>
      <c r="W269" s="100"/>
    </row>
    <row r="270" spans="19:23" ht="15" customHeight="1" x14ac:dyDescent="0.25">
      <c r="S270" s="100"/>
      <c r="T270" s="100"/>
      <c r="U270" s="100"/>
      <c r="V270" s="100"/>
      <c r="W270" s="100"/>
    </row>
    <row r="271" spans="19:23" ht="15" customHeight="1" x14ac:dyDescent="0.25">
      <c r="S271" s="100"/>
      <c r="T271" s="100"/>
      <c r="U271" s="100"/>
      <c r="V271" s="100"/>
      <c r="W271" s="100"/>
    </row>
    <row r="272" spans="19:23" ht="15" customHeight="1" x14ac:dyDescent="0.25">
      <c r="S272" s="100"/>
      <c r="T272" s="100"/>
      <c r="U272" s="100"/>
      <c r="V272" s="100"/>
      <c r="W272" s="100"/>
    </row>
    <row r="273" spans="19:23" ht="15" customHeight="1" x14ac:dyDescent="0.25">
      <c r="S273" s="100"/>
      <c r="T273" s="100"/>
      <c r="U273" s="100"/>
      <c r="V273" s="100"/>
      <c r="W273" s="100"/>
    </row>
    <row r="274" spans="19:23" ht="15" customHeight="1" x14ac:dyDescent="0.25">
      <c r="S274" s="100"/>
      <c r="T274" s="100"/>
      <c r="U274" s="100"/>
      <c r="V274" s="100"/>
      <c r="W274" s="100"/>
    </row>
    <row r="275" spans="19:23" ht="15" customHeight="1" x14ac:dyDescent="0.25">
      <c r="S275" s="100"/>
      <c r="T275" s="100"/>
      <c r="U275" s="100"/>
      <c r="V275" s="100"/>
      <c r="W275" s="100"/>
    </row>
    <row r="276" spans="19:23" ht="15" customHeight="1" x14ac:dyDescent="0.25">
      <c r="S276" s="100"/>
      <c r="T276" s="100"/>
      <c r="U276" s="100"/>
      <c r="V276" s="100"/>
      <c r="W276" s="100"/>
    </row>
    <row r="277" spans="19:23" ht="15" customHeight="1" x14ac:dyDescent="0.25">
      <c r="S277" s="100"/>
      <c r="T277" s="100"/>
      <c r="U277" s="100"/>
      <c r="V277" s="100"/>
      <c r="W277" s="100"/>
    </row>
    <row r="278" spans="19:23" ht="15" customHeight="1" x14ac:dyDescent="0.25">
      <c r="S278" s="100"/>
      <c r="T278" s="100"/>
      <c r="U278" s="100"/>
      <c r="V278" s="100"/>
      <c r="W278" s="100"/>
    </row>
    <row r="279" spans="19:23" ht="15" customHeight="1" x14ac:dyDescent="0.25">
      <c r="S279" s="100"/>
      <c r="T279" s="100"/>
      <c r="U279" s="100"/>
      <c r="V279" s="100"/>
      <c r="W279" s="100"/>
    </row>
  </sheetData>
  <mergeCells count="14">
    <mergeCell ref="A20:P20"/>
    <mergeCell ref="W20:Y20"/>
    <mergeCell ref="W21:Y21"/>
    <mergeCell ref="W25:Y25"/>
    <mergeCell ref="C15:P15"/>
    <mergeCell ref="C16:P16"/>
    <mergeCell ref="C17:P17"/>
    <mergeCell ref="C18:P18"/>
    <mergeCell ref="C19:P19"/>
    <mergeCell ref="S1:X1"/>
    <mergeCell ref="C11:P11"/>
    <mergeCell ref="C12:P12"/>
    <mergeCell ref="C13:P13"/>
    <mergeCell ref="C14:P14"/>
  </mergeCells>
  <conditionalFormatting sqref="B29:B75">
    <cfRule type="expression" dxfId="101" priority="2">
      <formula>AND(B29=MAX($B$29:$B$75),B29&gt;0)</formula>
    </cfRule>
  </conditionalFormatting>
  <conditionalFormatting sqref="C29:C75">
    <cfRule type="expression" dxfId="100" priority="3">
      <formula>AND(C29=MAX($C$29:$C$75),C29&gt;0)</formula>
    </cfRule>
    <cfRule type="expression" dxfId="99" priority="4">
      <formula>AND(C29=MIN($C$29:$C$75),C29&lt;0)</formula>
    </cfRule>
    <cfRule type="colorScale" priority="5">
      <colorScale>
        <cfvo type="percentile" val="10"/>
        <cfvo type="num" val="0"/>
        <cfvo type="percentile" val="90"/>
        <color rgb="FF6D28D9"/>
        <color rgb="FFFFFFFF"/>
        <color rgb="FF548235"/>
      </colorScale>
    </cfRule>
    <cfRule type="expression" dxfId="98" priority="6">
      <formula>AND(C29&gt;0.45*PERCENTILE($C$29:$C$75,0.1),C29&lt;0.45*PERCENTILE($C$29:$C$75,0.9))</formula>
    </cfRule>
  </conditionalFormatting>
  <conditionalFormatting sqref="D29:D75">
    <cfRule type="expression" dxfId="97" priority="7">
      <formula>AND(D29=MAX($D$29:$D$75),D29&gt;0)</formula>
    </cfRule>
    <cfRule type="expression" dxfId="96" priority="8">
      <formula>AND(D29&gt;0,D29&lt;MAX($D$29:$D$75),D29&gt;=LARGE($D$29:$D$75,6))</formula>
    </cfRule>
    <cfRule type="expression" dxfId="95" priority="9">
      <formula>AND(D29=MIN($D$29:$D$75),D29&lt;0)</formula>
    </cfRule>
    <cfRule type="colorScale" priority="10">
      <colorScale>
        <cfvo type="percentile" val="10"/>
        <cfvo type="num" val="0"/>
        <cfvo type="percentile" val="90"/>
        <color rgb="FF6D28D9"/>
        <color rgb="FFFFFFFF"/>
        <color rgb="FF548235"/>
      </colorScale>
    </cfRule>
    <cfRule type="expression" dxfId="94" priority="11">
      <formula>AND(D29&gt;0.45*PERCENTILE($D$29:$D$75,0.1),D29&lt;0.45*PERCENTILE($D$29:$D$75,0.9))</formula>
    </cfRule>
  </conditionalFormatting>
  <conditionalFormatting sqref="E29:E75">
    <cfRule type="expression" dxfId="93" priority="12">
      <formula>AND(E29=MAX($E$29:$E$75),E29&gt;0)</formula>
    </cfRule>
    <cfRule type="expression" dxfId="92" priority="13">
      <formula>AND(E29=MIN($E$29:$E$75),E29&lt;0)</formula>
    </cfRule>
    <cfRule type="expression" dxfId="91" priority="14">
      <formula>ABS(E29)&lt;$L$25</formula>
    </cfRule>
    <cfRule type="colorScale" priority="15">
      <colorScale>
        <cfvo type="percentile" val="10"/>
        <cfvo type="num" val="0"/>
        <cfvo type="percentile" val="90"/>
        <color rgb="FF6D28D9"/>
        <color rgb="FFFFFFFF"/>
        <color rgb="FF548235"/>
      </colorScale>
    </cfRule>
  </conditionalFormatting>
  <conditionalFormatting sqref="F29:F75">
    <cfRule type="expression" dxfId="90" priority="16">
      <formula>AND(F29=MAX($F$29:$F$75),F29&gt;0)</formula>
    </cfRule>
    <cfRule type="expression" dxfId="89" priority="17">
      <formula>AND(F29=MIN($F$29:$F$75),F29&lt;0)</formula>
    </cfRule>
    <cfRule type="colorScale" priority="18">
      <colorScale>
        <cfvo type="percentile" val="10"/>
        <cfvo type="num" val="0"/>
        <cfvo type="percentile" val="90"/>
        <color rgb="FF6D28D9"/>
        <color rgb="FFFFFFFF"/>
        <color rgb="FF548235"/>
      </colorScale>
    </cfRule>
    <cfRule type="expression" dxfId="88" priority="19">
      <formula>AND(F29&gt;0.45*PERCENTILE($F$29:$F$75,0.1),F29&lt;0.45*PERCENTILE($F$29:$F$75,0.9))</formula>
    </cfRule>
  </conditionalFormatting>
  <conditionalFormatting sqref="G29:G75">
    <cfRule type="expression" dxfId="87" priority="20">
      <formula>AND(G29=MAX($G$29:$G$75),G29&gt;0)</formula>
    </cfRule>
    <cfRule type="colorScale" priority="21">
      <colorScale>
        <cfvo type="percentile" val="5"/>
        <cfvo type="percentile" val="90"/>
        <color rgb="FFD9EAD3"/>
        <color rgb="FF548235"/>
      </colorScale>
    </cfRule>
    <cfRule type="expression" dxfId="86" priority="22">
      <formula>AND(G29&gt;0.45*PERCENTILE($G$29:$G$75,0.1),G29&lt;0.45*PERCENTILE($G$29:$G$75,0.9))</formula>
    </cfRule>
  </conditionalFormatting>
  <conditionalFormatting sqref="H29:H75">
    <cfRule type="expression" dxfId="85" priority="23">
      <formula>AND(H29=MAX($H$29:$H$75),H29&gt;0)</formula>
    </cfRule>
    <cfRule type="colorScale" priority="24">
      <colorScale>
        <cfvo type="percentile" val="5"/>
        <cfvo type="percentile" val="90"/>
        <color rgb="FFD9EAD3"/>
        <color rgb="FF548235"/>
      </colorScale>
    </cfRule>
    <cfRule type="expression" dxfId="84" priority="25">
      <formula>AND(H29&gt;0.45*PERCENTILE($H$29:$H$75,0.1),H29&lt;0.45*PERCENTILE($H$29:$H$75,0.9))</formula>
    </cfRule>
  </conditionalFormatting>
  <conditionalFormatting sqref="I29:I75">
    <cfRule type="expression" dxfId="83" priority="26">
      <formula>AND(I29=MAX($I$29:$I$75),I29&gt;0)</formula>
    </cfRule>
    <cfRule type="expression" dxfId="82" priority="27">
      <formula>$A29=$D$26</formula>
    </cfRule>
    <cfRule type="expression" dxfId="81" priority="28">
      <formula>$A29=$D$27</formula>
    </cfRule>
    <cfRule type="expression" dxfId="80" priority="29">
      <formula>AND(I29=MIN($I$29:$I$75),I29&lt;0)</formula>
    </cfRule>
    <cfRule type="expression" dxfId="79" priority="30">
      <formula>ABS($A29-$B$4)=MIN(ABS($A$29:$A$75-$B$4))</formula>
    </cfRule>
    <cfRule type="colorScale" priority="31">
      <colorScale>
        <cfvo type="percentile" val="10"/>
        <cfvo type="num" val="0"/>
        <cfvo type="percentile" val="90"/>
        <color rgb="FF6D28D9"/>
        <color rgb="FFFFFFFF"/>
        <color rgb="FF548235"/>
      </colorScale>
    </cfRule>
    <cfRule type="expression" dxfId="78" priority="32">
      <formula>AND(I29&gt;0.45*PERCENTILE($I$29:$I$75,0.1),I29&lt;0.45*PERCENTILE($I$29:$I$75,0.9))</formula>
    </cfRule>
  </conditionalFormatting>
  <conditionalFormatting sqref="A29:A75">
    <cfRule type="expression" dxfId="77" priority="33">
      <formula>ABS(A29-$B$4)=MIN(ABS($A$29:$A$75-$B$4))</formula>
    </cfRule>
    <cfRule type="expression" dxfId="76" priority="34">
      <formula>$A29=$D$26</formula>
    </cfRule>
    <cfRule type="expression" dxfId="75" priority="35">
      <formula>$A29=$D$27</formula>
    </cfRule>
    <cfRule type="expression" dxfId="74" priority="36">
      <formula>ABS($A29-$B$4)=MIN(ABS($A$29:$A$75-$B$4))</formula>
    </cfRule>
    <cfRule type="expression" dxfId="73" priority="37">
      <formula>AND($Q29="R",$AM29=1)</formula>
    </cfRule>
    <cfRule type="expression" dxfId="72" priority="38">
      <formula>AND($Q29="S",$AM29=1)</formula>
    </cfRule>
    <cfRule type="expression" dxfId="71" priority="39">
      <formula>AND($Q29="R",COUNTIF($AL$42:$AL$45,$A29)&gt;0)</formula>
    </cfRule>
    <cfRule type="expression" dxfId="70" priority="40">
      <formula>AND($Q29="S",COUNTIF($AL$49:$AL$52,$A29)&gt;0)</formula>
    </cfRule>
    <cfRule type="expression" dxfId="69" priority="41">
      <formula>$Q29="R"</formula>
    </cfRule>
    <cfRule type="expression" dxfId="68" priority="42">
      <formula>$Q29="S"</formula>
    </cfRule>
  </conditionalFormatting>
  <conditionalFormatting sqref="B29:H75">
    <cfRule type="expression" dxfId="67" priority="43">
      <formula>ABS($A29-$B$4)=MIN(ABS($A$29:$A$75-$B$4))</formula>
    </cfRule>
    <cfRule type="expression" dxfId="66" priority="44">
      <formula>$A29=$D$26</formula>
    </cfRule>
    <cfRule type="expression" dxfId="65" priority="45">
      <formula>$A29=$D$27</formula>
    </cfRule>
  </conditionalFormatting>
  <conditionalFormatting sqref="K29:K75">
    <cfRule type="colorScale" priority="46">
      <colorScale>
        <cfvo type="min"/>
        <cfvo type="percentile" val="50"/>
        <cfvo type="max"/>
        <color rgb="FFF8696B"/>
        <color rgb="FFFFEB84"/>
        <color rgb="FF63BE7B"/>
      </colorScale>
    </cfRule>
  </conditionalFormatting>
  <conditionalFormatting sqref="J29:J75">
    <cfRule type="colorScale" priority="47">
      <colorScale>
        <cfvo type="min"/>
        <cfvo type="percentile" val="50"/>
        <cfvo type="max"/>
        <color rgb="FFF8696B"/>
        <color rgb="FFFFEB84"/>
        <color rgb="FF63BE7B"/>
      </colorScale>
    </cfRule>
    <cfRule type="expression" dxfId="64" priority="48">
      <formula>$A29=$D$26</formula>
    </cfRule>
  </conditionalFormatting>
  <conditionalFormatting sqref="A20">
    <cfRule type="expression" dxfId="63" priority="49">
      <formula>ISNUMBER(SEARCH("SELL",$C$14))</formula>
    </cfRule>
    <cfRule type="expression" dxfId="62" priority="50">
      <formula>ISNUMBER(SEARCH("BUY",$C$14))</formula>
    </cfRule>
    <cfRule type="expression" dxfId="61" priority="51">
      <formula>AND(NOT(ISNUMBER(SEARCH("SELL",$C$14))),NOT(ISNUMBER(SEARCH("BUY",$C$14))))</formula>
    </cfRule>
  </conditionalFormatting>
  <conditionalFormatting sqref="S63:W66">
    <cfRule type="expression" dxfId="60" priority="52">
      <formula>$W70="S"</formula>
    </cfRule>
    <cfRule type="expression" dxfId="59" priority="53">
      <formula>$W70="R"</formula>
    </cfRule>
  </conditionalFormatting>
  <conditionalFormatting sqref="Y4:Y9">
    <cfRule type="expression" dxfId="58" priority="54">
      <formula>ISNUMBER(SEARCH("building",Y4))</formula>
    </cfRule>
    <cfRule type="expression" dxfId="57" priority="55">
      <formula>ISNUMBER(SEARCH("Dormant",Y4))</formula>
    </cfRule>
    <cfRule type="expression" dxfId="56" priority="56">
      <formula>OR(ISNUMBER(SEARCH("STRENGTHENING",Y4)),ISNUMBER(SEARCH("fading",Y4)))</formula>
    </cfRule>
    <cfRule type="expression" dxfId="55" priority="57">
      <formula>ISNUMBER(SEARCH("WEAKENING",Y4))</formula>
    </cfRule>
  </conditionalFormatting>
  <conditionalFormatting sqref="Y13:Y18">
    <cfRule type="expression" dxfId="54" priority="58">
      <formula>OR(ISNUMBER(SEARCH("STRENGTHENING",Y13)),ISNUMBER(SEARCH("fading",Y13)))</formula>
    </cfRule>
    <cfRule type="expression" dxfId="53" priority="59">
      <formula>ISNUMBER(SEARCH("WEAKENING",Y13))</formula>
    </cfRule>
    <cfRule type="expression" dxfId="52" priority="60">
      <formula>ISNUMBER(SEARCH("building",Y13))</formula>
    </cfRule>
    <cfRule type="expression" dxfId="51" priority="61">
      <formula>ISNUMBER(SEARCH("Dormant",Y13))</formula>
    </cfRule>
  </conditionalFormatting>
  <conditionalFormatting sqref="Q29:Q75">
    <cfRule type="expression" dxfId="50" priority="62">
      <formula>ISNUMBER(SEARCH("Long Trigger",$Q29))</formula>
    </cfRule>
    <cfRule type="expression" dxfId="49" priority="63">
      <formula>ISNUMBER(SEARCH("Short Trigger",$Q29))</formula>
    </cfRule>
    <cfRule type="expression" dxfId="48" priority="64">
      <formula>AND($Q29="R",$AM29=1)</formula>
    </cfRule>
    <cfRule type="expression" dxfId="47" priority="65">
      <formula>AND($Q29="S",$AM29=1)</formula>
    </cfRule>
    <cfRule type="expression" dxfId="46" priority="66">
      <formula>AND($Q29="R",COUNTIF($AL$42:$AL$45,$A29)&gt;0)</formula>
    </cfRule>
    <cfRule type="expression" dxfId="45" priority="67">
      <formula>AND($Q29="S",COUNTIF($AL$49:$AL$52,$A29)&gt;0)</formula>
    </cfRule>
    <cfRule type="expression" dxfId="44" priority="68">
      <formula>$Q29="R"</formula>
    </cfRule>
    <cfRule type="expression" dxfId="43" priority="69">
      <formula>$Q29="S"</formula>
    </cfRule>
  </conditionalFormatting>
  <conditionalFormatting sqref="T75">
    <cfRule type="expression" dxfId="42" priority="70">
      <formula>ISNUMBER(SEARCH("LONG trigger",$T$55))</formula>
    </cfRule>
    <cfRule type="expression" dxfId="41" priority="71">
      <formula>ISNUMBER(SEARCH("SHORT trigger",$T$55))</formula>
    </cfRule>
    <cfRule type="expression" dxfId="40" priority="72">
      <formula>ISNUMBER(SEARCH("watching",$T$55))</formula>
    </cfRule>
    <cfRule type="expression" dxfId="39" priority="73">
      <formula>ISNUMBER(SEARCH("gated",$T$55))</formula>
    </cfRule>
    <cfRule type="expression" dxfId="38" priority="74">
      <formula>OR(ISNUMBER(SEARCH("RISING",$T$55)),ISNUMBER(SEARCH("FALLING",$T$55)),ISNUMBER(SEARCH("warming",$T$55)))</formula>
    </cfRule>
  </conditionalFormatting>
  <conditionalFormatting sqref="W21">
    <cfRule type="expression" dxfId="37" priority="75">
      <formula>ISNUMBER(SEARCH("LONG",$W21))</formula>
    </cfRule>
    <cfRule type="expression" dxfId="36" priority="76">
      <formula>ISNUMBER(SEARCH("SHORT",$W21))</formula>
    </cfRule>
    <cfRule type="expression" dxfId="35" priority="77">
      <formula>ISNUMBER(SEARCH("watching",$W21))</formula>
    </cfRule>
    <cfRule type="expression" dxfId="34" priority="78">
      <formula>OR(ISNUMBER(SEARCH("rising",$W21)),ISNUMBER(SEARCH("falling",$W21)))</formula>
    </cfRule>
  </conditionalFormatting>
  <conditionalFormatting sqref="R29:R75">
    <cfRule type="expression" dxfId="33" priority="79">
      <formula>ISNUMBER(SEARCH("shelf",$R29))</formula>
    </cfRule>
    <cfRule type="expression" dxfId="32" priority="80">
      <formula>ISNUMBER(SEARCH("wall",$R29))</formula>
    </cfRule>
    <cfRule type="expression" dxfId="31" priority="81">
      <formula>ISNUMBER(SEARCH("sell-stop",$R29))</formula>
    </cfRule>
  </conditionalFormatting>
  <conditionalFormatting sqref="U42:U45">
    <cfRule type="cellIs" dxfId="30" priority="82" operator="lessThan">
      <formula>0</formula>
    </cfRule>
    <cfRule type="cellIs" dxfId="29" priority="83" operator="greaterThan">
      <formula>0</formula>
    </cfRule>
  </conditionalFormatting>
  <conditionalFormatting sqref="U49:U52">
    <cfRule type="cellIs" dxfId="28" priority="84" operator="lessThan">
      <formula>0</formula>
    </cfRule>
    <cfRule type="cellIs" dxfId="27" priority="85" operator="greaterThan">
      <formula>0</formula>
    </cfRule>
  </conditionalFormatting>
  <conditionalFormatting sqref="P29:P75">
    <cfRule type="expression" dxfId="26" priority="86">
      <formula>ISNUMBER(SEARCH("spot",$P29))</formula>
    </cfRule>
  </conditionalFormatting>
  <conditionalFormatting sqref="S38:Y38">
    <cfRule type="expression" dxfId="25" priority="87">
      <formula>$S$38&lt;&gt;""</formula>
    </cfRule>
  </conditionalFormatting>
  <conditionalFormatting sqref="C18:P18">
    <cfRule type="expression" dxfId="24" priority="88">
      <formula>$C$18&lt;&gt;""</formula>
    </cfRule>
  </conditionalFormatting>
  <conditionalFormatting sqref="S46:Y46">
    <cfRule type="expression" dxfId="23" priority="89">
      <formula>$S$46&lt;&gt;""</formula>
    </cfRule>
  </conditionalFormatting>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1"/>
  <sheetViews>
    <sheetView showGridLines="0" topLeftCell="E1" zoomScaleNormal="100" workbookViewId="0">
      <selection activeCell="Q13" sqref="Q13"/>
    </sheetView>
  </sheetViews>
  <sheetFormatPr defaultColWidth="8.7109375" defaultRowHeight="15" x14ac:dyDescent="0.25"/>
  <cols>
    <col min="1" max="1" width="3" style="1" customWidth="1"/>
    <col min="2" max="2" width="52" style="1" customWidth="1"/>
    <col min="3" max="3" width="8" style="1" customWidth="1"/>
    <col min="4" max="4" width="52" style="1" customWidth="1"/>
    <col min="5" max="5" width="12" style="1" customWidth="1"/>
    <col min="6" max="6" width="18" style="1" customWidth="1"/>
    <col min="8" max="8" width="2" style="1" customWidth="1"/>
    <col min="9" max="9" width="3" style="1" customWidth="1"/>
    <col min="10" max="10" width="52" style="1" customWidth="1"/>
    <col min="11" max="11" width="8" style="1" customWidth="1"/>
    <col min="12" max="12" width="52" style="1" customWidth="1"/>
    <col min="13" max="13" width="13" style="1" customWidth="1"/>
    <col min="14" max="14" width="20" style="1" customWidth="1"/>
    <col min="15" max="15" width="3" style="1" customWidth="1"/>
    <col min="16" max="16" width="16" style="1" customWidth="1"/>
    <col min="17" max="17" width="8" style="1" customWidth="1"/>
    <col min="18" max="18" width="3" style="1" customWidth="1"/>
    <col min="19" max="19" width="52" style="1" customWidth="1"/>
    <col min="20" max="20" width="8" style="1" customWidth="1"/>
    <col min="21" max="21" width="52" style="1" customWidth="1"/>
    <col min="22" max="22" width="13" style="1" customWidth="1"/>
    <col min="23" max="23" width="20" style="1" customWidth="1"/>
    <col min="24" max="25" width="3" style="1" customWidth="1"/>
    <col min="26" max="26" width="52" style="1" customWidth="1"/>
    <col min="27" max="27" width="8" style="1" customWidth="1"/>
    <col min="28" max="28" width="52" style="1" customWidth="1"/>
    <col min="29" max="29" width="13" style="1" customWidth="1"/>
    <col min="30" max="30" width="20" style="1" customWidth="1"/>
    <col min="31" max="31" width="3" style="1" customWidth="1"/>
  </cols>
  <sheetData>
    <row r="1" spans="2:31" ht="17.25" customHeight="1" x14ac:dyDescent="0.25">
      <c r="B1" s="331" t="s">
        <v>166</v>
      </c>
      <c r="H1" s="332">
        <f>MAX(MAX('King Node Model'!C29:C75),-MIN('King Node Model'!C29:C75))</f>
        <v>3137174</v>
      </c>
      <c r="J1" s="331" t="s">
        <v>167</v>
      </c>
      <c r="K1" s="100"/>
      <c r="L1" s="100"/>
      <c r="M1" s="100"/>
      <c r="N1" s="100"/>
      <c r="O1" s="100">
        <f>MAX(MAX(M4:M50),-MIN(M4:M50))</f>
        <v>8971613.5</v>
      </c>
      <c r="P1" s="76" t="s">
        <v>168</v>
      </c>
      <c r="Q1" s="100"/>
      <c r="R1" s="100"/>
      <c r="S1" s="331" t="s">
        <v>169</v>
      </c>
      <c r="T1" s="100"/>
      <c r="U1" s="100"/>
      <c r="V1" s="100"/>
      <c r="W1" s="100"/>
      <c r="X1" s="100">
        <f>MAX(MAX('King Node Model'!Z29:Z75),-MIN('King Node Model'!Z29:Z75))</f>
        <v>10899872</v>
      </c>
      <c r="Y1" s="100"/>
      <c r="Z1" s="331" t="s">
        <v>170</v>
      </c>
      <c r="AA1" s="100"/>
      <c r="AB1" s="100"/>
      <c r="AC1" s="100"/>
      <c r="AD1" s="100"/>
      <c r="AE1" s="100">
        <f>MAX(MAX('King Node Model'!AI29:AI75),-MIN('King Node Model'!AI29:AI75))</f>
        <v>8241578</v>
      </c>
    </row>
    <row r="2" spans="2:31" ht="15" customHeight="1" x14ac:dyDescent="0.25">
      <c r="B2" s="333" t="s">
        <v>171</v>
      </c>
      <c r="C2" s="334" t="s">
        <v>105</v>
      </c>
      <c r="D2" s="335" t="s">
        <v>172</v>
      </c>
      <c r="E2" s="334" t="s">
        <v>35</v>
      </c>
      <c r="F2" s="334" t="s">
        <v>33</v>
      </c>
      <c r="J2" s="333" t="s">
        <v>173</v>
      </c>
      <c r="K2" s="334" t="s">
        <v>105</v>
      </c>
      <c r="L2" s="335" t="s">
        <v>174</v>
      </c>
      <c r="M2" s="334" t="s">
        <v>175</v>
      </c>
      <c r="N2" s="334" t="s">
        <v>33</v>
      </c>
      <c r="O2" s="100"/>
      <c r="P2" s="336" t="s">
        <v>176</v>
      </c>
      <c r="Q2" s="337">
        <v>-1</v>
      </c>
      <c r="R2" s="100"/>
      <c r="S2" s="338" t="s">
        <v>177</v>
      </c>
      <c r="T2" s="334" t="s">
        <v>105</v>
      </c>
      <c r="U2" s="335" t="s">
        <v>178</v>
      </c>
      <c r="V2" s="334" t="s">
        <v>179</v>
      </c>
      <c r="W2" s="334" t="s">
        <v>33</v>
      </c>
      <c r="X2" s="100"/>
      <c r="Y2" s="100"/>
      <c r="Z2" s="339" t="s">
        <v>180</v>
      </c>
      <c r="AA2" s="334" t="s">
        <v>105</v>
      </c>
      <c r="AB2" s="340" t="s">
        <v>181</v>
      </c>
      <c r="AC2" s="334" t="s">
        <v>182</v>
      </c>
      <c r="AD2" s="334" t="s">
        <v>33</v>
      </c>
      <c r="AE2" s="100"/>
    </row>
    <row r="3" spans="2:31" ht="15" customHeight="1" x14ac:dyDescent="0.25">
      <c r="J3" s="100"/>
      <c r="K3" s="100"/>
      <c r="L3" s="100"/>
      <c r="M3" s="100"/>
      <c r="N3" s="100"/>
      <c r="O3" s="100"/>
      <c r="P3" s="336" t="s">
        <v>183</v>
      </c>
      <c r="Q3" s="337">
        <v>2</v>
      </c>
      <c r="R3" s="100"/>
      <c r="S3" s="100"/>
      <c r="T3" s="100"/>
      <c r="U3" s="100"/>
      <c r="V3" s="100"/>
      <c r="W3" s="100"/>
      <c r="X3" s="100"/>
      <c r="Y3" s="100"/>
      <c r="Z3" s="100"/>
      <c r="AA3" s="100"/>
      <c r="AB3" s="100"/>
      <c r="AC3" s="100"/>
      <c r="AD3" s="100"/>
      <c r="AE3" s="100"/>
    </row>
    <row r="4" spans="2:31" ht="15" customHeight="1" x14ac:dyDescent="0.25">
      <c r="B4" s="341" t="str">
        <f>IF('King Node Model'!C29&lt;0,REPT("█",ROUND(-'King Node Model'!C29/MAX($H$1,1)*30,0)),"")</f>
        <v/>
      </c>
      <c r="C4" s="342">
        <f>'King Node Model'!A29</f>
        <v>7885</v>
      </c>
      <c r="D4" s="343" t="str">
        <f>IF('King Node Model'!C29&gt;0,REPT("█",ROUND('King Node Model'!C29/MAX($H$1,1)*30,0)),"")</f>
        <v/>
      </c>
      <c r="E4" s="344">
        <f>IF('King Node Model'!A29="","",'King Node Model'!C29)</f>
        <v>32827</v>
      </c>
      <c r="F4" s="345" t="str">
        <f>IF($C4='Level Engine'!$W$9,"◄ RESISTANCE 1",IF($C4='Level Engine'!$W$18,"◄ SUPPORT 1",""))</f>
        <v/>
      </c>
      <c r="J4" s="341" t="str">
        <f t="shared" ref="J4:J50" si="0">IF(AND(ISNUMBER($M4),$M4&lt;0),REPT("█",ROUND(-$M4/MAX($O$1,1)*30,0)),"")</f>
        <v>█</v>
      </c>
      <c r="K4" s="342">
        <f>'King Node Model'!A29</f>
        <v>7885</v>
      </c>
      <c r="L4" s="343" t="str">
        <f t="shared" ref="L4:L50" si="1">IF(AND(ISNUMBER($M4),$M4&gt;0),REPT("█",ROUND($M4/MAX($O$1,1)*30,0)),"")</f>
        <v/>
      </c>
      <c r="M4" s="344">
        <f>IF('King Node Model'!A29="","",$Q$7*('King Node Model'!C29*$Q$2+$Q$4*'King Node Model'!F29*$Q$3+$Q$5*0.5*'King Node Model'!I29*$Q$2^2+$Q$6*'King Node Model'!D29*$Q$2*$Q$3))</f>
        <v>-294573.5</v>
      </c>
      <c r="N4" s="345" t="str">
        <f>IF($K4='Level Engine'!$W$9,"◄ RESISTANCE 1",IF($K4='Level Engine'!$W$18,"◄ SUPPORT 1",IF(ABS($K4-'King Node Model'!$B$4)&lt;=2.5,"◄ SPOT",IF($K4='King Node Model'!$D$26,"◄ GAMMA FLIP",IF($K4='King Node Model'!$D$27,"◄ ZERO GAMMA","")))))</f>
        <v/>
      </c>
      <c r="O4" s="100"/>
      <c r="P4" s="336" t="s">
        <v>184</v>
      </c>
      <c r="Q4" s="337">
        <v>1</v>
      </c>
      <c r="R4" s="100"/>
      <c r="S4" s="346" t="str">
        <f>IF(AND(ISNUMBER('King Node Model'!Z29),'King Node Model'!Z29&lt;0),REPT("█",ROUND(-'King Node Model'!Z29/MAX($X$1,1)*30,0)),"")</f>
        <v/>
      </c>
      <c r="T4" s="342">
        <f>'King Node Model'!A29</f>
        <v>7885</v>
      </c>
      <c r="U4" s="343" t="str">
        <f>IF(AND(ISNUMBER('King Node Model'!Z29),'King Node Model'!Z29&gt;0),REPT("█",ROUND('King Node Model'!Z29/MAX($X$1,1)*30,0)),"")</f>
        <v/>
      </c>
      <c r="V4" s="344">
        <f>IF('King Node Model'!A29="","",'King Node Model'!Z29)</f>
        <v>32827</v>
      </c>
      <c r="W4" s="345" t="str">
        <f>IF($T4='Level Engine'!$W$9,"◄ RESISTANCE 1",IF($T4='Level Engine'!$W$18,"◄ SUPPORT 1",IF(ABS($T4-'King Node Model'!$B$4)&lt;=2.5,"◄ SPOT",IF($T4='King Node Model'!$D$26,"◄ GAMMA FLIP",IF($T4='King Node Model'!$D$27,"◄ ZERO GAMMA","")))))</f>
        <v/>
      </c>
      <c r="X4" s="100"/>
      <c r="Y4" s="100"/>
      <c r="Z4" s="347" t="str">
        <f>IF(AND(ISNUMBER('King Node Model'!AI29),'King Node Model'!AI29&lt;0),REPT("█",ROUND(-'King Node Model'!AI29/MAX($AE$1,1)*30,0)),"")</f>
        <v/>
      </c>
      <c r="AA4" s="342">
        <f>'King Node Model'!A29</f>
        <v>7885</v>
      </c>
      <c r="AB4" s="348" t="str">
        <f>IF(AND(ISNUMBER('King Node Model'!AI29),'King Node Model'!AI29&gt;0),REPT("█",ROUND('King Node Model'!AI29/MAX($AE$1,1)*30,0)),"")</f>
        <v/>
      </c>
      <c r="AC4" s="344">
        <f>IF('King Node Model'!A29="","",'King Node Model'!AI29)</f>
        <v>-1456</v>
      </c>
      <c r="AD4" s="345" t="str">
        <f>IF($AA4='Level Engine'!$W$9,"◄ RESISTANCE 1",IF($AA4='Level Engine'!$W$18,"◄ SUPPORT 1",IF(ABS($AA4-'King Node Model'!$B$4)&lt;=2.5,"◄ SPOT",IF($AA4='King Node Model'!$D$26,"◄ GAMMA FLIP",IF($AA4='King Node Model'!$D$27,"◄ ZERO GAMMA","")))))</f>
        <v/>
      </c>
      <c r="AE4" s="100"/>
    </row>
    <row r="5" spans="2:31" ht="15" customHeight="1" x14ac:dyDescent="0.25">
      <c r="B5" s="341" t="str">
        <f>IF('King Node Model'!C30&lt;0,REPT("█",ROUND(-'King Node Model'!C30/MAX($H$1,1)*30,0)),"")</f>
        <v/>
      </c>
      <c r="C5" s="342">
        <f>'King Node Model'!A30</f>
        <v>7880</v>
      </c>
      <c r="D5" s="343" t="str">
        <f>IF('King Node Model'!C30&gt;0,REPT("█",ROUND('King Node Model'!C30/MAX($H$1,1)*30,0)),"")</f>
        <v>█</v>
      </c>
      <c r="E5" s="344">
        <f>IF('King Node Model'!A30="","",'King Node Model'!C30)</f>
        <v>75905</v>
      </c>
      <c r="F5" s="345" t="str">
        <f>IF($C5='Level Engine'!$W$9,"◄ RESISTANCE 1",IF($C5='Level Engine'!$W$18,"◄ SUPPORT 1",""))</f>
        <v/>
      </c>
      <c r="J5" s="341" t="str">
        <f t="shared" si="0"/>
        <v>██</v>
      </c>
      <c r="K5" s="342">
        <f>'King Node Model'!A30</f>
        <v>7880</v>
      </c>
      <c r="L5" s="343" t="str">
        <f t="shared" si="1"/>
        <v/>
      </c>
      <c r="M5" s="344">
        <f>IF('King Node Model'!A30="","",$Q$7*('King Node Model'!C30*$Q$2+$Q$4*'King Node Model'!F30*$Q$3+$Q$5*0.5*'King Node Model'!I30*$Q$2^2+$Q$6*'King Node Model'!D30*$Q$2*$Q$3))</f>
        <v>-670631.5</v>
      </c>
      <c r="N5" s="345" t="str">
        <f>IF($K5='Level Engine'!$W$9,"◄ RESISTANCE 1",IF($K5='Level Engine'!$W$18,"◄ SUPPORT 1",IF(ABS($K5-'King Node Model'!$B$4)&lt;=2.5,"◄ SPOT",IF($K5='King Node Model'!$D$26,"◄ GAMMA FLIP",IF($K5='King Node Model'!$D$27,"◄ ZERO GAMMA","")))))</f>
        <v/>
      </c>
      <c r="O5" s="100"/>
      <c r="P5" s="336" t="s">
        <v>185</v>
      </c>
      <c r="Q5" s="337">
        <v>1</v>
      </c>
      <c r="R5" s="100"/>
      <c r="S5" s="346" t="str">
        <f>IF(AND(ISNUMBER('King Node Model'!Z30),'King Node Model'!Z30&lt;0),REPT("█",ROUND(-'King Node Model'!Z30/MAX($X$1,1)*30,0)),"")</f>
        <v/>
      </c>
      <c r="T5" s="342">
        <f>'King Node Model'!A30</f>
        <v>7880</v>
      </c>
      <c r="U5" s="343" t="str">
        <f>IF(AND(ISNUMBER('King Node Model'!Z30),'King Node Model'!Z30&gt;0),REPT("█",ROUND('King Node Model'!Z30/MAX($X$1,1)*30,0)),"")</f>
        <v/>
      </c>
      <c r="V5" s="344">
        <f>IF('King Node Model'!A30="","",'King Node Model'!Z30)</f>
        <v>108732</v>
      </c>
      <c r="W5" s="345" t="str">
        <f>IF($T5='Level Engine'!$W$9,"◄ RESISTANCE 1",IF($T5='Level Engine'!$W$18,"◄ SUPPORT 1",IF(ABS($T5-'King Node Model'!$B$4)&lt;=2.5,"◄ SPOT",IF($T5='King Node Model'!$D$26,"◄ GAMMA FLIP",IF($T5='King Node Model'!$D$27,"◄ ZERO GAMMA","")))))</f>
        <v/>
      </c>
      <c r="X5" s="100"/>
      <c r="Y5" s="100"/>
      <c r="Z5" s="347" t="str">
        <f>IF(AND(ISNUMBER('King Node Model'!AI30),'King Node Model'!AI30&lt;0),REPT("█",ROUND(-'King Node Model'!AI30/MAX($AE$1,1)*30,0)),"")</f>
        <v/>
      </c>
      <c r="AA5" s="342">
        <f>'King Node Model'!A30</f>
        <v>7880</v>
      </c>
      <c r="AB5" s="348" t="str">
        <f>IF(AND(ISNUMBER('King Node Model'!AI30),'King Node Model'!AI30&gt;0),REPT("█",ROUND('King Node Model'!AI30/MAX($AE$1,1)*30,0)),"")</f>
        <v/>
      </c>
      <c r="AC5" s="344">
        <f>IF('King Node Model'!A30="","",'King Node Model'!AI30)</f>
        <v>-2713</v>
      </c>
      <c r="AD5" s="345" t="str">
        <f>IF($AA5='Level Engine'!$W$9,"◄ RESISTANCE 1",IF($AA5='Level Engine'!$W$18,"◄ SUPPORT 1",IF(ABS($AA5-'King Node Model'!$B$4)&lt;=2.5,"◄ SPOT",IF($AA5='King Node Model'!$D$26,"◄ GAMMA FLIP",IF($AA5='King Node Model'!$D$27,"◄ ZERO GAMMA","")))))</f>
        <v/>
      </c>
      <c r="AE5" s="100"/>
    </row>
    <row r="6" spans="2:31" ht="15" customHeight="1" x14ac:dyDescent="0.25">
      <c r="B6" s="341" t="str">
        <f>IF('King Node Model'!C31&lt;0,REPT("█",ROUND(-'King Node Model'!C31/MAX($H$1,1)*30,0)),"")</f>
        <v/>
      </c>
      <c r="C6" s="342">
        <f>'King Node Model'!A31</f>
        <v>7875</v>
      </c>
      <c r="D6" s="343" t="str">
        <f>IF('King Node Model'!C31&gt;0,REPT("█",ROUND('King Node Model'!C31/MAX($H$1,1)*30,0)),"")</f>
        <v>█</v>
      </c>
      <c r="E6" s="344">
        <f>IF('King Node Model'!A31="","",'King Node Model'!C31)</f>
        <v>55016</v>
      </c>
      <c r="F6" s="345" t="str">
        <f>IF($C6='Level Engine'!$W$9,"◄ RESISTANCE 1",IF($C6='Level Engine'!$W$18,"◄ SUPPORT 1",""))</f>
        <v/>
      </c>
      <c r="J6" s="341" t="str">
        <f t="shared" si="0"/>
        <v>██</v>
      </c>
      <c r="K6" s="342">
        <f>'King Node Model'!A31</f>
        <v>7875</v>
      </c>
      <c r="L6" s="343" t="str">
        <f t="shared" si="1"/>
        <v/>
      </c>
      <c r="M6" s="344">
        <f>IF('King Node Model'!A31="","",$Q$7*('King Node Model'!C31*$Q$2+$Q$4*'King Node Model'!F31*$Q$3+$Q$5*0.5*'King Node Model'!I31*$Q$2^2+$Q$6*'King Node Model'!D31*$Q$2*$Q$3))</f>
        <v>-480116.5</v>
      </c>
      <c r="N6" s="345" t="str">
        <f>IF($K6='Level Engine'!$W$9,"◄ RESISTANCE 1",IF($K6='Level Engine'!$W$18,"◄ SUPPORT 1",IF(ABS($K6-'King Node Model'!$B$4)&lt;=2.5,"◄ SPOT",IF($K6='King Node Model'!$D$26,"◄ GAMMA FLIP",IF($K6='King Node Model'!$D$27,"◄ ZERO GAMMA","")))))</f>
        <v/>
      </c>
      <c r="O6" s="100"/>
      <c r="P6" s="336" t="s">
        <v>186</v>
      </c>
      <c r="Q6" s="337">
        <v>0</v>
      </c>
      <c r="R6" s="100"/>
      <c r="S6" s="346" t="str">
        <f>IF(AND(ISNUMBER('King Node Model'!Z31),'King Node Model'!Z31&lt;0),REPT("█",ROUND(-'King Node Model'!Z31/MAX($X$1,1)*30,0)),"")</f>
        <v/>
      </c>
      <c r="T6" s="342">
        <f>'King Node Model'!A31</f>
        <v>7875</v>
      </c>
      <c r="U6" s="343" t="str">
        <f>IF(AND(ISNUMBER('King Node Model'!Z31),'King Node Model'!Z31&gt;0),REPT("█",ROUND('King Node Model'!Z31/MAX($X$1,1)*30,0)),"")</f>
        <v/>
      </c>
      <c r="V6" s="344">
        <f>IF('King Node Model'!A31="","",'King Node Model'!Z31)</f>
        <v>163748</v>
      </c>
      <c r="W6" s="345" t="str">
        <f>IF($T6='Level Engine'!$W$9,"◄ RESISTANCE 1",IF($T6='Level Engine'!$W$18,"◄ SUPPORT 1",IF(ABS($T6-'King Node Model'!$B$4)&lt;=2.5,"◄ SPOT",IF($T6='King Node Model'!$D$26,"◄ GAMMA FLIP",IF($T6='King Node Model'!$D$27,"◄ ZERO GAMMA","")))))</f>
        <v/>
      </c>
      <c r="X6" s="100"/>
      <c r="Y6" s="100"/>
      <c r="Z6" s="347" t="str">
        <f>IF(AND(ISNUMBER('King Node Model'!AI31),'King Node Model'!AI31&lt;0),REPT("█",ROUND(-'King Node Model'!AI31/MAX($AE$1,1)*30,0)),"")</f>
        <v/>
      </c>
      <c r="AA6" s="342">
        <f>'King Node Model'!A31</f>
        <v>7875</v>
      </c>
      <c r="AB6" s="348" t="str">
        <f>IF(AND(ISNUMBER('King Node Model'!AI31),'King Node Model'!AI31&gt;0),REPT("█",ROUND('King Node Model'!AI31/MAX($AE$1,1)*30,0)),"")</f>
        <v/>
      </c>
      <c r="AC6" s="344">
        <f>IF('King Node Model'!A31="","",'King Node Model'!AI31)</f>
        <v>-27318</v>
      </c>
      <c r="AD6" s="345" t="str">
        <f>IF($AA6='Level Engine'!$W$9,"◄ RESISTANCE 1",IF($AA6='Level Engine'!$W$18,"◄ SUPPORT 1",IF(ABS($AA6-'King Node Model'!$B$4)&lt;=2.5,"◄ SPOT",IF($AA6='King Node Model'!$D$26,"◄ GAMMA FLIP",IF($AA6='King Node Model'!$D$27,"◄ ZERO GAMMA","")))))</f>
        <v/>
      </c>
      <c r="AE6" s="100"/>
    </row>
    <row r="7" spans="2:31" ht="15" customHeight="1" x14ac:dyDescent="0.25">
      <c r="B7" s="341" t="str">
        <f>IF('King Node Model'!C32&lt;0,REPT("█",ROUND(-'King Node Model'!C32/MAX($H$1,1)*30,0)),"")</f>
        <v/>
      </c>
      <c r="C7" s="342">
        <f>'King Node Model'!A32</f>
        <v>7870</v>
      </c>
      <c r="D7" s="343" t="str">
        <f>IF('King Node Model'!C32&gt;0,REPT("█",ROUND('King Node Model'!C32/MAX($H$1,1)*30,0)),"")</f>
        <v>█</v>
      </c>
      <c r="E7" s="344">
        <f>IF('King Node Model'!A32="","",'King Node Model'!C32)</f>
        <v>84051</v>
      </c>
      <c r="F7" s="345" t="str">
        <f>IF($C7='Level Engine'!$W$9,"◄ RESISTANCE 1",IF($C7='Level Engine'!$W$18,"◄ SUPPORT 1",""))</f>
        <v/>
      </c>
      <c r="J7" s="341" t="str">
        <f t="shared" si="0"/>
        <v>██</v>
      </c>
      <c r="K7" s="342">
        <f>'King Node Model'!A32</f>
        <v>7870</v>
      </c>
      <c r="L7" s="343" t="str">
        <f t="shared" si="1"/>
        <v/>
      </c>
      <c r="M7" s="344">
        <f>IF('King Node Model'!A32="","",$Q$7*('King Node Model'!C32*$Q$2+$Q$4*'King Node Model'!F32*$Q$3+$Q$5*0.5*'King Node Model'!I32*$Q$2^2+$Q$6*'King Node Model'!D32*$Q$2*$Q$3))</f>
        <v>-725553.5</v>
      </c>
      <c r="N7" s="345" t="str">
        <f>IF($K7='Level Engine'!$W$9,"◄ RESISTANCE 1",IF($K7='Level Engine'!$W$18,"◄ SUPPORT 1",IF(ABS($K7-'King Node Model'!$B$4)&lt;=2.5,"◄ SPOT",IF($K7='King Node Model'!$D$26,"◄ GAMMA FLIP",IF($K7='King Node Model'!$D$27,"◄ ZERO GAMMA","")))))</f>
        <v/>
      </c>
      <c r="O7" s="100"/>
      <c r="P7" s="336" t="s">
        <v>187</v>
      </c>
      <c r="Q7" s="337">
        <f>Q9</f>
        <v>-1</v>
      </c>
      <c r="R7" s="100"/>
      <c r="S7" s="346" t="str">
        <f>IF(AND(ISNUMBER('King Node Model'!Z32),'King Node Model'!Z32&lt;0),REPT("█",ROUND(-'King Node Model'!Z32/MAX($X$1,1)*30,0)),"")</f>
        <v/>
      </c>
      <c r="T7" s="342">
        <f>'King Node Model'!A32</f>
        <v>7870</v>
      </c>
      <c r="U7" s="343" t="str">
        <f>IF(AND(ISNUMBER('King Node Model'!Z32),'King Node Model'!Z32&gt;0),REPT("█",ROUND('King Node Model'!Z32/MAX($X$1,1)*30,0)),"")</f>
        <v>█</v>
      </c>
      <c r="V7" s="344">
        <f>IF('King Node Model'!A32="","",'King Node Model'!Z32)</f>
        <v>247799</v>
      </c>
      <c r="W7" s="345" t="str">
        <f>IF($T7='Level Engine'!$W$9,"◄ RESISTANCE 1",IF($T7='Level Engine'!$W$18,"◄ SUPPORT 1",IF(ABS($T7-'King Node Model'!$B$4)&lt;=2.5,"◄ SPOT",IF($T7='King Node Model'!$D$26,"◄ GAMMA FLIP",IF($T7='King Node Model'!$D$27,"◄ ZERO GAMMA","")))))</f>
        <v/>
      </c>
      <c r="X7" s="100"/>
      <c r="Y7" s="100"/>
      <c r="Z7" s="347" t="str">
        <f>IF(AND(ISNUMBER('King Node Model'!AI32),'King Node Model'!AI32&lt;0),REPT("█",ROUND(-'King Node Model'!AI32/MAX($AE$1,1)*30,0)),"")</f>
        <v/>
      </c>
      <c r="AA7" s="342">
        <f>'King Node Model'!A32</f>
        <v>7870</v>
      </c>
      <c r="AB7" s="348" t="str">
        <f>IF(AND(ISNUMBER('King Node Model'!AI32),'King Node Model'!AI32&gt;0),REPT("█",ROUND('King Node Model'!AI32/MAX($AE$1,1)*30,0)),"")</f>
        <v/>
      </c>
      <c r="AC7" s="344">
        <f>IF('King Node Model'!A32="","",'King Node Model'!AI32)</f>
        <v>-47931</v>
      </c>
      <c r="AD7" s="345" t="str">
        <f>IF($AA7='Level Engine'!$W$9,"◄ RESISTANCE 1",IF($AA7='Level Engine'!$W$18,"◄ SUPPORT 1",IF(ABS($AA7-'King Node Model'!$B$4)&lt;=2.5,"◄ SPOT",IF($AA7='King Node Model'!$D$26,"◄ GAMMA FLIP",IF($AA7='King Node Model'!$D$27,"◄ ZERO GAMMA","")))))</f>
        <v/>
      </c>
      <c r="AE7" s="100"/>
    </row>
    <row r="8" spans="2:31" ht="15" customHeight="1" x14ac:dyDescent="0.25">
      <c r="B8" s="341" t="str">
        <f>IF('King Node Model'!C33&lt;0,REPT("█",ROUND(-'King Node Model'!C33/MAX($H$1,1)*30,0)),"")</f>
        <v/>
      </c>
      <c r="C8" s="342">
        <f>'King Node Model'!A33</f>
        <v>7865</v>
      </c>
      <c r="D8" s="343" t="str">
        <f>IF('King Node Model'!C33&gt;0,REPT("█",ROUND('King Node Model'!C33/MAX($H$1,1)*30,0)),"")</f>
        <v>█</v>
      </c>
      <c r="E8" s="344">
        <f>IF('King Node Model'!A33="","",'King Node Model'!C33)</f>
        <v>101554</v>
      </c>
      <c r="F8" s="345" t="str">
        <f>IF($C8='Level Engine'!$W$9,"◄ RESISTANCE 1",IF($C8='Level Engine'!$W$18,"◄ SUPPORT 1",""))</f>
        <v/>
      </c>
      <c r="J8" s="341" t="str">
        <f t="shared" si="0"/>
        <v>███</v>
      </c>
      <c r="K8" s="342">
        <f>'King Node Model'!A33</f>
        <v>7865</v>
      </c>
      <c r="L8" s="343" t="str">
        <f t="shared" si="1"/>
        <v/>
      </c>
      <c r="M8" s="344">
        <f>IF('King Node Model'!A33="","",$Q$7*('King Node Model'!C33*$Q$2+$Q$4*'King Node Model'!F33*$Q$3+$Q$5*0.5*'King Node Model'!I33*$Q$2^2+$Q$6*'King Node Model'!D33*$Q$2*$Q$3))</f>
        <v>-867150.5</v>
      </c>
      <c r="N8" s="345" t="str">
        <f>IF($K8='Level Engine'!$W$9,"◄ RESISTANCE 1",IF($K8='Level Engine'!$W$18,"◄ SUPPORT 1",IF(ABS($K8-'King Node Model'!$B$4)&lt;=2.5,"◄ SPOT",IF($K8='King Node Model'!$D$26,"◄ GAMMA FLIP",IF($K8='King Node Model'!$D$27,"◄ ZERO GAMMA","")))))</f>
        <v/>
      </c>
      <c r="O8" s="100"/>
      <c r="P8" s="100"/>
      <c r="Q8" s="100"/>
      <c r="R8" s="100"/>
      <c r="S8" s="346" t="str">
        <f>IF(AND(ISNUMBER('King Node Model'!Z33),'King Node Model'!Z33&lt;0),REPT("█",ROUND(-'King Node Model'!Z33/MAX($X$1,1)*30,0)),"")</f>
        <v/>
      </c>
      <c r="T8" s="342">
        <f>'King Node Model'!A33</f>
        <v>7865</v>
      </c>
      <c r="U8" s="343" t="str">
        <f>IF(AND(ISNUMBER('King Node Model'!Z33),'King Node Model'!Z33&gt;0),REPT("█",ROUND('King Node Model'!Z33/MAX($X$1,1)*30,0)),"")</f>
        <v>█</v>
      </c>
      <c r="V8" s="344">
        <f>IF('King Node Model'!A33="","",'King Node Model'!Z33)</f>
        <v>349353</v>
      </c>
      <c r="W8" s="345" t="str">
        <f>IF($T8='Level Engine'!$W$9,"◄ RESISTANCE 1",IF($T8='Level Engine'!$W$18,"◄ SUPPORT 1",IF(ABS($T8-'King Node Model'!$B$4)&lt;=2.5,"◄ SPOT",IF($T8='King Node Model'!$D$26,"◄ GAMMA FLIP",IF($T8='King Node Model'!$D$27,"◄ ZERO GAMMA","")))))</f>
        <v/>
      </c>
      <c r="X8" s="100"/>
      <c r="Y8" s="100"/>
      <c r="Z8" s="347" t="str">
        <f>IF(AND(ISNUMBER('King Node Model'!AI33),'King Node Model'!AI33&lt;0),REPT("█",ROUND(-'King Node Model'!AI33/MAX($AE$1,1)*30,0)),"")</f>
        <v/>
      </c>
      <c r="AA8" s="342">
        <f>'King Node Model'!A33</f>
        <v>7865</v>
      </c>
      <c r="AB8" s="348" t="str">
        <f>IF(AND(ISNUMBER('King Node Model'!AI33),'King Node Model'!AI33&gt;0),REPT("█",ROUND('King Node Model'!AI33/MAX($AE$1,1)*30,0)),"")</f>
        <v/>
      </c>
      <c r="AC8" s="344">
        <f>IF('King Node Model'!A33="","",'King Node Model'!AI33)</f>
        <v>-65342</v>
      </c>
      <c r="AD8" s="345" t="str">
        <f>IF($AA8='Level Engine'!$W$9,"◄ RESISTANCE 1",IF($AA8='Level Engine'!$W$18,"◄ SUPPORT 1",IF(ABS($AA8-'King Node Model'!$B$4)&lt;=2.5,"◄ SPOT",IF($AA8='King Node Model'!$D$26,"◄ GAMMA FLIP",IF($AA8='King Node Model'!$D$27,"◄ ZERO GAMMA","")))))</f>
        <v/>
      </c>
      <c r="AE8" s="100"/>
    </row>
    <row r="9" spans="2:31" ht="15" customHeight="1" x14ac:dyDescent="0.25">
      <c r="B9" s="341" t="str">
        <f>IF('King Node Model'!C34&lt;0,REPT("█",ROUND(-'King Node Model'!C34/MAX($H$1,1)*30,0)),"")</f>
        <v/>
      </c>
      <c r="C9" s="342">
        <f>'King Node Model'!A34</f>
        <v>7860</v>
      </c>
      <c r="D9" s="343" t="str">
        <f>IF('King Node Model'!C34&gt;0,REPT("█",ROUND('King Node Model'!C34/MAX($H$1,1)*30,0)),"")</f>
        <v>█</v>
      </c>
      <c r="E9" s="344">
        <f>IF('King Node Model'!A34="","",'King Node Model'!C34)</f>
        <v>89475</v>
      </c>
      <c r="F9" s="345" t="str">
        <f>IF($C9='Level Engine'!$W$9,"◄ RESISTANCE 1",IF($C9='Level Engine'!$W$18,"◄ SUPPORT 1",""))</f>
        <v/>
      </c>
      <c r="J9" s="341" t="str">
        <f t="shared" si="0"/>
        <v>███</v>
      </c>
      <c r="K9" s="342">
        <f>'King Node Model'!A34</f>
        <v>7860</v>
      </c>
      <c r="L9" s="343" t="str">
        <f t="shared" si="1"/>
        <v/>
      </c>
      <c r="M9" s="344">
        <f>IF('King Node Model'!A34="","",$Q$7*('King Node Model'!C34*$Q$2+$Q$4*'King Node Model'!F34*$Q$3+$Q$5*0.5*'King Node Model'!I34*$Q$2^2+$Q$6*'King Node Model'!D34*$Q$2*$Q$3))</f>
        <v>-754763.5</v>
      </c>
      <c r="N9" s="345" t="str">
        <f>IF($K9='Level Engine'!$W$9,"◄ RESISTANCE 1",IF($K9='Level Engine'!$W$18,"◄ SUPPORT 1",IF(ABS($K9-'King Node Model'!$B$4)&lt;=2.5,"◄ SPOT",IF($K9='King Node Model'!$D$26,"◄ GAMMA FLIP",IF($K9='King Node Model'!$D$27,"◄ ZERO GAMMA","")))))</f>
        <v/>
      </c>
      <c r="O9" s="100"/>
      <c r="P9" s="336" t="s">
        <v>1527</v>
      </c>
      <c r="Q9" s="337">
        <f>IF('King Node Model'!$A$8="Pos",1,IF('King Node Model'!$A$8="Neg",-1,0))</f>
        <v>-1</v>
      </c>
      <c r="R9" s="100"/>
      <c r="S9" s="346" t="str">
        <f>IF(AND(ISNUMBER('King Node Model'!Z34),'King Node Model'!Z34&lt;0),REPT("█",ROUND(-'King Node Model'!Z34/MAX($X$1,1)*30,0)),"")</f>
        <v/>
      </c>
      <c r="T9" s="342">
        <f>'King Node Model'!A34</f>
        <v>7860</v>
      </c>
      <c r="U9" s="343" t="str">
        <f>IF(AND(ISNUMBER('King Node Model'!Z34),'King Node Model'!Z34&gt;0),REPT("█",ROUND('King Node Model'!Z34/MAX($X$1,1)*30,0)),"")</f>
        <v>█</v>
      </c>
      <c r="V9" s="344">
        <f>IF('King Node Model'!A34="","",'King Node Model'!Z34)</f>
        <v>438828</v>
      </c>
      <c r="W9" s="345" t="str">
        <f>IF($T9='Level Engine'!$W$9,"◄ RESISTANCE 1",IF($T9='Level Engine'!$W$18,"◄ SUPPORT 1",IF(ABS($T9-'King Node Model'!$B$4)&lt;=2.5,"◄ SPOT",IF($T9='King Node Model'!$D$26,"◄ GAMMA FLIP",IF($T9='King Node Model'!$D$27,"◄ ZERO GAMMA","")))))</f>
        <v/>
      </c>
      <c r="X9" s="100"/>
      <c r="Y9" s="100"/>
      <c r="Z9" s="347" t="str">
        <f>IF(AND(ISNUMBER('King Node Model'!AI34),'King Node Model'!AI34&lt;0),REPT("█",ROUND(-'King Node Model'!AI34/MAX($AE$1,1)*30,0)),"")</f>
        <v/>
      </c>
      <c r="AA9" s="342">
        <f>'King Node Model'!A34</f>
        <v>7860</v>
      </c>
      <c r="AB9" s="348" t="str">
        <f>IF(AND(ISNUMBER('King Node Model'!AI34),'King Node Model'!AI34&gt;0),REPT("█",ROUND('King Node Model'!AI34/MAX($AE$1,1)*30,0)),"")</f>
        <v/>
      </c>
      <c r="AC9" s="344">
        <f>IF('King Node Model'!A34="","",'King Node Model'!AI34)</f>
        <v>-109027</v>
      </c>
      <c r="AD9" s="345" t="str">
        <f>IF($AA9='Level Engine'!$W$9,"◄ RESISTANCE 1",IF($AA9='Level Engine'!$W$18,"◄ SUPPORT 1",IF(ABS($AA9-'King Node Model'!$B$4)&lt;=2.5,"◄ SPOT",IF($AA9='King Node Model'!$D$26,"◄ GAMMA FLIP",IF($AA9='King Node Model'!$D$27,"◄ ZERO GAMMA","")))))</f>
        <v/>
      </c>
      <c r="AE9" s="100"/>
    </row>
    <row r="10" spans="2:31" ht="15" customHeight="1" x14ac:dyDescent="0.25">
      <c r="B10" s="341" t="str">
        <f>IF('King Node Model'!C35&lt;0,REPT("█",ROUND(-'King Node Model'!C35/MAX($H$1,1)*30,0)),"")</f>
        <v/>
      </c>
      <c r="C10" s="342">
        <f>'King Node Model'!A35</f>
        <v>7855</v>
      </c>
      <c r="D10" s="343" t="str">
        <f>IF('King Node Model'!C35&gt;0,REPT("█",ROUND('King Node Model'!C35/MAX($H$1,1)*30,0)),"")</f>
        <v>█</v>
      </c>
      <c r="E10" s="344">
        <f>IF('King Node Model'!A35="","",'King Node Model'!C35)</f>
        <v>75167</v>
      </c>
      <c r="F10" s="345" t="str">
        <f>IF($C10='Level Engine'!$W$9,"◄ RESISTANCE 1",IF($C10='Level Engine'!$W$18,"◄ SUPPORT 1",""))</f>
        <v/>
      </c>
      <c r="J10" s="341" t="str">
        <f t="shared" si="0"/>
        <v>██</v>
      </c>
      <c r="K10" s="342">
        <f>'King Node Model'!A35</f>
        <v>7855</v>
      </c>
      <c r="L10" s="343" t="str">
        <f t="shared" si="1"/>
        <v/>
      </c>
      <c r="M10" s="344">
        <f>IF('King Node Model'!A35="","",$Q$7*('King Node Model'!C35*$Q$2+$Q$4*'King Node Model'!F35*$Q$3+$Q$5*0.5*'King Node Model'!I35*$Q$2^2+$Q$6*'King Node Model'!D35*$Q$2*$Q$3))</f>
        <v>-624650.5</v>
      </c>
      <c r="N10" s="345" t="str">
        <f>IF($K10='Level Engine'!$W$9,"◄ RESISTANCE 1",IF($K10='Level Engine'!$W$18,"◄ SUPPORT 1",IF(ABS($K10-'King Node Model'!$B$4)&lt;=2.5,"◄ SPOT",IF($K10='King Node Model'!$D$26,"◄ GAMMA FLIP",IF($K10='King Node Model'!$D$27,"◄ ZERO GAMMA","")))))</f>
        <v/>
      </c>
      <c r="O10" s="100"/>
      <c r="P10" s="336" t="s">
        <v>1528</v>
      </c>
      <c r="Q10" s="337">
        <f>SUMPRODUCT(('King Node Model'!$A$29:$A$75&gt;='King Node Model'!$B$4)*IF(ISNUMBER('King Node Model'!$C$29:$C$75),'King Node Model'!$C$29:$C$75,0))</f>
        <v>0</v>
      </c>
      <c r="R10" s="100"/>
      <c r="S10" s="346" t="str">
        <f>IF(AND(ISNUMBER('King Node Model'!Z35),'King Node Model'!Z35&lt;0),REPT("█",ROUND(-'King Node Model'!Z35/MAX($X$1,1)*30,0)),"")</f>
        <v/>
      </c>
      <c r="T10" s="342">
        <f>'King Node Model'!A35</f>
        <v>7855</v>
      </c>
      <c r="U10" s="343" t="str">
        <f>IF(AND(ISNUMBER('King Node Model'!Z35),'King Node Model'!Z35&gt;0),REPT("█",ROUND('King Node Model'!Z35/MAX($X$1,1)*30,0)),"")</f>
        <v>█</v>
      </c>
      <c r="V10" s="344">
        <f>IF('King Node Model'!A35="","",'King Node Model'!Z35)</f>
        <v>513995</v>
      </c>
      <c r="W10" s="345" t="str">
        <f>IF($T10='Level Engine'!$W$9,"◄ RESISTANCE 1",IF($T10='Level Engine'!$W$18,"◄ SUPPORT 1",IF(ABS($T10-'King Node Model'!$B$4)&lt;=2.5,"◄ SPOT",IF($T10='King Node Model'!$D$26,"◄ GAMMA FLIP",IF($T10='King Node Model'!$D$27,"◄ ZERO GAMMA","")))))</f>
        <v/>
      </c>
      <c r="X10" s="100"/>
      <c r="Y10" s="100"/>
      <c r="Z10" s="347" t="str">
        <f>IF(AND(ISNUMBER('King Node Model'!AI35),'King Node Model'!AI35&lt;0),REPT("█",ROUND(-'King Node Model'!AI35/MAX($AE$1,1)*30,0)),"")</f>
        <v>█</v>
      </c>
      <c r="AA10" s="342">
        <f>'King Node Model'!A35</f>
        <v>7855</v>
      </c>
      <c r="AB10" s="348" t="str">
        <f>IF(AND(ISNUMBER('King Node Model'!AI35),'King Node Model'!AI35&gt;0),REPT("█",ROUND('King Node Model'!AI35/MAX($AE$1,1)*30,0)),"")</f>
        <v/>
      </c>
      <c r="AC10" s="344">
        <f>IF('King Node Model'!A35="","",'King Node Model'!AI35)</f>
        <v>-200458</v>
      </c>
      <c r="AD10" s="345" t="str">
        <f>IF($AA10='Level Engine'!$W$9,"◄ RESISTANCE 1",IF($AA10='Level Engine'!$W$18,"◄ SUPPORT 1",IF(ABS($AA10-'King Node Model'!$B$4)&lt;=2.5,"◄ SPOT",IF($AA10='King Node Model'!$D$26,"◄ GAMMA FLIP",IF($AA10='King Node Model'!$D$27,"◄ ZERO GAMMA","")))))</f>
        <v/>
      </c>
      <c r="AE10" s="100"/>
    </row>
    <row r="11" spans="2:31" ht="15" customHeight="1" x14ac:dyDescent="0.25">
      <c r="B11" s="341" t="str">
        <f>IF('King Node Model'!C36&lt;0,REPT("█",ROUND(-'King Node Model'!C36/MAX($H$1,1)*30,0)),"")</f>
        <v/>
      </c>
      <c r="C11" s="342">
        <f>'King Node Model'!A36</f>
        <v>7850</v>
      </c>
      <c r="D11" s="343" t="str">
        <f>IF('King Node Model'!C36&gt;0,REPT("█",ROUND('King Node Model'!C36/MAX($H$1,1)*30,0)),"")</f>
        <v>██</v>
      </c>
      <c r="E11" s="344">
        <f>IF('King Node Model'!A36="","",'King Node Model'!C36)</f>
        <v>214075</v>
      </c>
      <c r="F11" s="345" t="str">
        <f>IF($C11='Level Engine'!$W$9,"◄ RESISTANCE 1",IF($C11='Level Engine'!$W$18,"◄ SUPPORT 1",""))</f>
        <v/>
      </c>
      <c r="J11" s="341" t="str">
        <f t="shared" si="0"/>
        <v>██████</v>
      </c>
      <c r="K11" s="342">
        <f>'King Node Model'!A36</f>
        <v>7850</v>
      </c>
      <c r="L11" s="343" t="str">
        <f t="shared" si="1"/>
        <v/>
      </c>
      <c r="M11" s="344">
        <f>IF('King Node Model'!A36="","",$Q$7*('King Node Model'!C36*$Q$2+$Q$4*'King Node Model'!F36*$Q$3+$Q$5*0.5*'King Node Model'!I36*$Q$2^2+$Q$6*'King Node Model'!D36*$Q$2*$Q$3))</f>
        <v>-1743502.5</v>
      </c>
      <c r="N11" s="345" t="str">
        <f>IF($K11='Level Engine'!$W$9,"◄ RESISTANCE 1",IF($K11='Level Engine'!$W$18,"◄ SUPPORT 1",IF(ABS($K11-'King Node Model'!$B$4)&lt;=2.5,"◄ SPOT",IF($K11='King Node Model'!$D$26,"◄ GAMMA FLIP",IF($K11='King Node Model'!$D$27,"◄ ZERO GAMMA","")))))</f>
        <v/>
      </c>
      <c r="O11" s="100"/>
      <c r="P11" s="336" t="s">
        <v>1529</v>
      </c>
      <c r="Q11" s="336" t="str">
        <f>IF('King Node Model'!$A$8="Pos","POS-gamma  +1  (dampening / support)",IF('King Node Model'!$A$8="Neg","NEG-gamma  -1  (accelerant)","FLAT / at gamma flip"))</f>
        <v>NEG-gamma  -1  (accelerant)</v>
      </c>
      <c r="R11" s="100"/>
      <c r="S11" s="346" t="str">
        <f>IF(AND(ISNUMBER('King Node Model'!Z36),'King Node Model'!Z36&lt;0),REPT("█",ROUND(-'King Node Model'!Z36/MAX($X$1,1)*30,0)),"")</f>
        <v/>
      </c>
      <c r="T11" s="342">
        <f>'King Node Model'!A36</f>
        <v>7850</v>
      </c>
      <c r="U11" s="343" t="str">
        <f>IF(AND(ISNUMBER('King Node Model'!Z36),'King Node Model'!Z36&gt;0),REPT("█",ROUND('King Node Model'!Z36/MAX($X$1,1)*30,0)),"")</f>
        <v>██</v>
      </c>
      <c r="V11" s="344">
        <f>IF('King Node Model'!A36="","",'King Node Model'!Z36)</f>
        <v>728070</v>
      </c>
      <c r="W11" s="345" t="str">
        <f>IF($T11='Level Engine'!$W$9,"◄ RESISTANCE 1",IF($T11='Level Engine'!$W$18,"◄ SUPPORT 1",IF(ABS($T11-'King Node Model'!$B$4)&lt;=2.5,"◄ SPOT",IF($T11='King Node Model'!$D$26,"◄ GAMMA FLIP",IF($T11='King Node Model'!$D$27,"◄ ZERO GAMMA","")))))</f>
        <v/>
      </c>
      <c r="X11" s="100"/>
      <c r="Y11" s="100"/>
      <c r="Z11" s="347" t="str">
        <f>IF(AND(ISNUMBER('King Node Model'!AI36),'King Node Model'!AI36&lt;0),REPT("█",ROUND(-'King Node Model'!AI36/MAX($AE$1,1)*30,0)),"")</f>
        <v>████</v>
      </c>
      <c r="AA11" s="342">
        <f>'King Node Model'!A36</f>
        <v>7850</v>
      </c>
      <c r="AB11" s="348" t="str">
        <f>IF(AND(ISNUMBER('King Node Model'!AI36),'King Node Model'!AI36&gt;0),REPT("█",ROUND('King Node Model'!AI36/MAX($AE$1,1)*30,0)),"")</f>
        <v/>
      </c>
      <c r="AC11" s="344">
        <f>IF('King Node Model'!A36="","",'King Node Model'!AI36)</f>
        <v>-1191204</v>
      </c>
      <c r="AD11" s="345" t="str">
        <f>IF($AA11='Level Engine'!$W$9,"◄ RESISTANCE 1",IF($AA11='Level Engine'!$W$18,"◄ SUPPORT 1",IF(ABS($AA11-'King Node Model'!$B$4)&lt;=2.5,"◄ SPOT",IF($AA11='King Node Model'!$D$26,"◄ GAMMA FLIP",IF($AA11='King Node Model'!$D$27,"◄ ZERO GAMMA","")))))</f>
        <v/>
      </c>
      <c r="AE11" s="100"/>
    </row>
    <row r="12" spans="2:31" ht="15" customHeight="1" x14ac:dyDescent="0.25">
      <c r="B12" s="341" t="str">
        <f>IF('King Node Model'!C37&lt;0,REPT("█",ROUND(-'King Node Model'!C37/MAX($H$1,1)*30,0)),"")</f>
        <v/>
      </c>
      <c r="C12" s="342">
        <f>'King Node Model'!A37</f>
        <v>7845</v>
      </c>
      <c r="D12" s="343" t="str">
        <f>IF('King Node Model'!C37&gt;0,REPT("█",ROUND('King Node Model'!C37/MAX($H$1,1)*30,0)),"")</f>
        <v>█</v>
      </c>
      <c r="E12" s="344">
        <f>IF('King Node Model'!A37="","",'King Node Model'!C37)</f>
        <v>92046</v>
      </c>
      <c r="F12" s="345" t="str">
        <f>IF($C12='Level Engine'!$W$9,"◄ RESISTANCE 1",IF($C12='Level Engine'!$W$18,"◄ SUPPORT 1",""))</f>
        <v/>
      </c>
      <c r="J12" s="341" t="str">
        <f t="shared" si="0"/>
        <v>██</v>
      </c>
      <c r="K12" s="342">
        <f>'King Node Model'!A37</f>
        <v>7845</v>
      </c>
      <c r="L12" s="343" t="str">
        <f t="shared" si="1"/>
        <v/>
      </c>
      <c r="M12" s="344">
        <f>IF('King Node Model'!A37="","",$Q$7*('King Node Model'!C37*$Q$2+$Q$4*'King Node Model'!F37*$Q$3+$Q$5*0.5*'King Node Model'!I37*$Q$2^2+$Q$6*'King Node Model'!D37*$Q$2*$Q$3))</f>
        <v>-729113.5</v>
      </c>
      <c r="N12" s="345" t="str">
        <f>IF($K12='Level Engine'!$W$9,"◄ RESISTANCE 1",IF($K12='Level Engine'!$W$18,"◄ SUPPORT 1",IF(ABS($K12-'King Node Model'!$B$4)&lt;=2.5,"◄ SPOT",IF($K12='King Node Model'!$D$26,"◄ GAMMA FLIP",IF($K12='King Node Model'!$D$27,"◄ ZERO GAMMA","")))))</f>
        <v/>
      </c>
      <c r="O12" s="100"/>
      <c r="P12" s="100"/>
      <c r="Q12" s="100"/>
      <c r="R12" s="100"/>
      <c r="S12" s="346" t="str">
        <f>IF(AND(ISNUMBER('King Node Model'!Z37),'King Node Model'!Z37&lt;0),REPT("█",ROUND(-'King Node Model'!Z37/MAX($X$1,1)*30,0)),"")</f>
        <v/>
      </c>
      <c r="T12" s="342">
        <f>'King Node Model'!A37</f>
        <v>7845</v>
      </c>
      <c r="U12" s="343" t="str">
        <f>IF(AND(ISNUMBER('King Node Model'!Z37),'King Node Model'!Z37&gt;0),REPT("█",ROUND('King Node Model'!Z37/MAX($X$1,1)*30,0)),"")</f>
        <v>██</v>
      </c>
      <c r="V12" s="344">
        <f>IF('King Node Model'!A37="","",'King Node Model'!Z37)</f>
        <v>820116</v>
      </c>
      <c r="W12" s="345" t="str">
        <f>IF($T12='Level Engine'!$W$9,"◄ RESISTANCE 1",IF($T12='Level Engine'!$W$18,"◄ SUPPORT 1",IF(ABS($T12-'King Node Model'!$B$4)&lt;=2.5,"◄ SPOT",IF($T12='King Node Model'!$D$26,"◄ GAMMA FLIP",IF($T12='King Node Model'!$D$27,"◄ ZERO GAMMA","")))))</f>
        <v/>
      </c>
      <c r="X12" s="100"/>
      <c r="Y12" s="100"/>
      <c r="Z12" s="347" t="str">
        <f>IF(AND(ISNUMBER('King Node Model'!AI37),'King Node Model'!AI37&lt;0),REPT("█",ROUND(-'King Node Model'!AI37/MAX($AE$1,1)*30,0)),"")</f>
        <v>█████</v>
      </c>
      <c r="AA12" s="342">
        <f>'King Node Model'!A37</f>
        <v>7845</v>
      </c>
      <c r="AB12" s="348" t="str">
        <f>IF(AND(ISNUMBER('King Node Model'!AI37),'King Node Model'!AI37&gt;0),REPT("█",ROUND('King Node Model'!AI37/MAX($AE$1,1)*30,0)),"")</f>
        <v/>
      </c>
      <c r="AC12" s="344">
        <f>IF('King Node Model'!A37="","",'King Node Model'!AI37)</f>
        <v>-1236977</v>
      </c>
      <c r="AD12" s="345" t="str">
        <f>IF($AA12='Level Engine'!$W$9,"◄ RESISTANCE 1",IF($AA12='Level Engine'!$W$18,"◄ SUPPORT 1",IF(ABS($AA12-'King Node Model'!$B$4)&lt;=2.5,"◄ SPOT",IF($AA12='King Node Model'!$D$26,"◄ GAMMA FLIP",IF($AA12='King Node Model'!$D$27,"◄ ZERO GAMMA","")))))</f>
        <v/>
      </c>
      <c r="AE12" s="100"/>
    </row>
    <row r="13" spans="2:31" ht="15" customHeight="1" x14ac:dyDescent="0.25">
      <c r="B13" s="341" t="str">
        <f>IF('King Node Model'!C38&lt;0,REPT("█",ROUND(-'King Node Model'!C38/MAX($H$1,1)*30,0)),"")</f>
        <v/>
      </c>
      <c r="C13" s="342">
        <f>'King Node Model'!A38</f>
        <v>7840</v>
      </c>
      <c r="D13" s="343" t="str">
        <f>IF('King Node Model'!C38&gt;0,REPT("█",ROUND('King Node Model'!C38/MAX($H$1,1)*30,0)),"")</f>
        <v>██</v>
      </c>
      <c r="E13" s="344">
        <f>IF('King Node Model'!A38="","",'King Node Model'!C38)</f>
        <v>225627</v>
      </c>
      <c r="F13" s="345" t="str">
        <f>IF($C13='Level Engine'!$W$9,"◄ RESISTANCE 1",IF($C13='Level Engine'!$W$18,"◄ SUPPORT 1",""))</f>
        <v/>
      </c>
      <c r="J13" s="341" t="str">
        <f t="shared" si="0"/>
        <v>██████</v>
      </c>
      <c r="K13" s="342">
        <f>'King Node Model'!A38</f>
        <v>7840</v>
      </c>
      <c r="L13" s="343" t="str">
        <f t="shared" si="1"/>
        <v/>
      </c>
      <c r="M13" s="344">
        <f>IF('King Node Model'!A38="","",$Q$7*('King Node Model'!C38*$Q$2+$Q$4*'King Node Model'!F38*$Q$3+$Q$5*0.5*'King Node Model'!I38*$Q$2^2+$Q$6*'King Node Model'!D38*$Q$2*$Q$3))</f>
        <v>-1726653</v>
      </c>
      <c r="N13" s="345" t="str">
        <f>IF($K13='Level Engine'!$W$9,"◄ RESISTANCE 1",IF($K13='Level Engine'!$W$18,"◄ SUPPORT 1",IF(ABS($K13-'King Node Model'!$B$4)&lt;=2.5,"◄ SPOT",IF($K13='King Node Model'!$D$26,"◄ GAMMA FLIP",IF($K13='King Node Model'!$D$27,"◄ ZERO GAMMA","")))))</f>
        <v/>
      </c>
      <c r="O13" s="100"/>
      <c r="P13" s="100"/>
      <c r="Q13" s="100"/>
      <c r="R13" s="100"/>
      <c r="S13" s="346" t="str">
        <f>IF(AND(ISNUMBER('King Node Model'!Z38),'King Node Model'!Z38&lt;0),REPT("█",ROUND(-'King Node Model'!Z38/MAX($X$1,1)*30,0)),"")</f>
        <v/>
      </c>
      <c r="T13" s="342">
        <f>'King Node Model'!A38</f>
        <v>7840</v>
      </c>
      <c r="U13" s="343" t="str">
        <f>IF(AND(ISNUMBER('King Node Model'!Z38),'King Node Model'!Z38&gt;0),REPT("█",ROUND('King Node Model'!Z38/MAX($X$1,1)*30,0)),"")</f>
        <v>███</v>
      </c>
      <c r="V13" s="344">
        <f>IF('King Node Model'!A38="","",'King Node Model'!Z38)</f>
        <v>1045743</v>
      </c>
      <c r="W13" s="345" t="str">
        <f>IF($T13='Level Engine'!$W$9,"◄ RESISTANCE 1",IF($T13='Level Engine'!$W$18,"◄ SUPPORT 1",IF(ABS($T13-'King Node Model'!$B$4)&lt;=2.5,"◄ SPOT",IF($T13='King Node Model'!$D$26,"◄ GAMMA FLIP",IF($T13='King Node Model'!$D$27,"◄ ZERO GAMMA","")))))</f>
        <v/>
      </c>
      <c r="X13" s="100"/>
      <c r="Y13" s="100"/>
      <c r="Z13" s="347" t="str">
        <f>IF(AND(ISNUMBER('King Node Model'!AI38),'King Node Model'!AI38&lt;0),REPT("█",ROUND(-'King Node Model'!AI38/MAX($AE$1,1)*30,0)),"")</f>
        <v>█████</v>
      </c>
      <c r="AA13" s="342">
        <f>'King Node Model'!A38</f>
        <v>7840</v>
      </c>
      <c r="AB13" s="348" t="str">
        <f>IF(AND(ISNUMBER('King Node Model'!AI38),'King Node Model'!AI38&gt;0),REPT("█",ROUND('King Node Model'!AI38/MAX($AE$1,1)*30,0)),"")</f>
        <v/>
      </c>
      <c r="AC13" s="344">
        <f>IF('King Node Model'!A38="","",'King Node Model'!AI38)</f>
        <v>-1408819</v>
      </c>
      <c r="AD13" s="345" t="str">
        <f>IF($AA13='Level Engine'!$W$9,"◄ RESISTANCE 1",IF($AA13='Level Engine'!$W$18,"◄ SUPPORT 1",IF(ABS($AA13-'King Node Model'!$B$4)&lt;=2.5,"◄ SPOT",IF($AA13='King Node Model'!$D$26,"◄ GAMMA FLIP",IF($AA13='King Node Model'!$D$27,"◄ ZERO GAMMA","")))))</f>
        <v/>
      </c>
      <c r="AE13" s="100"/>
    </row>
    <row r="14" spans="2:31" ht="15" customHeight="1" x14ac:dyDescent="0.25">
      <c r="B14" s="341" t="str">
        <f>IF('King Node Model'!C39&lt;0,REPT("█",ROUND(-'King Node Model'!C39/MAX($H$1,1)*30,0)),"")</f>
        <v/>
      </c>
      <c r="C14" s="342">
        <f>'King Node Model'!A39</f>
        <v>7835</v>
      </c>
      <c r="D14" s="343" t="str">
        <f>IF('King Node Model'!C39&gt;0,REPT("█",ROUND('King Node Model'!C39/MAX($H$1,1)*30,0)),"")</f>
        <v>██</v>
      </c>
      <c r="E14" s="344">
        <f>IF('King Node Model'!A39="","",'King Node Model'!C39)</f>
        <v>176610</v>
      </c>
      <c r="F14" s="345" t="str">
        <f>IF($C14='Level Engine'!$W$9,"◄ RESISTANCE 1",IF($C14='Level Engine'!$W$18,"◄ SUPPORT 1",""))</f>
        <v/>
      </c>
      <c r="J14" s="341" t="str">
        <f t="shared" si="0"/>
        <v>████</v>
      </c>
      <c r="K14" s="342">
        <f>'King Node Model'!A39</f>
        <v>7835</v>
      </c>
      <c r="L14" s="343" t="str">
        <f t="shared" si="1"/>
        <v/>
      </c>
      <c r="M14" s="344">
        <f>IF('King Node Model'!A39="","",$Q$7*('King Node Model'!C39*$Q$2+$Q$4*'King Node Model'!F39*$Q$3+$Q$5*0.5*'King Node Model'!I39*$Q$2^2+$Q$6*'King Node Model'!D39*$Q$2*$Q$3))</f>
        <v>-1301377.5</v>
      </c>
      <c r="N14" s="345" t="str">
        <f>IF($K14='Level Engine'!$W$9,"◄ RESISTANCE 1",IF($K14='Level Engine'!$W$18,"◄ SUPPORT 1",IF(ABS($K14-'King Node Model'!$B$4)&lt;=2.5,"◄ SPOT",IF($K14='King Node Model'!$D$26,"◄ GAMMA FLIP",IF($K14='King Node Model'!$D$27,"◄ ZERO GAMMA","")))))</f>
        <v/>
      </c>
      <c r="O14" s="100"/>
      <c r="P14" s="100"/>
      <c r="Q14" s="100"/>
      <c r="R14" s="100"/>
      <c r="S14" s="346" t="str">
        <f>IF(AND(ISNUMBER('King Node Model'!Z39),'King Node Model'!Z39&lt;0),REPT("█",ROUND(-'King Node Model'!Z39/MAX($X$1,1)*30,0)),"")</f>
        <v/>
      </c>
      <c r="T14" s="342">
        <f>'King Node Model'!A39</f>
        <v>7835</v>
      </c>
      <c r="U14" s="343" t="str">
        <f>IF(AND(ISNUMBER('King Node Model'!Z39),'King Node Model'!Z39&gt;0),REPT("█",ROUND('King Node Model'!Z39/MAX($X$1,1)*30,0)),"")</f>
        <v>███</v>
      </c>
      <c r="V14" s="344">
        <f>IF('King Node Model'!A39="","",'King Node Model'!Z39)</f>
        <v>1222353</v>
      </c>
      <c r="W14" s="345" t="str">
        <f>IF($T14='Level Engine'!$W$9,"◄ RESISTANCE 1",IF($T14='Level Engine'!$W$18,"◄ SUPPORT 1",IF(ABS($T14-'King Node Model'!$B$4)&lt;=2.5,"◄ SPOT",IF($T14='King Node Model'!$D$26,"◄ GAMMA FLIP",IF($T14='King Node Model'!$D$27,"◄ ZERO GAMMA","")))))</f>
        <v/>
      </c>
      <c r="X14" s="100"/>
      <c r="Y14" s="100"/>
      <c r="Z14" s="347" t="str">
        <f>IF(AND(ISNUMBER('King Node Model'!AI39),'King Node Model'!AI39&lt;0),REPT("█",ROUND(-'King Node Model'!AI39/MAX($AE$1,1)*30,0)),"")</f>
        <v>██████</v>
      </c>
      <c r="AA14" s="342">
        <f>'King Node Model'!A39</f>
        <v>7835</v>
      </c>
      <c r="AB14" s="348" t="str">
        <f>IF(AND(ISNUMBER('King Node Model'!AI39),'King Node Model'!AI39&gt;0),REPT("█",ROUND('King Node Model'!AI39/MAX($AE$1,1)*30,0)),"")</f>
        <v/>
      </c>
      <c r="AC14" s="344">
        <f>IF('King Node Model'!A39="","",'King Node Model'!AI39)</f>
        <v>-1600650</v>
      </c>
      <c r="AD14" s="345" t="str">
        <f>IF($AA14='Level Engine'!$W$9,"◄ RESISTANCE 1",IF($AA14='Level Engine'!$W$18,"◄ SUPPORT 1",IF(ABS($AA14-'King Node Model'!$B$4)&lt;=2.5,"◄ SPOT",IF($AA14='King Node Model'!$D$26,"◄ GAMMA FLIP",IF($AA14='King Node Model'!$D$27,"◄ ZERO GAMMA","")))))</f>
        <v/>
      </c>
      <c r="AE14" s="100"/>
    </row>
    <row r="15" spans="2:31" ht="15" customHeight="1" x14ac:dyDescent="0.25">
      <c r="B15" s="341" t="str">
        <f>IF('King Node Model'!C40&lt;0,REPT("█",ROUND(-'King Node Model'!C40/MAX($H$1,1)*30,0)),"")</f>
        <v/>
      </c>
      <c r="C15" s="342">
        <f>'King Node Model'!A40</f>
        <v>7830</v>
      </c>
      <c r="D15" s="343" t="str">
        <f>IF('King Node Model'!C40&gt;0,REPT("█",ROUND('King Node Model'!C40/MAX($H$1,1)*30,0)),"")</f>
        <v>████</v>
      </c>
      <c r="E15" s="344">
        <f>IF('King Node Model'!A40="","",'King Node Model'!C40)</f>
        <v>437700</v>
      </c>
      <c r="F15" s="345" t="str">
        <f>IF($C15='Level Engine'!$W$9,"◄ RESISTANCE 1",IF($C15='Level Engine'!$W$18,"◄ SUPPORT 1",""))</f>
        <v/>
      </c>
      <c r="J15" s="341" t="str">
        <f t="shared" si="0"/>
        <v>██████████</v>
      </c>
      <c r="K15" s="342">
        <f>'King Node Model'!A40</f>
        <v>7830</v>
      </c>
      <c r="L15" s="343" t="str">
        <f t="shared" si="1"/>
        <v/>
      </c>
      <c r="M15" s="344">
        <f>IF('King Node Model'!A40="","",$Q$7*('King Node Model'!C40*$Q$2+$Q$4*'King Node Model'!F40*$Q$3+$Q$5*0.5*'King Node Model'!I40*$Q$2^2+$Q$6*'King Node Model'!D40*$Q$2*$Q$3))</f>
        <v>-3087513</v>
      </c>
      <c r="N15" s="345" t="str">
        <f>IF($K15='Level Engine'!$W$9,"◄ RESISTANCE 1",IF($K15='Level Engine'!$W$18,"◄ SUPPORT 1",IF(ABS($K15-'King Node Model'!$B$4)&lt;=2.5,"◄ SPOT",IF($K15='King Node Model'!$D$26,"◄ GAMMA FLIP",IF($K15='King Node Model'!$D$27,"◄ ZERO GAMMA","")))))</f>
        <v/>
      </c>
      <c r="O15" s="100"/>
      <c r="P15" s="100"/>
      <c r="Q15" s="100"/>
      <c r="R15" s="100"/>
      <c r="S15" s="346" t="str">
        <f>IF(AND(ISNUMBER('King Node Model'!Z40),'King Node Model'!Z40&lt;0),REPT("█",ROUND(-'King Node Model'!Z40/MAX($X$1,1)*30,0)),"")</f>
        <v/>
      </c>
      <c r="T15" s="342">
        <f>'King Node Model'!A40</f>
        <v>7830</v>
      </c>
      <c r="U15" s="343" t="str">
        <f>IF(AND(ISNUMBER('King Node Model'!Z40),'King Node Model'!Z40&gt;0),REPT("█",ROUND('King Node Model'!Z40/MAX($X$1,1)*30,0)),"")</f>
        <v>█████</v>
      </c>
      <c r="V15" s="344">
        <f>IF('King Node Model'!A40="","",'King Node Model'!Z40)</f>
        <v>1660053</v>
      </c>
      <c r="W15" s="345" t="str">
        <f>IF($T15='Level Engine'!$W$9,"◄ RESISTANCE 1",IF($T15='Level Engine'!$W$18,"◄ SUPPORT 1",IF(ABS($T15-'King Node Model'!$B$4)&lt;=2.5,"◄ SPOT",IF($T15='King Node Model'!$D$26,"◄ GAMMA FLIP",IF($T15='King Node Model'!$D$27,"◄ ZERO GAMMA","")))))</f>
        <v/>
      </c>
      <c r="X15" s="100"/>
      <c r="Y15" s="100"/>
      <c r="Z15" s="347" t="str">
        <f>IF(AND(ISNUMBER('King Node Model'!AI40),'King Node Model'!AI40&lt;0),REPT("█",ROUND(-'King Node Model'!AI40/MAX($AE$1,1)*30,0)),"")</f>
        <v>███████</v>
      </c>
      <c r="AA15" s="342">
        <f>'King Node Model'!A40</f>
        <v>7830</v>
      </c>
      <c r="AB15" s="348" t="str">
        <f>IF(AND(ISNUMBER('King Node Model'!AI40),'King Node Model'!AI40&gt;0),REPT("█",ROUND('King Node Model'!AI40/MAX($AE$1,1)*30,0)),"")</f>
        <v/>
      </c>
      <c r="AC15" s="344">
        <f>IF('King Node Model'!A40="","",'King Node Model'!AI40)</f>
        <v>-1944475</v>
      </c>
      <c r="AD15" s="345" t="str">
        <f>IF($AA15='Level Engine'!$W$9,"◄ RESISTANCE 1",IF($AA15='Level Engine'!$W$18,"◄ SUPPORT 1",IF(ABS($AA15-'King Node Model'!$B$4)&lt;=2.5,"◄ SPOT",IF($AA15='King Node Model'!$D$26,"◄ GAMMA FLIP",IF($AA15='King Node Model'!$D$27,"◄ ZERO GAMMA","")))))</f>
        <v/>
      </c>
      <c r="AE15" s="100"/>
    </row>
    <row r="16" spans="2:31" ht="15" customHeight="1" x14ac:dyDescent="0.25">
      <c r="B16" s="341" t="str">
        <f>IF('King Node Model'!C41&lt;0,REPT("█",ROUND(-'King Node Model'!C41/MAX($H$1,1)*30,0)),"")</f>
        <v/>
      </c>
      <c r="C16" s="342">
        <f>'King Node Model'!A41</f>
        <v>7825</v>
      </c>
      <c r="D16" s="343" t="str">
        <f>IF('King Node Model'!C41&gt;0,REPT("█",ROUND('King Node Model'!C41/MAX($H$1,1)*30,0)),"")</f>
        <v>█████</v>
      </c>
      <c r="E16" s="344">
        <f>IF('King Node Model'!A41="","",'King Node Model'!C41)</f>
        <v>538591</v>
      </c>
      <c r="F16" s="345" t="str">
        <f>IF($C16='Level Engine'!$W$9,"◄ RESISTANCE 1",IF($C16='Level Engine'!$W$18,"◄ SUPPORT 1",""))</f>
        <v/>
      </c>
      <c r="J16" s="341" t="str">
        <f t="shared" si="0"/>
        <v>████████████</v>
      </c>
      <c r="K16" s="342">
        <f>'King Node Model'!A41</f>
        <v>7825</v>
      </c>
      <c r="L16" s="343" t="str">
        <f t="shared" si="1"/>
        <v/>
      </c>
      <c r="M16" s="344">
        <f>IF('King Node Model'!A41="","",$Q$7*('King Node Model'!C41*$Q$2+$Q$4*'King Node Model'!F41*$Q$3+$Q$5*0.5*'King Node Model'!I41*$Q$2^2+$Q$6*'King Node Model'!D41*$Q$2*$Q$3))</f>
        <v>-3583319</v>
      </c>
      <c r="N16" s="345" t="str">
        <f>IF($K16='Level Engine'!$W$9,"◄ RESISTANCE 1",IF($K16='Level Engine'!$W$18,"◄ SUPPORT 1",IF(ABS($K16-'King Node Model'!$B$4)&lt;=2.5,"◄ SPOT",IF($K16='King Node Model'!$D$26,"◄ GAMMA FLIP",IF($K16='King Node Model'!$D$27,"◄ ZERO GAMMA","")))))</f>
        <v/>
      </c>
      <c r="O16" s="100"/>
      <c r="P16" s="100"/>
      <c r="Q16" s="100"/>
      <c r="R16" s="100"/>
      <c r="S16" s="346" t="str">
        <f>IF(AND(ISNUMBER('King Node Model'!Z41),'King Node Model'!Z41&lt;0),REPT("█",ROUND(-'King Node Model'!Z41/MAX($X$1,1)*30,0)),"")</f>
        <v/>
      </c>
      <c r="T16" s="342">
        <f>'King Node Model'!A41</f>
        <v>7825</v>
      </c>
      <c r="U16" s="343" t="str">
        <f>IF(AND(ISNUMBER('King Node Model'!Z41),'King Node Model'!Z41&gt;0),REPT("█",ROUND('King Node Model'!Z41/MAX($X$1,1)*30,0)),"")</f>
        <v>██████</v>
      </c>
      <c r="V16" s="344">
        <f>IF('King Node Model'!A41="","",'King Node Model'!Z41)</f>
        <v>2198644</v>
      </c>
      <c r="W16" s="345" t="str">
        <f>IF($T16='Level Engine'!$W$9,"◄ RESISTANCE 1",IF($T16='Level Engine'!$W$18,"◄ SUPPORT 1",IF(ABS($T16-'King Node Model'!$B$4)&lt;=2.5,"◄ SPOT",IF($T16='King Node Model'!$D$26,"◄ GAMMA FLIP",IF($T16='King Node Model'!$D$27,"◄ ZERO GAMMA","")))))</f>
        <v/>
      </c>
      <c r="X16" s="100"/>
      <c r="Y16" s="100"/>
      <c r="Z16" s="347" t="str">
        <f>IF(AND(ISNUMBER('King Node Model'!AI41),'King Node Model'!AI41&lt;0),REPT("█",ROUND(-'King Node Model'!AI41/MAX($AE$1,1)*30,0)),"")</f>
        <v>████████</v>
      </c>
      <c r="AA16" s="342">
        <f>'King Node Model'!A41</f>
        <v>7825</v>
      </c>
      <c r="AB16" s="348" t="str">
        <f>IF(AND(ISNUMBER('King Node Model'!AI41),'King Node Model'!AI41&gt;0),REPT("█",ROUND('King Node Model'!AI41/MAX($AE$1,1)*30,0)),"")</f>
        <v/>
      </c>
      <c r="AC16" s="344">
        <f>IF('King Node Model'!A41="","",'King Node Model'!AI41)</f>
        <v>-2227729</v>
      </c>
      <c r="AD16" s="345" t="str">
        <f>IF($AA16='Level Engine'!$W$9,"◄ RESISTANCE 1",IF($AA16='Level Engine'!$W$18,"◄ SUPPORT 1",IF(ABS($AA16-'King Node Model'!$B$4)&lt;=2.5,"◄ SPOT",IF($AA16='King Node Model'!$D$26,"◄ GAMMA FLIP",IF($AA16='King Node Model'!$D$27,"◄ ZERO GAMMA","")))))</f>
        <v/>
      </c>
      <c r="AE16" s="100"/>
    </row>
    <row r="17" spans="2:31" ht="15" customHeight="1" x14ac:dyDescent="0.25">
      <c r="B17" s="341" t="str">
        <f>IF('King Node Model'!C42&lt;0,REPT("█",ROUND(-'King Node Model'!C42/MAX($H$1,1)*30,0)),"")</f>
        <v/>
      </c>
      <c r="C17" s="342">
        <f>'King Node Model'!A42</f>
        <v>7820</v>
      </c>
      <c r="D17" s="343" t="str">
        <f>IF('King Node Model'!C42&gt;0,REPT("█",ROUND('King Node Model'!C42/MAX($H$1,1)*30,0)),"")</f>
        <v>██</v>
      </c>
      <c r="E17" s="344">
        <f>IF('King Node Model'!A42="","",'King Node Model'!C42)</f>
        <v>188525</v>
      </c>
      <c r="F17" s="345" t="str">
        <f>IF($C17='Level Engine'!$W$9,"◄ RESISTANCE 1",IF($C17='Level Engine'!$W$18,"◄ SUPPORT 1",""))</f>
        <v/>
      </c>
      <c r="J17" s="341" t="str">
        <f t="shared" si="0"/>
        <v>████</v>
      </c>
      <c r="K17" s="342">
        <f>'King Node Model'!A42</f>
        <v>7820</v>
      </c>
      <c r="L17" s="343" t="str">
        <f t="shared" si="1"/>
        <v/>
      </c>
      <c r="M17" s="344">
        <f>IF('King Node Model'!A42="","",$Q$7*('King Node Model'!C42*$Q$2+$Q$4*'King Node Model'!F42*$Q$3+$Q$5*0.5*'King Node Model'!I42*$Q$2^2+$Q$6*'King Node Model'!D42*$Q$2*$Q$3))</f>
        <v>-1159231</v>
      </c>
      <c r="N17" s="345" t="str">
        <f>IF($K17='Level Engine'!$W$9,"◄ RESISTANCE 1",IF($K17='Level Engine'!$W$18,"◄ SUPPORT 1",IF(ABS($K17-'King Node Model'!$B$4)&lt;=2.5,"◄ SPOT",IF($K17='King Node Model'!$D$26,"◄ GAMMA FLIP",IF($K17='King Node Model'!$D$27,"◄ ZERO GAMMA","")))))</f>
        <v/>
      </c>
      <c r="O17" s="100"/>
      <c r="P17" s="100"/>
      <c r="Q17" s="100"/>
      <c r="R17" s="100"/>
      <c r="S17" s="346" t="str">
        <f>IF(AND(ISNUMBER('King Node Model'!Z42),'King Node Model'!Z42&lt;0),REPT("█",ROUND(-'King Node Model'!Z42/MAX($X$1,1)*30,0)),"")</f>
        <v/>
      </c>
      <c r="T17" s="342">
        <f>'King Node Model'!A42</f>
        <v>7820</v>
      </c>
      <c r="U17" s="343" t="str">
        <f>IF(AND(ISNUMBER('King Node Model'!Z42),'King Node Model'!Z42&gt;0),REPT("█",ROUND('King Node Model'!Z42/MAX($X$1,1)*30,0)),"")</f>
        <v>███████</v>
      </c>
      <c r="V17" s="344">
        <f>IF('King Node Model'!A42="","",'King Node Model'!Z42)</f>
        <v>2387169</v>
      </c>
      <c r="W17" s="345" t="str">
        <f>IF($T17='Level Engine'!$W$9,"◄ RESISTANCE 1",IF($T17='Level Engine'!$W$18,"◄ SUPPORT 1",IF(ABS($T17-'King Node Model'!$B$4)&lt;=2.5,"◄ SPOT",IF($T17='King Node Model'!$D$26,"◄ GAMMA FLIP",IF($T17='King Node Model'!$D$27,"◄ ZERO GAMMA","")))))</f>
        <v/>
      </c>
      <c r="X17" s="100"/>
      <c r="Y17" s="100"/>
      <c r="Z17" s="347" t="str">
        <f>IF(AND(ISNUMBER('King Node Model'!AI42),'King Node Model'!AI42&lt;0),REPT("█",ROUND(-'King Node Model'!AI42/MAX($AE$1,1)*30,0)),"")</f>
        <v>██████████</v>
      </c>
      <c r="AA17" s="342">
        <f>'King Node Model'!A42</f>
        <v>7820</v>
      </c>
      <c r="AB17" s="348" t="str">
        <f>IF(AND(ISNUMBER('King Node Model'!AI42),'King Node Model'!AI42&gt;0),REPT("█",ROUND('King Node Model'!AI42/MAX($AE$1,1)*30,0)),"")</f>
        <v/>
      </c>
      <c r="AC17" s="344">
        <f>IF('King Node Model'!A42="","",'King Node Model'!AI42)</f>
        <v>-2771290</v>
      </c>
      <c r="AD17" s="345" t="str">
        <f>IF($AA17='Level Engine'!$W$9,"◄ RESISTANCE 1",IF($AA17='Level Engine'!$W$18,"◄ SUPPORT 1",IF(ABS($AA17-'King Node Model'!$B$4)&lt;=2.5,"◄ SPOT",IF($AA17='King Node Model'!$D$26,"◄ GAMMA FLIP",IF($AA17='King Node Model'!$D$27,"◄ ZERO GAMMA","")))))</f>
        <v/>
      </c>
      <c r="AE17" s="100"/>
    </row>
    <row r="18" spans="2:31" ht="15" customHeight="1" x14ac:dyDescent="0.25">
      <c r="B18" s="341" t="str">
        <f>IF('King Node Model'!C43&lt;0,REPT("█",ROUND(-'King Node Model'!C43/MAX($H$1,1)*30,0)),"")</f>
        <v/>
      </c>
      <c r="C18" s="342">
        <f>'King Node Model'!A43</f>
        <v>7815</v>
      </c>
      <c r="D18" s="343" t="str">
        <f>IF('King Node Model'!C43&gt;0,REPT("█",ROUND('King Node Model'!C43/MAX($H$1,1)*30,0)),"")</f>
        <v>██</v>
      </c>
      <c r="E18" s="344">
        <f>IF('King Node Model'!A43="","",'King Node Model'!C43)</f>
        <v>248997</v>
      </c>
      <c r="F18" s="345" t="str">
        <f>IF($C18='Level Engine'!$W$9,"◄ RESISTANCE 1",IF($C18='Level Engine'!$W$18,"◄ SUPPORT 1",""))</f>
        <v/>
      </c>
      <c r="J18" s="341" t="str">
        <f t="shared" si="0"/>
        <v>█████</v>
      </c>
      <c r="K18" s="342">
        <f>'King Node Model'!A43</f>
        <v>7815</v>
      </c>
      <c r="L18" s="343" t="str">
        <f t="shared" si="1"/>
        <v/>
      </c>
      <c r="M18" s="344">
        <f>IF('King Node Model'!A43="","",$Q$7*('King Node Model'!C43*$Q$2+$Q$4*'King Node Model'!F43*$Q$3+$Q$5*0.5*'King Node Model'!I43*$Q$2^2+$Q$6*'King Node Model'!D43*$Q$2*$Q$3))</f>
        <v>-1387976.5</v>
      </c>
      <c r="N18" s="345" t="str">
        <f>IF($K18='Level Engine'!$W$9,"◄ RESISTANCE 1",IF($K18='Level Engine'!$W$18,"◄ SUPPORT 1",IF(ABS($K18-'King Node Model'!$B$4)&lt;=2.5,"◄ SPOT",IF($K18='King Node Model'!$D$26,"◄ GAMMA FLIP",IF($K18='King Node Model'!$D$27,"◄ ZERO GAMMA","")))))</f>
        <v/>
      </c>
      <c r="O18" s="100"/>
      <c r="P18" s="100"/>
      <c r="Q18" s="100"/>
      <c r="R18" s="100"/>
      <c r="S18" s="346" t="str">
        <f>IF(AND(ISNUMBER('King Node Model'!Z43),'King Node Model'!Z43&lt;0),REPT("█",ROUND(-'King Node Model'!Z43/MAX($X$1,1)*30,0)),"")</f>
        <v/>
      </c>
      <c r="T18" s="342">
        <f>'King Node Model'!A43</f>
        <v>7815</v>
      </c>
      <c r="U18" s="343" t="str">
        <f>IF(AND(ISNUMBER('King Node Model'!Z43),'King Node Model'!Z43&gt;0),REPT("█",ROUND('King Node Model'!Z43/MAX($X$1,1)*30,0)),"")</f>
        <v>███████</v>
      </c>
      <c r="V18" s="344">
        <f>IF('King Node Model'!A43="","",'King Node Model'!Z43)</f>
        <v>2636166</v>
      </c>
      <c r="W18" s="345" t="str">
        <f>IF($T18='Level Engine'!$W$9,"◄ RESISTANCE 1",IF($T18='Level Engine'!$W$18,"◄ SUPPORT 1",IF(ABS($T18-'King Node Model'!$B$4)&lt;=2.5,"◄ SPOT",IF($T18='King Node Model'!$D$26,"◄ GAMMA FLIP",IF($T18='King Node Model'!$D$27,"◄ ZERO GAMMA","")))))</f>
        <v/>
      </c>
      <c r="X18" s="100"/>
      <c r="Y18" s="100"/>
      <c r="Z18" s="347" t="str">
        <f>IF(AND(ISNUMBER('King Node Model'!AI43),'King Node Model'!AI43&lt;0),REPT("█",ROUND(-'King Node Model'!AI43/MAX($AE$1,1)*30,0)),"")</f>
        <v>██████████</v>
      </c>
      <c r="AA18" s="342">
        <f>'King Node Model'!A43</f>
        <v>7815</v>
      </c>
      <c r="AB18" s="348" t="str">
        <f>IF(AND(ISNUMBER('King Node Model'!AI43),'King Node Model'!AI43&gt;0),REPT("█",ROUND('King Node Model'!AI43/MAX($AE$1,1)*30,0)),"")</f>
        <v/>
      </c>
      <c r="AC18" s="344">
        <f>IF('King Node Model'!A43="","",'King Node Model'!AI43)</f>
        <v>-2884499</v>
      </c>
      <c r="AD18" s="345" t="str">
        <f>IF($AA18='Level Engine'!$W$9,"◄ RESISTANCE 1",IF($AA18='Level Engine'!$W$18,"◄ SUPPORT 1",IF(ABS($AA18-'King Node Model'!$B$4)&lt;=2.5,"◄ SPOT",IF($AA18='King Node Model'!$D$26,"◄ GAMMA FLIP",IF($AA18='King Node Model'!$D$27,"◄ ZERO GAMMA","")))))</f>
        <v/>
      </c>
      <c r="AE18" s="100"/>
    </row>
    <row r="19" spans="2:31" ht="15" customHeight="1" x14ac:dyDescent="0.25">
      <c r="B19" s="341" t="str">
        <f>IF('King Node Model'!C44&lt;0,REPT("█",ROUND(-'King Node Model'!C44/MAX($H$1,1)*30,0)),"")</f>
        <v/>
      </c>
      <c r="C19" s="342">
        <f>'King Node Model'!A44</f>
        <v>7810</v>
      </c>
      <c r="D19" s="343" t="str">
        <f>IF('King Node Model'!C44&gt;0,REPT("█",ROUND('King Node Model'!C44/MAX($H$1,1)*30,0)),"")</f>
        <v>███</v>
      </c>
      <c r="E19" s="344">
        <f>IF('King Node Model'!A44="","",'King Node Model'!C44)</f>
        <v>353277</v>
      </c>
      <c r="F19" s="345" t="str">
        <f>IF($C19='Level Engine'!$W$9,"◄ RESISTANCE 1",IF($C19='Level Engine'!$W$18,"◄ SUPPORT 1",""))</f>
        <v/>
      </c>
      <c r="J19" s="341" t="str">
        <f t="shared" si="0"/>
        <v>██████</v>
      </c>
      <c r="K19" s="342">
        <f>'King Node Model'!A44</f>
        <v>7810</v>
      </c>
      <c r="L19" s="343" t="str">
        <f t="shared" si="1"/>
        <v/>
      </c>
      <c r="M19" s="344">
        <f>IF('King Node Model'!A44="","",$Q$7*('King Node Model'!C44*$Q$2+$Q$4*'King Node Model'!F44*$Q$3+$Q$5*0.5*'King Node Model'!I44*$Q$2^2+$Q$6*'King Node Model'!D44*$Q$2*$Q$3))</f>
        <v>-1736491.5</v>
      </c>
      <c r="N19" s="345" t="str">
        <f>IF($K19='Level Engine'!$W$9,"◄ RESISTANCE 1",IF($K19='Level Engine'!$W$18,"◄ SUPPORT 1",IF(ABS($K19-'King Node Model'!$B$4)&lt;=2.5,"◄ SPOT",IF($K19='King Node Model'!$D$26,"◄ GAMMA FLIP",IF($K19='King Node Model'!$D$27,"◄ ZERO GAMMA","")))))</f>
        <v/>
      </c>
      <c r="O19" s="100"/>
      <c r="P19" s="100"/>
      <c r="Q19" s="100"/>
      <c r="R19" s="100"/>
      <c r="S19" s="346" t="str">
        <f>IF(AND(ISNUMBER('King Node Model'!Z44),'King Node Model'!Z44&lt;0),REPT("█",ROUND(-'King Node Model'!Z44/MAX($X$1,1)*30,0)),"")</f>
        <v/>
      </c>
      <c r="T19" s="342">
        <f>'King Node Model'!A44</f>
        <v>7810</v>
      </c>
      <c r="U19" s="343" t="str">
        <f>IF(AND(ISNUMBER('King Node Model'!Z44),'King Node Model'!Z44&gt;0),REPT("█",ROUND('King Node Model'!Z44/MAX($X$1,1)*30,0)),"")</f>
        <v>████████</v>
      </c>
      <c r="V19" s="344">
        <f>IF('King Node Model'!A44="","",'King Node Model'!Z44)</f>
        <v>2989443</v>
      </c>
      <c r="W19" s="345" t="str">
        <f>IF($T19='Level Engine'!$W$9,"◄ RESISTANCE 1",IF($T19='Level Engine'!$W$18,"◄ SUPPORT 1",IF(ABS($T19-'King Node Model'!$B$4)&lt;=2.5,"◄ SPOT",IF($T19='King Node Model'!$D$26,"◄ GAMMA FLIP",IF($T19='King Node Model'!$D$27,"◄ ZERO GAMMA","")))))</f>
        <v/>
      </c>
      <c r="X19" s="100"/>
      <c r="Y19" s="100"/>
      <c r="Z19" s="347" t="str">
        <f>IF(AND(ISNUMBER('King Node Model'!AI44),'King Node Model'!AI44&lt;0),REPT("█",ROUND(-'King Node Model'!AI44/MAX($AE$1,1)*30,0)),"")</f>
        <v>████████████</v>
      </c>
      <c r="AA19" s="342">
        <f>'King Node Model'!A44</f>
        <v>7810</v>
      </c>
      <c r="AB19" s="348" t="str">
        <f>IF(AND(ISNUMBER('King Node Model'!AI44),'King Node Model'!AI44&gt;0),REPT("█",ROUND('King Node Model'!AI44/MAX($AE$1,1)*30,0)),"")</f>
        <v/>
      </c>
      <c r="AC19" s="344">
        <f>IF('King Node Model'!A44="","",'King Node Model'!AI44)</f>
        <v>-3218236</v>
      </c>
      <c r="AD19" s="345" t="str">
        <f>IF($AA19='Level Engine'!$W$9,"◄ RESISTANCE 1",IF($AA19='Level Engine'!$W$18,"◄ SUPPORT 1",IF(ABS($AA19-'King Node Model'!$B$4)&lt;=2.5,"◄ SPOT",IF($AA19='King Node Model'!$D$26,"◄ GAMMA FLIP",IF($AA19='King Node Model'!$D$27,"◄ ZERO GAMMA","")))))</f>
        <v/>
      </c>
      <c r="AE19" s="100"/>
    </row>
    <row r="20" spans="2:31" ht="15" customHeight="1" x14ac:dyDescent="0.25">
      <c r="B20" s="341" t="str">
        <f>IF('King Node Model'!C45&lt;0,REPT("█",ROUND(-'King Node Model'!C45/MAX($H$1,1)*30,0)),"")</f>
        <v/>
      </c>
      <c r="C20" s="342">
        <f>'King Node Model'!A45</f>
        <v>7805</v>
      </c>
      <c r="D20" s="343" t="str">
        <f>IF('King Node Model'!C45&gt;0,REPT("█",ROUND('King Node Model'!C45/MAX($H$1,1)*30,0)),"")</f>
        <v>███</v>
      </c>
      <c r="E20" s="344">
        <f>IF('King Node Model'!A45="","",'King Node Model'!C45)</f>
        <v>308525</v>
      </c>
      <c r="F20" s="345" t="str">
        <f>IF($C20='Level Engine'!$W$9,"◄ RESISTANCE 1",IF($C20='Level Engine'!$W$18,"◄ SUPPORT 1",""))</f>
        <v/>
      </c>
      <c r="J20" s="341" t="str">
        <f t="shared" si="0"/>
        <v>████</v>
      </c>
      <c r="K20" s="342">
        <f>'King Node Model'!A45</f>
        <v>7805</v>
      </c>
      <c r="L20" s="343" t="str">
        <f t="shared" si="1"/>
        <v/>
      </c>
      <c r="M20" s="344">
        <f>IF('King Node Model'!A45="","",$Q$7*('King Node Model'!C45*$Q$2+$Q$4*'King Node Model'!F45*$Q$3+$Q$5*0.5*'King Node Model'!I45*$Q$2^2+$Q$6*'King Node Model'!D45*$Q$2*$Q$3))</f>
        <v>-1286546.5</v>
      </c>
      <c r="N20" s="345" t="str">
        <f>IF($K20='Level Engine'!$W$9,"◄ RESISTANCE 1",IF($K20='Level Engine'!$W$18,"◄ SUPPORT 1",IF(ABS($K20-'King Node Model'!$B$4)&lt;=2.5,"◄ SPOT",IF($K20='King Node Model'!$D$26,"◄ GAMMA FLIP",IF($K20='King Node Model'!$D$27,"◄ ZERO GAMMA","")))))</f>
        <v>◄ GAMMA FLIP</v>
      </c>
      <c r="O20" s="100"/>
      <c r="P20" s="100"/>
      <c r="Q20" s="100"/>
      <c r="R20" s="100"/>
      <c r="S20" s="346" t="str">
        <f>IF(AND(ISNUMBER('King Node Model'!Z45),'King Node Model'!Z45&lt;0),REPT("█",ROUND(-'King Node Model'!Z45/MAX($X$1,1)*30,0)),"")</f>
        <v/>
      </c>
      <c r="T20" s="342">
        <f>'King Node Model'!A45</f>
        <v>7805</v>
      </c>
      <c r="U20" s="343" t="str">
        <f>IF(AND(ISNUMBER('King Node Model'!Z45),'King Node Model'!Z45&gt;0),REPT("█",ROUND('King Node Model'!Z45/MAX($X$1,1)*30,0)),"")</f>
        <v>█████████</v>
      </c>
      <c r="V20" s="344">
        <f>IF('King Node Model'!A45="","",'King Node Model'!Z45)</f>
        <v>3297968</v>
      </c>
      <c r="W20" s="345" t="str">
        <f>IF($T20='Level Engine'!$W$9,"◄ RESISTANCE 1",IF($T20='Level Engine'!$W$18,"◄ SUPPORT 1",IF(ABS($T20-'King Node Model'!$B$4)&lt;=2.5,"◄ SPOT",IF($T20='King Node Model'!$D$26,"◄ GAMMA FLIP",IF($T20='King Node Model'!$D$27,"◄ ZERO GAMMA","")))))</f>
        <v>◄ GAMMA FLIP</v>
      </c>
      <c r="X20" s="100"/>
      <c r="Y20" s="100"/>
      <c r="Z20" s="347" t="str">
        <f>IF(AND(ISNUMBER('King Node Model'!AI45),'King Node Model'!AI45&lt;0),REPT("█",ROUND(-'King Node Model'!AI45/MAX($AE$1,1)*30,0)),"")</f>
        <v>█████████████</v>
      </c>
      <c r="AA20" s="342">
        <f>'King Node Model'!A45</f>
        <v>7805</v>
      </c>
      <c r="AB20" s="348" t="str">
        <f>IF(AND(ISNUMBER('King Node Model'!AI45),'King Node Model'!AI45&gt;0),REPT("█",ROUND('King Node Model'!AI45/MAX($AE$1,1)*30,0)),"")</f>
        <v/>
      </c>
      <c r="AC20" s="344">
        <f>IF('King Node Model'!A45="","",'King Node Model'!AI45)</f>
        <v>-3546814</v>
      </c>
      <c r="AD20" s="345" t="str">
        <f>IF($AA20='Level Engine'!$W$9,"◄ RESISTANCE 1",IF($AA20='Level Engine'!$W$18,"◄ SUPPORT 1",IF(ABS($AA20-'King Node Model'!$B$4)&lt;=2.5,"◄ SPOT",IF($AA20='King Node Model'!$D$26,"◄ GAMMA FLIP",IF($AA20='King Node Model'!$D$27,"◄ ZERO GAMMA","")))))</f>
        <v>◄ GAMMA FLIP</v>
      </c>
      <c r="AE20" s="100"/>
    </row>
    <row r="21" spans="2:31" ht="15" customHeight="1" x14ac:dyDescent="0.25">
      <c r="B21" s="341" t="str">
        <f>IF('King Node Model'!C46&lt;0,REPT("█",ROUND(-'King Node Model'!C46/MAX($H$1,1)*30,0)),"")</f>
        <v>█</v>
      </c>
      <c r="C21" s="342">
        <f>'King Node Model'!A46</f>
        <v>7800</v>
      </c>
      <c r="D21" s="343" t="str">
        <f>IF('King Node Model'!C46&gt;0,REPT("█",ROUND('King Node Model'!C46/MAX($H$1,1)*30,0)),"")</f>
        <v/>
      </c>
      <c r="E21" s="344">
        <f>IF('King Node Model'!A46="","",'King Node Model'!C46)</f>
        <v>-80182</v>
      </c>
      <c r="F21" s="345" t="str">
        <f>IF($C21='Level Engine'!$W$9,"◄ RESISTANCE 1",IF($C21='Level Engine'!$W$18,"◄ SUPPORT 1",""))</f>
        <v>◄ RESISTANCE 1</v>
      </c>
      <c r="J21" s="341" t="str">
        <f t="shared" si="0"/>
        <v/>
      </c>
      <c r="K21" s="342">
        <f>'King Node Model'!A46</f>
        <v>7800</v>
      </c>
      <c r="L21" s="343" t="str">
        <f t="shared" si="1"/>
        <v>█</v>
      </c>
      <c r="M21" s="344">
        <f>IF('King Node Model'!A46="","",$Q$7*('King Node Model'!C46*$Q$2+$Q$4*'King Node Model'!F46*$Q$3+$Q$5*0.5*'King Node Model'!I46*$Q$2^2+$Q$6*'King Node Model'!D46*$Q$2*$Q$3))</f>
        <v>269009</v>
      </c>
      <c r="N21" s="345" t="str">
        <f>IF($K21='Level Engine'!$W$9,"◄ RESISTANCE 1",IF($K21='Level Engine'!$W$18,"◄ SUPPORT 1",IF(ABS($K21-'King Node Model'!$B$4)&lt;=2.5,"◄ SPOT",IF($K21='King Node Model'!$D$26,"◄ GAMMA FLIP",IF($K21='King Node Model'!$D$27,"◄ ZERO GAMMA","")))))</f>
        <v>◄ RESISTANCE 1</v>
      </c>
      <c r="O21" s="100"/>
      <c r="P21" s="100"/>
      <c r="Q21" s="100"/>
      <c r="R21" s="100"/>
      <c r="S21" s="346" t="str">
        <f>IF(AND(ISNUMBER('King Node Model'!Z46),'King Node Model'!Z46&lt;0),REPT("█",ROUND(-'King Node Model'!Z46/MAX($X$1,1)*30,0)),"")</f>
        <v/>
      </c>
      <c r="T21" s="342">
        <f>'King Node Model'!A46</f>
        <v>7800</v>
      </c>
      <c r="U21" s="343" t="str">
        <f>IF(AND(ISNUMBER('King Node Model'!Z46),'King Node Model'!Z46&gt;0),REPT("█",ROUND('King Node Model'!Z46/MAX($X$1,1)*30,0)),"")</f>
        <v>█████████</v>
      </c>
      <c r="V21" s="344">
        <f>IF('King Node Model'!A46="","",'King Node Model'!Z46)</f>
        <v>3217786</v>
      </c>
      <c r="W21" s="345" t="str">
        <f>IF($T21='Level Engine'!$W$9,"◄ RESISTANCE 1",IF($T21='Level Engine'!$W$18,"◄ SUPPORT 1",IF(ABS($T21-'King Node Model'!$B$4)&lt;=2.5,"◄ SPOT",IF($T21='King Node Model'!$D$26,"◄ GAMMA FLIP",IF($T21='King Node Model'!$D$27,"◄ ZERO GAMMA","")))))</f>
        <v>◄ RESISTANCE 1</v>
      </c>
      <c r="X21" s="100"/>
      <c r="Y21" s="100"/>
      <c r="Z21" s="347" t="str">
        <f>IF(AND(ISNUMBER('King Node Model'!AI46),'King Node Model'!AI46&lt;0),REPT("█",ROUND(-'King Node Model'!AI46/MAX($AE$1,1)*30,0)),"")</f>
        <v>███████████████████</v>
      </c>
      <c r="AA21" s="342">
        <f>'King Node Model'!A46</f>
        <v>7800</v>
      </c>
      <c r="AB21" s="348" t="str">
        <f>IF(AND(ISNUMBER('King Node Model'!AI46),'King Node Model'!AI46&gt;0),REPT("█",ROUND('King Node Model'!AI46/MAX($AE$1,1)*30,0)),"")</f>
        <v/>
      </c>
      <c r="AC21" s="344">
        <f>IF('King Node Model'!A46="","",'King Node Model'!AI46)</f>
        <v>-5303885</v>
      </c>
      <c r="AD21" s="345" t="str">
        <f>IF($AA21='Level Engine'!$W$9,"◄ RESISTANCE 1",IF($AA21='Level Engine'!$W$18,"◄ SUPPORT 1",IF(ABS($AA21-'King Node Model'!$B$4)&lt;=2.5,"◄ SPOT",IF($AA21='King Node Model'!$D$26,"◄ GAMMA FLIP",IF($AA21='King Node Model'!$D$27,"◄ ZERO GAMMA","")))))</f>
        <v>◄ RESISTANCE 1</v>
      </c>
      <c r="AE21" s="100"/>
    </row>
    <row r="22" spans="2:31" ht="15" customHeight="1" x14ac:dyDescent="0.25">
      <c r="B22" s="341" t="str">
        <f>IF('King Node Model'!C47&lt;0,REPT("█",ROUND(-'King Node Model'!C47/MAX($H$1,1)*30,0)),"")</f>
        <v/>
      </c>
      <c r="C22" s="342">
        <f>'King Node Model'!A47</f>
        <v>7795</v>
      </c>
      <c r="D22" s="343" t="str">
        <f>IF('King Node Model'!C47&gt;0,REPT("█",ROUND('King Node Model'!C47/MAX($H$1,1)*30,0)),"")</f>
        <v/>
      </c>
      <c r="E22" s="344">
        <f>IF('King Node Model'!A47="","",'King Node Model'!C47)</f>
        <v>46251</v>
      </c>
      <c r="F22" s="345" t="str">
        <f>IF($C22='Level Engine'!$W$9,"◄ RESISTANCE 1",IF($C22='Level Engine'!$W$18,"◄ SUPPORT 1",""))</f>
        <v/>
      </c>
      <c r="J22" s="341" t="str">
        <f t="shared" si="0"/>
        <v/>
      </c>
      <c r="K22" s="342">
        <f>'King Node Model'!A47</f>
        <v>7795</v>
      </c>
      <c r="L22" s="343" t="str">
        <f t="shared" si="1"/>
        <v/>
      </c>
      <c r="M22" s="344">
        <f>IF('King Node Model'!A47="","",$Q$7*('King Node Model'!C47*$Q$2+$Q$4*'King Node Model'!F47*$Q$3+$Q$5*0.5*'King Node Model'!I47*$Q$2^2+$Q$6*'King Node Model'!D47*$Q$2*$Q$3))</f>
        <v>-114538.5</v>
      </c>
      <c r="N22" s="345" t="str">
        <f>IF($K22='Level Engine'!$W$9,"◄ RESISTANCE 1",IF($K22='Level Engine'!$W$18,"◄ SUPPORT 1",IF(ABS($K22-'King Node Model'!$B$4)&lt;=2.5,"◄ SPOT",IF($K22='King Node Model'!$D$26,"◄ GAMMA FLIP",IF($K22='King Node Model'!$D$27,"◄ ZERO GAMMA","")))))</f>
        <v/>
      </c>
      <c r="O22" s="100"/>
      <c r="P22" s="100"/>
      <c r="Q22" s="100"/>
      <c r="R22" s="100"/>
      <c r="S22" s="346" t="str">
        <f>IF(AND(ISNUMBER('King Node Model'!Z47),'King Node Model'!Z47&lt;0),REPT("█",ROUND(-'King Node Model'!Z47/MAX($X$1,1)*30,0)),"")</f>
        <v/>
      </c>
      <c r="T22" s="342">
        <f>'King Node Model'!A47</f>
        <v>7795</v>
      </c>
      <c r="U22" s="343" t="str">
        <f>IF(AND(ISNUMBER('King Node Model'!Z47),'King Node Model'!Z47&gt;0),REPT("█",ROUND('King Node Model'!Z47/MAX($X$1,1)*30,0)),"")</f>
        <v>█████████</v>
      </c>
      <c r="V22" s="344">
        <f>IF('King Node Model'!A47="","",'King Node Model'!Z47)</f>
        <v>3264037</v>
      </c>
      <c r="W22" s="345" t="str">
        <f>IF($T22='Level Engine'!$W$9,"◄ RESISTANCE 1",IF($T22='Level Engine'!$W$18,"◄ SUPPORT 1",IF(ABS($T22-'King Node Model'!$B$4)&lt;=2.5,"◄ SPOT",IF($T22='King Node Model'!$D$26,"◄ GAMMA FLIP",IF($T22='King Node Model'!$D$27,"◄ ZERO GAMMA","")))))</f>
        <v/>
      </c>
      <c r="X22" s="100"/>
      <c r="Y22" s="100"/>
      <c r="Z22" s="347" t="str">
        <f>IF(AND(ISNUMBER('King Node Model'!AI47),'King Node Model'!AI47&lt;0),REPT("█",ROUND(-'King Node Model'!AI47/MAX($AE$1,1)*30,0)),"")</f>
        <v>█████████████████████</v>
      </c>
      <c r="AA22" s="342">
        <f>'King Node Model'!A47</f>
        <v>7795</v>
      </c>
      <c r="AB22" s="348" t="str">
        <f>IF(AND(ISNUMBER('King Node Model'!AI47),'King Node Model'!AI47&gt;0),REPT("█",ROUND('King Node Model'!AI47/MAX($AE$1,1)*30,0)),"")</f>
        <v/>
      </c>
      <c r="AC22" s="344">
        <f>IF('King Node Model'!A47="","",'King Node Model'!AI47)</f>
        <v>-5725664</v>
      </c>
      <c r="AD22" s="345" t="str">
        <f>IF($AA22='Level Engine'!$W$9,"◄ RESISTANCE 1",IF($AA22='Level Engine'!$W$18,"◄ SUPPORT 1",IF(ABS($AA22-'King Node Model'!$B$4)&lt;=2.5,"◄ SPOT",IF($AA22='King Node Model'!$D$26,"◄ GAMMA FLIP",IF($AA22='King Node Model'!$D$27,"◄ ZERO GAMMA","")))))</f>
        <v/>
      </c>
      <c r="AE22" s="100"/>
    </row>
    <row r="23" spans="2:31" ht="15" customHeight="1" x14ac:dyDescent="0.25">
      <c r="B23" s="341" t="str">
        <f>IF('King Node Model'!C48&lt;0,REPT("█",ROUND(-'King Node Model'!C48/MAX($H$1,1)*30,0)),"")</f>
        <v>███</v>
      </c>
      <c r="C23" s="342">
        <f>'King Node Model'!A48</f>
        <v>7790</v>
      </c>
      <c r="D23" s="343" t="str">
        <f>IF('King Node Model'!C48&gt;0,REPT("█",ROUND('King Node Model'!C48/MAX($H$1,1)*30,0)),"")</f>
        <v/>
      </c>
      <c r="E23" s="344">
        <f>IF('King Node Model'!A48="","",'King Node Model'!C48)</f>
        <v>-302758</v>
      </c>
      <c r="F23" s="345" t="str">
        <f>IF($C23='Level Engine'!$W$9,"◄ RESISTANCE 1",IF($C23='Level Engine'!$W$18,"◄ SUPPORT 1",""))</f>
        <v/>
      </c>
      <c r="J23" s="341" t="str">
        <f t="shared" si="0"/>
        <v/>
      </c>
      <c r="K23" s="342">
        <f>'King Node Model'!A48</f>
        <v>7790</v>
      </c>
      <c r="L23" s="343" t="str">
        <f t="shared" si="1"/>
        <v>██</v>
      </c>
      <c r="M23" s="344">
        <f>IF('King Node Model'!A48="","",$Q$7*('King Node Model'!C48*$Q$2+$Q$4*'King Node Model'!F48*$Q$3+$Q$5*0.5*'King Node Model'!I48*$Q$2^2+$Q$6*'King Node Model'!D48*$Q$2*$Q$3))</f>
        <v>468600</v>
      </c>
      <c r="N23" s="345" t="str">
        <f>IF($K23='Level Engine'!$W$9,"◄ RESISTANCE 1",IF($K23='Level Engine'!$W$18,"◄ SUPPORT 1",IF(ABS($K23-'King Node Model'!$B$4)&lt;=2.5,"◄ SPOT",IF($K23='King Node Model'!$D$26,"◄ GAMMA FLIP",IF($K23='King Node Model'!$D$27,"◄ ZERO GAMMA","")))))</f>
        <v/>
      </c>
      <c r="O23" s="100"/>
      <c r="P23" s="100"/>
      <c r="Q23" s="100"/>
      <c r="R23" s="100"/>
      <c r="S23" s="346" t="str">
        <f>IF(AND(ISNUMBER('King Node Model'!Z48),'King Node Model'!Z48&lt;0),REPT("█",ROUND(-'King Node Model'!Z48/MAX($X$1,1)*30,0)),"")</f>
        <v/>
      </c>
      <c r="T23" s="342">
        <f>'King Node Model'!A48</f>
        <v>7790</v>
      </c>
      <c r="U23" s="343" t="str">
        <f>IF(AND(ISNUMBER('King Node Model'!Z48),'King Node Model'!Z48&gt;0),REPT("█",ROUND('King Node Model'!Z48/MAX($X$1,1)*30,0)),"")</f>
        <v>████████</v>
      </c>
      <c r="V23" s="344">
        <f>IF('King Node Model'!A48="","",'King Node Model'!Z48)</f>
        <v>2961279</v>
      </c>
      <c r="W23" s="345" t="str">
        <f>IF($T23='Level Engine'!$W$9,"◄ RESISTANCE 1",IF($T23='Level Engine'!$W$18,"◄ SUPPORT 1",IF(ABS($T23-'King Node Model'!$B$4)&lt;=2.5,"◄ SPOT",IF($T23='King Node Model'!$D$26,"◄ GAMMA FLIP",IF($T23='King Node Model'!$D$27,"◄ ZERO GAMMA","")))))</f>
        <v/>
      </c>
      <c r="X23" s="100"/>
      <c r="Y23" s="100"/>
      <c r="Z23" s="347" t="str">
        <f>IF(AND(ISNUMBER('King Node Model'!AI48),'King Node Model'!AI48&lt;0),REPT("█",ROUND(-'King Node Model'!AI48/MAX($AE$1,1)*30,0)),"")</f>
        <v>███████████████████████</v>
      </c>
      <c r="AA23" s="342">
        <f>'King Node Model'!A48</f>
        <v>7790</v>
      </c>
      <c r="AB23" s="348" t="str">
        <f>IF(AND(ISNUMBER('King Node Model'!AI48),'King Node Model'!AI48&gt;0),REPT("█",ROUND('King Node Model'!AI48/MAX($AE$1,1)*30,0)),"")</f>
        <v/>
      </c>
      <c r="AC23" s="344">
        <f>IF('King Node Model'!A48="","",'King Node Model'!AI48)</f>
        <v>-6234035</v>
      </c>
      <c r="AD23" s="345" t="str">
        <f>IF($AA23='Level Engine'!$W$9,"◄ RESISTANCE 1",IF($AA23='Level Engine'!$W$18,"◄ SUPPORT 1",IF(ABS($AA23-'King Node Model'!$B$4)&lt;=2.5,"◄ SPOT",IF($AA23='King Node Model'!$D$26,"◄ GAMMA FLIP",IF($AA23='King Node Model'!$D$27,"◄ ZERO GAMMA","")))))</f>
        <v/>
      </c>
      <c r="AE23" s="100"/>
    </row>
    <row r="24" spans="2:31" ht="15" customHeight="1" x14ac:dyDescent="0.25">
      <c r="B24" s="341" t="str">
        <f>IF('King Node Model'!C49&lt;0,REPT("█",ROUND(-'King Node Model'!C49/MAX($H$1,1)*30,0)),"")</f>
        <v>█</v>
      </c>
      <c r="C24" s="342">
        <f>'King Node Model'!A49</f>
        <v>7785</v>
      </c>
      <c r="D24" s="343" t="str">
        <f>IF('King Node Model'!C49&gt;0,REPT("█",ROUND('King Node Model'!C49/MAX($H$1,1)*30,0)),"")</f>
        <v/>
      </c>
      <c r="E24" s="344">
        <f>IF('King Node Model'!A49="","",'King Node Model'!C49)</f>
        <v>-60487</v>
      </c>
      <c r="F24" s="345" t="str">
        <f>IF($C24='Level Engine'!$W$9,"◄ RESISTANCE 1",IF($C24='Level Engine'!$W$18,"◄ SUPPORT 1",""))</f>
        <v/>
      </c>
      <c r="J24" s="341" t="str">
        <f t="shared" si="0"/>
        <v/>
      </c>
      <c r="K24" s="342">
        <f>'King Node Model'!A49</f>
        <v>7785</v>
      </c>
      <c r="L24" s="343" t="str">
        <f t="shared" si="1"/>
        <v/>
      </c>
      <c r="M24" s="344">
        <f>IF('King Node Model'!A49="","",$Q$7*('King Node Model'!C49*$Q$2+$Q$4*'King Node Model'!F49*$Q$3+$Q$5*0.5*'King Node Model'!I49*$Q$2^2+$Q$6*'King Node Model'!D49*$Q$2*$Q$3))</f>
        <v>34869</v>
      </c>
      <c r="N24" s="345" t="str">
        <f>IF($K24='Level Engine'!$W$9,"◄ RESISTANCE 1",IF($K24='Level Engine'!$W$18,"◄ SUPPORT 1",IF(ABS($K24-'King Node Model'!$B$4)&lt;=2.5,"◄ SPOT",IF($K24='King Node Model'!$D$26,"◄ GAMMA FLIP",IF($K24='King Node Model'!$D$27,"◄ ZERO GAMMA","")))))</f>
        <v/>
      </c>
      <c r="O24" s="100"/>
      <c r="P24" s="100"/>
      <c r="Q24" s="100"/>
      <c r="R24" s="100"/>
      <c r="S24" s="346" t="str">
        <f>IF(AND(ISNUMBER('King Node Model'!Z49),'King Node Model'!Z49&lt;0),REPT("█",ROUND(-'King Node Model'!Z49/MAX($X$1,1)*30,0)),"")</f>
        <v/>
      </c>
      <c r="T24" s="342">
        <f>'King Node Model'!A49</f>
        <v>7785</v>
      </c>
      <c r="U24" s="343" t="str">
        <f>IF(AND(ISNUMBER('King Node Model'!Z49),'King Node Model'!Z49&gt;0),REPT("█",ROUND('King Node Model'!Z49/MAX($X$1,1)*30,0)),"")</f>
        <v>████████</v>
      </c>
      <c r="V24" s="344">
        <f>IF('King Node Model'!A49="","",'King Node Model'!Z49)</f>
        <v>2900792</v>
      </c>
      <c r="W24" s="345" t="str">
        <f>IF($T24='Level Engine'!$W$9,"◄ RESISTANCE 1",IF($T24='Level Engine'!$W$18,"◄ SUPPORT 1",IF(ABS($T24-'King Node Model'!$B$4)&lt;=2.5,"◄ SPOT",IF($T24='King Node Model'!$D$26,"◄ GAMMA FLIP",IF($T24='King Node Model'!$D$27,"◄ ZERO GAMMA","")))))</f>
        <v/>
      </c>
      <c r="X24" s="100"/>
      <c r="Y24" s="100"/>
      <c r="Z24" s="347" t="str">
        <f>IF(AND(ISNUMBER('King Node Model'!AI49),'King Node Model'!AI49&lt;0),REPT("█",ROUND(-'King Node Model'!AI49/MAX($AE$1,1)*30,0)),"")</f>
        <v>███████████████████████</v>
      </c>
      <c r="AA24" s="342">
        <f>'King Node Model'!A49</f>
        <v>7785</v>
      </c>
      <c r="AB24" s="348" t="str">
        <f>IF(AND(ISNUMBER('King Node Model'!AI49),'King Node Model'!AI49&gt;0),REPT("█",ROUND('King Node Model'!AI49/MAX($AE$1,1)*30,0)),"")</f>
        <v/>
      </c>
      <c r="AC24" s="344">
        <f>IF('King Node Model'!A49="","",'King Node Model'!AI49)</f>
        <v>-6433912</v>
      </c>
      <c r="AD24" s="345" t="str">
        <f>IF($AA24='Level Engine'!$W$9,"◄ RESISTANCE 1",IF($AA24='Level Engine'!$W$18,"◄ SUPPORT 1",IF(ABS($AA24-'King Node Model'!$B$4)&lt;=2.5,"◄ SPOT",IF($AA24='King Node Model'!$D$26,"◄ GAMMA FLIP",IF($AA24='King Node Model'!$D$27,"◄ ZERO GAMMA","")))))</f>
        <v/>
      </c>
      <c r="AE24" s="100"/>
    </row>
    <row r="25" spans="2:31" ht="15" customHeight="1" x14ac:dyDescent="0.25">
      <c r="B25" s="341" t="str">
        <f>IF('King Node Model'!C50&lt;0,REPT("█",ROUND(-'King Node Model'!C50/MAX($H$1,1)*30,0)),"")</f>
        <v>██████████████████████</v>
      </c>
      <c r="C25" s="342">
        <f>'King Node Model'!A50</f>
        <v>7780</v>
      </c>
      <c r="D25" s="343" t="str">
        <f>IF('King Node Model'!C50&gt;0,REPT("█",ROUND('King Node Model'!C50/MAX($H$1,1)*30,0)),"")</f>
        <v/>
      </c>
      <c r="E25" s="344">
        <f>IF('King Node Model'!A50="","",'King Node Model'!C50)</f>
        <v>-2299593</v>
      </c>
      <c r="F25" s="345" t="str">
        <f>IF($C25='Level Engine'!$W$9,"◄ RESISTANCE 1",IF($C25='Level Engine'!$W$18,"◄ SUPPORT 1",""))</f>
        <v/>
      </c>
      <c r="J25" s="341" t="str">
        <f t="shared" si="0"/>
        <v>███</v>
      </c>
      <c r="K25" s="342">
        <f>'King Node Model'!A50</f>
        <v>7780</v>
      </c>
      <c r="L25" s="343" t="str">
        <f t="shared" si="1"/>
        <v/>
      </c>
      <c r="M25" s="344">
        <f>IF('King Node Model'!A50="","",$Q$7*('King Node Model'!C50*$Q$2+$Q$4*'King Node Model'!F50*$Q$3+$Q$5*0.5*'King Node Model'!I50*$Q$2^2+$Q$6*'King Node Model'!D50*$Q$2*$Q$3))</f>
        <v>-899339.5</v>
      </c>
      <c r="N25" s="345" t="str">
        <f>IF($K25='Level Engine'!$W$9,"◄ RESISTANCE 1",IF($K25='Level Engine'!$W$18,"◄ SUPPORT 1",IF(ABS($K25-'King Node Model'!$B$4)&lt;=2.5,"◄ SPOT",IF($K25='King Node Model'!$D$26,"◄ GAMMA FLIP",IF($K25='King Node Model'!$D$27,"◄ ZERO GAMMA","")))))</f>
        <v/>
      </c>
      <c r="O25" s="100"/>
      <c r="P25" s="100"/>
      <c r="Q25" s="100"/>
      <c r="R25" s="100"/>
      <c r="S25" s="346" t="str">
        <f>IF(AND(ISNUMBER('King Node Model'!Z50),'King Node Model'!Z50&lt;0),REPT("█",ROUND(-'King Node Model'!Z50/MAX($X$1,1)*30,0)),"")</f>
        <v/>
      </c>
      <c r="T25" s="342">
        <f>'King Node Model'!A50</f>
        <v>7780</v>
      </c>
      <c r="U25" s="343" t="str">
        <f>IF(AND(ISNUMBER('King Node Model'!Z50),'King Node Model'!Z50&gt;0),REPT("█",ROUND('King Node Model'!Z50/MAX($X$1,1)*30,0)),"")</f>
        <v>██</v>
      </c>
      <c r="V25" s="344">
        <f>IF('King Node Model'!A50="","",'King Node Model'!Z50)</f>
        <v>601199</v>
      </c>
      <c r="W25" s="345" t="str">
        <f>IF($T25='Level Engine'!$W$9,"◄ RESISTANCE 1",IF($T25='Level Engine'!$W$18,"◄ SUPPORT 1",IF(ABS($T25-'King Node Model'!$B$4)&lt;=2.5,"◄ SPOT",IF($T25='King Node Model'!$D$26,"◄ GAMMA FLIP",IF($T25='King Node Model'!$D$27,"◄ ZERO GAMMA","")))))</f>
        <v/>
      </c>
      <c r="X25" s="100"/>
      <c r="Y25" s="100"/>
      <c r="Z25" s="347" t="str">
        <f>IF(AND(ISNUMBER('King Node Model'!AI50),'King Node Model'!AI50&lt;0),REPT("█",ROUND(-'King Node Model'!AI50/MAX($AE$1,1)*30,0)),"")</f>
        <v>███████████████████████████</v>
      </c>
      <c r="AA25" s="342">
        <f>'King Node Model'!A50</f>
        <v>7780</v>
      </c>
      <c r="AB25" s="348" t="str">
        <f>IF(AND(ISNUMBER('King Node Model'!AI50),'King Node Model'!AI50&gt;0),REPT("█",ROUND('King Node Model'!AI50/MAX($AE$1,1)*30,0)),"")</f>
        <v/>
      </c>
      <c r="AC25" s="344">
        <f>IF('King Node Model'!A50="","",'King Node Model'!AI50)</f>
        <v>-7357813</v>
      </c>
      <c r="AD25" s="345" t="str">
        <f>IF($AA25='Level Engine'!$W$9,"◄ RESISTANCE 1",IF($AA25='Level Engine'!$W$18,"◄ SUPPORT 1",IF(ABS($AA25-'King Node Model'!$B$4)&lt;=2.5,"◄ SPOT",IF($AA25='King Node Model'!$D$26,"◄ GAMMA FLIP",IF($AA25='King Node Model'!$D$27,"◄ ZERO GAMMA","")))))</f>
        <v/>
      </c>
      <c r="AE25" s="100"/>
    </row>
    <row r="26" spans="2:31" ht="15" customHeight="1" x14ac:dyDescent="0.25">
      <c r="B26" s="341" t="str">
        <f>IF('King Node Model'!C51&lt;0,REPT("█",ROUND(-'King Node Model'!C51/MAX($H$1,1)*30,0)),"")</f>
        <v/>
      </c>
      <c r="C26" s="342">
        <f>'King Node Model'!A51</f>
        <v>7775</v>
      </c>
      <c r="D26" s="343" t="str">
        <f>IF('King Node Model'!C51&gt;0,REPT("█",ROUND('King Node Model'!C51/MAX($H$1,1)*30,0)),"")</f>
        <v/>
      </c>
      <c r="E26" s="344">
        <f>IF('King Node Model'!A51="","",'King Node Model'!C51)</f>
        <v>-49207</v>
      </c>
      <c r="F26" s="345" t="str">
        <f>IF($C26='Level Engine'!$W$9,"◄ RESISTANCE 1",IF($C26='Level Engine'!$W$18,"◄ SUPPORT 1",""))</f>
        <v>◄ SUPPORT 1</v>
      </c>
      <c r="J26" s="341" t="str">
        <f t="shared" si="0"/>
        <v/>
      </c>
      <c r="K26" s="342">
        <f>'King Node Model'!A51</f>
        <v>7775</v>
      </c>
      <c r="L26" s="343" t="str">
        <f t="shared" si="1"/>
        <v/>
      </c>
      <c r="M26" s="344">
        <f>IF('King Node Model'!A51="","",$Q$7*('King Node Model'!C51*$Q$2+$Q$4*'King Node Model'!F51*$Q$3+$Q$5*0.5*'King Node Model'!I51*$Q$2^2+$Q$6*'King Node Model'!D51*$Q$2*$Q$3))</f>
        <v>-66540</v>
      </c>
      <c r="N26" s="345" t="str">
        <f>IF($K26='Level Engine'!$W$9,"◄ RESISTANCE 1",IF($K26='Level Engine'!$W$18,"◄ SUPPORT 1",IF(ABS($K26-'King Node Model'!$B$4)&lt;=2.5,"◄ SPOT",IF($K26='King Node Model'!$D$26,"◄ GAMMA FLIP",IF($K26='King Node Model'!$D$27,"◄ ZERO GAMMA","")))))</f>
        <v>◄ SUPPORT 1</v>
      </c>
      <c r="O26" s="100"/>
      <c r="P26" s="100"/>
      <c r="Q26" s="100"/>
      <c r="R26" s="100"/>
      <c r="S26" s="346" t="str">
        <f>IF(AND(ISNUMBER('King Node Model'!Z51),'King Node Model'!Z51&lt;0),REPT("█",ROUND(-'King Node Model'!Z51/MAX($X$1,1)*30,0)),"")</f>
        <v/>
      </c>
      <c r="T26" s="342">
        <f>'King Node Model'!A51</f>
        <v>7775</v>
      </c>
      <c r="U26" s="343" t="str">
        <f>IF(AND(ISNUMBER('King Node Model'!Z51),'King Node Model'!Z51&gt;0),REPT("█",ROUND('King Node Model'!Z51/MAX($X$1,1)*30,0)),"")</f>
        <v>██</v>
      </c>
      <c r="V26" s="344">
        <f>IF('King Node Model'!A51="","",'King Node Model'!Z51)</f>
        <v>551992</v>
      </c>
      <c r="W26" s="345" t="str">
        <f>IF($T26='Level Engine'!$W$9,"◄ RESISTANCE 1",IF($T26='Level Engine'!$W$18,"◄ SUPPORT 1",IF(ABS($T26-'King Node Model'!$B$4)&lt;=2.5,"◄ SPOT",IF($T26='King Node Model'!$D$26,"◄ GAMMA FLIP",IF($T26='King Node Model'!$D$27,"◄ ZERO GAMMA","")))))</f>
        <v>◄ SUPPORT 1</v>
      </c>
      <c r="X26" s="100"/>
      <c r="Y26" s="100"/>
      <c r="Z26" s="347" t="str">
        <f>IF(AND(ISNUMBER('King Node Model'!AI51),'King Node Model'!AI51&lt;0),REPT("█",ROUND(-'King Node Model'!AI51/MAX($AE$1,1)*30,0)),"")</f>
        <v>██████████████████████████</v>
      </c>
      <c r="AA26" s="342">
        <f>'King Node Model'!A51</f>
        <v>7775</v>
      </c>
      <c r="AB26" s="348" t="str">
        <f>IF(AND(ISNUMBER('King Node Model'!AI51),'King Node Model'!AI51&gt;0),REPT("█",ROUND('King Node Model'!AI51/MAX($AE$1,1)*30,0)),"")</f>
        <v/>
      </c>
      <c r="AC26" s="344">
        <f>IF('King Node Model'!A51="","",'King Node Model'!AI51)</f>
        <v>-7276672</v>
      </c>
      <c r="AD26" s="345" t="str">
        <f>IF($AA26='Level Engine'!$W$9,"◄ RESISTANCE 1",IF($AA26='Level Engine'!$W$18,"◄ SUPPORT 1",IF(ABS($AA26-'King Node Model'!$B$4)&lt;=2.5,"◄ SPOT",IF($AA26='King Node Model'!$D$26,"◄ GAMMA FLIP",IF($AA26='King Node Model'!$D$27,"◄ ZERO GAMMA","")))))</f>
        <v>◄ SUPPORT 1</v>
      </c>
      <c r="AE26" s="100"/>
    </row>
    <row r="27" spans="2:31" ht="15" customHeight="1" x14ac:dyDescent="0.25">
      <c r="B27" s="341" t="str">
        <f>IF('King Node Model'!C52&lt;0,REPT("█",ROUND(-'King Node Model'!C52/MAX($H$1,1)*30,0)),"")</f>
        <v>██████████████████████████████</v>
      </c>
      <c r="C27" s="342">
        <f>'King Node Model'!A52</f>
        <v>7770</v>
      </c>
      <c r="D27" s="343" t="str">
        <f>IF('King Node Model'!C52&gt;0,REPT("█",ROUND('King Node Model'!C52/MAX($H$1,1)*30,0)),"")</f>
        <v/>
      </c>
      <c r="E27" s="344">
        <f>IF('King Node Model'!A52="","",'King Node Model'!C52)</f>
        <v>-3137174</v>
      </c>
      <c r="F27" s="345" t="str">
        <f>IF($C27='Level Engine'!$W$9,"◄ RESISTANCE 1",IF($C27='Level Engine'!$W$18,"◄ SUPPORT 1",""))</f>
        <v/>
      </c>
      <c r="J27" s="341" t="str">
        <f t="shared" si="0"/>
        <v>████████████████████████</v>
      </c>
      <c r="K27" s="342">
        <f>'King Node Model'!A52</f>
        <v>7770</v>
      </c>
      <c r="L27" s="343" t="str">
        <f t="shared" si="1"/>
        <v/>
      </c>
      <c r="M27" s="344">
        <f>IF('King Node Model'!A52="","",$Q$7*('King Node Model'!C52*$Q$2+$Q$4*'King Node Model'!F52*$Q$3+$Q$5*0.5*'King Node Model'!I52*$Q$2^2+$Q$6*'King Node Model'!D52*$Q$2*$Q$3))</f>
        <v>-7195271.5</v>
      </c>
      <c r="N27" s="345" t="str">
        <f>IF($K27='Level Engine'!$W$9,"◄ RESISTANCE 1",IF($K27='Level Engine'!$W$18,"◄ SUPPORT 1",IF(ABS($K27-'King Node Model'!$B$4)&lt;=2.5,"◄ SPOT",IF($K27='King Node Model'!$D$26,"◄ GAMMA FLIP",IF($K27='King Node Model'!$D$27,"◄ ZERO GAMMA","")))))</f>
        <v/>
      </c>
      <c r="O27" s="100"/>
      <c r="P27" s="100"/>
      <c r="Q27" s="100"/>
      <c r="R27" s="100"/>
      <c r="S27" s="346" t="str">
        <f>IF(AND(ISNUMBER('King Node Model'!Z52),'King Node Model'!Z52&lt;0),REPT("█",ROUND(-'King Node Model'!Z52/MAX($X$1,1)*30,0)),"")</f>
        <v>███████</v>
      </c>
      <c r="T27" s="342">
        <f>'King Node Model'!A52</f>
        <v>7770</v>
      </c>
      <c r="U27" s="343" t="str">
        <f>IF(AND(ISNUMBER('King Node Model'!Z52),'King Node Model'!Z52&gt;0),REPT("█",ROUND('King Node Model'!Z52/MAX($X$1,1)*30,0)),"")</f>
        <v/>
      </c>
      <c r="V27" s="344">
        <f>IF('King Node Model'!A52="","",'King Node Model'!Z52)</f>
        <v>-2585182</v>
      </c>
      <c r="W27" s="345" t="str">
        <f>IF($T27='Level Engine'!$W$9,"◄ RESISTANCE 1",IF($T27='Level Engine'!$W$18,"◄ SUPPORT 1",IF(ABS($T27-'King Node Model'!$B$4)&lt;=2.5,"◄ SPOT",IF($T27='King Node Model'!$D$26,"◄ GAMMA FLIP",IF($T27='King Node Model'!$D$27,"◄ ZERO GAMMA","")))))</f>
        <v/>
      </c>
      <c r="X27" s="100"/>
      <c r="Y27" s="100"/>
      <c r="Z27" s="347" t="str">
        <f>IF(AND(ISNUMBER('King Node Model'!AI52),'King Node Model'!AI52&lt;0),REPT("█",ROUND(-'King Node Model'!AI52/MAX($AE$1,1)*30,0)),"")</f>
        <v>█████████████████████████████</v>
      </c>
      <c r="AA27" s="342">
        <f>'King Node Model'!A52</f>
        <v>7770</v>
      </c>
      <c r="AB27" s="348" t="str">
        <f>IF(AND(ISNUMBER('King Node Model'!AI52),'King Node Model'!AI52&gt;0),REPT("█",ROUND('King Node Model'!AI52/MAX($AE$1,1)*30,0)),"")</f>
        <v/>
      </c>
      <c r="AC27" s="344">
        <f>IF('King Node Model'!A52="","",'King Node Model'!AI52)</f>
        <v>-7973157</v>
      </c>
      <c r="AD27" s="345" t="str">
        <f>IF($AA27='Level Engine'!$W$9,"◄ RESISTANCE 1",IF($AA27='Level Engine'!$W$18,"◄ SUPPORT 1",IF(ABS($AA27-'King Node Model'!$B$4)&lt;=2.5,"◄ SPOT",IF($AA27='King Node Model'!$D$26,"◄ GAMMA FLIP",IF($AA27='King Node Model'!$D$27,"◄ ZERO GAMMA","")))))</f>
        <v/>
      </c>
      <c r="AE27" s="100"/>
    </row>
    <row r="28" spans="2:31" ht="15" customHeight="1" x14ac:dyDescent="0.25">
      <c r="B28" s="341" t="str">
        <f>IF('King Node Model'!C53&lt;0,REPT("█",ROUND(-'King Node Model'!C53/MAX($H$1,1)*30,0)),"")</f>
        <v>██████████████</v>
      </c>
      <c r="C28" s="342">
        <f>'King Node Model'!A53</f>
        <v>7765</v>
      </c>
      <c r="D28" s="343" t="str">
        <f>IF('King Node Model'!C53&gt;0,REPT("█",ROUND('King Node Model'!C53/MAX($H$1,1)*30,0)),"")</f>
        <v/>
      </c>
      <c r="E28" s="344">
        <f>IF('King Node Model'!A53="","",'King Node Model'!C53)</f>
        <v>-1477513</v>
      </c>
      <c r="F28" s="345" t="str">
        <f>IF($C28='Level Engine'!$W$9,"◄ RESISTANCE 1",IF($C28='Level Engine'!$W$18,"◄ SUPPORT 1",""))</f>
        <v/>
      </c>
      <c r="J28" s="341" t="str">
        <f t="shared" si="0"/>
        <v>████████████████</v>
      </c>
      <c r="K28" s="342">
        <f>'King Node Model'!A53</f>
        <v>7765</v>
      </c>
      <c r="L28" s="343" t="str">
        <f t="shared" si="1"/>
        <v/>
      </c>
      <c r="M28" s="344">
        <f>IF('King Node Model'!A53="","",$Q$7*('King Node Model'!C53*$Q$2+$Q$4*'King Node Model'!F53*$Q$3+$Q$5*0.5*'King Node Model'!I53*$Q$2^2+$Q$6*'King Node Model'!D53*$Q$2*$Q$3))</f>
        <v>-4713283.5</v>
      </c>
      <c r="N28" s="345" t="str">
        <f>IF($K28='Level Engine'!$W$9,"◄ RESISTANCE 1",IF($K28='Level Engine'!$W$18,"◄ SUPPORT 1",IF(ABS($K28-'King Node Model'!$B$4)&lt;=2.5,"◄ SPOT",IF($K28='King Node Model'!$D$26,"◄ GAMMA FLIP",IF($K28='King Node Model'!$D$27,"◄ ZERO GAMMA","")))))</f>
        <v/>
      </c>
      <c r="O28" s="100"/>
      <c r="P28" s="100"/>
      <c r="Q28" s="100"/>
      <c r="R28" s="100"/>
      <c r="S28" s="346" t="str">
        <f>IF(AND(ISNUMBER('King Node Model'!Z53),'King Node Model'!Z53&lt;0),REPT("█",ROUND(-'King Node Model'!Z53/MAX($X$1,1)*30,0)),"")</f>
        <v>███████████</v>
      </c>
      <c r="T28" s="342">
        <f>'King Node Model'!A53</f>
        <v>7765</v>
      </c>
      <c r="U28" s="343" t="str">
        <f>IF(AND(ISNUMBER('King Node Model'!Z53),'King Node Model'!Z53&gt;0),REPT("█",ROUND('King Node Model'!Z53/MAX($X$1,1)*30,0)),"")</f>
        <v/>
      </c>
      <c r="V28" s="344">
        <f>IF('King Node Model'!A53="","",'King Node Model'!Z53)</f>
        <v>-4062695</v>
      </c>
      <c r="W28" s="345" t="str">
        <f>IF($T28='Level Engine'!$W$9,"◄ RESISTANCE 1",IF($T28='Level Engine'!$W$18,"◄ SUPPORT 1",IF(ABS($T28-'King Node Model'!$B$4)&lt;=2.5,"◄ SPOT",IF($T28='King Node Model'!$D$26,"◄ GAMMA FLIP",IF($T28='King Node Model'!$D$27,"◄ ZERO GAMMA","")))))</f>
        <v/>
      </c>
      <c r="X28" s="100"/>
      <c r="Y28" s="100"/>
      <c r="Z28" s="347" t="str">
        <f>IF(AND(ISNUMBER('King Node Model'!AI53),'King Node Model'!AI53&lt;0),REPT("█",ROUND(-'King Node Model'!AI53/MAX($AE$1,1)*30,0)),"")</f>
        <v>██████████████████████████████</v>
      </c>
      <c r="AA28" s="342">
        <f>'King Node Model'!A53</f>
        <v>7765</v>
      </c>
      <c r="AB28" s="348" t="str">
        <f>IF(AND(ISNUMBER('King Node Model'!AI53),'King Node Model'!AI53&gt;0),REPT("█",ROUND('King Node Model'!AI53/MAX($AE$1,1)*30,0)),"")</f>
        <v/>
      </c>
      <c r="AC28" s="344">
        <f>IF('King Node Model'!A53="","",'King Node Model'!AI53)</f>
        <v>-8241578</v>
      </c>
      <c r="AD28" s="345" t="str">
        <f>IF($AA28='Level Engine'!$W$9,"◄ RESISTANCE 1",IF($AA28='Level Engine'!$W$18,"◄ SUPPORT 1",IF(ABS($AA28-'King Node Model'!$B$4)&lt;=2.5,"◄ SPOT",IF($AA28='King Node Model'!$D$26,"◄ GAMMA FLIP",IF($AA28='King Node Model'!$D$27,"◄ ZERO GAMMA","")))))</f>
        <v/>
      </c>
      <c r="AE28" s="100"/>
    </row>
    <row r="29" spans="2:31" ht="15" customHeight="1" x14ac:dyDescent="0.25">
      <c r="B29" s="341" t="str">
        <f>IF('King Node Model'!C54&lt;0,REPT("█",ROUND(-'King Node Model'!C54/MAX($H$1,1)*30,0)),"")</f>
        <v>███████████</v>
      </c>
      <c r="C29" s="342">
        <f>'King Node Model'!A54</f>
        <v>7760</v>
      </c>
      <c r="D29" s="343" t="str">
        <f>IF('King Node Model'!C54&gt;0,REPT("█",ROUND('King Node Model'!C54/MAX($H$1,1)*30,0)),"")</f>
        <v/>
      </c>
      <c r="E29" s="344">
        <f>IF('King Node Model'!A54="","",'King Node Model'!C54)</f>
        <v>-1166250</v>
      </c>
      <c r="F29" s="345" t="str">
        <f>IF($C29='Level Engine'!$W$9,"◄ RESISTANCE 1",IF($C29='Level Engine'!$W$18,"◄ SUPPORT 1",""))</f>
        <v/>
      </c>
      <c r="J29" s="341" t="str">
        <f t="shared" si="0"/>
        <v>████████████████</v>
      </c>
      <c r="K29" s="342">
        <f>'King Node Model'!A54</f>
        <v>7760</v>
      </c>
      <c r="L29" s="343" t="str">
        <f t="shared" si="1"/>
        <v/>
      </c>
      <c r="M29" s="344">
        <f>IF('King Node Model'!A54="","",$Q$7*('King Node Model'!C54*$Q$2+$Q$4*'King Node Model'!F54*$Q$3+$Q$5*0.5*'King Node Model'!I54*$Q$2^2+$Q$6*'King Node Model'!D54*$Q$2*$Q$3))</f>
        <v>-4724817</v>
      </c>
      <c r="N29" s="345" t="str">
        <f>IF($K29='Level Engine'!$W$9,"◄ RESISTANCE 1",IF($K29='Level Engine'!$W$18,"◄ SUPPORT 1",IF(ABS($K29-'King Node Model'!$B$4)&lt;=2.5,"◄ SPOT",IF($K29='King Node Model'!$D$26,"◄ GAMMA FLIP",IF($K29='King Node Model'!$D$27,"◄ ZERO GAMMA","")))))</f>
        <v/>
      </c>
      <c r="O29" s="100"/>
      <c r="P29" s="100"/>
      <c r="Q29" s="100"/>
      <c r="R29" s="100"/>
      <c r="S29" s="346" t="str">
        <f>IF(AND(ISNUMBER('King Node Model'!Z54),'King Node Model'!Z54&lt;0),REPT("█",ROUND(-'King Node Model'!Z54/MAX($X$1,1)*30,0)),"")</f>
        <v>██████████████</v>
      </c>
      <c r="T29" s="342">
        <f>'King Node Model'!A54</f>
        <v>7760</v>
      </c>
      <c r="U29" s="343" t="str">
        <f>IF(AND(ISNUMBER('King Node Model'!Z54),'King Node Model'!Z54&gt;0),REPT("█",ROUND('King Node Model'!Z54/MAX($X$1,1)*30,0)),"")</f>
        <v/>
      </c>
      <c r="V29" s="344">
        <f>IF('King Node Model'!A54="","",'King Node Model'!Z54)</f>
        <v>-5228945</v>
      </c>
      <c r="W29" s="345" t="str">
        <f>IF($T29='Level Engine'!$W$9,"◄ RESISTANCE 1",IF($T29='Level Engine'!$W$18,"◄ SUPPORT 1",IF(ABS($T29-'King Node Model'!$B$4)&lt;=2.5,"◄ SPOT",IF($T29='King Node Model'!$D$26,"◄ GAMMA FLIP",IF($T29='King Node Model'!$D$27,"◄ ZERO GAMMA","")))))</f>
        <v/>
      </c>
      <c r="X29" s="100"/>
      <c r="Y29" s="100"/>
      <c r="Z29" s="347" t="str">
        <f>IF(AND(ISNUMBER('King Node Model'!AI54),'King Node Model'!AI54&lt;0),REPT("█",ROUND(-'King Node Model'!AI54/MAX($AE$1,1)*30,0)),"")</f>
        <v>██████████████████████████████</v>
      </c>
      <c r="AA29" s="342">
        <f>'King Node Model'!A54</f>
        <v>7760</v>
      </c>
      <c r="AB29" s="348" t="str">
        <f>IF(AND(ISNUMBER('King Node Model'!AI54),'King Node Model'!AI54&gt;0),REPT("█",ROUND('King Node Model'!AI54/MAX($AE$1,1)*30,0)),"")</f>
        <v/>
      </c>
      <c r="AC29" s="344">
        <f>IF('King Node Model'!A54="","",'King Node Model'!AI54)</f>
        <v>-8239440</v>
      </c>
      <c r="AD29" s="345" t="str">
        <f>IF($AA29='Level Engine'!$W$9,"◄ RESISTANCE 1",IF($AA29='Level Engine'!$W$18,"◄ SUPPORT 1",IF(ABS($AA29-'King Node Model'!$B$4)&lt;=2.5,"◄ SPOT",IF($AA29='King Node Model'!$D$26,"◄ GAMMA FLIP",IF($AA29='King Node Model'!$D$27,"◄ ZERO GAMMA","")))))</f>
        <v/>
      </c>
      <c r="AE29" s="100"/>
    </row>
    <row r="30" spans="2:31" ht="15" customHeight="1" x14ac:dyDescent="0.25">
      <c r="B30" s="341" t="str">
        <f>IF('King Node Model'!C55&lt;0,REPT("█",ROUND(-'King Node Model'!C55/MAX($H$1,1)*30,0)),"")</f>
        <v>████</v>
      </c>
      <c r="C30" s="342">
        <f>'King Node Model'!A55</f>
        <v>7755</v>
      </c>
      <c r="D30" s="343" t="str">
        <f>IF('King Node Model'!C55&gt;0,REPT("█",ROUND('King Node Model'!C55/MAX($H$1,1)*30,0)),"")</f>
        <v/>
      </c>
      <c r="E30" s="344">
        <f>IF('King Node Model'!A55="","",'King Node Model'!C55)</f>
        <v>-393911</v>
      </c>
      <c r="F30" s="345" t="str">
        <f>IF($C30='Level Engine'!$W$9,"◄ RESISTANCE 1",IF($C30='Level Engine'!$W$18,"◄ SUPPORT 1",""))</f>
        <v/>
      </c>
      <c r="J30" s="341" t="str">
        <f t="shared" si="0"/>
        <v>██████</v>
      </c>
      <c r="K30" s="342">
        <f>'King Node Model'!A55</f>
        <v>7755</v>
      </c>
      <c r="L30" s="343" t="str">
        <f t="shared" si="1"/>
        <v/>
      </c>
      <c r="M30" s="344">
        <f>IF('King Node Model'!A55="","",$Q$7*('King Node Model'!C55*$Q$2+$Q$4*'King Node Model'!F55*$Q$3+$Q$5*0.5*'King Node Model'!I55*$Q$2^2+$Q$6*'King Node Model'!D55*$Q$2*$Q$3))</f>
        <v>-1905432.5</v>
      </c>
      <c r="N30" s="345" t="str">
        <f>IF($K30='Level Engine'!$W$9,"◄ RESISTANCE 1",IF($K30='Level Engine'!$W$18,"◄ SUPPORT 1",IF(ABS($K30-'King Node Model'!$B$4)&lt;=2.5,"◄ SPOT",IF($K30='King Node Model'!$D$26,"◄ GAMMA FLIP",IF($K30='King Node Model'!$D$27,"◄ ZERO GAMMA","")))))</f>
        <v/>
      </c>
      <c r="O30" s="100"/>
      <c r="P30" s="100"/>
      <c r="Q30" s="100"/>
      <c r="R30" s="100"/>
      <c r="S30" s="346" t="str">
        <f>IF(AND(ISNUMBER('King Node Model'!Z55),'King Node Model'!Z55&lt;0),REPT("█",ROUND(-'King Node Model'!Z55/MAX($X$1,1)*30,0)),"")</f>
        <v>███████████████</v>
      </c>
      <c r="T30" s="342">
        <f>'King Node Model'!A55</f>
        <v>7755</v>
      </c>
      <c r="U30" s="343" t="str">
        <f>IF(AND(ISNUMBER('King Node Model'!Z55),'King Node Model'!Z55&gt;0),REPT("█",ROUND('King Node Model'!Z55/MAX($X$1,1)*30,0)),"")</f>
        <v/>
      </c>
      <c r="V30" s="344">
        <f>IF('King Node Model'!A55="","",'King Node Model'!Z55)</f>
        <v>-5622856</v>
      </c>
      <c r="W30" s="345" t="str">
        <f>IF($T30='Level Engine'!$W$9,"◄ RESISTANCE 1",IF($T30='Level Engine'!$W$18,"◄ SUPPORT 1",IF(ABS($T30-'King Node Model'!$B$4)&lt;=2.5,"◄ SPOT",IF($T30='King Node Model'!$D$26,"◄ GAMMA FLIP",IF($T30='King Node Model'!$D$27,"◄ ZERO GAMMA","")))))</f>
        <v/>
      </c>
      <c r="X30" s="100"/>
      <c r="Y30" s="100"/>
      <c r="Z30" s="347" t="str">
        <f>IF(AND(ISNUMBER('King Node Model'!AI55),'King Node Model'!AI55&lt;0),REPT("█",ROUND(-'King Node Model'!AI55/MAX($AE$1,1)*30,0)),"")</f>
        <v>█████████████████████████████</v>
      </c>
      <c r="AA30" s="342">
        <f>'King Node Model'!A55</f>
        <v>7755</v>
      </c>
      <c r="AB30" s="348" t="str">
        <f>IF(AND(ISNUMBER('King Node Model'!AI55),'King Node Model'!AI55&gt;0),REPT("█",ROUND('King Node Model'!AI55/MAX($AE$1,1)*30,0)),"")</f>
        <v/>
      </c>
      <c r="AC30" s="344">
        <f>IF('King Node Model'!A55="","",'King Node Model'!AI55)</f>
        <v>-8022930</v>
      </c>
      <c r="AD30" s="345" t="str">
        <f>IF($AA30='Level Engine'!$W$9,"◄ RESISTANCE 1",IF($AA30='Level Engine'!$W$18,"◄ SUPPORT 1",IF(ABS($AA30-'King Node Model'!$B$4)&lt;=2.5,"◄ SPOT",IF($AA30='King Node Model'!$D$26,"◄ GAMMA FLIP",IF($AA30='King Node Model'!$D$27,"◄ ZERO GAMMA","")))))</f>
        <v/>
      </c>
      <c r="AE30" s="100"/>
    </row>
    <row r="31" spans="2:31" ht="15" customHeight="1" x14ac:dyDescent="0.25">
      <c r="B31" s="341" t="str">
        <f>IF('King Node Model'!C56&lt;0,REPT("█",ROUND(-'King Node Model'!C56/MAX($H$1,1)*30,0)),"")</f>
        <v>███████████████</v>
      </c>
      <c r="C31" s="342">
        <f>'King Node Model'!A56</f>
        <v>7750</v>
      </c>
      <c r="D31" s="343" t="str">
        <f>IF('King Node Model'!C56&gt;0,REPT("█",ROUND('King Node Model'!C56/MAX($H$1,1)*30,0)),"")</f>
        <v/>
      </c>
      <c r="E31" s="344">
        <f>IF('King Node Model'!A56="","",'King Node Model'!C56)</f>
        <v>-1614015</v>
      </c>
      <c r="F31" s="345" t="str">
        <f>IF($C31='Level Engine'!$W$9,"◄ RESISTANCE 1",IF($C31='Level Engine'!$W$18,"◄ SUPPORT 1",""))</f>
        <v/>
      </c>
      <c r="J31" s="341" t="str">
        <f t="shared" si="0"/>
        <v>██████████████████████████████</v>
      </c>
      <c r="K31" s="342">
        <f>'King Node Model'!A56</f>
        <v>7750</v>
      </c>
      <c r="L31" s="343" t="str">
        <f t="shared" si="1"/>
        <v/>
      </c>
      <c r="M31" s="344">
        <f>IF('King Node Model'!A56="","",$Q$7*('King Node Model'!C56*$Q$2+$Q$4*'King Node Model'!F56*$Q$3+$Q$5*0.5*'King Node Model'!I56*$Q$2^2+$Q$6*'King Node Model'!D56*$Q$2*$Q$3))</f>
        <v>-8971613.5</v>
      </c>
      <c r="N31" s="345" t="str">
        <f>IF($K31='Level Engine'!$W$9,"◄ RESISTANCE 1",IF($K31='Level Engine'!$W$18,"◄ SUPPORT 1",IF(ABS($K31-'King Node Model'!$B$4)&lt;=2.5,"◄ SPOT",IF($K31='King Node Model'!$D$26,"◄ GAMMA FLIP",IF($K31='King Node Model'!$D$27,"◄ ZERO GAMMA","")))))</f>
        <v/>
      </c>
      <c r="O31" s="100"/>
      <c r="P31" s="100"/>
      <c r="Q31" s="100"/>
      <c r="R31" s="100"/>
      <c r="S31" s="346" t="str">
        <f>IF(AND(ISNUMBER('King Node Model'!Z56),'King Node Model'!Z56&lt;0),REPT("█",ROUND(-'King Node Model'!Z56/MAX($X$1,1)*30,0)),"")</f>
        <v>████████████████████</v>
      </c>
      <c r="T31" s="342">
        <f>'King Node Model'!A56</f>
        <v>7750</v>
      </c>
      <c r="U31" s="343" t="str">
        <f>IF(AND(ISNUMBER('King Node Model'!Z56),'King Node Model'!Z56&gt;0),REPT("█",ROUND('King Node Model'!Z56/MAX($X$1,1)*30,0)),"")</f>
        <v/>
      </c>
      <c r="V31" s="344">
        <f>IF('King Node Model'!A56="","",'King Node Model'!Z56)</f>
        <v>-7236871</v>
      </c>
      <c r="W31" s="345" t="str">
        <f>IF($T31='Level Engine'!$W$9,"◄ RESISTANCE 1",IF($T31='Level Engine'!$W$18,"◄ SUPPORT 1",IF(ABS($T31-'King Node Model'!$B$4)&lt;=2.5,"◄ SPOT",IF($T31='King Node Model'!$D$26,"◄ GAMMA FLIP",IF($T31='King Node Model'!$D$27,"◄ ZERO GAMMA","")))))</f>
        <v/>
      </c>
      <c r="X31" s="100"/>
      <c r="Y31" s="100"/>
      <c r="Z31" s="347" t="str">
        <f>IF(AND(ISNUMBER('King Node Model'!AI56),'King Node Model'!AI56&lt;0),REPT("█",ROUND(-'King Node Model'!AI56/MAX($AE$1,1)*30,0)),"")</f>
        <v>███████████████████████████</v>
      </c>
      <c r="AA31" s="342">
        <f>'King Node Model'!A56</f>
        <v>7750</v>
      </c>
      <c r="AB31" s="348" t="str">
        <f>IF(AND(ISNUMBER('King Node Model'!AI56),'King Node Model'!AI56&gt;0),REPT("█",ROUND('King Node Model'!AI56/MAX($AE$1,1)*30,0)),"")</f>
        <v/>
      </c>
      <c r="AC31" s="344">
        <f>IF('King Node Model'!A56="","",'King Node Model'!AI56)</f>
        <v>-7405699</v>
      </c>
      <c r="AD31" s="345" t="str">
        <f>IF($AA31='Level Engine'!$W$9,"◄ RESISTANCE 1",IF($AA31='Level Engine'!$W$18,"◄ SUPPORT 1",IF(ABS($AA31-'King Node Model'!$B$4)&lt;=2.5,"◄ SPOT",IF($AA31='King Node Model'!$D$26,"◄ GAMMA FLIP",IF($AA31='King Node Model'!$D$27,"◄ ZERO GAMMA","")))))</f>
        <v/>
      </c>
      <c r="AE31" s="100"/>
    </row>
    <row r="32" spans="2:31" ht="15" customHeight="1" x14ac:dyDescent="0.25">
      <c r="B32" s="341" t="str">
        <f>IF('King Node Model'!C57&lt;0,REPT("█",ROUND(-'King Node Model'!C57/MAX($H$1,1)*30,0)),"")</f>
        <v>██████████</v>
      </c>
      <c r="C32" s="342">
        <f>'King Node Model'!A57</f>
        <v>7745</v>
      </c>
      <c r="D32" s="343" t="str">
        <f>IF('King Node Model'!C57&gt;0,REPT("█",ROUND('King Node Model'!C57/MAX($H$1,1)*30,0)),"")</f>
        <v/>
      </c>
      <c r="E32" s="344">
        <f>IF('King Node Model'!A57="","",'King Node Model'!C57)</f>
        <v>-1009366</v>
      </c>
      <c r="F32" s="345" t="str">
        <f>IF($C32='Level Engine'!$W$9,"◄ RESISTANCE 1",IF($C32='Level Engine'!$W$18,"◄ SUPPORT 1",""))</f>
        <v/>
      </c>
      <c r="J32" s="341" t="str">
        <f t="shared" si="0"/>
        <v>█████████████████████</v>
      </c>
      <c r="K32" s="342">
        <f>'King Node Model'!A57</f>
        <v>7745</v>
      </c>
      <c r="L32" s="343" t="str">
        <f t="shared" si="1"/>
        <v/>
      </c>
      <c r="M32" s="344">
        <f>IF('King Node Model'!A57="","",$Q$7*('King Node Model'!C57*$Q$2+$Q$4*'King Node Model'!F57*$Q$3+$Q$5*0.5*'King Node Model'!I57*$Q$2^2+$Q$6*'King Node Model'!D57*$Q$2*$Q$3))</f>
        <v>-6261759.5</v>
      </c>
      <c r="N32" s="345" t="str">
        <f>IF($K32='Level Engine'!$W$9,"◄ RESISTANCE 1",IF($K32='Level Engine'!$W$18,"◄ SUPPORT 1",IF(ABS($K32-'King Node Model'!$B$4)&lt;=2.5,"◄ SPOT",IF($K32='King Node Model'!$D$26,"◄ GAMMA FLIP",IF($K32='King Node Model'!$D$27,"◄ ZERO GAMMA","")))))</f>
        <v/>
      </c>
      <c r="O32" s="100"/>
      <c r="P32" s="100"/>
      <c r="Q32" s="100"/>
      <c r="R32" s="100"/>
      <c r="S32" s="346" t="str">
        <f>IF(AND(ISNUMBER('King Node Model'!Z57),'King Node Model'!Z57&lt;0),REPT("█",ROUND(-'King Node Model'!Z57/MAX($X$1,1)*30,0)),"")</f>
        <v>███████████████████████</v>
      </c>
      <c r="T32" s="342">
        <f>'King Node Model'!A57</f>
        <v>7745</v>
      </c>
      <c r="U32" s="343" t="str">
        <f>IF(AND(ISNUMBER('King Node Model'!Z57),'King Node Model'!Z57&gt;0),REPT("█",ROUND('King Node Model'!Z57/MAX($X$1,1)*30,0)),"")</f>
        <v/>
      </c>
      <c r="V32" s="344">
        <f>IF('King Node Model'!A57="","",'King Node Model'!Z57)</f>
        <v>-8246237</v>
      </c>
      <c r="W32" s="345" t="str">
        <f>IF($T32='Level Engine'!$W$9,"◄ RESISTANCE 1",IF($T32='Level Engine'!$W$18,"◄ SUPPORT 1",IF(ABS($T32-'King Node Model'!$B$4)&lt;=2.5,"◄ SPOT",IF($T32='King Node Model'!$D$26,"◄ GAMMA FLIP",IF($T32='King Node Model'!$D$27,"◄ ZERO GAMMA","")))))</f>
        <v/>
      </c>
      <c r="X32" s="100"/>
      <c r="Y32" s="100"/>
      <c r="Z32" s="347" t="str">
        <f>IF(AND(ISNUMBER('King Node Model'!AI57),'King Node Model'!AI57&lt;0),REPT("█",ROUND(-'King Node Model'!AI57/MAX($AE$1,1)*30,0)),"")</f>
        <v>███████████████████████████</v>
      </c>
      <c r="AA32" s="342">
        <f>'King Node Model'!A57</f>
        <v>7745</v>
      </c>
      <c r="AB32" s="348" t="str">
        <f>IF(AND(ISNUMBER('King Node Model'!AI57),'King Node Model'!AI57&gt;0),REPT("█",ROUND('King Node Model'!AI57/MAX($AE$1,1)*30,0)),"")</f>
        <v/>
      </c>
      <c r="AC32" s="344">
        <f>IF('King Node Model'!A57="","",'King Node Model'!AI57)</f>
        <v>-7406331</v>
      </c>
      <c r="AD32" s="345" t="str">
        <f>IF($AA32='Level Engine'!$W$9,"◄ RESISTANCE 1",IF($AA32='Level Engine'!$W$18,"◄ SUPPORT 1",IF(ABS($AA32-'King Node Model'!$B$4)&lt;=2.5,"◄ SPOT",IF($AA32='King Node Model'!$D$26,"◄ GAMMA FLIP",IF($AA32='King Node Model'!$D$27,"◄ ZERO GAMMA","")))))</f>
        <v/>
      </c>
      <c r="AE32" s="100"/>
    </row>
    <row r="33" spans="2:31" ht="15" customHeight="1" x14ac:dyDescent="0.25">
      <c r="B33" s="341" t="str">
        <f>IF('King Node Model'!C58&lt;0,REPT("█",ROUND(-'King Node Model'!C58/MAX($H$1,1)*30,0)),"")</f>
        <v>██</v>
      </c>
      <c r="C33" s="342">
        <f>'King Node Model'!A58</f>
        <v>7740</v>
      </c>
      <c r="D33" s="343" t="str">
        <f>IF('King Node Model'!C58&gt;0,REPT("█",ROUND('King Node Model'!C58/MAX($H$1,1)*30,0)),"")</f>
        <v/>
      </c>
      <c r="E33" s="344">
        <f>IF('King Node Model'!A58="","",'King Node Model'!C58)</f>
        <v>-252679</v>
      </c>
      <c r="F33" s="345" t="str">
        <f>IF($C33='Level Engine'!$W$9,"◄ RESISTANCE 1",IF($C33='Level Engine'!$W$18,"◄ SUPPORT 1",""))</f>
        <v/>
      </c>
      <c r="J33" s="341" t="str">
        <f t="shared" si="0"/>
        <v>██████</v>
      </c>
      <c r="K33" s="342">
        <f>'King Node Model'!A58</f>
        <v>7740</v>
      </c>
      <c r="L33" s="343" t="str">
        <f t="shared" si="1"/>
        <v/>
      </c>
      <c r="M33" s="344">
        <f>IF('King Node Model'!A58="","",$Q$7*('King Node Model'!C58*$Q$2+$Q$4*'King Node Model'!F58*$Q$3+$Q$5*0.5*'King Node Model'!I58*$Q$2^2+$Q$6*'King Node Model'!D58*$Q$2*$Q$3))</f>
        <v>-1719369</v>
      </c>
      <c r="N33" s="345" t="str">
        <f>IF($K33='Level Engine'!$W$9,"◄ RESISTANCE 1",IF($K33='Level Engine'!$W$18,"◄ SUPPORT 1",IF(ABS($K33-'King Node Model'!$B$4)&lt;=2.5,"◄ SPOT",IF($K33='King Node Model'!$D$26,"◄ GAMMA FLIP",IF($K33='King Node Model'!$D$27,"◄ ZERO GAMMA","")))))</f>
        <v/>
      </c>
      <c r="O33" s="100"/>
      <c r="P33" s="100"/>
      <c r="Q33" s="100"/>
      <c r="R33" s="100"/>
      <c r="S33" s="346" t="str">
        <f>IF(AND(ISNUMBER('King Node Model'!Z58),'King Node Model'!Z58&lt;0),REPT("█",ROUND(-'King Node Model'!Z58/MAX($X$1,1)*30,0)),"")</f>
        <v>███████████████████████</v>
      </c>
      <c r="T33" s="342">
        <f>'King Node Model'!A58</f>
        <v>7740</v>
      </c>
      <c r="U33" s="343" t="str">
        <f>IF(AND(ISNUMBER('King Node Model'!Z58),'King Node Model'!Z58&gt;0),REPT("█",ROUND('King Node Model'!Z58/MAX($X$1,1)*30,0)),"")</f>
        <v/>
      </c>
      <c r="V33" s="344">
        <f>IF('King Node Model'!A58="","",'King Node Model'!Z58)</f>
        <v>-8498916</v>
      </c>
      <c r="W33" s="345" t="str">
        <f>IF($T33='Level Engine'!$W$9,"◄ RESISTANCE 1",IF($T33='Level Engine'!$W$18,"◄ SUPPORT 1",IF(ABS($T33-'King Node Model'!$B$4)&lt;=2.5,"◄ SPOT",IF($T33='King Node Model'!$D$26,"◄ GAMMA FLIP",IF($T33='King Node Model'!$D$27,"◄ ZERO GAMMA","")))))</f>
        <v/>
      </c>
      <c r="X33" s="100"/>
      <c r="Y33" s="100"/>
      <c r="Z33" s="347" t="str">
        <f>IF(AND(ISNUMBER('King Node Model'!AI58),'King Node Model'!AI58&lt;0),REPT("█",ROUND(-'King Node Model'!AI58/MAX($AE$1,1)*30,0)),"")</f>
        <v>██████████████████████████</v>
      </c>
      <c r="AA33" s="342">
        <f>'King Node Model'!A58</f>
        <v>7740</v>
      </c>
      <c r="AB33" s="348" t="str">
        <f>IF(AND(ISNUMBER('King Node Model'!AI58),'King Node Model'!AI58&gt;0),REPT("█",ROUND('King Node Model'!AI58/MAX($AE$1,1)*30,0)),"")</f>
        <v/>
      </c>
      <c r="AC33" s="344">
        <f>IF('King Node Model'!A58="","",'King Node Model'!AI58)</f>
        <v>-7065056</v>
      </c>
      <c r="AD33" s="345" t="str">
        <f>IF($AA33='Level Engine'!$W$9,"◄ RESISTANCE 1",IF($AA33='Level Engine'!$W$18,"◄ SUPPORT 1",IF(ABS($AA33-'King Node Model'!$B$4)&lt;=2.5,"◄ SPOT",IF($AA33='King Node Model'!$D$26,"◄ GAMMA FLIP",IF($AA33='King Node Model'!$D$27,"◄ ZERO GAMMA","")))))</f>
        <v/>
      </c>
      <c r="AE33" s="100"/>
    </row>
    <row r="34" spans="2:31" ht="15" customHeight="1" x14ac:dyDescent="0.25">
      <c r="B34" s="341" t="str">
        <f>IF('King Node Model'!C59&lt;0,REPT("█",ROUND(-'King Node Model'!C59/MAX($H$1,1)*30,0)),"")</f>
        <v>███</v>
      </c>
      <c r="C34" s="342">
        <f>'King Node Model'!A59</f>
        <v>7735</v>
      </c>
      <c r="D34" s="343" t="str">
        <f>IF('King Node Model'!C59&gt;0,REPT("█",ROUND('King Node Model'!C59/MAX($H$1,1)*30,0)),"")</f>
        <v/>
      </c>
      <c r="E34" s="344">
        <f>IF('King Node Model'!A59="","",'King Node Model'!C59)</f>
        <v>-277071</v>
      </c>
      <c r="F34" s="345" t="str">
        <f>IF($C34='Level Engine'!$W$9,"◄ RESISTANCE 1",IF($C34='Level Engine'!$W$18,"◄ SUPPORT 1",""))</f>
        <v/>
      </c>
      <c r="J34" s="341" t="str">
        <f t="shared" si="0"/>
        <v>███████</v>
      </c>
      <c r="K34" s="342">
        <f>'King Node Model'!A59</f>
        <v>7735</v>
      </c>
      <c r="L34" s="343" t="str">
        <f t="shared" si="1"/>
        <v/>
      </c>
      <c r="M34" s="344">
        <f>IF('King Node Model'!A59="","",$Q$7*('King Node Model'!C59*$Q$2+$Q$4*'King Node Model'!F59*$Q$3+$Q$5*0.5*'King Node Model'!I59*$Q$2^2+$Q$6*'King Node Model'!D59*$Q$2*$Q$3))</f>
        <v>-2036920.5</v>
      </c>
      <c r="N34" s="345" t="str">
        <f>IF($K34='Level Engine'!$W$9,"◄ RESISTANCE 1",IF($K34='Level Engine'!$W$18,"◄ SUPPORT 1",IF(ABS($K34-'King Node Model'!$B$4)&lt;=2.5,"◄ SPOT",IF($K34='King Node Model'!$D$26,"◄ GAMMA FLIP",IF($K34='King Node Model'!$D$27,"◄ ZERO GAMMA","")))))</f>
        <v/>
      </c>
      <c r="O34" s="100"/>
      <c r="P34" s="100"/>
      <c r="Q34" s="100"/>
      <c r="R34" s="100"/>
      <c r="S34" s="346" t="str">
        <f>IF(AND(ISNUMBER('King Node Model'!Z59),'King Node Model'!Z59&lt;0),REPT("█",ROUND(-'King Node Model'!Z59/MAX($X$1,1)*30,0)),"")</f>
        <v>████████████████████████</v>
      </c>
      <c r="T34" s="342">
        <f>'King Node Model'!A59</f>
        <v>7735</v>
      </c>
      <c r="U34" s="343" t="str">
        <f>IF(AND(ISNUMBER('King Node Model'!Z59),'King Node Model'!Z59&gt;0),REPT("█",ROUND('King Node Model'!Z59/MAX($X$1,1)*30,0)),"")</f>
        <v/>
      </c>
      <c r="V34" s="344">
        <f>IF('King Node Model'!A59="","",'King Node Model'!Z59)</f>
        <v>-8775987</v>
      </c>
      <c r="W34" s="345" t="str">
        <f>IF($T34='Level Engine'!$W$9,"◄ RESISTANCE 1",IF($T34='Level Engine'!$W$18,"◄ SUPPORT 1",IF(ABS($T34-'King Node Model'!$B$4)&lt;=2.5,"◄ SPOT",IF($T34='King Node Model'!$D$26,"◄ GAMMA FLIP",IF($T34='King Node Model'!$D$27,"◄ ZERO GAMMA","")))))</f>
        <v/>
      </c>
      <c r="X34" s="100"/>
      <c r="Y34" s="100"/>
      <c r="Z34" s="347" t="str">
        <f>IF(AND(ISNUMBER('King Node Model'!AI59),'King Node Model'!AI59&lt;0),REPT("█",ROUND(-'King Node Model'!AI59/MAX($AE$1,1)*30,0)),"")</f>
        <v>█████████████████████████</v>
      </c>
      <c r="AA34" s="342">
        <f>'King Node Model'!A59</f>
        <v>7735</v>
      </c>
      <c r="AB34" s="348" t="str">
        <f>IF(AND(ISNUMBER('King Node Model'!AI59),'King Node Model'!AI59&gt;0),REPT("█",ROUND('King Node Model'!AI59/MAX($AE$1,1)*30,0)),"")</f>
        <v/>
      </c>
      <c r="AC34" s="344">
        <f>IF('King Node Model'!A59="","",'King Node Model'!AI59)</f>
        <v>-6966413</v>
      </c>
      <c r="AD34" s="345" t="str">
        <f>IF($AA34='Level Engine'!$W$9,"◄ RESISTANCE 1",IF($AA34='Level Engine'!$W$18,"◄ SUPPORT 1",IF(ABS($AA34-'King Node Model'!$B$4)&lt;=2.5,"◄ SPOT",IF($AA34='King Node Model'!$D$26,"◄ GAMMA FLIP",IF($AA34='King Node Model'!$D$27,"◄ ZERO GAMMA","")))))</f>
        <v/>
      </c>
      <c r="AE34" s="100"/>
    </row>
    <row r="35" spans="2:31" ht="15" customHeight="1" x14ac:dyDescent="0.25">
      <c r="B35" s="341" t="str">
        <f>IF('King Node Model'!C60&lt;0,REPT("█",ROUND(-'King Node Model'!C60/MAX($H$1,1)*30,0)),"")</f>
        <v/>
      </c>
      <c r="C35" s="342">
        <f>'King Node Model'!A60</f>
        <v>7730</v>
      </c>
      <c r="D35" s="343" t="str">
        <f>IF('King Node Model'!C60&gt;0,REPT("█",ROUND('King Node Model'!C60/MAX($H$1,1)*30,0)),"")</f>
        <v/>
      </c>
      <c r="E35" s="344">
        <f>IF('King Node Model'!A60="","",'King Node Model'!C60)</f>
        <v>-9171</v>
      </c>
      <c r="F35" s="345" t="str">
        <f>IF($C35='Level Engine'!$W$9,"◄ RESISTANCE 1",IF($C35='Level Engine'!$W$18,"◄ SUPPORT 1",""))</f>
        <v/>
      </c>
      <c r="J35" s="341" t="str">
        <f t="shared" si="0"/>
        <v/>
      </c>
      <c r="K35" s="342">
        <f>'King Node Model'!A60</f>
        <v>7730</v>
      </c>
      <c r="L35" s="343" t="str">
        <f t="shared" si="1"/>
        <v/>
      </c>
      <c r="M35" s="344">
        <f>IF('King Node Model'!A60="","",$Q$7*('King Node Model'!C60*$Q$2+$Q$4*'King Node Model'!F60*$Q$3+$Q$5*0.5*'King Node Model'!I60*$Q$2^2+$Q$6*'King Node Model'!D60*$Q$2*$Q$3))</f>
        <v>-71749.5</v>
      </c>
      <c r="N35" s="345" t="str">
        <f>IF($K35='Level Engine'!$W$9,"◄ RESISTANCE 1",IF($K35='Level Engine'!$W$18,"◄ SUPPORT 1",IF(ABS($K35-'King Node Model'!$B$4)&lt;=2.5,"◄ SPOT",IF($K35='King Node Model'!$D$26,"◄ GAMMA FLIP",IF($K35='King Node Model'!$D$27,"◄ ZERO GAMMA","")))))</f>
        <v/>
      </c>
      <c r="O35" s="100"/>
      <c r="P35" s="100"/>
      <c r="Q35" s="100"/>
      <c r="R35" s="100"/>
      <c r="S35" s="346" t="str">
        <f>IF(AND(ISNUMBER('King Node Model'!Z60),'King Node Model'!Z60&lt;0),REPT("█",ROUND(-'King Node Model'!Z60/MAX($X$1,1)*30,0)),"")</f>
        <v>████████████████████████</v>
      </c>
      <c r="T35" s="342">
        <f>'King Node Model'!A60</f>
        <v>7730</v>
      </c>
      <c r="U35" s="343" t="str">
        <f>IF(AND(ISNUMBER('King Node Model'!Z60),'King Node Model'!Z60&gt;0),REPT("█",ROUND('King Node Model'!Z60/MAX($X$1,1)*30,0)),"")</f>
        <v/>
      </c>
      <c r="V35" s="344">
        <f>IF('King Node Model'!A60="","",'King Node Model'!Z60)</f>
        <v>-8785158</v>
      </c>
      <c r="W35" s="345" t="str">
        <f>IF($T35='Level Engine'!$W$9,"◄ RESISTANCE 1",IF($T35='Level Engine'!$W$18,"◄ SUPPORT 1",IF(ABS($T35-'King Node Model'!$B$4)&lt;=2.5,"◄ SPOT",IF($T35='King Node Model'!$D$26,"◄ GAMMA FLIP",IF($T35='King Node Model'!$D$27,"◄ ZERO GAMMA","")))))</f>
        <v/>
      </c>
      <c r="X35" s="100"/>
      <c r="Y35" s="100"/>
      <c r="Z35" s="347" t="str">
        <f>IF(AND(ISNUMBER('King Node Model'!AI60),'King Node Model'!AI60&lt;0),REPT("█",ROUND(-'King Node Model'!AI60/MAX($AE$1,1)*30,0)),"")</f>
        <v>███████████████████</v>
      </c>
      <c r="AA35" s="342">
        <f>'King Node Model'!A60</f>
        <v>7730</v>
      </c>
      <c r="AB35" s="348" t="str">
        <f>IF(AND(ISNUMBER('King Node Model'!AI60),'King Node Model'!AI60&gt;0),REPT("█",ROUND('King Node Model'!AI60/MAX($AE$1,1)*30,0)),"")</f>
        <v/>
      </c>
      <c r="AC35" s="344">
        <f>IF('King Node Model'!A60="","",'King Node Model'!AI60)</f>
        <v>-5335018</v>
      </c>
      <c r="AD35" s="345" t="str">
        <f>IF($AA35='Level Engine'!$W$9,"◄ RESISTANCE 1",IF($AA35='Level Engine'!$W$18,"◄ SUPPORT 1",IF(ABS($AA35-'King Node Model'!$B$4)&lt;=2.5,"◄ SPOT",IF($AA35='King Node Model'!$D$26,"◄ GAMMA FLIP",IF($AA35='King Node Model'!$D$27,"◄ ZERO GAMMA","")))))</f>
        <v/>
      </c>
      <c r="AE35" s="100"/>
    </row>
    <row r="36" spans="2:31" ht="15" customHeight="1" x14ac:dyDescent="0.25">
      <c r="B36" s="341" t="str">
        <f>IF('King Node Model'!C61&lt;0,REPT("█",ROUND(-'King Node Model'!C61/MAX($H$1,1)*30,0)),"")</f>
        <v>█</v>
      </c>
      <c r="C36" s="342">
        <f>'King Node Model'!A61</f>
        <v>7725</v>
      </c>
      <c r="D36" s="343" t="str">
        <f>IF('King Node Model'!C61&gt;0,REPT("█",ROUND('King Node Model'!C61/MAX($H$1,1)*30,0)),"")</f>
        <v/>
      </c>
      <c r="E36" s="344">
        <f>IF('King Node Model'!A61="","",'King Node Model'!C61)</f>
        <v>-134113</v>
      </c>
      <c r="F36" s="345" t="str">
        <f>IF($C36='Level Engine'!$W$9,"◄ RESISTANCE 1",IF($C36='Level Engine'!$W$18,"◄ SUPPORT 1",""))</f>
        <v/>
      </c>
      <c r="J36" s="341" t="str">
        <f t="shared" si="0"/>
        <v>████</v>
      </c>
      <c r="K36" s="342">
        <f>'King Node Model'!A61</f>
        <v>7725</v>
      </c>
      <c r="L36" s="343" t="str">
        <f t="shared" si="1"/>
        <v/>
      </c>
      <c r="M36" s="344">
        <f>IF('King Node Model'!A61="","",$Q$7*('King Node Model'!C61*$Q$2+$Q$4*'King Node Model'!F61*$Q$3+$Q$5*0.5*'King Node Model'!I61*$Q$2^2+$Q$6*'King Node Model'!D61*$Q$2*$Q$3))</f>
        <v>-1103145</v>
      </c>
      <c r="N36" s="345" t="str">
        <f>IF($K36='Level Engine'!$W$9,"◄ RESISTANCE 1",IF($K36='Level Engine'!$W$18,"◄ SUPPORT 1",IF(ABS($K36-'King Node Model'!$B$4)&lt;=2.5,"◄ SPOT",IF($K36='King Node Model'!$D$26,"◄ GAMMA FLIP",IF($K36='King Node Model'!$D$27,"◄ ZERO GAMMA","")))))</f>
        <v/>
      </c>
      <c r="O36" s="100"/>
      <c r="P36" s="100"/>
      <c r="Q36" s="100"/>
      <c r="R36" s="100"/>
      <c r="S36" s="346" t="str">
        <f>IF(AND(ISNUMBER('King Node Model'!Z61),'King Node Model'!Z61&lt;0),REPT("█",ROUND(-'King Node Model'!Z61/MAX($X$1,1)*30,0)),"")</f>
        <v>█████████████████████████</v>
      </c>
      <c r="T36" s="342">
        <f>'King Node Model'!A61</f>
        <v>7725</v>
      </c>
      <c r="U36" s="343" t="str">
        <f>IF(AND(ISNUMBER('King Node Model'!Z61),'King Node Model'!Z61&gt;0),REPT("█",ROUND('King Node Model'!Z61/MAX($X$1,1)*30,0)),"")</f>
        <v/>
      </c>
      <c r="V36" s="344">
        <f>IF('King Node Model'!A61="","",'King Node Model'!Z61)</f>
        <v>-8919271</v>
      </c>
      <c r="W36" s="345" t="str">
        <f>IF($T36='Level Engine'!$W$9,"◄ RESISTANCE 1",IF($T36='Level Engine'!$W$18,"◄ SUPPORT 1",IF(ABS($T36-'King Node Model'!$B$4)&lt;=2.5,"◄ SPOT",IF($T36='King Node Model'!$D$26,"◄ GAMMA FLIP",IF($T36='King Node Model'!$D$27,"◄ ZERO GAMMA","")))))</f>
        <v/>
      </c>
      <c r="X36" s="100"/>
      <c r="Y36" s="100"/>
      <c r="Z36" s="347" t="str">
        <f>IF(AND(ISNUMBER('King Node Model'!AI61),'King Node Model'!AI61&lt;0),REPT("█",ROUND(-'King Node Model'!AI61/MAX($AE$1,1)*30,0)),"")</f>
        <v>████████████████</v>
      </c>
      <c r="AA36" s="342">
        <f>'King Node Model'!A61</f>
        <v>7725</v>
      </c>
      <c r="AB36" s="348" t="str">
        <f>IF(AND(ISNUMBER('King Node Model'!AI61),'King Node Model'!AI61&gt;0),REPT("█",ROUND('King Node Model'!AI61/MAX($AE$1,1)*30,0)),"")</f>
        <v/>
      </c>
      <c r="AC36" s="344">
        <f>IF('King Node Model'!A61="","",'King Node Model'!AI61)</f>
        <v>-4459594</v>
      </c>
      <c r="AD36" s="345" t="str">
        <f>IF($AA36='Level Engine'!$W$9,"◄ RESISTANCE 1",IF($AA36='Level Engine'!$W$18,"◄ SUPPORT 1",IF(ABS($AA36-'King Node Model'!$B$4)&lt;=2.5,"◄ SPOT",IF($AA36='King Node Model'!$D$26,"◄ GAMMA FLIP",IF($AA36='King Node Model'!$D$27,"◄ ZERO GAMMA","")))))</f>
        <v/>
      </c>
      <c r="AE36" s="100"/>
    </row>
    <row r="37" spans="2:31" ht="15" customHeight="1" x14ac:dyDescent="0.25">
      <c r="B37" s="341" t="str">
        <f>IF('King Node Model'!C62&lt;0,REPT("█",ROUND(-'King Node Model'!C62/MAX($H$1,1)*30,0)),"")</f>
        <v>█████████</v>
      </c>
      <c r="C37" s="342">
        <f>'King Node Model'!A62</f>
        <v>7720</v>
      </c>
      <c r="D37" s="343" t="str">
        <f>IF('King Node Model'!C62&gt;0,REPT("█",ROUND('King Node Model'!C62/MAX($H$1,1)*30,0)),"")</f>
        <v/>
      </c>
      <c r="E37" s="344">
        <f>IF('King Node Model'!A62="","",'King Node Model'!C62)</f>
        <v>-913709</v>
      </c>
      <c r="F37" s="345" t="str">
        <f>IF($C37='Level Engine'!$W$9,"◄ RESISTANCE 1",IF($C37='Level Engine'!$W$18,"◄ SUPPORT 1",""))</f>
        <v/>
      </c>
      <c r="J37" s="341" t="str">
        <f t="shared" si="0"/>
        <v>██████████████████████████</v>
      </c>
      <c r="K37" s="342">
        <f>'King Node Model'!A62</f>
        <v>7720</v>
      </c>
      <c r="L37" s="343" t="str">
        <f t="shared" si="1"/>
        <v/>
      </c>
      <c r="M37" s="344">
        <f>IF('King Node Model'!A62="","",$Q$7*('King Node Model'!C62*$Q$2+$Q$4*'King Node Model'!F62*$Q$3+$Q$5*0.5*'King Node Model'!I62*$Q$2^2+$Q$6*'King Node Model'!D62*$Q$2*$Q$3))</f>
        <v>-7837312.5</v>
      </c>
      <c r="N37" s="345" t="str">
        <f>IF($K37='Level Engine'!$W$9,"◄ RESISTANCE 1",IF($K37='Level Engine'!$W$18,"◄ SUPPORT 1",IF(ABS($K37-'King Node Model'!$B$4)&lt;=2.5,"◄ SPOT",IF($K37='King Node Model'!$D$26,"◄ GAMMA FLIP",IF($K37='King Node Model'!$D$27,"◄ ZERO GAMMA","")))))</f>
        <v/>
      </c>
      <c r="O37" s="100"/>
      <c r="P37" s="100"/>
      <c r="Q37" s="100"/>
      <c r="R37" s="100"/>
      <c r="S37" s="346" t="str">
        <f>IF(AND(ISNUMBER('King Node Model'!Z62),'King Node Model'!Z62&lt;0),REPT("█",ROUND(-'King Node Model'!Z62/MAX($X$1,1)*30,0)),"")</f>
        <v>███████████████████████████</v>
      </c>
      <c r="T37" s="342">
        <f>'King Node Model'!A62</f>
        <v>7720</v>
      </c>
      <c r="U37" s="343" t="str">
        <f>IF(AND(ISNUMBER('King Node Model'!Z62),'King Node Model'!Z62&gt;0),REPT("█",ROUND('King Node Model'!Z62/MAX($X$1,1)*30,0)),"")</f>
        <v/>
      </c>
      <c r="V37" s="344">
        <f>IF('King Node Model'!A62="","",'King Node Model'!Z62)</f>
        <v>-9832980</v>
      </c>
      <c r="W37" s="345" t="str">
        <f>IF($T37='Level Engine'!$W$9,"◄ RESISTANCE 1",IF($T37='Level Engine'!$W$18,"◄ SUPPORT 1",IF(ABS($T37-'King Node Model'!$B$4)&lt;=2.5,"◄ SPOT",IF($T37='King Node Model'!$D$26,"◄ GAMMA FLIP",IF($T37='King Node Model'!$D$27,"◄ ZERO GAMMA","")))))</f>
        <v/>
      </c>
      <c r="X37" s="100"/>
      <c r="Y37" s="100"/>
      <c r="Z37" s="347" t="str">
        <f>IF(AND(ISNUMBER('King Node Model'!AI62),'King Node Model'!AI62&lt;0),REPT("█",ROUND(-'King Node Model'!AI62/MAX($AE$1,1)*30,0)),"")</f>
        <v>██████████████</v>
      </c>
      <c r="AA37" s="342">
        <f>'King Node Model'!A62</f>
        <v>7720</v>
      </c>
      <c r="AB37" s="348" t="str">
        <f>IF(AND(ISNUMBER('King Node Model'!AI62),'King Node Model'!AI62&gt;0),REPT("█",ROUND('King Node Model'!AI62/MAX($AE$1,1)*30,0)),"")</f>
        <v/>
      </c>
      <c r="AC37" s="344">
        <f>IF('King Node Model'!A62="","",'King Node Model'!AI62)</f>
        <v>-3906417</v>
      </c>
      <c r="AD37" s="345" t="str">
        <f>IF($AA37='Level Engine'!$W$9,"◄ RESISTANCE 1",IF($AA37='Level Engine'!$W$18,"◄ SUPPORT 1",IF(ABS($AA37-'King Node Model'!$B$4)&lt;=2.5,"◄ SPOT",IF($AA37='King Node Model'!$D$26,"◄ GAMMA FLIP",IF($AA37='King Node Model'!$D$27,"◄ ZERO GAMMA","")))))</f>
        <v/>
      </c>
      <c r="AE37" s="100"/>
    </row>
    <row r="38" spans="2:31" ht="15" customHeight="1" x14ac:dyDescent="0.25">
      <c r="B38" s="341" t="str">
        <f>IF('King Node Model'!C63&lt;0,REPT("█",ROUND(-'King Node Model'!C63/MAX($H$1,1)*30,0)),"")</f>
        <v>█</v>
      </c>
      <c r="C38" s="342">
        <f>'King Node Model'!A63</f>
        <v>7715</v>
      </c>
      <c r="D38" s="343" t="str">
        <f>IF('King Node Model'!C63&gt;0,REPT("█",ROUND('King Node Model'!C63/MAX($H$1,1)*30,0)),"")</f>
        <v/>
      </c>
      <c r="E38" s="344">
        <f>IF('King Node Model'!A63="","",'King Node Model'!C63)</f>
        <v>-76852</v>
      </c>
      <c r="F38" s="345" t="str">
        <f>IF($C38='Level Engine'!$W$9,"◄ RESISTANCE 1",IF($C38='Level Engine'!$W$18,"◄ SUPPORT 1",""))</f>
        <v/>
      </c>
      <c r="J38" s="341" t="str">
        <f t="shared" si="0"/>
        <v>██</v>
      </c>
      <c r="K38" s="342">
        <f>'King Node Model'!A63</f>
        <v>7715</v>
      </c>
      <c r="L38" s="343" t="str">
        <f t="shared" si="1"/>
        <v/>
      </c>
      <c r="M38" s="344">
        <f>IF('King Node Model'!A63="","",$Q$7*('King Node Model'!C63*$Q$2+$Q$4*'King Node Model'!F63*$Q$3+$Q$5*0.5*'King Node Model'!I63*$Q$2^2+$Q$6*'King Node Model'!D63*$Q$2*$Q$3))</f>
        <v>-683328</v>
      </c>
      <c r="N38" s="345" t="str">
        <f>IF($K38='Level Engine'!$W$9,"◄ RESISTANCE 1",IF($K38='Level Engine'!$W$18,"◄ SUPPORT 1",IF(ABS($K38-'King Node Model'!$B$4)&lt;=2.5,"◄ SPOT",IF($K38='King Node Model'!$D$26,"◄ GAMMA FLIP",IF($K38='King Node Model'!$D$27,"◄ ZERO GAMMA","")))))</f>
        <v/>
      </c>
      <c r="O38" s="100"/>
      <c r="P38" s="100"/>
      <c r="Q38" s="100"/>
      <c r="R38" s="100"/>
      <c r="S38" s="346" t="str">
        <f>IF(AND(ISNUMBER('King Node Model'!Z63),'King Node Model'!Z63&lt;0),REPT("█",ROUND(-'King Node Model'!Z63/MAX($X$1,1)*30,0)),"")</f>
        <v>███████████████████████████</v>
      </c>
      <c r="T38" s="342">
        <f>'King Node Model'!A63</f>
        <v>7715</v>
      </c>
      <c r="U38" s="343" t="str">
        <f>IF(AND(ISNUMBER('King Node Model'!Z63),'King Node Model'!Z63&gt;0),REPT("█",ROUND('King Node Model'!Z63/MAX($X$1,1)*30,0)),"")</f>
        <v/>
      </c>
      <c r="V38" s="344">
        <f>IF('King Node Model'!A63="","",'King Node Model'!Z63)</f>
        <v>-9909832</v>
      </c>
      <c r="W38" s="345" t="str">
        <f>IF($T38='Level Engine'!$W$9,"◄ RESISTANCE 1",IF($T38='Level Engine'!$W$18,"◄ SUPPORT 1",IF(ABS($T38-'King Node Model'!$B$4)&lt;=2.5,"◄ SPOT",IF($T38='King Node Model'!$D$26,"◄ GAMMA FLIP",IF($T38='King Node Model'!$D$27,"◄ ZERO GAMMA","")))))</f>
        <v/>
      </c>
      <c r="X38" s="100"/>
      <c r="Y38" s="100"/>
      <c r="Z38" s="347" t="str">
        <f>IF(AND(ISNUMBER('King Node Model'!AI63),'King Node Model'!AI63&lt;0),REPT("█",ROUND(-'King Node Model'!AI63/MAX($AE$1,1)*30,0)),"")</f>
        <v>████████████</v>
      </c>
      <c r="AA38" s="342">
        <f>'King Node Model'!A63</f>
        <v>7715</v>
      </c>
      <c r="AB38" s="348" t="str">
        <f>IF(AND(ISNUMBER('King Node Model'!AI63),'King Node Model'!AI63&gt;0),REPT("█",ROUND('King Node Model'!AI63/MAX($AE$1,1)*30,0)),"")</f>
        <v/>
      </c>
      <c r="AC38" s="344">
        <f>IF('King Node Model'!A63="","",'King Node Model'!AI63)</f>
        <v>-3302467</v>
      </c>
      <c r="AD38" s="345" t="str">
        <f>IF($AA38='Level Engine'!$W$9,"◄ RESISTANCE 1",IF($AA38='Level Engine'!$W$18,"◄ SUPPORT 1",IF(ABS($AA38-'King Node Model'!$B$4)&lt;=2.5,"◄ SPOT",IF($AA38='King Node Model'!$D$26,"◄ GAMMA FLIP",IF($AA38='King Node Model'!$D$27,"◄ ZERO GAMMA","")))))</f>
        <v/>
      </c>
      <c r="AE38" s="100"/>
    </row>
    <row r="39" spans="2:31" ht="15" customHeight="1" x14ac:dyDescent="0.25">
      <c r="B39" s="341" t="str">
        <f>IF('King Node Model'!C64&lt;0,REPT("█",ROUND(-'King Node Model'!C64/MAX($H$1,1)*30,0)),"")</f>
        <v>█</v>
      </c>
      <c r="C39" s="342">
        <f>'King Node Model'!A64</f>
        <v>7710</v>
      </c>
      <c r="D39" s="343" t="str">
        <f>IF('King Node Model'!C64&gt;0,REPT("█",ROUND('King Node Model'!C64/MAX($H$1,1)*30,0)),"")</f>
        <v/>
      </c>
      <c r="E39" s="344">
        <f>IF('King Node Model'!A64="","",'King Node Model'!C64)</f>
        <v>-132005</v>
      </c>
      <c r="F39" s="345" t="str">
        <f>IF($C39='Level Engine'!$W$9,"◄ RESISTANCE 1",IF($C39='Level Engine'!$W$18,"◄ SUPPORT 1",""))</f>
        <v/>
      </c>
      <c r="J39" s="341" t="str">
        <f t="shared" si="0"/>
        <v>████</v>
      </c>
      <c r="K39" s="342">
        <f>'King Node Model'!A64</f>
        <v>7710</v>
      </c>
      <c r="L39" s="343" t="str">
        <f t="shared" si="1"/>
        <v/>
      </c>
      <c r="M39" s="344">
        <f>IF('King Node Model'!A64="","",$Q$7*('King Node Model'!C64*$Q$2+$Q$4*'King Node Model'!F64*$Q$3+$Q$5*0.5*'King Node Model'!I64*$Q$2^2+$Q$6*'King Node Model'!D64*$Q$2*$Q$3))</f>
        <v>-1209763.5</v>
      </c>
      <c r="N39" s="345" t="str">
        <f>IF($K39='Level Engine'!$W$9,"◄ RESISTANCE 1",IF($K39='Level Engine'!$W$18,"◄ SUPPORT 1",IF(ABS($K39-'King Node Model'!$B$4)&lt;=2.5,"◄ SPOT",IF($K39='King Node Model'!$D$26,"◄ GAMMA FLIP",IF($K39='King Node Model'!$D$27,"◄ ZERO GAMMA","")))))</f>
        <v/>
      </c>
      <c r="O39" s="100"/>
      <c r="P39" s="100"/>
      <c r="Q39" s="100"/>
      <c r="R39" s="100"/>
      <c r="S39" s="346" t="str">
        <f>IF(AND(ISNUMBER('King Node Model'!Z64),'King Node Model'!Z64&lt;0),REPT("█",ROUND(-'King Node Model'!Z64/MAX($X$1,1)*30,0)),"")</f>
        <v>████████████████████████████</v>
      </c>
      <c r="T39" s="342">
        <f>'King Node Model'!A64</f>
        <v>7710</v>
      </c>
      <c r="U39" s="343" t="str">
        <f>IF(AND(ISNUMBER('King Node Model'!Z64),'King Node Model'!Z64&gt;0),REPT("█",ROUND('King Node Model'!Z64/MAX($X$1,1)*30,0)),"")</f>
        <v/>
      </c>
      <c r="V39" s="344">
        <f>IF('King Node Model'!A64="","",'King Node Model'!Z64)</f>
        <v>-10041837</v>
      </c>
      <c r="W39" s="345" t="str">
        <f>IF($T39='Level Engine'!$W$9,"◄ RESISTANCE 1",IF($T39='Level Engine'!$W$18,"◄ SUPPORT 1",IF(ABS($T39-'King Node Model'!$B$4)&lt;=2.5,"◄ SPOT",IF($T39='King Node Model'!$D$26,"◄ GAMMA FLIP",IF($T39='King Node Model'!$D$27,"◄ ZERO GAMMA","")))))</f>
        <v/>
      </c>
      <c r="X39" s="100"/>
      <c r="Y39" s="100"/>
      <c r="Z39" s="347" t="str">
        <f>IF(AND(ISNUMBER('King Node Model'!AI64),'King Node Model'!AI64&lt;0),REPT("█",ROUND(-'King Node Model'!AI64/MAX($AE$1,1)*30,0)),"")</f>
        <v>███████████</v>
      </c>
      <c r="AA39" s="342">
        <f>'King Node Model'!A64</f>
        <v>7710</v>
      </c>
      <c r="AB39" s="348" t="str">
        <f>IF(AND(ISNUMBER('King Node Model'!AI64),'King Node Model'!AI64&gt;0),REPT("█",ROUND('King Node Model'!AI64/MAX($AE$1,1)*30,0)),"")</f>
        <v/>
      </c>
      <c r="AC39" s="344">
        <f>IF('King Node Model'!A64="","",'King Node Model'!AI64)</f>
        <v>-3102222</v>
      </c>
      <c r="AD39" s="345" t="str">
        <f>IF($AA39='Level Engine'!$W$9,"◄ RESISTANCE 1",IF($AA39='Level Engine'!$W$18,"◄ SUPPORT 1",IF(ABS($AA39-'King Node Model'!$B$4)&lt;=2.5,"◄ SPOT",IF($AA39='King Node Model'!$D$26,"◄ GAMMA FLIP",IF($AA39='King Node Model'!$D$27,"◄ ZERO GAMMA","")))))</f>
        <v/>
      </c>
      <c r="AE39" s="100"/>
    </row>
    <row r="40" spans="2:31" ht="15" customHeight="1" x14ac:dyDescent="0.25">
      <c r="B40" s="341" t="str">
        <f>IF('King Node Model'!C65&lt;0,REPT("█",ROUND(-'King Node Model'!C65/MAX($H$1,1)*30,0)),"")</f>
        <v>█</v>
      </c>
      <c r="C40" s="342">
        <f>'King Node Model'!A65</f>
        <v>7705</v>
      </c>
      <c r="D40" s="343" t="str">
        <f>IF('King Node Model'!C65&gt;0,REPT("█",ROUND('King Node Model'!C65/MAX($H$1,1)*30,0)),"")</f>
        <v/>
      </c>
      <c r="E40" s="344">
        <f>IF('King Node Model'!A65="","",'King Node Model'!C65)</f>
        <v>-70311</v>
      </c>
      <c r="F40" s="345" t="str">
        <f>IF($C40='Level Engine'!$W$9,"◄ RESISTANCE 1",IF($C40='Level Engine'!$W$18,"◄ SUPPORT 1",""))</f>
        <v/>
      </c>
      <c r="J40" s="341" t="str">
        <f t="shared" si="0"/>
        <v>██</v>
      </c>
      <c r="K40" s="342">
        <f>'King Node Model'!A65</f>
        <v>7705</v>
      </c>
      <c r="L40" s="343" t="str">
        <f t="shared" si="1"/>
        <v/>
      </c>
      <c r="M40" s="344">
        <f>IF('King Node Model'!A65="","",$Q$7*('King Node Model'!C65*$Q$2+$Q$4*'King Node Model'!F65*$Q$3+$Q$5*0.5*'King Node Model'!I65*$Q$2^2+$Q$6*'King Node Model'!D65*$Q$2*$Q$3))</f>
        <v>-660536</v>
      </c>
      <c r="N40" s="345" t="str">
        <f>IF($K40='Level Engine'!$W$9,"◄ RESISTANCE 1",IF($K40='Level Engine'!$W$18,"◄ SUPPORT 1",IF(ABS($K40-'King Node Model'!$B$4)&lt;=2.5,"◄ SPOT",IF($K40='King Node Model'!$D$26,"◄ GAMMA FLIP",IF($K40='King Node Model'!$D$27,"◄ ZERO GAMMA","")))))</f>
        <v/>
      </c>
      <c r="O40" s="100"/>
      <c r="P40" s="100"/>
      <c r="Q40" s="100"/>
      <c r="R40" s="100"/>
      <c r="S40" s="346" t="str">
        <f>IF(AND(ISNUMBER('King Node Model'!Z65),'King Node Model'!Z65&lt;0),REPT("█",ROUND(-'King Node Model'!Z65/MAX($X$1,1)*30,0)),"")</f>
        <v>████████████████████████████</v>
      </c>
      <c r="T40" s="342">
        <f>'King Node Model'!A65</f>
        <v>7705</v>
      </c>
      <c r="U40" s="343" t="str">
        <f>IF(AND(ISNUMBER('King Node Model'!Z65),'King Node Model'!Z65&gt;0),REPT("█",ROUND('King Node Model'!Z65/MAX($X$1,1)*30,0)),"")</f>
        <v/>
      </c>
      <c r="V40" s="344">
        <f>IF('King Node Model'!A65="","",'King Node Model'!Z65)</f>
        <v>-10112148</v>
      </c>
      <c r="W40" s="345" t="str">
        <f>IF($T40='Level Engine'!$W$9,"◄ RESISTANCE 1",IF($T40='Level Engine'!$W$18,"◄ SUPPORT 1",IF(ABS($T40-'King Node Model'!$B$4)&lt;=2.5,"◄ SPOT",IF($T40='King Node Model'!$D$26,"◄ GAMMA FLIP",IF($T40='King Node Model'!$D$27,"◄ ZERO GAMMA","")))))</f>
        <v/>
      </c>
      <c r="X40" s="100"/>
      <c r="Y40" s="100"/>
      <c r="Z40" s="347" t="str">
        <f>IF(AND(ISNUMBER('King Node Model'!AI65),'King Node Model'!AI65&lt;0),REPT("█",ROUND(-'King Node Model'!AI65/MAX($AE$1,1)*30,0)),"")</f>
        <v>█████</v>
      </c>
      <c r="AA40" s="342">
        <f>'King Node Model'!A65</f>
        <v>7705</v>
      </c>
      <c r="AB40" s="348" t="str">
        <f>IF(AND(ISNUMBER('King Node Model'!AI65),'King Node Model'!AI65&gt;0),REPT("█",ROUND('King Node Model'!AI65/MAX($AE$1,1)*30,0)),"")</f>
        <v/>
      </c>
      <c r="AC40" s="344">
        <f>IF('King Node Model'!A65="","",'King Node Model'!AI65)</f>
        <v>-1382480</v>
      </c>
      <c r="AD40" s="345" t="str">
        <f>IF($AA40='Level Engine'!$W$9,"◄ RESISTANCE 1",IF($AA40='Level Engine'!$W$18,"◄ SUPPORT 1",IF(ABS($AA40-'King Node Model'!$B$4)&lt;=2.5,"◄ SPOT",IF($AA40='King Node Model'!$D$26,"◄ GAMMA FLIP",IF($AA40='King Node Model'!$D$27,"◄ ZERO GAMMA","")))))</f>
        <v/>
      </c>
      <c r="AE40" s="100"/>
    </row>
    <row r="41" spans="2:31" ht="15" customHeight="1" x14ac:dyDescent="0.25">
      <c r="B41" s="341" t="str">
        <f>IF('King Node Model'!C66&lt;0,REPT("█",ROUND(-'King Node Model'!C66/MAX($H$1,1)*30,0)),"")</f>
        <v>███</v>
      </c>
      <c r="C41" s="342">
        <f>'King Node Model'!A66</f>
        <v>7700</v>
      </c>
      <c r="D41" s="343" t="str">
        <f>IF('King Node Model'!C66&gt;0,REPT("█",ROUND('King Node Model'!C66/MAX($H$1,1)*30,0)),"")</f>
        <v/>
      </c>
      <c r="E41" s="344">
        <f>IF('King Node Model'!A66="","",'King Node Model'!C66)</f>
        <v>-274698</v>
      </c>
      <c r="F41" s="345" t="str">
        <f>IF($C41='Level Engine'!$W$9,"◄ RESISTANCE 1",IF($C41='Level Engine'!$W$18,"◄ SUPPORT 1",""))</f>
        <v/>
      </c>
      <c r="J41" s="341" t="str">
        <f t="shared" si="0"/>
        <v>█████████</v>
      </c>
      <c r="K41" s="342">
        <f>'King Node Model'!A66</f>
        <v>7700</v>
      </c>
      <c r="L41" s="343" t="str">
        <f t="shared" si="1"/>
        <v/>
      </c>
      <c r="M41" s="344">
        <f>IF('King Node Model'!A66="","",$Q$7*('King Node Model'!C66*$Q$2+$Q$4*'King Node Model'!F66*$Q$3+$Q$5*0.5*'King Node Model'!I66*$Q$2^2+$Q$6*'King Node Model'!D66*$Q$2*$Q$3))</f>
        <v>-2633791</v>
      </c>
      <c r="N41" s="345" t="str">
        <f>IF($K41='Level Engine'!$W$9,"◄ RESISTANCE 1",IF($K41='Level Engine'!$W$18,"◄ SUPPORT 1",IF(ABS($K41-'King Node Model'!$B$4)&lt;=2.5,"◄ SPOT",IF($K41='King Node Model'!$D$26,"◄ GAMMA FLIP",IF($K41='King Node Model'!$D$27,"◄ ZERO GAMMA","")))))</f>
        <v/>
      </c>
      <c r="O41" s="100"/>
      <c r="P41" s="100"/>
      <c r="Q41" s="100"/>
      <c r="R41" s="100"/>
      <c r="S41" s="346" t="str">
        <f>IF(AND(ISNUMBER('King Node Model'!Z66),'King Node Model'!Z66&lt;0),REPT("█",ROUND(-'King Node Model'!Z66/MAX($X$1,1)*30,0)),"")</f>
        <v>█████████████████████████████</v>
      </c>
      <c r="T41" s="342">
        <f>'King Node Model'!A66</f>
        <v>7700</v>
      </c>
      <c r="U41" s="343" t="str">
        <f>IF(AND(ISNUMBER('King Node Model'!Z66),'King Node Model'!Z66&gt;0),REPT("█",ROUND('King Node Model'!Z66/MAX($X$1,1)*30,0)),"")</f>
        <v/>
      </c>
      <c r="V41" s="344">
        <f>IF('King Node Model'!A66="","",'King Node Model'!Z66)</f>
        <v>-10386846</v>
      </c>
      <c r="W41" s="345" t="str">
        <f>IF($T41='Level Engine'!$W$9,"◄ RESISTANCE 1",IF($T41='Level Engine'!$W$18,"◄ SUPPORT 1",IF(ABS($T41-'King Node Model'!$B$4)&lt;=2.5,"◄ SPOT",IF($T41='King Node Model'!$D$26,"◄ GAMMA FLIP",IF($T41='King Node Model'!$D$27,"◄ ZERO GAMMA","")))))</f>
        <v/>
      </c>
      <c r="X41" s="100"/>
      <c r="Y41" s="100"/>
      <c r="Z41" s="347" t="str">
        <f>IF(AND(ISNUMBER('King Node Model'!AI66),'King Node Model'!AI66&lt;0),REPT("█",ROUND(-'King Node Model'!AI66/MAX($AE$1,1)*30,0)),"")</f>
        <v>██</v>
      </c>
      <c r="AA41" s="342">
        <f>'King Node Model'!A66</f>
        <v>7700</v>
      </c>
      <c r="AB41" s="348" t="str">
        <f>IF(AND(ISNUMBER('King Node Model'!AI66),'King Node Model'!AI66&gt;0),REPT("█",ROUND('King Node Model'!AI66/MAX($AE$1,1)*30,0)),"")</f>
        <v/>
      </c>
      <c r="AC41" s="344">
        <f>IF('King Node Model'!A66="","",'King Node Model'!AI66)</f>
        <v>-568714</v>
      </c>
      <c r="AD41" s="345" t="str">
        <f>IF($AA41='Level Engine'!$W$9,"◄ RESISTANCE 1",IF($AA41='Level Engine'!$W$18,"◄ SUPPORT 1",IF(ABS($AA41-'King Node Model'!$B$4)&lt;=2.5,"◄ SPOT",IF($AA41='King Node Model'!$D$26,"◄ GAMMA FLIP",IF($AA41='King Node Model'!$D$27,"◄ ZERO GAMMA","")))))</f>
        <v/>
      </c>
      <c r="AE41" s="100"/>
    </row>
    <row r="42" spans="2:31" ht="15" customHeight="1" x14ac:dyDescent="0.25">
      <c r="B42" s="341" t="str">
        <f>IF('King Node Model'!C67&lt;0,REPT("█",ROUND(-'King Node Model'!C67/MAX($H$1,1)*30,0)),"")</f>
        <v>█</v>
      </c>
      <c r="C42" s="342">
        <f>'King Node Model'!A67</f>
        <v>7695</v>
      </c>
      <c r="D42" s="343" t="str">
        <f>IF('King Node Model'!C67&gt;0,REPT("█",ROUND('King Node Model'!C67/MAX($H$1,1)*30,0)),"")</f>
        <v/>
      </c>
      <c r="E42" s="344">
        <f>IF('King Node Model'!A67="","",'King Node Model'!C67)</f>
        <v>-63476</v>
      </c>
      <c r="F42" s="345" t="str">
        <f>IF($C42='Level Engine'!$W$9,"◄ RESISTANCE 1",IF($C42='Level Engine'!$W$18,"◄ SUPPORT 1",""))</f>
        <v/>
      </c>
      <c r="J42" s="341" t="str">
        <f t="shared" si="0"/>
        <v>██</v>
      </c>
      <c r="K42" s="342">
        <f>'King Node Model'!A67</f>
        <v>7695</v>
      </c>
      <c r="L42" s="343" t="str">
        <f t="shared" si="1"/>
        <v/>
      </c>
      <c r="M42" s="344">
        <f>IF('King Node Model'!A67="","",$Q$7*('King Node Model'!C67*$Q$2+$Q$4*'King Node Model'!F67*$Q$3+$Q$5*0.5*'King Node Model'!I67*$Q$2^2+$Q$6*'King Node Model'!D67*$Q$2*$Q$3))</f>
        <v>-619110.5</v>
      </c>
      <c r="N42" s="345" t="str">
        <f>IF($K42='Level Engine'!$W$9,"◄ RESISTANCE 1",IF($K42='Level Engine'!$W$18,"◄ SUPPORT 1",IF(ABS($K42-'King Node Model'!$B$4)&lt;=2.5,"◄ SPOT",IF($K42='King Node Model'!$D$26,"◄ GAMMA FLIP",IF($K42='King Node Model'!$D$27,"◄ ZERO GAMMA","")))))</f>
        <v/>
      </c>
      <c r="O42" s="100"/>
      <c r="P42" s="100"/>
      <c r="Q42" s="100"/>
      <c r="R42" s="100"/>
      <c r="S42" s="346" t="str">
        <f>IF(AND(ISNUMBER('King Node Model'!Z67),'King Node Model'!Z67&lt;0),REPT("█",ROUND(-'King Node Model'!Z67/MAX($X$1,1)*30,0)),"")</f>
        <v>█████████████████████████████</v>
      </c>
      <c r="T42" s="342">
        <f>'King Node Model'!A67</f>
        <v>7695</v>
      </c>
      <c r="U42" s="343" t="str">
        <f>IF(AND(ISNUMBER('King Node Model'!Z67),'King Node Model'!Z67&gt;0),REPT("█",ROUND('King Node Model'!Z67/MAX($X$1,1)*30,0)),"")</f>
        <v/>
      </c>
      <c r="V42" s="344">
        <f>IF('King Node Model'!A67="","",'King Node Model'!Z67)</f>
        <v>-10450322</v>
      </c>
      <c r="W42" s="345" t="str">
        <f>IF($T42='Level Engine'!$W$9,"◄ RESISTANCE 1",IF($T42='Level Engine'!$W$18,"◄ SUPPORT 1",IF(ABS($T42-'King Node Model'!$B$4)&lt;=2.5,"◄ SPOT",IF($T42='King Node Model'!$D$26,"◄ GAMMA FLIP",IF($T42='King Node Model'!$D$27,"◄ ZERO GAMMA","")))))</f>
        <v/>
      </c>
      <c r="X42" s="100"/>
      <c r="Y42" s="100"/>
      <c r="Z42" s="347" t="str">
        <f>IF(AND(ISNUMBER('King Node Model'!AI67),'King Node Model'!AI67&lt;0),REPT("█",ROUND(-'King Node Model'!AI67/MAX($AE$1,1)*30,0)),"")</f>
        <v>██</v>
      </c>
      <c r="AA42" s="342">
        <f>'King Node Model'!A67</f>
        <v>7695</v>
      </c>
      <c r="AB42" s="348" t="str">
        <f>IF(AND(ISNUMBER('King Node Model'!AI67),'King Node Model'!AI67&gt;0),REPT("█",ROUND('King Node Model'!AI67/MAX($AE$1,1)*30,0)),"")</f>
        <v/>
      </c>
      <c r="AC42" s="344">
        <f>IF('King Node Model'!A67="","",'King Node Model'!AI67)</f>
        <v>-515106</v>
      </c>
      <c r="AD42" s="345" t="str">
        <f>IF($AA42='Level Engine'!$W$9,"◄ RESISTANCE 1",IF($AA42='Level Engine'!$W$18,"◄ SUPPORT 1",IF(ABS($AA42-'King Node Model'!$B$4)&lt;=2.5,"◄ SPOT",IF($AA42='King Node Model'!$D$26,"◄ GAMMA FLIP",IF($AA42='King Node Model'!$D$27,"◄ ZERO GAMMA","")))))</f>
        <v/>
      </c>
      <c r="AE42" s="100"/>
    </row>
    <row r="43" spans="2:31" ht="15" customHeight="1" x14ac:dyDescent="0.25">
      <c r="B43" s="341" t="str">
        <f>IF('King Node Model'!C68&lt;0,REPT("█",ROUND(-'King Node Model'!C68/MAX($H$1,1)*30,0)),"")</f>
        <v>█</v>
      </c>
      <c r="C43" s="342">
        <f>'King Node Model'!A68</f>
        <v>7690</v>
      </c>
      <c r="D43" s="343" t="str">
        <f>IF('King Node Model'!C68&gt;0,REPT("█",ROUND('King Node Model'!C68/MAX($H$1,1)*30,0)),"")</f>
        <v/>
      </c>
      <c r="E43" s="344">
        <f>IF('King Node Model'!A68="","",'King Node Model'!C68)</f>
        <v>-58328</v>
      </c>
      <c r="F43" s="345" t="str">
        <f>IF($C43='Level Engine'!$W$9,"◄ RESISTANCE 1",IF($C43='Level Engine'!$W$18,"◄ SUPPORT 1",""))</f>
        <v/>
      </c>
      <c r="J43" s="341" t="str">
        <f t="shared" si="0"/>
        <v>██</v>
      </c>
      <c r="K43" s="342">
        <f>'King Node Model'!A68</f>
        <v>7690</v>
      </c>
      <c r="L43" s="343" t="str">
        <f t="shared" si="1"/>
        <v/>
      </c>
      <c r="M43" s="344">
        <f>IF('King Node Model'!A68="","",$Q$7*('King Node Model'!C68*$Q$2+$Q$4*'King Node Model'!F68*$Q$3+$Q$5*0.5*'King Node Model'!I68*$Q$2^2+$Q$6*'King Node Model'!D68*$Q$2*$Q$3))</f>
        <v>-577291.5</v>
      </c>
      <c r="N43" s="345" t="str">
        <f>IF($K43='Level Engine'!$W$9,"◄ RESISTANCE 1",IF($K43='Level Engine'!$W$18,"◄ SUPPORT 1",IF(ABS($K43-'King Node Model'!$B$4)&lt;=2.5,"◄ SPOT",IF($K43='King Node Model'!$D$26,"◄ GAMMA FLIP",IF($K43='King Node Model'!$D$27,"◄ ZERO GAMMA","")))))</f>
        <v/>
      </c>
      <c r="O43" s="100"/>
      <c r="P43" s="100"/>
      <c r="Q43" s="100"/>
      <c r="R43" s="100"/>
      <c r="S43" s="346" t="str">
        <f>IF(AND(ISNUMBER('King Node Model'!Z68),'King Node Model'!Z68&lt;0),REPT("█",ROUND(-'King Node Model'!Z68/MAX($X$1,1)*30,0)),"")</f>
        <v>█████████████████████████████</v>
      </c>
      <c r="T43" s="342">
        <f>'King Node Model'!A68</f>
        <v>7690</v>
      </c>
      <c r="U43" s="343" t="str">
        <f>IF(AND(ISNUMBER('King Node Model'!Z68),'King Node Model'!Z68&gt;0),REPT("█",ROUND('King Node Model'!Z68/MAX($X$1,1)*30,0)),"")</f>
        <v/>
      </c>
      <c r="V43" s="344">
        <f>IF('King Node Model'!A68="","",'King Node Model'!Z68)</f>
        <v>-10508650</v>
      </c>
      <c r="W43" s="345" t="str">
        <f>IF($T43='Level Engine'!$W$9,"◄ RESISTANCE 1",IF($T43='Level Engine'!$W$18,"◄ SUPPORT 1",IF(ABS($T43-'King Node Model'!$B$4)&lt;=2.5,"◄ SPOT",IF($T43='King Node Model'!$D$26,"◄ GAMMA FLIP",IF($T43='King Node Model'!$D$27,"◄ ZERO GAMMA","")))))</f>
        <v/>
      </c>
      <c r="X43" s="100"/>
      <c r="Y43" s="100"/>
      <c r="Z43" s="347" t="str">
        <f>IF(AND(ISNUMBER('King Node Model'!AI68),'King Node Model'!AI68&lt;0),REPT("█",ROUND(-'King Node Model'!AI68/MAX($AE$1,1)*30,0)),"")</f>
        <v>█</v>
      </c>
      <c r="AA43" s="342">
        <f>'King Node Model'!A68</f>
        <v>7690</v>
      </c>
      <c r="AB43" s="348" t="str">
        <f>IF(AND(ISNUMBER('King Node Model'!AI68),'King Node Model'!AI68&gt;0),REPT("█",ROUND('King Node Model'!AI68/MAX($AE$1,1)*30,0)),"")</f>
        <v/>
      </c>
      <c r="AC43" s="344">
        <f>IF('King Node Model'!A68="","",'King Node Model'!AI68)</f>
        <v>-393862</v>
      </c>
      <c r="AD43" s="345" t="str">
        <f>IF($AA43='Level Engine'!$W$9,"◄ RESISTANCE 1",IF($AA43='Level Engine'!$W$18,"◄ SUPPORT 1",IF(ABS($AA43-'King Node Model'!$B$4)&lt;=2.5,"◄ SPOT",IF($AA43='King Node Model'!$D$26,"◄ GAMMA FLIP",IF($AA43='King Node Model'!$D$27,"◄ ZERO GAMMA","")))))</f>
        <v/>
      </c>
      <c r="AE43" s="100"/>
    </row>
    <row r="44" spans="2:31" ht="15" customHeight="1" x14ac:dyDescent="0.25">
      <c r="B44" s="341" t="str">
        <f>IF('King Node Model'!C69&lt;0,REPT("█",ROUND(-'King Node Model'!C69/MAX($H$1,1)*30,0)),"")</f>
        <v>█</v>
      </c>
      <c r="C44" s="342">
        <f>'King Node Model'!A69</f>
        <v>7685</v>
      </c>
      <c r="D44" s="343" t="str">
        <f>IF('King Node Model'!C69&gt;0,REPT("█",ROUND('King Node Model'!C69/MAX($H$1,1)*30,0)),"")</f>
        <v/>
      </c>
      <c r="E44" s="344">
        <f>IF('King Node Model'!A69="","",'King Node Model'!C69)</f>
        <v>-63513</v>
      </c>
      <c r="F44" s="345" t="str">
        <f>IF($C44='Level Engine'!$W$9,"◄ RESISTANCE 1",IF($C44='Level Engine'!$W$18,"◄ SUPPORT 1",""))</f>
        <v/>
      </c>
      <c r="J44" s="341" t="str">
        <f t="shared" si="0"/>
        <v>██</v>
      </c>
      <c r="K44" s="342">
        <f>'King Node Model'!A69</f>
        <v>7685</v>
      </c>
      <c r="L44" s="343" t="str">
        <f t="shared" si="1"/>
        <v/>
      </c>
      <c r="M44" s="344">
        <f>IF('King Node Model'!A69="","",$Q$7*('King Node Model'!C69*$Q$2+$Q$4*'King Node Model'!F69*$Q$3+$Q$5*0.5*'King Node Model'!I69*$Q$2^2+$Q$6*'King Node Model'!D69*$Q$2*$Q$3))</f>
        <v>-636570</v>
      </c>
      <c r="N44" s="345" t="str">
        <f>IF($K44='Level Engine'!$W$9,"◄ RESISTANCE 1",IF($K44='Level Engine'!$W$18,"◄ SUPPORT 1",IF(ABS($K44-'King Node Model'!$B$4)&lt;=2.5,"◄ SPOT",IF($K44='King Node Model'!$D$26,"◄ GAMMA FLIP",IF($K44='King Node Model'!$D$27,"◄ ZERO GAMMA","")))))</f>
        <v/>
      </c>
      <c r="O44" s="100"/>
      <c r="P44" s="100"/>
      <c r="Q44" s="100"/>
      <c r="R44" s="100"/>
      <c r="S44" s="346" t="str">
        <f>IF(AND(ISNUMBER('King Node Model'!Z69),'King Node Model'!Z69&lt;0),REPT("█",ROUND(-'King Node Model'!Z69/MAX($X$1,1)*30,0)),"")</f>
        <v>█████████████████████████████</v>
      </c>
      <c r="T44" s="342">
        <f>'King Node Model'!A69</f>
        <v>7685</v>
      </c>
      <c r="U44" s="343" t="str">
        <f>IF(AND(ISNUMBER('King Node Model'!Z69),'King Node Model'!Z69&gt;0),REPT("█",ROUND('King Node Model'!Z69/MAX($X$1,1)*30,0)),"")</f>
        <v/>
      </c>
      <c r="V44" s="344">
        <f>IF('King Node Model'!A69="","",'King Node Model'!Z69)</f>
        <v>-10572163</v>
      </c>
      <c r="W44" s="345" t="str">
        <f>IF($T44='Level Engine'!$W$9,"◄ RESISTANCE 1",IF($T44='Level Engine'!$W$18,"◄ SUPPORT 1",IF(ABS($T44-'King Node Model'!$B$4)&lt;=2.5,"◄ SPOT",IF($T44='King Node Model'!$D$26,"◄ GAMMA FLIP",IF($T44='King Node Model'!$D$27,"◄ ZERO GAMMA","")))))</f>
        <v/>
      </c>
      <c r="X44" s="100"/>
      <c r="Y44" s="100"/>
      <c r="Z44" s="347" t="str">
        <f>IF(AND(ISNUMBER('King Node Model'!AI69),'King Node Model'!AI69&lt;0),REPT("█",ROUND(-'King Node Model'!AI69/MAX($AE$1,1)*30,0)),"")</f>
        <v>█</v>
      </c>
      <c r="AA44" s="342">
        <f>'King Node Model'!A69</f>
        <v>7685</v>
      </c>
      <c r="AB44" s="348" t="str">
        <f>IF(AND(ISNUMBER('King Node Model'!AI69),'King Node Model'!AI69&gt;0),REPT("█",ROUND('King Node Model'!AI69/MAX($AE$1,1)*30,0)),"")</f>
        <v/>
      </c>
      <c r="AC44" s="344">
        <f>IF('King Node Model'!A69="","",'King Node Model'!AI69)</f>
        <v>-371941</v>
      </c>
      <c r="AD44" s="345" t="str">
        <f>IF($AA44='Level Engine'!$W$9,"◄ RESISTANCE 1",IF($AA44='Level Engine'!$W$18,"◄ SUPPORT 1",IF(ABS($AA44-'King Node Model'!$B$4)&lt;=2.5,"◄ SPOT",IF($AA44='King Node Model'!$D$26,"◄ GAMMA FLIP",IF($AA44='King Node Model'!$D$27,"◄ ZERO GAMMA","")))))</f>
        <v/>
      </c>
      <c r="AE44" s="100"/>
    </row>
    <row r="45" spans="2:31" ht="15" customHeight="1" x14ac:dyDescent="0.25">
      <c r="B45" s="341" t="str">
        <f>IF('King Node Model'!C70&lt;0,REPT("█",ROUND(-'King Node Model'!C70/MAX($H$1,1)*30,0)),"")</f>
        <v>█</v>
      </c>
      <c r="C45" s="342">
        <f>'King Node Model'!A70</f>
        <v>7680</v>
      </c>
      <c r="D45" s="343" t="str">
        <f>IF('King Node Model'!C70&gt;0,REPT("█",ROUND('King Node Model'!C70/MAX($H$1,1)*30,0)),"")</f>
        <v/>
      </c>
      <c r="E45" s="344">
        <f>IF('King Node Model'!A70="","",'King Node Model'!C70)</f>
        <v>-113930</v>
      </c>
      <c r="F45" s="345" t="str">
        <f>IF($C45='Level Engine'!$W$9,"◄ RESISTANCE 1",IF($C45='Level Engine'!$W$18,"◄ SUPPORT 1",""))</f>
        <v/>
      </c>
      <c r="J45" s="341" t="str">
        <f t="shared" si="0"/>
        <v>████</v>
      </c>
      <c r="K45" s="342">
        <f>'King Node Model'!A70</f>
        <v>7680</v>
      </c>
      <c r="L45" s="343" t="str">
        <f t="shared" si="1"/>
        <v/>
      </c>
      <c r="M45" s="344">
        <f>IF('King Node Model'!A70="","",$Q$7*('King Node Model'!C70*$Q$2+$Q$4*'King Node Model'!F70*$Q$3+$Q$5*0.5*'King Node Model'!I70*$Q$2^2+$Q$6*'King Node Model'!D70*$Q$2*$Q$3))</f>
        <v>-1154233.5</v>
      </c>
      <c r="N45" s="345" t="str">
        <f>IF($K45='Level Engine'!$W$9,"◄ RESISTANCE 1",IF($K45='Level Engine'!$W$18,"◄ SUPPORT 1",IF(ABS($K45-'King Node Model'!$B$4)&lt;=2.5,"◄ SPOT",IF($K45='King Node Model'!$D$26,"◄ GAMMA FLIP",IF($K45='King Node Model'!$D$27,"◄ ZERO GAMMA","")))))</f>
        <v/>
      </c>
      <c r="O45" s="100"/>
      <c r="P45" s="100"/>
      <c r="Q45" s="100"/>
      <c r="R45" s="100"/>
      <c r="S45" s="346" t="str">
        <f>IF(AND(ISNUMBER('King Node Model'!Z70),'King Node Model'!Z70&lt;0),REPT("█",ROUND(-'King Node Model'!Z70/MAX($X$1,1)*30,0)),"")</f>
        <v>█████████████████████████████</v>
      </c>
      <c r="T45" s="342">
        <f>'King Node Model'!A70</f>
        <v>7680</v>
      </c>
      <c r="U45" s="343" t="str">
        <f>IF(AND(ISNUMBER('King Node Model'!Z70),'King Node Model'!Z70&gt;0),REPT("█",ROUND('King Node Model'!Z70/MAX($X$1,1)*30,0)),"")</f>
        <v/>
      </c>
      <c r="V45" s="344">
        <f>IF('King Node Model'!A70="","",'King Node Model'!Z70)</f>
        <v>-10686093</v>
      </c>
      <c r="W45" s="345" t="str">
        <f>IF($T45='Level Engine'!$W$9,"◄ RESISTANCE 1",IF($T45='Level Engine'!$W$18,"◄ SUPPORT 1",IF(ABS($T45-'King Node Model'!$B$4)&lt;=2.5,"◄ SPOT",IF($T45='King Node Model'!$D$26,"◄ GAMMA FLIP",IF($T45='King Node Model'!$D$27,"◄ ZERO GAMMA","")))))</f>
        <v/>
      </c>
      <c r="X45" s="100"/>
      <c r="Y45" s="100"/>
      <c r="Z45" s="347" t="str">
        <f>IF(AND(ISNUMBER('King Node Model'!AI70),'King Node Model'!AI70&lt;0),REPT("█",ROUND(-'King Node Model'!AI70/MAX($AE$1,1)*30,0)),"")</f>
        <v>█</v>
      </c>
      <c r="AA45" s="342">
        <f>'King Node Model'!A70</f>
        <v>7680</v>
      </c>
      <c r="AB45" s="348" t="str">
        <f>IF(AND(ISNUMBER('King Node Model'!AI70),'King Node Model'!AI70&gt;0),REPT("█",ROUND('King Node Model'!AI70/MAX($AE$1,1)*30,0)),"")</f>
        <v/>
      </c>
      <c r="AC45" s="344">
        <f>IF('King Node Model'!A70="","",'King Node Model'!AI70)</f>
        <v>-252204</v>
      </c>
      <c r="AD45" s="345" t="str">
        <f>IF($AA45='Level Engine'!$W$9,"◄ RESISTANCE 1",IF($AA45='Level Engine'!$W$18,"◄ SUPPORT 1",IF(ABS($AA45-'King Node Model'!$B$4)&lt;=2.5,"◄ SPOT",IF($AA45='King Node Model'!$D$26,"◄ GAMMA FLIP",IF($AA45='King Node Model'!$D$27,"◄ ZERO GAMMA","")))))</f>
        <v/>
      </c>
      <c r="AE45" s="100"/>
    </row>
    <row r="46" spans="2:31" ht="15" customHeight="1" x14ac:dyDescent="0.25">
      <c r="B46" s="341" t="str">
        <f>IF('King Node Model'!C71&lt;0,REPT("█",ROUND(-'King Node Model'!C71/MAX($H$1,1)*30,0)),"")</f>
        <v/>
      </c>
      <c r="C46" s="342">
        <f>'King Node Model'!A71</f>
        <v>7675</v>
      </c>
      <c r="D46" s="343" t="str">
        <f>IF('King Node Model'!C71&gt;0,REPT("█",ROUND('King Node Model'!C71/MAX($H$1,1)*30,0)),"")</f>
        <v/>
      </c>
      <c r="E46" s="344">
        <f>IF('King Node Model'!A71="","",'King Node Model'!C71)</f>
        <v>-52061</v>
      </c>
      <c r="F46" s="345" t="str">
        <f>IF($C46='Level Engine'!$W$9,"◄ RESISTANCE 1",IF($C46='Level Engine'!$W$18,"◄ SUPPORT 1",""))</f>
        <v/>
      </c>
      <c r="J46" s="341" t="str">
        <f t="shared" si="0"/>
        <v>██</v>
      </c>
      <c r="K46" s="342">
        <f>'King Node Model'!A71</f>
        <v>7675</v>
      </c>
      <c r="L46" s="343" t="str">
        <f t="shared" si="1"/>
        <v/>
      </c>
      <c r="M46" s="344">
        <f>IF('King Node Model'!A71="","",$Q$7*('King Node Model'!C71*$Q$2+$Q$4*'King Node Model'!F71*$Q$3+$Q$5*0.5*'King Node Model'!I71*$Q$2^2+$Q$6*'King Node Model'!D71*$Q$2*$Q$3))</f>
        <v>-532181</v>
      </c>
      <c r="N46" s="345" t="str">
        <f>IF($K46='Level Engine'!$W$9,"◄ RESISTANCE 1",IF($K46='Level Engine'!$W$18,"◄ SUPPORT 1",IF(ABS($K46-'King Node Model'!$B$4)&lt;=2.5,"◄ SPOT",IF($K46='King Node Model'!$D$26,"◄ GAMMA FLIP",IF($K46='King Node Model'!$D$27,"◄ ZERO GAMMA","")))))</f>
        <v/>
      </c>
      <c r="O46" s="100"/>
      <c r="P46" s="100"/>
      <c r="Q46" s="100"/>
      <c r="R46" s="100"/>
      <c r="S46" s="346" t="str">
        <f>IF(AND(ISNUMBER('King Node Model'!Z71),'King Node Model'!Z71&lt;0),REPT("█",ROUND(-'King Node Model'!Z71/MAX($X$1,1)*30,0)),"")</f>
        <v>██████████████████████████████</v>
      </c>
      <c r="T46" s="342">
        <f>'King Node Model'!A71</f>
        <v>7675</v>
      </c>
      <c r="U46" s="343" t="str">
        <f>IF(AND(ISNUMBER('King Node Model'!Z71),'King Node Model'!Z71&gt;0),REPT("█",ROUND('King Node Model'!Z71/MAX($X$1,1)*30,0)),"")</f>
        <v/>
      </c>
      <c r="V46" s="344">
        <f>IF('King Node Model'!A71="","",'King Node Model'!Z71)</f>
        <v>-10738154</v>
      </c>
      <c r="W46" s="345" t="str">
        <f>IF($T46='Level Engine'!$W$9,"◄ RESISTANCE 1",IF($T46='Level Engine'!$W$18,"◄ SUPPORT 1",IF(ABS($T46-'King Node Model'!$B$4)&lt;=2.5,"◄ SPOT",IF($T46='King Node Model'!$D$26,"◄ GAMMA FLIP",IF($T46='King Node Model'!$D$27,"◄ ZERO GAMMA","")))))</f>
        <v/>
      </c>
      <c r="X46" s="100"/>
      <c r="Y46" s="100"/>
      <c r="Z46" s="347" t="str">
        <f>IF(AND(ISNUMBER('King Node Model'!AI71),'King Node Model'!AI71&lt;0),REPT("█",ROUND(-'King Node Model'!AI71/MAX($AE$1,1)*30,0)),"")</f>
        <v/>
      </c>
      <c r="AA46" s="342">
        <f>'King Node Model'!A71</f>
        <v>7675</v>
      </c>
      <c r="AB46" s="348" t="str">
        <f>IF(AND(ISNUMBER('King Node Model'!AI71),'King Node Model'!AI71&gt;0),REPT("█",ROUND('King Node Model'!AI71/MAX($AE$1,1)*30,0)),"")</f>
        <v>█</v>
      </c>
      <c r="AC46" s="344">
        <f>IF('King Node Model'!A71="","",'King Node Model'!AI71)</f>
        <v>276767</v>
      </c>
      <c r="AD46" s="345" t="str">
        <f>IF($AA46='Level Engine'!$W$9,"◄ RESISTANCE 1",IF($AA46='Level Engine'!$W$18,"◄ SUPPORT 1",IF(ABS($AA46-'King Node Model'!$B$4)&lt;=2.5,"◄ SPOT",IF($AA46='King Node Model'!$D$26,"◄ GAMMA FLIP",IF($AA46='King Node Model'!$D$27,"◄ ZERO GAMMA","")))))</f>
        <v/>
      </c>
      <c r="AE46" s="100"/>
    </row>
    <row r="47" spans="2:31" ht="15" customHeight="1" x14ac:dyDescent="0.25">
      <c r="B47" s="341" t="str">
        <f>IF('King Node Model'!C72&lt;0,REPT("█",ROUND(-'King Node Model'!C72/MAX($H$1,1)*30,0)),"")</f>
        <v>█</v>
      </c>
      <c r="C47" s="342">
        <f>'King Node Model'!A72</f>
        <v>7670</v>
      </c>
      <c r="D47" s="343" t="str">
        <f>IF('King Node Model'!C72&gt;0,REPT("█",ROUND('King Node Model'!C72/MAX($H$1,1)*30,0)),"")</f>
        <v/>
      </c>
      <c r="E47" s="344">
        <f>IF('King Node Model'!A72="","",'King Node Model'!C72)</f>
        <v>-56259</v>
      </c>
      <c r="F47" s="345" t="str">
        <f>IF($C47='Level Engine'!$W$9,"◄ RESISTANCE 1",IF($C47='Level Engine'!$W$18,"◄ SUPPORT 1",""))</f>
        <v/>
      </c>
      <c r="J47" s="341" t="str">
        <f t="shared" si="0"/>
        <v>██</v>
      </c>
      <c r="K47" s="342">
        <f>'King Node Model'!A72</f>
        <v>7670</v>
      </c>
      <c r="L47" s="343" t="str">
        <f t="shared" si="1"/>
        <v/>
      </c>
      <c r="M47" s="344">
        <f>IF('King Node Model'!A72="","",$Q$7*('King Node Model'!C72*$Q$2+$Q$4*'King Node Model'!F72*$Q$3+$Q$5*0.5*'King Node Model'!I72*$Q$2^2+$Q$6*'King Node Model'!D72*$Q$2*$Q$3))</f>
        <v>-579370</v>
      </c>
      <c r="N47" s="345" t="str">
        <f>IF($K47='Level Engine'!$W$9,"◄ RESISTANCE 1",IF($K47='Level Engine'!$W$18,"◄ SUPPORT 1",IF(ABS($K47-'King Node Model'!$B$4)&lt;=2.5,"◄ SPOT",IF($K47='King Node Model'!$D$26,"◄ GAMMA FLIP",IF($K47='King Node Model'!$D$27,"◄ ZERO GAMMA","")))))</f>
        <v/>
      </c>
      <c r="O47" s="100"/>
      <c r="P47" s="100"/>
      <c r="Q47" s="100"/>
      <c r="R47" s="100"/>
      <c r="S47" s="346" t="str">
        <f>IF(AND(ISNUMBER('King Node Model'!Z72),'King Node Model'!Z72&lt;0),REPT("█",ROUND(-'King Node Model'!Z72/MAX($X$1,1)*30,0)),"")</f>
        <v>██████████████████████████████</v>
      </c>
      <c r="T47" s="342">
        <f>'King Node Model'!A72</f>
        <v>7670</v>
      </c>
      <c r="U47" s="343" t="str">
        <f>IF(AND(ISNUMBER('King Node Model'!Z72),'King Node Model'!Z72&gt;0),REPT("█",ROUND('King Node Model'!Z72/MAX($X$1,1)*30,0)),"")</f>
        <v/>
      </c>
      <c r="V47" s="344">
        <f>IF('King Node Model'!A72="","",'King Node Model'!Z72)</f>
        <v>-10794413</v>
      </c>
      <c r="W47" s="345" t="str">
        <f>IF($T47='Level Engine'!$W$9,"◄ RESISTANCE 1",IF($T47='Level Engine'!$W$18,"◄ SUPPORT 1",IF(ABS($T47-'King Node Model'!$B$4)&lt;=2.5,"◄ SPOT",IF($T47='King Node Model'!$D$26,"◄ GAMMA FLIP",IF($T47='King Node Model'!$D$27,"◄ ZERO GAMMA","")))))</f>
        <v/>
      </c>
      <c r="X47" s="100"/>
      <c r="Y47" s="100"/>
      <c r="Z47" s="347" t="str">
        <f>IF(AND(ISNUMBER('King Node Model'!AI72),'King Node Model'!AI72&lt;0),REPT("█",ROUND(-'King Node Model'!AI72/MAX($AE$1,1)*30,0)),"")</f>
        <v/>
      </c>
      <c r="AA47" s="342">
        <f>'King Node Model'!A72</f>
        <v>7670</v>
      </c>
      <c r="AB47" s="348" t="str">
        <f>IF(AND(ISNUMBER('King Node Model'!AI72),'King Node Model'!AI72&gt;0),REPT("█",ROUND('King Node Model'!AI72/MAX($AE$1,1)*30,0)),"")</f>
        <v>██</v>
      </c>
      <c r="AC47" s="344">
        <f>IF('King Node Model'!A72="","",'King Node Model'!AI72)</f>
        <v>425951</v>
      </c>
      <c r="AD47" s="345" t="str">
        <f>IF($AA47='Level Engine'!$W$9,"◄ RESISTANCE 1",IF($AA47='Level Engine'!$W$18,"◄ SUPPORT 1",IF(ABS($AA47-'King Node Model'!$B$4)&lt;=2.5,"◄ SPOT",IF($AA47='King Node Model'!$D$26,"◄ GAMMA FLIP",IF($AA47='King Node Model'!$D$27,"◄ ZERO GAMMA","")))))</f>
        <v/>
      </c>
      <c r="AE47" s="100"/>
    </row>
    <row r="48" spans="2:31" ht="15" customHeight="1" x14ac:dyDescent="0.25">
      <c r="B48" s="341" t="str">
        <f>IF('King Node Model'!C73&lt;0,REPT("█",ROUND(-'King Node Model'!C73/MAX($H$1,1)*30,0)),"")</f>
        <v>█</v>
      </c>
      <c r="C48" s="342">
        <f>'King Node Model'!A73</f>
        <v>7665</v>
      </c>
      <c r="D48" s="343" t="str">
        <f>IF('King Node Model'!C73&gt;0,REPT("█",ROUND('King Node Model'!C73/MAX($H$1,1)*30,0)),"")</f>
        <v/>
      </c>
      <c r="E48" s="344">
        <f>IF('King Node Model'!A73="","",'King Node Model'!C73)</f>
        <v>-58278</v>
      </c>
      <c r="F48" s="345" t="str">
        <f>IF($C48='Level Engine'!$W$9,"◄ RESISTANCE 1",IF($C48='Level Engine'!$W$18,"◄ SUPPORT 1",""))</f>
        <v/>
      </c>
      <c r="J48" s="341" t="str">
        <f t="shared" si="0"/>
        <v>██</v>
      </c>
      <c r="K48" s="342">
        <f>'King Node Model'!A73</f>
        <v>7665</v>
      </c>
      <c r="L48" s="343" t="str">
        <f t="shared" si="1"/>
        <v/>
      </c>
      <c r="M48" s="344">
        <f>IF('King Node Model'!A73="","",$Q$7*('King Node Model'!C73*$Q$2+$Q$4*'King Node Model'!F73*$Q$3+$Q$5*0.5*'King Node Model'!I73*$Q$2^2+$Q$6*'King Node Model'!D73*$Q$2*$Q$3))</f>
        <v>-604619</v>
      </c>
      <c r="N48" s="345" t="str">
        <f>IF($K48='Level Engine'!$W$9,"◄ RESISTANCE 1",IF($K48='Level Engine'!$W$18,"◄ SUPPORT 1",IF(ABS($K48-'King Node Model'!$B$4)&lt;=2.5,"◄ SPOT",IF($K48='King Node Model'!$D$26,"◄ GAMMA FLIP",IF($K48='King Node Model'!$D$27,"◄ ZERO GAMMA","")))))</f>
        <v/>
      </c>
      <c r="O48" s="100"/>
      <c r="P48" s="100"/>
      <c r="Q48" s="100"/>
      <c r="R48" s="100"/>
      <c r="S48" s="346" t="str">
        <f>IF(AND(ISNUMBER('King Node Model'!Z73),'King Node Model'!Z73&lt;0),REPT("█",ROUND(-'King Node Model'!Z73/MAX($X$1,1)*30,0)),"")</f>
        <v>██████████████████████████████</v>
      </c>
      <c r="T48" s="342">
        <f>'King Node Model'!A73</f>
        <v>7665</v>
      </c>
      <c r="U48" s="343" t="str">
        <f>IF(AND(ISNUMBER('King Node Model'!Z73),'King Node Model'!Z73&gt;0),REPT("█",ROUND('King Node Model'!Z73/MAX($X$1,1)*30,0)),"")</f>
        <v/>
      </c>
      <c r="V48" s="344">
        <f>IF('King Node Model'!A73="","",'King Node Model'!Z73)</f>
        <v>-10852691</v>
      </c>
      <c r="W48" s="345" t="str">
        <f>IF($T48='Level Engine'!$W$9,"◄ RESISTANCE 1",IF($T48='Level Engine'!$W$18,"◄ SUPPORT 1",IF(ABS($T48-'King Node Model'!$B$4)&lt;=2.5,"◄ SPOT",IF($T48='King Node Model'!$D$26,"◄ GAMMA FLIP",IF($T48='King Node Model'!$D$27,"◄ ZERO GAMMA","")))))</f>
        <v/>
      </c>
      <c r="X48" s="100"/>
      <c r="Y48" s="100"/>
      <c r="Z48" s="347" t="str">
        <f>IF(AND(ISNUMBER('King Node Model'!AI73),'King Node Model'!AI73&lt;0),REPT("█",ROUND(-'King Node Model'!AI73/MAX($AE$1,1)*30,0)),"")</f>
        <v/>
      </c>
      <c r="AA48" s="342">
        <f>'King Node Model'!A73</f>
        <v>7665</v>
      </c>
      <c r="AB48" s="348" t="str">
        <f>IF(AND(ISNUMBER('King Node Model'!AI73),'King Node Model'!AI73&gt;0),REPT("█",ROUND('King Node Model'!AI73/MAX($AE$1,1)*30,0)),"")</f>
        <v>██</v>
      </c>
      <c r="AC48" s="344">
        <f>IF('King Node Model'!A73="","",'King Node Model'!AI73)</f>
        <v>500259</v>
      </c>
      <c r="AD48" s="345" t="str">
        <f>IF($AA48='Level Engine'!$W$9,"◄ RESISTANCE 1",IF($AA48='Level Engine'!$W$18,"◄ SUPPORT 1",IF(ABS($AA48-'King Node Model'!$B$4)&lt;=2.5,"◄ SPOT",IF($AA48='King Node Model'!$D$26,"◄ GAMMA FLIP",IF($AA48='King Node Model'!$D$27,"◄ ZERO GAMMA","")))))</f>
        <v/>
      </c>
      <c r="AE48" s="100"/>
    </row>
    <row r="49" spans="2:31" ht="15" customHeight="1" x14ac:dyDescent="0.25">
      <c r="B49" s="341" t="str">
        <f>IF('King Node Model'!C74&lt;0,REPT("█",ROUND(-'King Node Model'!C74/MAX($H$1,1)*30,0)),"")</f>
        <v/>
      </c>
      <c r="C49" s="342">
        <f>'King Node Model'!A74</f>
        <v>7660</v>
      </c>
      <c r="D49" s="343" t="str">
        <f>IF('King Node Model'!C74&gt;0,REPT("█",ROUND('King Node Model'!C74/MAX($H$1,1)*30,0)),"")</f>
        <v/>
      </c>
      <c r="E49" s="344">
        <f>IF('King Node Model'!A74="","",'King Node Model'!C74)</f>
        <v>-25233</v>
      </c>
      <c r="F49" s="345" t="str">
        <f>IF($C49='Level Engine'!$W$9,"◄ RESISTANCE 1",IF($C49='Level Engine'!$W$18,"◄ SUPPORT 1",""))</f>
        <v/>
      </c>
      <c r="J49" s="341" t="str">
        <f t="shared" si="0"/>
        <v>█</v>
      </c>
      <c r="K49" s="342">
        <f>'King Node Model'!A74</f>
        <v>7660</v>
      </c>
      <c r="L49" s="343" t="str">
        <f t="shared" si="1"/>
        <v/>
      </c>
      <c r="M49" s="344">
        <f>IF('King Node Model'!A74="","",$Q$7*('King Node Model'!C74*$Q$2+$Q$4*'King Node Model'!F74*$Q$3+$Q$5*0.5*'King Node Model'!I74*$Q$2^2+$Q$6*'King Node Model'!D74*$Q$2*$Q$3))</f>
        <v>-264319</v>
      </c>
      <c r="N49" s="345" t="str">
        <f>IF($K49='Level Engine'!$W$9,"◄ RESISTANCE 1",IF($K49='Level Engine'!$W$18,"◄ SUPPORT 1",IF(ABS($K49-'King Node Model'!$B$4)&lt;=2.5,"◄ SPOT",IF($K49='King Node Model'!$D$26,"◄ GAMMA FLIP",IF($K49='King Node Model'!$D$27,"◄ ZERO GAMMA","")))))</f>
        <v/>
      </c>
      <c r="O49" s="100"/>
      <c r="P49" s="100"/>
      <c r="Q49" s="100"/>
      <c r="R49" s="100"/>
      <c r="S49" s="346" t="str">
        <f>IF(AND(ISNUMBER('King Node Model'!Z74),'King Node Model'!Z74&lt;0),REPT("█",ROUND(-'King Node Model'!Z74/MAX($X$1,1)*30,0)),"")</f>
        <v>██████████████████████████████</v>
      </c>
      <c r="T49" s="342">
        <f>'King Node Model'!A74</f>
        <v>7660</v>
      </c>
      <c r="U49" s="343" t="str">
        <f>IF(AND(ISNUMBER('King Node Model'!Z74),'King Node Model'!Z74&gt;0),REPT("█",ROUND('King Node Model'!Z74/MAX($X$1,1)*30,0)),"")</f>
        <v/>
      </c>
      <c r="V49" s="344">
        <f>IF('King Node Model'!A74="","",'King Node Model'!Z74)</f>
        <v>-10877924</v>
      </c>
      <c r="W49" s="345" t="str">
        <f>IF($T49='Level Engine'!$W$9,"◄ RESISTANCE 1",IF($T49='Level Engine'!$W$18,"◄ SUPPORT 1",IF(ABS($T49-'King Node Model'!$B$4)&lt;=2.5,"◄ SPOT",IF($T49='King Node Model'!$D$26,"◄ GAMMA FLIP",IF($T49='King Node Model'!$D$27,"◄ ZERO GAMMA","")))))</f>
        <v/>
      </c>
      <c r="X49" s="100"/>
      <c r="Y49" s="100"/>
      <c r="Z49" s="347" t="str">
        <f>IF(AND(ISNUMBER('King Node Model'!AI74),'King Node Model'!AI74&lt;0),REPT("█",ROUND(-'King Node Model'!AI74/MAX($AE$1,1)*30,0)),"")</f>
        <v/>
      </c>
      <c r="AA49" s="342">
        <f>'King Node Model'!A74</f>
        <v>7660</v>
      </c>
      <c r="AB49" s="348" t="str">
        <f>IF(AND(ISNUMBER('King Node Model'!AI74),'King Node Model'!AI74&gt;0),REPT("█",ROUND('King Node Model'!AI74/MAX($AE$1,1)*30,0)),"")</f>
        <v>██</v>
      </c>
      <c r="AC49" s="344">
        <f>IF('King Node Model'!A74="","",'King Node Model'!AI74)</f>
        <v>561159</v>
      </c>
      <c r="AD49" s="345" t="str">
        <f>IF($AA49='Level Engine'!$W$9,"◄ RESISTANCE 1",IF($AA49='Level Engine'!$W$18,"◄ SUPPORT 1",IF(ABS($AA49-'King Node Model'!$B$4)&lt;=2.5,"◄ SPOT",IF($AA49='King Node Model'!$D$26,"◄ GAMMA FLIP",IF($AA49='King Node Model'!$D$27,"◄ ZERO GAMMA","")))))</f>
        <v/>
      </c>
      <c r="AE49" s="100"/>
    </row>
    <row r="50" spans="2:31" ht="15" customHeight="1" x14ac:dyDescent="0.25">
      <c r="B50" s="341" t="str">
        <f>IF('King Node Model'!C75&lt;0,REPT("█",ROUND(-'King Node Model'!C75/MAX($H$1,1)*30,0)),"")</f>
        <v/>
      </c>
      <c r="C50" s="342">
        <f>'King Node Model'!A75</f>
        <v>7655</v>
      </c>
      <c r="D50" s="343" t="str">
        <f>IF('King Node Model'!C75&gt;0,REPT("█",ROUND('King Node Model'!C75/MAX($H$1,1)*30,0)),"")</f>
        <v/>
      </c>
      <c r="E50" s="344">
        <f>IF('King Node Model'!A75="","",'King Node Model'!C75)</f>
        <v>-21948</v>
      </c>
      <c r="F50" s="345" t="str">
        <f>IF($C50='Level Engine'!$W$9,"◄ RESISTANCE 1",IF($C50='Level Engine'!$W$18,"◄ SUPPORT 1",""))</f>
        <v/>
      </c>
      <c r="J50" s="341" t="str">
        <f t="shared" si="0"/>
        <v>█</v>
      </c>
      <c r="K50" s="342">
        <f>'King Node Model'!A75</f>
        <v>7655</v>
      </c>
      <c r="L50" s="343" t="str">
        <f t="shared" si="1"/>
        <v/>
      </c>
      <c r="M50" s="344">
        <f>IF('King Node Model'!A75="","",$Q$7*('King Node Model'!C75*$Q$2+$Q$4*'King Node Model'!F75*$Q$3+$Q$5*0.5*'King Node Model'!I75*$Q$2^2+$Q$6*'King Node Model'!D75*$Q$2*$Q$3))</f>
        <v>-233063.5</v>
      </c>
      <c r="N50" s="345" t="str">
        <f>IF($K50='Level Engine'!$W$9,"◄ RESISTANCE 1",IF($K50='Level Engine'!$W$18,"◄ SUPPORT 1",IF(ABS($K50-'King Node Model'!$B$4)&lt;=2.5,"◄ SPOT",IF($K50='King Node Model'!$D$26,"◄ GAMMA FLIP",IF($K50='King Node Model'!$D$27,"◄ ZERO GAMMA","")))))</f>
        <v/>
      </c>
      <c r="O50" s="100"/>
      <c r="P50" s="100"/>
      <c r="Q50" s="100"/>
      <c r="R50" s="100"/>
      <c r="S50" s="346" t="str">
        <f>IF(AND(ISNUMBER('King Node Model'!Z75),'King Node Model'!Z75&lt;0),REPT("█",ROUND(-'King Node Model'!Z75/MAX($X$1,1)*30,0)),"")</f>
        <v>██████████████████████████████</v>
      </c>
      <c r="T50" s="342">
        <f>'King Node Model'!A75</f>
        <v>7655</v>
      </c>
      <c r="U50" s="343" t="str">
        <f>IF(AND(ISNUMBER('King Node Model'!Z75),'King Node Model'!Z75&gt;0),REPT("█",ROUND('King Node Model'!Z75/MAX($X$1,1)*30,0)),"")</f>
        <v/>
      </c>
      <c r="V50" s="344">
        <f>IF('King Node Model'!A75="","",'King Node Model'!Z75)</f>
        <v>-10899872</v>
      </c>
      <c r="W50" s="345" t="str">
        <f>IF($T50='Level Engine'!$W$9,"◄ RESISTANCE 1",IF($T50='Level Engine'!$W$18,"◄ SUPPORT 1",IF(ABS($T50-'King Node Model'!$B$4)&lt;=2.5,"◄ SPOT",IF($T50='King Node Model'!$D$26,"◄ GAMMA FLIP",IF($T50='King Node Model'!$D$27,"◄ ZERO GAMMA","")))))</f>
        <v/>
      </c>
      <c r="X50" s="100"/>
      <c r="Y50" s="100"/>
      <c r="Z50" s="347" t="str">
        <f>IF(AND(ISNUMBER('King Node Model'!AI75),'King Node Model'!AI75&lt;0),REPT("█",ROUND(-'King Node Model'!AI75/MAX($AE$1,1)*30,0)),"")</f>
        <v/>
      </c>
      <c r="AA50" s="342">
        <f>'King Node Model'!A75</f>
        <v>7655</v>
      </c>
      <c r="AB50" s="348" t="str">
        <f>IF(AND(ISNUMBER('King Node Model'!AI75),'King Node Model'!AI75&gt;0),REPT("█",ROUND('King Node Model'!AI75/MAX($AE$1,1)*30,0)),"")</f>
        <v>██</v>
      </c>
      <c r="AC50" s="344">
        <f>IF('King Node Model'!A75="","",'King Node Model'!AI75)</f>
        <v>600588</v>
      </c>
      <c r="AD50" s="345" t="str">
        <f>IF($AA50='Level Engine'!$W$9,"◄ RESISTANCE 1",IF($AA50='Level Engine'!$W$18,"◄ SUPPORT 1",IF(ABS($AA50-'King Node Model'!$B$4)&lt;=2.5,"◄ SPOT",IF($AA50='King Node Model'!$D$26,"◄ GAMMA FLIP",IF($AA50='King Node Model'!$D$27,"◄ ZERO GAMMA","")))))</f>
        <v/>
      </c>
      <c r="AE50" s="100"/>
    </row>
    <row r="53" spans="2:31" ht="15.75" customHeight="1" x14ac:dyDescent="0.25">
      <c r="B53" s="349" t="s">
        <v>188</v>
      </c>
    </row>
    <row r="54" spans="2:31" ht="15" customHeight="1" x14ac:dyDescent="0.25">
      <c r="B54" s="76" t="s">
        <v>162</v>
      </c>
      <c r="C54" s="158" t="s">
        <v>2786</v>
      </c>
    </row>
    <row r="55" spans="2:31" ht="15" customHeight="1" x14ac:dyDescent="0.25">
      <c r="B55" s="76" t="s">
        <v>189</v>
      </c>
      <c r="C55" s="10">
        <v>4035</v>
      </c>
      <c r="D55" s="76" t="s">
        <v>190</v>
      </c>
      <c r="E55" s="350">
        <v>0</v>
      </c>
    </row>
    <row r="56" spans="2:31" ht="15" customHeight="1" x14ac:dyDescent="0.25">
      <c r="B56" s="76" t="s">
        <v>165</v>
      </c>
      <c r="C56" s="1" t="str">
        <f>'Level Engine'!D5</f>
        <v>UP</v>
      </c>
      <c r="D56" s="76" t="s">
        <v>80</v>
      </c>
      <c r="E56" s="350">
        <f>'King Node Model'!D5</f>
        <v>86.64</v>
      </c>
    </row>
    <row r="57" spans="2:31" ht="15" customHeight="1" x14ac:dyDescent="0.25">
      <c r="B57" s="351" t="s">
        <v>191</v>
      </c>
      <c r="C57" s="351" t="s">
        <v>192</v>
      </c>
      <c r="D57" s="351" t="s">
        <v>193</v>
      </c>
    </row>
    <row r="58" spans="2:31" ht="15" customHeight="1" x14ac:dyDescent="0.25">
      <c r="B58" s="329">
        <v>0.73571759259259262</v>
      </c>
      <c r="C58" s="10">
        <v>4035</v>
      </c>
      <c r="D58" s="330">
        <v>-195</v>
      </c>
    </row>
    <row r="59" spans="2:31" ht="15" customHeight="1" x14ac:dyDescent="0.25">
      <c r="B59" s="329">
        <v>0.73520833333333335</v>
      </c>
      <c r="C59" s="10">
        <v>4230</v>
      </c>
      <c r="D59" s="330">
        <v>-221</v>
      </c>
    </row>
    <row r="60" spans="2:31" ht="15" customHeight="1" x14ac:dyDescent="0.25">
      <c r="B60" s="329">
        <v>0.73468750000000005</v>
      </c>
      <c r="C60" s="10">
        <v>4451</v>
      </c>
      <c r="D60" s="330">
        <v>-82</v>
      </c>
    </row>
    <row r="61" spans="2:31" ht="15" customHeight="1" x14ac:dyDescent="0.25">
      <c r="B61" s="329">
        <v>0.73414351851851845</v>
      </c>
      <c r="C61" s="10">
        <v>4533</v>
      </c>
      <c r="D61" s="330">
        <v>-78</v>
      </c>
    </row>
    <row r="62" spans="2:31" ht="15" customHeight="1" x14ac:dyDescent="0.25">
      <c r="B62" s="329">
        <v>0.73356481481481473</v>
      </c>
      <c r="C62" s="10">
        <v>4611</v>
      </c>
      <c r="D62" s="330">
        <v>-45</v>
      </c>
    </row>
    <row r="63" spans="2:31" ht="15" customHeight="1" x14ac:dyDescent="0.25">
      <c r="B63" s="329">
        <v>0.73297453703703708</v>
      </c>
      <c r="C63" s="10">
        <v>4656</v>
      </c>
      <c r="D63" s="330">
        <v>-57</v>
      </c>
    </row>
    <row r="64" spans="2:31" ht="15" customHeight="1" x14ac:dyDescent="0.25">
      <c r="B64" s="329">
        <v>0.73239583333333336</v>
      </c>
      <c r="C64" s="10">
        <v>4713</v>
      </c>
      <c r="D64" s="330">
        <v>-43</v>
      </c>
    </row>
    <row r="65" spans="2:6" ht="15" customHeight="1" x14ac:dyDescent="0.25">
      <c r="B65" s="329">
        <v>0.73180555555555549</v>
      </c>
      <c r="C65" s="10">
        <v>4756</v>
      </c>
      <c r="D65" s="330"/>
    </row>
    <row r="67" spans="2:6" ht="15.75" customHeight="1" x14ac:dyDescent="0.25">
      <c r="B67" s="349" t="s">
        <v>194</v>
      </c>
    </row>
    <row r="68" spans="2:6" ht="15" customHeight="1" x14ac:dyDescent="0.25">
      <c r="B68" s="76" t="s">
        <v>195</v>
      </c>
      <c r="C68" s="350">
        <v>-1.6</v>
      </c>
      <c r="D68" s="1" t="s">
        <v>2785</v>
      </c>
    </row>
    <row r="69" spans="2:6" ht="15" customHeight="1" x14ac:dyDescent="0.25">
      <c r="B69" s="76" t="s">
        <v>196</v>
      </c>
      <c r="C69" s="1" t="s">
        <v>2787</v>
      </c>
    </row>
    <row r="70" spans="2:6" ht="15" customHeight="1" x14ac:dyDescent="0.25">
      <c r="B70" s="76" t="s">
        <v>197</v>
      </c>
      <c r="C70" s="1" t="str">
        <f>IF(NOT(ISNUMBER(C68)),"",IF(C68&gt;0.05,"▲ "&amp;TEXT('King Node Model'!$AL$42,"0")&amp;" (R)",IF(C68&lt;-0.05,"▼ "&amp;TEXT('King Node Model'!$AL$49,"0")&amp;" (S)","– flat")))</f>
        <v>▼ 7775 (S)</v>
      </c>
      <c r="D70" s="76" t="s">
        <v>198</v>
      </c>
      <c r="E70" s="1" t="str">
        <f>IF(NOT(ISNUMBER(C68)),"",IF(C68&gt;0.05,IF(AND($C$69="DECELERATING",$E$71&gt;0),"HOLD likely",IF(AND($C$69="ACCELERATING",$E$71&lt;0),"BREAK risk","watch")),IF(C68&lt;-0.05,IF(AND($C$69="DECELERATING",$E$72&gt;0),"HOLD likely",IF(AND($C$69="ACCELERATING",$E$72&lt;0),"BREAK risk","watch")),"– flat")))</f>
        <v>watch</v>
      </c>
    </row>
    <row r="71" spans="2:6" ht="15" customHeight="1" x14ac:dyDescent="0.25">
      <c r="B71" s="76" t="s">
        <v>199</v>
      </c>
      <c r="C71" s="3">
        <f>IFERROR('King Node Model'!$AL$42,"")</f>
        <v>7780</v>
      </c>
      <c r="D71" s="76" t="s">
        <v>200</v>
      </c>
      <c r="E71" s="10">
        <f>IF(NOT(ISNUMBER('King Node Model'!$AL$42)),"",ROUND(SUMPRODUCT(('King Node Model'!$A$29:$A$75&gt;='King Node Model'!$B$4)*('King Node Model'!$A$29:$A$75&lt;='King Node Model'!$AL$42)*'King Node Model'!$C$29:$C$75),0))</f>
        <v>-2299593</v>
      </c>
      <c r="F71" s="1" t="str">
        <f>IF(E71="","",IF(E71&gt;0,"DRAG ▸ brakes","FUEL ▸ accelerant"))</f>
        <v>FUEL ▸ accelerant</v>
      </c>
    </row>
    <row r="72" spans="2:6" ht="15" customHeight="1" x14ac:dyDescent="0.25">
      <c r="B72" s="76" t="s">
        <v>201</v>
      </c>
      <c r="C72" s="3">
        <f>IFERROR('King Node Model'!$AL$49,"")</f>
        <v>7775</v>
      </c>
      <c r="D72" s="76" t="s">
        <v>200</v>
      </c>
      <c r="E72" s="10">
        <f>IF(NOT(ISNUMBER('King Node Model'!$AL$49)),"",ROUND(SUMPRODUCT(('King Node Model'!$A$29:$A$75&lt;='King Node Model'!$B$4)*('King Node Model'!$A$29:$A$75&gt;='King Node Model'!$AL$49)*'King Node Model'!$C$29:$C$75),0))</f>
        <v>-49207</v>
      </c>
      <c r="F72" s="1" t="str">
        <f>IF(E72="","",IF(E72&gt;0,"DRAG ▸ brakes","FUEL ▸ accelerant"))</f>
        <v>FUEL ▸ accelerant</v>
      </c>
    </row>
    <row r="73" spans="2:6" ht="15" customHeight="1" x14ac:dyDescent="0.25">
      <c r="B73" s="76" t="s">
        <v>191</v>
      </c>
      <c r="C73" s="76" t="s">
        <v>123</v>
      </c>
      <c r="D73" s="76" t="s">
        <v>202</v>
      </c>
    </row>
    <row r="74" spans="2:6" ht="15" customHeight="1" x14ac:dyDescent="0.25">
      <c r="B74" s="329">
        <v>0.73568287037037028</v>
      </c>
      <c r="C74" s="1">
        <v>7775.39</v>
      </c>
      <c r="D74" s="1">
        <v>-0.8</v>
      </c>
    </row>
    <row r="75" spans="2:6" ht="15" customHeight="1" x14ac:dyDescent="0.25">
      <c r="B75" s="329">
        <v>0.73518518518518527</v>
      </c>
      <c r="C75" s="1">
        <v>7776.19</v>
      </c>
      <c r="D75" s="1">
        <v>-2.4</v>
      </c>
    </row>
    <row r="76" spans="2:6" ht="15" customHeight="1" x14ac:dyDescent="0.25">
      <c r="B76" s="329">
        <v>0.73464120370370367</v>
      </c>
      <c r="C76" s="1">
        <v>7778.55</v>
      </c>
      <c r="D76" s="1">
        <v>-0.6</v>
      </c>
    </row>
    <row r="77" spans="2:6" ht="15" customHeight="1" x14ac:dyDescent="0.25">
      <c r="B77" s="329">
        <v>0.73408564814814825</v>
      </c>
      <c r="C77" s="1">
        <v>7779.14</v>
      </c>
      <c r="D77" s="1">
        <v>-2.5</v>
      </c>
    </row>
    <row r="78" spans="2:6" ht="15" customHeight="1" x14ac:dyDescent="0.25">
      <c r="B78" s="329">
        <v>0.73350694444444453</v>
      </c>
      <c r="C78" s="1">
        <v>7781.68</v>
      </c>
      <c r="D78" s="1">
        <v>0</v>
      </c>
    </row>
    <row r="79" spans="2:6" ht="15" customHeight="1" x14ac:dyDescent="0.25">
      <c r="B79" s="329">
        <v>0.73291666666666666</v>
      </c>
      <c r="C79" s="1">
        <v>7781.71</v>
      </c>
      <c r="D79" s="1">
        <v>0.5</v>
      </c>
    </row>
    <row r="80" spans="2:6" ht="15" customHeight="1" x14ac:dyDescent="0.25">
      <c r="B80" s="329">
        <v>0.73233796296296294</v>
      </c>
      <c r="C80" s="1">
        <v>7781.25</v>
      </c>
      <c r="D80" s="1">
        <v>-0.3</v>
      </c>
    </row>
    <row r="81" spans="2:3" ht="15" customHeight="1" x14ac:dyDescent="0.25">
      <c r="B81" s="329">
        <v>0.73175925925925922</v>
      </c>
      <c r="C81" s="1">
        <v>7781.59</v>
      </c>
    </row>
  </sheetData>
  <conditionalFormatting sqref="D4:D50">
    <cfRule type="expression" dxfId="22" priority="2">
      <formula>AND($E4=MAX($E$4:$E$50),$E4&gt;0)</formula>
    </cfRule>
  </conditionalFormatting>
  <conditionalFormatting sqref="B4:B50">
    <cfRule type="expression" dxfId="21" priority="3">
      <formula>AND($E4=MIN($E$4:$E$50),$E4&lt;0)</formula>
    </cfRule>
  </conditionalFormatting>
  <conditionalFormatting sqref="F4:F50">
    <cfRule type="expression" dxfId="20" priority="4">
      <formula>ISNUMBER(SEARCH("RESISTANCE",$F4))</formula>
    </cfRule>
    <cfRule type="expression" dxfId="19" priority="5">
      <formula>ISNUMBER(SEARCH("SUPPORT",$F4))</formula>
    </cfRule>
  </conditionalFormatting>
  <conditionalFormatting sqref="J4:N50">
    <cfRule type="expression" dxfId="18" priority="6">
      <formula>ISNUMBER(SEARCH("SPOT",$N4))</formula>
    </cfRule>
  </conditionalFormatting>
  <conditionalFormatting sqref="C54">
    <cfRule type="expression" dxfId="17" priority="7">
      <formula>ISNUMBER(SEARCH("gated",$C$54))</formula>
    </cfRule>
    <cfRule type="expression" dxfId="16" priority="8">
      <formula>ISNUMBER(SEARCH("SHORT trigger",$C$54))</formula>
    </cfRule>
    <cfRule type="expression" dxfId="15" priority="9">
      <formula>ISNUMBER(SEARCH("watching",$C$54))</formula>
    </cfRule>
    <cfRule type="expression" dxfId="14" priority="10">
      <formula>OR(ISNUMBER(SEARCH("RISING",$C$54)),ISNUMBER(SEARCH("FALLING",$C$54)),ISNUMBER(SEARCH("warming",$C$54)))</formula>
    </cfRule>
  </conditionalFormatting>
  <conditionalFormatting sqref="E70">
    <cfRule type="expression" dxfId="13" priority="11">
      <formula>$E$70="HOLD likely"</formula>
    </cfRule>
    <cfRule type="expression" dxfId="12" priority="12">
      <formula>$E$70="BREAK risk"</formula>
    </cfRule>
    <cfRule type="expression" dxfId="11" priority="13">
      <formula>$E$70="watch"</formula>
    </cfRule>
  </conditionalFormatting>
  <conditionalFormatting sqref="F71">
    <cfRule type="expression" dxfId="10" priority="14">
      <formula>ISNUMBER(SEARCH("DRAG",F71))</formula>
    </cfRule>
    <cfRule type="expression" dxfId="9" priority="15">
      <formula>ISNUMBER(SEARCH("FUEL",F71))</formula>
    </cfRule>
  </conditionalFormatting>
  <conditionalFormatting sqref="F72">
    <cfRule type="expression" dxfId="8" priority="16">
      <formula>ISNUMBER(SEARCH("FUEL",F72))</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9"/>
  <sheetViews>
    <sheetView topLeftCell="L1" zoomScaleNormal="100" workbookViewId="0">
      <selection activeCell="U14" sqref="U14"/>
    </sheetView>
  </sheetViews>
  <sheetFormatPr defaultColWidth="8.7109375" defaultRowHeight="15" x14ac:dyDescent="0.25"/>
  <cols>
    <col min="1" max="9" width="16" style="1" customWidth="1"/>
    <col min="10" max="10" width="97.28515625" style="1" bestFit="1" customWidth="1"/>
    <col min="11" max="11" width="41.42578125" style="1" customWidth="1"/>
    <col min="12" max="12" width="29.85546875" style="1" customWidth="1"/>
    <col min="13" max="13" width="46.28515625" style="1" customWidth="1"/>
    <col min="14" max="14" width="55.85546875" style="1" customWidth="1"/>
    <col min="15" max="18" width="16" style="1" customWidth="1"/>
    <col min="19" max="19" width="13.42578125" style="1" customWidth="1"/>
  </cols>
  <sheetData>
    <row r="1" spans="1:21" ht="15" customHeight="1" x14ac:dyDescent="0.25">
      <c r="A1" s="352" t="s">
        <v>203</v>
      </c>
      <c r="B1" s="352" t="s">
        <v>204</v>
      </c>
      <c r="C1" s="352" t="s">
        <v>14</v>
      </c>
      <c r="D1" s="352" t="s">
        <v>15</v>
      </c>
      <c r="E1" s="352" t="s">
        <v>16</v>
      </c>
      <c r="F1" s="352" t="s">
        <v>17</v>
      </c>
      <c r="G1" s="352" t="s">
        <v>18</v>
      </c>
      <c r="H1" s="352" t="s">
        <v>19</v>
      </c>
      <c r="I1" s="352" t="s">
        <v>20</v>
      </c>
      <c r="J1" s="352" t="s">
        <v>5</v>
      </c>
      <c r="K1" s="352" t="s">
        <v>1609</v>
      </c>
      <c r="L1" s="352" t="s">
        <v>205</v>
      </c>
      <c r="M1" s="352" t="s">
        <v>206</v>
      </c>
      <c r="N1" s="352" t="s">
        <v>9</v>
      </c>
      <c r="O1" s="352" t="s">
        <v>10</v>
      </c>
      <c r="P1" s="352" t="s">
        <v>207</v>
      </c>
      <c r="Q1" s="352" t="s">
        <v>208</v>
      </c>
      <c r="R1" s="352" t="s">
        <v>209</v>
      </c>
      <c r="S1" s="352" t="s">
        <v>210</v>
      </c>
      <c r="T1" s="513" t="s">
        <v>2072</v>
      </c>
    </row>
    <row r="2" spans="1:21" ht="15" customHeight="1" x14ac:dyDescent="0.25">
      <c r="A2" s="1" t="s">
        <v>211</v>
      </c>
      <c r="B2" s="1" t="s">
        <v>212</v>
      </c>
      <c r="C2" s="1" t="s">
        <v>213</v>
      </c>
      <c r="D2" s="1" t="s">
        <v>91</v>
      </c>
      <c r="E2" s="1" t="s">
        <v>213</v>
      </c>
      <c r="F2" s="1" t="s">
        <v>91</v>
      </c>
      <c r="G2" s="1" t="s">
        <v>91</v>
      </c>
      <c r="H2" s="1" t="s">
        <v>91</v>
      </c>
      <c r="I2" s="1" t="s">
        <v>91</v>
      </c>
      <c r="J2" s="1" t="s">
        <v>214</v>
      </c>
      <c r="K2" s="1" t="s">
        <v>215</v>
      </c>
      <c r="L2" s="1" t="s">
        <v>216</v>
      </c>
      <c r="M2" s="1" t="s">
        <v>217</v>
      </c>
      <c r="N2" s="1" t="s">
        <v>218</v>
      </c>
      <c r="O2" s="1" t="s">
        <v>219</v>
      </c>
      <c r="P2" s="1" t="s">
        <v>220</v>
      </c>
      <c r="Q2" s="1" t="s">
        <v>221</v>
      </c>
      <c r="R2" s="1" t="s">
        <v>222</v>
      </c>
      <c r="S2" s="1" t="s">
        <v>223</v>
      </c>
    </row>
    <row r="3" spans="1:21" ht="15" customHeight="1" x14ac:dyDescent="0.25">
      <c r="A3" s="1" t="s">
        <v>224</v>
      </c>
      <c r="B3" s="1" t="s">
        <v>225</v>
      </c>
      <c r="C3" s="1" t="s">
        <v>213</v>
      </c>
      <c r="D3" s="1" t="s">
        <v>91</v>
      </c>
      <c r="E3" s="1" t="s">
        <v>213</v>
      </c>
      <c r="F3" s="1" t="s">
        <v>91</v>
      </c>
      <c r="G3" s="1" t="s">
        <v>91</v>
      </c>
      <c r="H3" s="1" t="s">
        <v>91</v>
      </c>
      <c r="I3" s="1" t="s">
        <v>91</v>
      </c>
      <c r="J3" s="1" t="s">
        <v>226</v>
      </c>
      <c r="K3" s="1" t="s">
        <v>215</v>
      </c>
      <c r="L3" s="1" t="s">
        <v>227</v>
      </c>
      <c r="M3" s="1" t="s">
        <v>228</v>
      </c>
      <c r="N3" s="1" t="s">
        <v>229</v>
      </c>
      <c r="O3" s="1" t="s">
        <v>230</v>
      </c>
      <c r="P3" s="1" t="s">
        <v>231</v>
      </c>
      <c r="Q3" s="1" t="s">
        <v>232</v>
      </c>
      <c r="R3" s="1" t="s">
        <v>233</v>
      </c>
      <c r="S3" s="1" t="s">
        <v>234</v>
      </c>
    </row>
    <row r="4" spans="1:21" ht="15" customHeight="1" x14ac:dyDescent="0.25">
      <c r="A4" s="1" t="s">
        <v>235</v>
      </c>
      <c r="B4" s="1" t="s">
        <v>212</v>
      </c>
      <c r="C4" s="1" t="s">
        <v>91</v>
      </c>
      <c r="D4" s="1" t="s">
        <v>213</v>
      </c>
      <c r="E4" s="1" t="s">
        <v>213</v>
      </c>
      <c r="F4" s="1" t="s">
        <v>91</v>
      </c>
      <c r="G4" s="1" t="s">
        <v>91</v>
      </c>
      <c r="H4" s="1" t="s">
        <v>213</v>
      </c>
      <c r="I4" s="1" t="s">
        <v>213</v>
      </c>
      <c r="J4" s="1" t="s">
        <v>236</v>
      </c>
      <c r="K4" s="1" t="s">
        <v>237</v>
      </c>
      <c r="L4" s="1" t="s">
        <v>238</v>
      </c>
      <c r="M4" s="1" t="s">
        <v>239</v>
      </c>
      <c r="N4" s="1" t="s">
        <v>240</v>
      </c>
      <c r="O4" s="1" t="s">
        <v>241</v>
      </c>
      <c r="P4" s="1" t="s">
        <v>242</v>
      </c>
      <c r="Q4" s="1" t="s">
        <v>243</v>
      </c>
      <c r="R4" s="1" t="s">
        <v>244</v>
      </c>
      <c r="S4" s="1" t="s">
        <v>245</v>
      </c>
    </row>
    <row r="5" spans="1:21" ht="15" customHeight="1" x14ac:dyDescent="0.25">
      <c r="A5" s="1" t="s">
        <v>246</v>
      </c>
      <c r="B5" s="1" t="s">
        <v>225</v>
      </c>
      <c r="C5" s="1" t="s">
        <v>91</v>
      </c>
      <c r="D5" s="1" t="s">
        <v>213</v>
      </c>
      <c r="E5" s="1" t="s">
        <v>213</v>
      </c>
      <c r="F5" s="1" t="s">
        <v>91</v>
      </c>
      <c r="G5" s="1" t="s">
        <v>91</v>
      </c>
      <c r="H5" s="1" t="s">
        <v>213</v>
      </c>
      <c r="I5" s="1" t="s">
        <v>213</v>
      </c>
      <c r="J5" s="1" t="s">
        <v>247</v>
      </c>
      <c r="K5" s="1" t="s">
        <v>237</v>
      </c>
      <c r="L5" s="1" t="s">
        <v>248</v>
      </c>
      <c r="M5" s="1" t="s">
        <v>249</v>
      </c>
      <c r="N5" s="1" t="s">
        <v>240</v>
      </c>
      <c r="O5" s="1" t="s">
        <v>241</v>
      </c>
      <c r="P5" s="1" t="s">
        <v>250</v>
      </c>
      <c r="Q5" s="1" t="s">
        <v>251</v>
      </c>
      <c r="R5" s="1" t="s">
        <v>252</v>
      </c>
      <c r="S5" s="1" t="s">
        <v>245</v>
      </c>
    </row>
    <row r="6" spans="1:21" ht="15" customHeight="1" x14ac:dyDescent="0.25">
      <c r="A6" s="1" t="s">
        <v>253</v>
      </c>
      <c r="B6" s="1" t="s">
        <v>212</v>
      </c>
      <c r="C6" s="1" t="s">
        <v>91</v>
      </c>
      <c r="D6" s="1" t="s">
        <v>213</v>
      </c>
      <c r="E6" s="1" t="s">
        <v>213</v>
      </c>
      <c r="F6" s="1" t="s">
        <v>91</v>
      </c>
      <c r="G6" s="1" t="s">
        <v>91</v>
      </c>
      <c r="H6" s="1" t="s">
        <v>91</v>
      </c>
      <c r="I6" s="1" t="s">
        <v>213</v>
      </c>
      <c r="J6" s="1" t="s">
        <v>254</v>
      </c>
      <c r="K6" s="1" t="s">
        <v>255</v>
      </c>
      <c r="L6" s="1" t="s">
        <v>256</v>
      </c>
      <c r="M6" s="1" t="s">
        <v>257</v>
      </c>
      <c r="N6" s="1" t="s">
        <v>258</v>
      </c>
      <c r="O6" s="1" t="s">
        <v>259</v>
      </c>
      <c r="P6" s="1" t="s">
        <v>260</v>
      </c>
      <c r="Q6" s="1" t="s">
        <v>261</v>
      </c>
      <c r="R6" s="1" t="s">
        <v>262</v>
      </c>
      <c r="S6" s="1" t="s">
        <v>245</v>
      </c>
    </row>
    <row r="7" spans="1:21" ht="15" customHeight="1" x14ac:dyDescent="0.25">
      <c r="A7" s="1" t="s">
        <v>263</v>
      </c>
      <c r="B7" s="1" t="s">
        <v>225</v>
      </c>
      <c r="C7" s="1" t="s">
        <v>91</v>
      </c>
      <c r="D7" s="1" t="s">
        <v>213</v>
      </c>
      <c r="E7" s="1" t="s">
        <v>213</v>
      </c>
      <c r="F7" s="1" t="s">
        <v>91</v>
      </c>
      <c r="G7" s="1" t="s">
        <v>91</v>
      </c>
      <c r="H7" s="1" t="s">
        <v>91</v>
      </c>
      <c r="I7" s="1" t="s">
        <v>213</v>
      </c>
      <c r="J7" s="1" t="s">
        <v>264</v>
      </c>
      <c r="K7" s="1" t="s">
        <v>255</v>
      </c>
      <c r="L7" s="1" t="s">
        <v>265</v>
      </c>
      <c r="M7" s="1" t="s">
        <v>266</v>
      </c>
      <c r="N7" s="1" t="s">
        <v>258</v>
      </c>
      <c r="O7" s="1" t="s">
        <v>259</v>
      </c>
      <c r="P7" s="1" t="s">
        <v>267</v>
      </c>
      <c r="Q7" s="1" t="s">
        <v>268</v>
      </c>
      <c r="R7" s="1" t="s">
        <v>269</v>
      </c>
      <c r="S7" s="1" t="s">
        <v>245</v>
      </c>
    </row>
    <row r="8" spans="1:21" ht="15" customHeight="1" x14ac:dyDescent="0.25">
      <c r="A8" s="1" t="s">
        <v>270</v>
      </c>
      <c r="B8" s="1" t="s">
        <v>212</v>
      </c>
      <c r="C8" s="1" t="s">
        <v>91</v>
      </c>
      <c r="D8" s="1" t="s">
        <v>213</v>
      </c>
      <c r="E8" s="1" t="s">
        <v>213</v>
      </c>
      <c r="F8" s="1" t="s">
        <v>213</v>
      </c>
      <c r="G8" s="1" t="s">
        <v>91</v>
      </c>
      <c r="H8" s="1" t="s">
        <v>91</v>
      </c>
      <c r="I8" s="1" t="s">
        <v>213</v>
      </c>
      <c r="J8" s="1" t="s">
        <v>271</v>
      </c>
      <c r="K8" s="1" t="s">
        <v>272</v>
      </c>
      <c r="L8" s="1" t="s">
        <v>273</v>
      </c>
      <c r="M8" s="1" t="s">
        <v>274</v>
      </c>
      <c r="N8" s="1" t="s">
        <v>275</v>
      </c>
      <c r="O8" s="1" t="s">
        <v>276</v>
      </c>
      <c r="P8" s="1" t="s">
        <v>277</v>
      </c>
      <c r="Q8" s="1" t="s">
        <v>278</v>
      </c>
      <c r="R8" s="1" t="s">
        <v>279</v>
      </c>
      <c r="S8" s="1" t="s">
        <v>280</v>
      </c>
    </row>
    <row r="9" spans="1:21" ht="15" customHeight="1" x14ac:dyDescent="0.25">
      <c r="A9" s="1" t="s">
        <v>281</v>
      </c>
      <c r="B9" s="1" t="s">
        <v>225</v>
      </c>
      <c r="C9" s="1" t="s">
        <v>91</v>
      </c>
      <c r="D9" s="1" t="s">
        <v>213</v>
      </c>
      <c r="E9" s="1" t="s">
        <v>213</v>
      </c>
      <c r="F9" s="1" t="s">
        <v>213</v>
      </c>
      <c r="G9" s="1" t="s">
        <v>91</v>
      </c>
      <c r="H9" s="1" t="s">
        <v>91</v>
      </c>
      <c r="I9" s="1" t="s">
        <v>213</v>
      </c>
      <c r="J9" s="1" t="s">
        <v>282</v>
      </c>
      <c r="K9" s="1" t="s">
        <v>272</v>
      </c>
      <c r="L9" s="1" t="s">
        <v>283</v>
      </c>
      <c r="M9" s="1" t="s">
        <v>284</v>
      </c>
      <c r="N9" s="1" t="s">
        <v>285</v>
      </c>
      <c r="O9" s="1" t="s">
        <v>286</v>
      </c>
      <c r="P9" s="1" t="s">
        <v>287</v>
      </c>
      <c r="Q9" s="1" t="s">
        <v>288</v>
      </c>
      <c r="R9" s="1" t="s">
        <v>279</v>
      </c>
      <c r="S9" s="1" t="s">
        <v>289</v>
      </c>
    </row>
    <row r="10" spans="1:21" ht="15" customHeight="1" x14ac:dyDescent="0.25">
      <c r="A10" s="1" t="s">
        <v>290</v>
      </c>
      <c r="B10" s="1" t="s">
        <v>212</v>
      </c>
      <c r="C10" s="1" t="s">
        <v>213</v>
      </c>
      <c r="D10" s="1" t="s">
        <v>91</v>
      </c>
      <c r="E10" s="1" t="s">
        <v>213</v>
      </c>
      <c r="F10" s="1" t="s">
        <v>213</v>
      </c>
      <c r="G10" s="1" t="s">
        <v>91</v>
      </c>
      <c r="H10" s="1" t="s">
        <v>213</v>
      </c>
      <c r="I10" s="1" t="s">
        <v>213</v>
      </c>
      <c r="J10" s="1" t="s">
        <v>291</v>
      </c>
      <c r="K10" s="1" t="s">
        <v>292</v>
      </c>
      <c r="L10" s="1" t="s">
        <v>293</v>
      </c>
      <c r="M10" s="1" t="s">
        <v>294</v>
      </c>
      <c r="N10" s="1" t="s">
        <v>295</v>
      </c>
      <c r="O10" s="1" t="s">
        <v>296</v>
      </c>
      <c r="P10" s="1" t="s">
        <v>297</v>
      </c>
      <c r="Q10" s="1" t="s">
        <v>298</v>
      </c>
      <c r="R10" s="1" t="s">
        <v>299</v>
      </c>
      <c r="S10" s="1" t="s">
        <v>300</v>
      </c>
    </row>
    <row r="11" spans="1:21" ht="15" customHeight="1" x14ac:dyDescent="0.25">
      <c r="A11" s="1" t="s">
        <v>301</v>
      </c>
      <c r="B11" s="1" t="s">
        <v>225</v>
      </c>
      <c r="C11" s="1" t="s">
        <v>213</v>
      </c>
      <c r="D11" s="1" t="s">
        <v>91</v>
      </c>
      <c r="E11" s="1" t="s">
        <v>213</v>
      </c>
      <c r="F11" s="1" t="s">
        <v>213</v>
      </c>
      <c r="G11" s="1" t="s">
        <v>91</v>
      </c>
      <c r="H11" s="1" t="s">
        <v>213</v>
      </c>
      <c r="I11" s="1" t="s">
        <v>213</v>
      </c>
      <c r="J11" s="1" t="s">
        <v>302</v>
      </c>
      <c r="K11" s="1" t="s">
        <v>292</v>
      </c>
      <c r="L11" s="1" t="s">
        <v>303</v>
      </c>
      <c r="M11" s="1" t="s">
        <v>304</v>
      </c>
      <c r="N11" s="1" t="s">
        <v>305</v>
      </c>
      <c r="O11" s="1" t="s">
        <v>306</v>
      </c>
      <c r="P11" s="1" t="s">
        <v>307</v>
      </c>
      <c r="Q11" s="1" t="s">
        <v>308</v>
      </c>
      <c r="R11" s="1" t="s">
        <v>299</v>
      </c>
      <c r="S11" s="1" t="s">
        <v>300</v>
      </c>
    </row>
    <row r="12" spans="1:21" ht="15" customHeight="1" x14ac:dyDescent="0.25">
      <c r="A12" s="1" t="s">
        <v>309</v>
      </c>
      <c r="B12" s="1" t="s">
        <v>212</v>
      </c>
      <c r="C12" s="1" t="s">
        <v>91</v>
      </c>
      <c r="D12" s="1" t="s">
        <v>213</v>
      </c>
      <c r="E12" s="1" t="s">
        <v>91</v>
      </c>
      <c r="F12" s="1" t="s">
        <v>91</v>
      </c>
      <c r="G12" s="1" t="s">
        <v>91</v>
      </c>
      <c r="H12" s="1" t="s">
        <v>91</v>
      </c>
      <c r="I12" s="1" t="s">
        <v>91</v>
      </c>
      <c r="J12" s="1" t="s">
        <v>310</v>
      </c>
      <c r="K12" s="1" t="s">
        <v>311</v>
      </c>
      <c r="L12" s="1" t="s">
        <v>312</v>
      </c>
      <c r="M12" s="1" t="s">
        <v>313</v>
      </c>
      <c r="N12" s="1" t="s">
        <v>314</v>
      </c>
      <c r="O12" s="1" t="s">
        <v>315</v>
      </c>
      <c r="P12" s="1" t="s">
        <v>316</v>
      </c>
      <c r="Q12" s="1" t="s">
        <v>317</v>
      </c>
    </row>
    <row r="13" spans="1:21" s="497" customFormat="1" ht="15" customHeight="1" x14ac:dyDescent="0.25">
      <c r="A13" s="503" t="s">
        <v>318</v>
      </c>
      <c r="B13" s="503" t="s">
        <v>225</v>
      </c>
      <c r="C13" s="503" t="s">
        <v>91</v>
      </c>
      <c r="D13" s="503" t="s">
        <v>213</v>
      </c>
      <c r="E13" s="503" t="s">
        <v>91</v>
      </c>
      <c r="F13" s="503" t="s">
        <v>91</v>
      </c>
      <c r="G13" s="503" t="s">
        <v>91</v>
      </c>
      <c r="H13" s="503" t="s">
        <v>91</v>
      </c>
      <c r="I13" s="503" t="s">
        <v>91</v>
      </c>
      <c r="J13" s="497" t="s">
        <v>2133</v>
      </c>
      <c r="K13" s="503" t="s">
        <v>311</v>
      </c>
      <c r="L13" s="503" t="s">
        <v>312</v>
      </c>
      <c r="M13" s="503" t="s">
        <v>1615</v>
      </c>
      <c r="N13" s="503" t="s">
        <v>1616</v>
      </c>
      <c r="O13" s="503" t="s">
        <v>321</v>
      </c>
      <c r="P13" s="497" t="s">
        <v>1613</v>
      </c>
      <c r="Q13" s="497" t="s">
        <v>1614</v>
      </c>
      <c r="R13" s="503"/>
      <c r="S13" s="503"/>
      <c r="U13" t="s">
        <v>2189</v>
      </c>
    </row>
    <row r="14" spans="1:21" ht="15" customHeight="1" x14ac:dyDescent="0.25">
      <c r="A14" s="1" t="s">
        <v>322</v>
      </c>
      <c r="B14" s="1" t="s">
        <v>212</v>
      </c>
      <c r="C14" s="1" t="s">
        <v>91</v>
      </c>
      <c r="D14" s="1" t="s">
        <v>213</v>
      </c>
      <c r="E14" s="1" t="s">
        <v>213</v>
      </c>
      <c r="F14" s="1" t="s">
        <v>213</v>
      </c>
      <c r="G14" s="1" t="s">
        <v>91</v>
      </c>
      <c r="H14" s="1" t="s">
        <v>213</v>
      </c>
      <c r="I14" s="1" t="s">
        <v>213</v>
      </c>
      <c r="J14" s="1" t="s">
        <v>323</v>
      </c>
      <c r="K14" s="1" t="s">
        <v>237</v>
      </c>
      <c r="L14" s="1" t="s">
        <v>324</v>
      </c>
      <c r="M14" s="1" t="s">
        <v>325</v>
      </c>
      <c r="N14" s="1" t="s">
        <v>326</v>
      </c>
      <c r="O14" s="1" t="s">
        <v>327</v>
      </c>
      <c r="P14" s="1" t="s">
        <v>328</v>
      </c>
      <c r="Q14" s="1" t="s">
        <v>329</v>
      </c>
      <c r="R14" s="1" t="s">
        <v>330</v>
      </c>
      <c r="S14" s="1" t="s">
        <v>245</v>
      </c>
    </row>
    <row r="15" spans="1:21" ht="15" customHeight="1" x14ac:dyDescent="0.25">
      <c r="A15" s="1" t="s">
        <v>331</v>
      </c>
      <c r="B15" s="1" t="s">
        <v>225</v>
      </c>
      <c r="C15" s="1" t="s">
        <v>91</v>
      </c>
      <c r="D15" s="1" t="s">
        <v>213</v>
      </c>
      <c r="E15" s="1" t="s">
        <v>213</v>
      </c>
      <c r="F15" s="1" t="s">
        <v>213</v>
      </c>
      <c r="G15" s="1" t="s">
        <v>91</v>
      </c>
      <c r="H15" s="1" t="s">
        <v>213</v>
      </c>
      <c r="I15" s="1" t="s">
        <v>213</v>
      </c>
      <c r="J15" s="1" t="s">
        <v>332</v>
      </c>
      <c r="K15" s="1" t="s">
        <v>237</v>
      </c>
      <c r="L15" s="1" t="s">
        <v>333</v>
      </c>
      <c r="M15" s="1" t="s">
        <v>334</v>
      </c>
      <c r="N15" s="1" t="s">
        <v>326</v>
      </c>
      <c r="O15" s="1" t="s">
        <v>327</v>
      </c>
      <c r="P15" s="1" t="s">
        <v>335</v>
      </c>
      <c r="Q15" s="1" t="s">
        <v>336</v>
      </c>
      <c r="R15" s="1" t="s">
        <v>330</v>
      </c>
      <c r="S15" s="1" t="s">
        <v>245</v>
      </c>
    </row>
    <row r="16" spans="1:21" ht="15" customHeight="1" x14ac:dyDescent="0.25">
      <c r="A16" s="1" t="s">
        <v>337</v>
      </c>
      <c r="B16" s="1" t="s">
        <v>212</v>
      </c>
      <c r="C16" s="1" t="s">
        <v>213</v>
      </c>
      <c r="D16" s="1" t="s">
        <v>213</v>
      </c>
      <c r="E16" s="1" t="s">
        <v>213</v>
      </c>
      <c r="F16" s="1" t="s">
        <v>213</v>
      </c>
      <c r="G16" s="1" t="s">
        <v>213</v>
      </c>
      <c r="H16" s="1" t="s">
        <v>213</v>
      </c>
      <c r="I16" s="1" t="s">
        <v>213</v>
      </c>
      <c r="J16" s="1" t="s">
        <v>338</v>
      </c>
      <c r="K16" s="1" t="s">
        <v>339</v>
      </c>
      <c r="L16" s="1" t="s">
        <v>340</v>
      </c>
      <c r="M16" s="1" t="s">
        <v>341</v>
      </c>
      <c r="N16" s="1" t="s">
        <v>342</v>
      </c>
      <c r="O16" s="1" t="s">
        <v>343</v>
      </c>
      <c r="P16" s="1" t="s">
        <v>344</v>
      </c>
      <c r="Q16" s="1" t="s">
        <v>345</v>
      </c>
      <c r="R16" s="1" t="s">
        <v>346</v>
      </c>
      <c r="S16" s="1" t="s">
        <v>347</v>
      </c>
    </row>
    <row r="17" spans="1:19" ht="15" customHeight="1" x14ac:dyDescent="0.25">
      <c r="A17" s="1" t="s">
        <v>348</v>
      </c>
      <c r="B17" s="1" t="s">
        <v>225</v>
      </c>
      <c r="C17" s="1" t="s">
        <v>213</v>
      </c>
      <c r="D17" s="1" t="s">
        <v>213</v>
      </c>
      <c r="E17" s="1" t="s">
        <v>213</v>
      </c>
      <c r="F17" s="1" t="s">
        <v>213</v>
      </c>
      <c r="G17" s="1" t="s">
        <v>213</v>
      </c>
      <c r="H17" s="1" t="s">
        <v>213</v>
      </c>
      <c r="I17" s="1" t="s">
        <v>213</v>
      </c>
      <c r="J17" s="1" t="s">
        <v>349</v>
      </c>
      <c r="K17" s="1" t="s">
        <v>339</v>
      </c>
      <c r="L17" s="1" t="s">
        <v>350</v>
      </c>
      <c r="M17" s="1" t="s">
        <v>351</v>
      </c>
      <c r="N17" s="1" t="s">
        <v>352</v>
      </c>
      <c r="O17" s="1" t="s">
        <v>353</v>
      </c>
      <c r="P17" s="1" t="s">
        <v>354</v>
      </c>
      <c r="Q17" s="1" t="s">
        <v>355</v>
      </c>
      <c r="R17" s="1" t="s">
        <v>356</v>
      </c>
      <c r="S17" s="1" t="s">
        <v>357</v>
      </c>
    </row>
    <row r="18" spans="1:19" ht="15" customHeight="1" x14ac:dyDescent="0.25">
      <c r="A18" s="1" t="s">
        <v>358</v>
      </c>
      <c r="B18" s="1" t="s">
        <v>212</v>
      </c>
      <c r="C18" s="1" t="s">
        <v>91</v>
      </c>
      <c r="D18" s="1" t="s">
        <v>213</v>
      </c>
      <c r="E18" s="1" t="s">
        <v>91</v>
      </c>
      <c r="F18" s="1" t="s">
        <v>213</v>
      </c>
      <c r="G18" s="1" t="s">
        <v>91</v>
      </c>
      <c r="H18" s="1" t="s">
        <v>91</v>
      </c>
      <c r="I18" s="1" t="s">
        <v>213</v>
      </c>
      <c r="J18" s="1" t="s">
        <v>359</v>
      </c>
      <c r="K18" s="1" t="s">
        <v>311</v>
      </c>
      <c r="L18" s="1" t="s">
        <v>360</v>
      </c>
      <c r="M18" s="1" t="s">
        <v>361</v>
      </c>
      <c r="N18" s="1" t="s">
        <v>362</v>
      </c>
      <c r="O18" s="1" t="s">
        <v>363</v>
      </c>
      <c r="P18" s="1" t="s">
        <v>364</v>
      </c>
      <c r="Q18" s="1" t="s">
        <v>365</v>
      </c>
      <c r="R18" s="1" t="s">
        <v>366</v>
      </c>
      <c r="S18" s="1" t="s">
        <v>245</v>
      </c>
    </row>
    <row r="19" spans="1:19" ht="15" customHeight="1" x14ac:dyDescent="0.25">
      <c r="A19" s="1" t="s">
        <v>367</v>
      </c>
      <c r="B19" s="1" t="s">
        <v>225</v>
      </c>
      <c r="C19" s="1" t="s">
        <v>91</v>
      </c>
      <c r="D19" s="1" t="s">
        <v>213</v>
      </c>
      <c r="E19" s="1" t="s">
        <v>91</v>
      </c>
      <c r="F19" s="1" t="s">
        <v>213</v>
      </c>
      <c r="G19" s="1" t="s">
        <v>91</v>
      </c>
      <c r="H19" s="1" t="s">
        <v>91</v>
      </c>
      <c r="I19" s="1" t="s">
        <v>213</v>
      </c>
      <c r="J19" s="1" t="s">
        <v>368</v>
      </c>
      <c r="K19" s="1" t="s">
        <v>311</v>
      </c>
      <c r="L19" s="1" t="s">
        <v>360</v>
      </c>
      <c r="M19" s="1" t="s">
        <v>369</v>
      </c>
      <c r="N19" s="1" t="s">
        <v>362</v>
      </c>
      <c r="O19" s="1" t="s">
        <v>363</v>
      </c>
      <c r="P19" s="1" t="s">
        <v>370</v>
      </c>
      <c r="Q19" s="1" t="s">
        <v>371</v>
      </c>
      <c r="R19" s="1" t="s">
        <v>366</v>
      </c>
      <c r="S19" s="1" t="s">
        <v>245</v>
      </c>
    </row>
    <row r="20" spans="1:19" ht="15" customHeight="1" x14ac:dyDescent="0.25">
      <c r="A20" s="1" t="s">
        <v>372</v>
      </c>
      <c r="B20" s="1" t="s">
        <v>212</v>
      </c>
      <c r="C20" s="1" t="s">
        <v>91</v>
      </c>
      <c r="D20" s="1" t="s">
        <v>213</v>
      </c>
      <c r="E20" s="1" t="s">
        <v>91</v>
      </c>
      <c r="F20" s="1" t="s">
        <v>91</v>
      </c>
      <c r="G20" s="1" t="s">
        <v>91</v>
      </c>
      <c r="H20" s="1" t="s">
        <v>213</v>
      </c>
      <c r="I20" s="1" t="s">
        <v>213</v>
      </c>
      <c r="J20" s="1" t="s">
        <v>373</v>
      </c>
      <c r="K20" s="1" t="s">
        <v>374</v>
      </c>
      <c r="L20" s="1" t="s">
        <v>375</v>
      </c>
      <c r="M20" s="1" t="s">
        <v>376</v>
      </c>
      <c r="N20" s="1" t="s">
        <v>377</v>
      </c>
      <c r="O20" s="1" t="s">
        <v>378</v>
      </c>
      <c r="P20" s="1" t="s">
        <v>379</v>
      </c>
      <c r="Q20" s="1" t="s">
        <v>380</v>
      </c>
      <c r="R20" s="1" t="s">
        <v>381</v>
      </c>
      <c r="S20" s="1" t="s">
        <v>245</v>
      </c>
    </row>
    <row r="21" spans="1:19" ht="15" customHeight="1" x14ac:dyDescent="0.25">
      <c r="A21" s="1" t="s">
        <v>382</v>
      </c>
      <c r="B21" s="1" t="s">
        <v>225</v>
      </c>
      <c r="C21" s="1" t="s">
        <v>91</v>
      </c>
      <c r="D21" s="1" t="s">
        <v>213</v>
      </c>
      <c r="E21" s="1" t="s">
        <v>91</v>
      </c>
      <c r="F21" s="1" t="s">
        <v>91</v>
      </c>
      <c r="G21" s="1" t="s">
        <v>91</v>
      </c>
      <c r="H21" s="1" t="s">
        <v>213</v>
      </c>
      <c r="I21" s="1" t="s">
        <v>213</v>
      </c>
      <c r="J21" s="1" t="s">
        <v>383</v>
      </c>
      <c r="K21" s="1" t="s">
        <v>374</v>
      </c>
      <c r="L21" s="1" t="s">
        <v>375</v>
      </c>
      <c r="M21" s="1" t="s">
        <v>384</v>
      </c>
      <c r="N21" s="1" t="s">
        <v>258</v>
      </c>
      <c r="O21" s="1" t="s">
        <v>385</v>
      </c>
      <c r="P21" s="1" t="s">
        <v>386</v>
      </c>
      <c r="Q21" s="1" t="s">
        <v>387</v>
      </c>
      <c r="R21" s="1" t="s">
        <v>381</v>
      </c>
      <c r="S21" s="1" t="s">
        <v>245</v>
      </c>
    </row>
    <row r="22" spans="1:19" ht="15" customHeight="1" x14ac:dyDescent="0.25">
      <c r="A22" s="1" t="s">
        <v>388</v>
      </c>
      <c r="B22" s="1" t="s">
        <v>212</v>
      </c>
      <c r="C22" s="1" t="s">
        <v>91</v>
      </c>
      <c r="D22" s="1" t="s">
        <v>213</v>
      </c>
      <c r="E22" s="1" t="s">
        <v>91</v>
      </c>
      <c r="F22" s="1" t="s">
        <v>91</v>
      </c>
      <c r="G22" s="1" t="s">
        <v>91</v>
      </c>
      <c r="H22" s="1" t="s">
        <v>91</v>
      </c>
      <c r="I22" s="1" t="s">
        <v>213</v>
      </c>
      <c r="J22" s="1" t="s">
        <v>389</v>
      </c>
      <c r="K22" s="1" t="s">
        <v>390</v>
      </c>
      <c r="L22" s="1" t="s">
        <v>391</v>
      </c>
      <c r="M22" s="1" t="s">
        <v>392</v>
      </c>
      <c r="N22" s="1" t="s">
        <v>393</v>
      </c>
      <c r="O22" s="1" t="s">
        <v>394</v>
      </c>
      <c r="P22" s="1" t="s">
        <v>395</v>
      </c>
      <c r="Q22" s="1" t="s">
        <v>396</v>
      </c>
      <c r="R22" s="1" t="s">
        <v>262</v>
      </c>
      <c r="S22" s="1" t="s">
        <v>397</v>
      </c>
    </row>
    <row r="23" spans="1:19" ht="15" customHeight="1" x14ac:dyDescent="0.25">
      <c r="A23" s="1" t="s">
        <v>398</v>
      </c>
      <c r="B23" s="1" t="s">
        <v>225</v>
      </c>
      <c r="C23" s="1" t="s">
        <v>91</v>
      </c>
      <c r="D23" s="1" t="s">
        <v>213</v>
      </c>
      <c r="E23" s="1" t="s">
        <v>91</v>
      </c>
      <c r="F23" s="1" t="s">
        <v>91</v>
      </c>
      <c r="G23" s="1" t="s">
        <v>91</v>
      </c>
      <c r="H23" s="1" t="s">
        <v>91</v>
      </c>
      <c r="I23" s="1" t="s">
        <v>213</v>
      </c>
      <c r="J23" s="1" t="s">
        <v>399</v>
      </c>
      <c r="K23" s="1" t="s">
        <v>390</v>
      </c>
      <c r="L23" s="1" t="s">
        <v>400</v>
      </c>
      <c r="M23" s="1" t="s">
        <v>401</v>
      </c>
      <c r="N23" s="1" t="s">
        <v>402</v>
      </c>
      <c r="O23" s="1" t="s">
        <v>403</v>
      </c>
      <c r="P23" s="1" t="s">
        <v>404</v>
      </c>
      <c r="Q23" s="1" t="s">
        <v>405</v>
      </c>
      <c r="R23" s="1" t="s">
        <v>262</v>
      </c>
      <c r="S23" s="1" t="s">
        <v>397</v>
      </c>
    </row>
    <row r="24" spans="1:19" ht="15" customHeight="1" x14ac:dyDescent="0.25">
      <c r="A24" s="1" t="s">
        <v>406</v>
      </c>
      <c r="B24" s="1" t="s">
        <v>212</v>
      </c>
      <c r="C24" s="1" t="s">
        <v>213</v>
      </c>
      <c r="D24" s="1" t="s">
        <v>91</v>
      </c>
      <c r="E24" s="1" t="s">
        <v>213</v>
      </c>
      <c r="F24" s="1" t="s">
        <v>91</v>
      </c>
      <c r="G24" s="1" t="s">
        <v>91</v>
      </c>
      <c r="H24" s="1" t="s">
        <v>91</v>
      </c>
      <c r="I24" s="1" t="s">
        <v>213</v>
      </c>
      <c r="J24" s="1" t="s">
        <v>407</v>
      </c>
      <c r="K24" s="1" t="s">
        <v>408</v>
      </c>
      <c r="L24" s="1" t="s">
        <v>409</v>
      </c>
      <c r="M24" s="1" t="s">
        <v>1604</v>
      </c>
      <c r="N24" s="1" t="s">
        <v>410</v>
      </c>
      <c r="O24" s="1" t="s">
        <v>411</v>
      </c>
      <c r="P24" s="1" t="s">
        <v>412</v>
      </c>
      <c r="Q24" s="1" t="s">
        <v>413</v>
      </c>
      <c r="R24" s="1" t="s">
        <v>414</v>
      </c>
      <c r="S24" s="1" t="s">
        <v>415</v>
      </c>
    </row>
    <row r="25" spans="1:19" ht="15" customHeight="1" x14ac:dyDescent="0.25">
      <c r="A25" s="1" t="s">
        <v>416</v>
      </c>
      <c r="B25" s="1" t="s">
        <v>225</v>
      </c>
      <c r="C25" s="1" t="s">
        <v>213</v>
      </c>
      <c r="D25" s="1" t="s">
        <v>91</v>
      </c>
      <c r="E25" s="1" t="s">
        <v>213</v>
      </c>
      <c r="F25" s="1" t="s">
        <v>91</v>
      </c>
      <c r="G25" s="1" t="s">
        <v>91</v>
      </c>
      <c r="H25" s="1" t="s">
        <v>91</v>
      </c>
      <c r="I25" s="1" t="s">
        <v>213</v>
      </c>
      <c r="J25" s="1" t="s">
        <v>417</v>
      </c>
      <c r="K25" s="1" t="s">
        <v>408</v>
      </c>
      <c r="L25" s="1" t="s">
        <v>418</v>
      </c>
      <c r="M25" s="1" t="s">
        <v>419</v>
      </c>
      <c r="N25" s="1" t="s">
        <v>420</v>
      </c>
      <c r="O25" s="1" t="s">
        <v>421</v>
      </c>
      <c r="P25" s="1" t="s">
        <v>422</v>
      </c>
      <c r="Q25" s="1" t="s">
        <v>423</v>
      </c>
      <c r="R25" s="1" t="s">
        <v>424</v>
      </c>
      <c r="S25" s="1" t="s">
        <v>425</v>
      </c>
    </row>
    <row r="26" spans="1:19" ht="15" customHeight="1" x14ac:dyDescent="0.25">
      <c r="A26" s="1" t="s">
        <v>426</v>
      </c>
      <c r="B26" s="1" t="s">
        <v>212</v>
      </c>
      <c r="C26" s="1" t="s">
        <v>213</v>
      </c>
      <c r="D26" s="1" t="s">
        <v>91</v>
      </c>
      <c r="E26" s="1" t="s">
        <v>91</v>
      </c>
      <c r="F26" s="1" t="s">
        <v>213</v>
      </c>
      <c r="G26" s="1" t="s">
        <v>213</v>
      </c>
      <c r="H26" s="1" t="s">
        <v>213</v>
      </c>
      <c r="I26" s="1" t="s">
        <v>213</v>
      </c>
      <c r="J26" s="1" t="s">
        <v>427</v>
      </c>
      <c r="K26" s="1" t="s">
        <v>428</v>
      </c>
      <c r="L26" s="1" t="s">
        <v>429</v>
      </c>
      <c r="M26" s="1" t="s">
        <v>430</v>
      </c>
      <c r="N26" s="1" t="s">
        <v>431</v>
      </c>
      <c r="O26" s="1" t="s">
        <v>432</v>
      </c>
      <c r="P26" s="1" t="s">
        <v>433</v>
      </c>
      <c r="Q26" s="1" t="s">
        <v>434</v>
      </c>
      <c r="R26" s="1" t="s">
        <v>346</v>
      </c>
      <c r="S26" s="1" t="s">
        <v>347</v>
      </c>
    </row>
    <row r="27" spans="1:19" ht="15" customHeight="1" x14ac:dyDescent="0.25">
      <c r="A27" s="1" t="s">
        <v>435</v>
      </c>
      <c r="B27" s="1" t="s">
        <v>225</v>
      </c>
      <c r="C27" s="1" t="s">
        <v>213</v>
      </c>
      <c r="D27" s="1" t="s">
        <v>91</v>
      </c>
      <c r="E27" s="1" t="s">
        <v>91</v>
      </c>
      <c r="F27" s="1" t="s">
        <v>213</v>
      </c>
      <c r="G27" s="1" t="s">
        <v>213</v>
      </c>
      <c r="H27" s="1" t="s">
        <v>213</v>
      </c>
      <c r="I27" s="1" t="s">
        <v>213</v>
      </c>
      <c r="J27" s="1" t="s">
        <v>436</v>
      </c>
      <c r="K27" s="1" t="s">
        <v>428</v>
      </c>
      <c r="L27" s="1" t="s">
        <v>437</v>
      </c>
      <c r="M27" s="1" t="s">
        <v>438</v>
      </c>
      <c r="N27" s="1" t="s">
        <v>305</v>
      </c>
      <c r="O27" s="1" t="s">
        <v>439</v>
      </c>
      <c r="P27" s="1" t="s">
        <v>440</v>
      </c>
      <c r="Q27" s="1" t="s">
        <v>441</v>
      </c>
      <c r="R27" s="1" t="s">
        <v>442</v>
      </c>
      <c r="S27" s="1" t="s">
        <v>425</v>
      </c>
    </row>
    <row r="28" spans="1:19" ht="15" customHeight="1" x14ac:dyDescent="0.25">
      <c r="A28" s="1" t="s">
        <v>443</v>
      </c>
      <c r="B28" s="1" t="s">
        <v>212</v>
      </c>
      <c r="C28" s="1" t="s">
        <v>213</v>
      </c>
      <c r="D28" s="1" t="s">
        <v>91</v>
      </c>
      <c r="E28" s="1" t="s">
        <v>213</v>
      </c>
      <c r="F28" s="1" t="s">
        <v>91</v>
      </c>
      <c r="G28" s="1" t="s">
        <v>213</v>
      </c>
      <c r="H28" s="1" t="s">
        <v>213</v>
      </c>
      <c r="I28" s="1" t="s">
        <v>213</v>
      </c>
      <c r="J28" s="1" t="s">
        <v>444</v>
      </c>
      <c r="K28" s="1" t="s">
        <v>445</v>
      </c>
      <c r="L28" s="1" t="s">
        <v>446</v>
      </c>
      <c r="M28" s="1" t="s">
        <v>447</v>
      </c>
      <c r="N28" s="1" t="s">
        <v>431</v>
      </c>
      <c r="O28" s="1" t="s">
        <v>230</v>
      </c>
      <c r="P28" s="1" t="s">
        <v>448</v>
      </c>
      <c r="Q28" s="1" t="s">
        <v>449</v>
      </c>
      <c r="R28" s="1" t="s">
        <v>450</v>
      </c>
      <c r="S28" s="1" t="s">
        <v>451</v>
      </c>
    </row>
    <row r="29" spans="1:19" ht="15" customHeight="1" x14ac:dyDescent="0.25">
      <c r="A29" s="1" t="s">
        <v>452</v>
      </c>
      <c r="B29" s="1" t="s">
        <v>225</v>
      </c>
      <c r="C29" s="1" t="s">
        <v>213</v>
      </c>
      <c r="D29" s="1" t="s">
        <v>91</v>
      </c>
      <c r="E29" s="1" t="s">
        <v>213</v>
      </c>
      <c r="F29" s="1" t="s">
        <v>91</v>
      </c>
      <c r="G29" s="1" t="s">
        <v>213</v>
      </c>
      <c r="H29" s="1" t="s">
        <v>213</v>
      </c>
      <c r="I29" s="1" t="s">
        <v>213</v>
      </c>
      <c r="J29" s="1" t="s">
        <v>453</v>
      </c>
      <c r="K29" s="1" t="s">
        <v>445</v>
      </c>
      <c r="L29" s="1" t="s">
        <v>454</v>
      </c>
      <c r="M29" s="1" t="s">
        <v>455</v>
      </c>
      <c r="N29" s="1" t="s">
        <v>456</v>
      </c>
      <c r="O29" s="1" t="s">
        <v>457</v>
      </c>
      <c r="P29" s="1" t="s">
        <v>458</v>
      </c>
      <c r="Q29" s="1" t="s">
        <v>459</v>
      </c>
      <c r="R29" s="1" t="s">
        <v>460</v>
      </c>
      <c r="S29" s="1" t="s">
        <v>461</v>
      </c>
    </row>
    <row r="30" spans="1:19" ht="15" customHeight="1" x14ac:dyDescent="0.25">
      <c r="A30" s="1" t="s">
        <v>462</v>
      </c>
      <c r="B30" s="1" t="s">
        <v>212</v>
      </c>
      <c r="C30" s="1" t="s">
        <v>91</v>
      </c>
      <c r="D30" s="1" t="s">
        <v>213</v>
      </c>
      <c r="E30" s="1" t="s">
        <v>213</v>
      </c>
      <c r="F30" s="1" t="s">
        <v>91</v>
      </c>
      <c r="G30" s="1" t="s">
        <v>91</v>
      </c>
      <c r="H30" s="1" t="s">
        <v>91</v>
      </c>
      <c r="I30" s="1" t="s">
        <v>91</v>
      </c>
      <c r="J30" s="1" t="s">
        <v>463</v>
      </c>
      <c r="K30" s="1" t="s">
        <v>464</v>
      </c>
      <c r="L30" s="1" t="s">
        <v>465</v>
      </c>
      <c r="M30" s="1" t="s">
        <v>466</v>
      </c>
      <c r="N30" s="1" t="s">
        <v>314</v>
      </c>
      <c r="O30" s="1" t="s">
        <v>378</v>
      </c>
      <c r="P30" s="1" t="s">
        <v>467</v>
      </c>
      <c r="Q30" s="1" t="s">
        <v>468</v>
      </c>
      <c r="R30" s="1" t="s">
        <v>262</v>
      </c>
      <c r="S30" s="1" t="s">
        <v>245</v>
      </c>
    </row>
    <row r="31" spans="1:19" ht="15" customHeight="1" x14ac:dyDescent="0.25">
      <c r="A31" s="1" t="s">
        <v>469</v>
      </c>
      <c r="B31" s="1" t="s">
        <v>225</v>
      </c>
      <c r="C31" s="1" t="s">
        <v>91</v>
      </c>
      <c r="D31" s="1" t="s">
        <v>213</v>
      </c>
      <c r="E31" s="1" t="s">
        <v>213</v>
      </c>
      <c r="F31" s="1" t="s">
        <v>91</v>
      </c>
      <c r="G31" s="1" t="s">
        <v>91</v>
      </c>
      <c r="H31" s="1" t="s">
        <v>91</v>
      </c>
      <c r="I31" s="1" t="s">
        <v>91</v>
      </c>
      <c r="J31" s="1" t="s">
        <v>470</v>
      </c>
      <c r="K31" s="1" t="s">
        <v>464</v>
      </c>
      <c r="L31" s="1" t="s">
        <v>465</v>
      </c>
      <c r="M31" s="1" t="s">
        <v>471</v>
      </c>
      <c r="N31" s="1" t="s">
        <v>472</v>
      </c>
      <c r="O31" s="1" t="s">
        <v>378</v>
      </c>
      <c r="P31" s="1" t="s">
        <v>473</v>
      </c>
      <c r="Q31" s="1" t="s">
        <v>474</v>
      </c>
      <c r="R31" s="1" t="s">
        <v>252</v>
      </c>
      <c r="S31" s="1" t="s">
        <v>245</v>
      </c>
    </row>
    <row r="32" spans="1:19" ht="15" customHeight="1" x14ac:dyDescent="0.25">
      <c r="A32" s="1" t="s">
        <v>475</v>
      </c>
      <c r="B32" s="1" t="s">
        <v>212</v>
      </c>
      <c r="C32" s="1" t="s">
        <v>213</v>
      </c>
      <c r="D32" s="1" t="s">
        <v>213</v>
      </c>
      <c r="E32" s="1" t="s">
        <v>213</v>
      </c>
      <c r="F32" s="1" t="s">
        <v>91</v>
      </c>
      <c r="G32" s="1" t="s">
        <v>91</v>
      </c>
      <c r="H32" s="1" t="s">
        <v>91</v>
      </c>
      <c r="I32" s="1" t="s">
        <v>91</v>
      </c>
      <c r="J32" s="1" t="s">
        <v>476</v>
      </c>
      <c r="K32" s="1" t="s">
        <v>477</v>
      </c>
      <c r="L32" s="1" t="s">
        <v>478</v>
      </c>
      <c r="M32" s="1" t="s">
        <v>479</v>
      </c>
      <c r="N32" s="1" t="s">
        <v>480</v>
      </c>
      <c r="O32" s="1" t="s">
        <v>481</v>
      </c>
      <c r="P32" s="1" t="s">
        <v>482</v>
      </c>
      <c r="Q32" s="1" t="s">
        <v>483</v>
      </c>
      <c r="R32" s="1" t="s">
        <v>484</v>
      </c>
      <c r="S32" s="1" t="s">
        <v>485</v>
      </c>
    </row>
    <row r="33" spans="1:21" ht="15" customHeight="1" x14ac:dyDescent="0.25">
      <c r="A33" s="1" t="s">
        <v>486</v>
      </c>
      <c r="B33" s="1" t="s">
        <v>225</v>
      </c>
      <c r="C33" s="1" t="s">
        <v>213</v>
      </c>
      <c r="D33" s="1" t="s">
        <v>213</v>
      </c>
      <c r="E33" s="1" t="s">
        <v>213</v>
      </c>
      <c r="F33" s="1" t="s">
        <v>91</v>
      </c>
      <c r="G33" s="1" t="s">
        <v>91</v>
      </c>
      <c r="H33" s="1" t="s">
        <v>91</v>
      </c>
      <c r="I33" s="1" t="s">
        <v>91</v>
      </c>
      <c r="J33" s="1" t="s">
        <v>487</v>
      </c>
      <c r="K33" s="1" t="s">
        <v>477</v>
      </c>
      <c r="L33" s="1" t="s">
        <v>488</v>
      </c>
      <c r="M33" s="1" t="s">
        <v>489</v>
      </c>
      <c r="N33" s="1" t="s">
        <v>490</v>
      </c>
      <c r="O33" s="1" t="s">
        <v>491</v>
      </c>
      <c r="P33" s="1" t="s">
        <v>492</v>
      </c>
      <c r="Q33" s="1" t="s">
        <v>493</v>
      </c>
      <c r="R33" s="1" t="s">
        <v>494</v>
      </c>
      <c r="S33" s="1" t="s">
        <v>485</v>
      </c>
    </row>
    <row r="34" spans="1:21" s="505" customFormat="1" ht="15" customHeight="1" x14ac:dyDescent="0.25">
      <c r="A34" s="504" t="s">
        <v>495</v>
      </c>
      <c r="B34" s="504" t="s">
        <v>212</v>
      </c>
      <c r="C34" s="504" t="s">
        <v>91</v>
      </c>
      <c r="D34" s="504" t="s">
        <v>91</v>
      </c>
      <c r="E34" s="504" t="s">
        <v>91</v>
      </c>
      <c r="F34" s="504" t="s">
        <v>91</v>
      </c>
      <c r="G34" s="504" t="s">
        <v>91</v>
      </c>
      <c r="H34" s="504" t="s">
        <v>91</v>
      </c>
      <c r="I34" s="504" t="s">
        <v>91</v>
      </c>
      <c r="J34" s="506" t="s">
        <v>1617</v>
      </c>
      <c r="K34" s="504" t="s">
        <v>497</v>
      </c>
      <c r="L34" s="504" t="s">
        <v>1618</v>
      </c>
      <c r="M34" s="504" t="s">
        <v>1619</v>
      </c>
      <c r="N34" s="504" t="s">
        <v>258</v>
      </c>
      <c r="O34" s="504" t="s">
        <v>500</v>
      </c>
      <c r="P34" s="504" t="s">
        <v>501</v>
      </c>
      <c r="Q34" s="504" t="s">
        <v>502</v>
      </c>
      <c r="R34" s="504" t="s">
        <v>262</v>
      </c>
      <c r="S34" s="504" t="s">
        <v>397</v>
      </c>
    </row>
    <row r="35" spans="1:21" s="497" customFormat="1" ht="15" customHeight="1" x14ac:dyDescent="0.25">
      <c r="A35" s="496" t="s">
        <v>503</v>
      </c>
      <c r="B35" s="496" t="s">
        <v>225</v>
      </c>
      <c r="C35" s="496" t="s">
        <v>91</v>
      </c>
      <c r="D35" s="496" t="s">
        <v>91</v>
      </c>
      <c r="E35" s="496" t="s">
        <v>91</v>
      </c>
      <c r="F35" s="496" t="s">
        <v>91</v>
      </c>
      <c r="G35" s="496" t="s">
        <v>91</v>
      </c>
      <c r="H35" s="496" t="s">
        <v>91</v>
      </c>
      <c r="I35" s="496" t="s">
        <v>91</v>
      </c>
      <c r="J35" s="502" t="s">
        <v>2071</v>
      </c>
      <c r="K35" s="497" t="s">
        <v>1606</v>
      </c>
      <c r="L35" s="497" t="s">
        <v>1607</v>
      </c>
      <c r="M35" s="497" t="s">
        <v>1607</v>
      </c>
      <c r="N35" s="497" t="s">
        <v>1608</v>
      </c>
      <c r="O35" s="496" t="s">
        <v>1610</v>
      </c>
      <c r="P35" s="498" t="s">
        <v>1611</v>
      </c>
      <c r="Q35" t="s">
        <v>1612</v>
      </c>
      <c r="R35" s="496"/>
      <c r="S35" s="496"/>
      <c r="U35" s="497" t="s">
        <v>2073</v>
      </c>
    </row>
    <row r="36" spans="1:21" ht="15" customHeight="1" x14ac:dyDescent="0.25">
      <c r="A36" s="1" t="s">
        <v>511</v>
      </c>
      <c r="B36" s="1" t="s">
        <v>212</v>
      </c>
      <c r="C36" s="1" t="s">
        <v>91</v>
      </c>
      <c r="D36" s="1" t="s">
        <v>91</v>
      </c>
      <c r="E36" s="1" t="s">
        <v>91</v>
      </c>
      <c r="F36" s="1" t="s">
        <v>91</v>
      </c>
      <c r="G36" s="1" t="s">
        <v>91</v>
      </c>
      <c r="H36" s="1" t="s">
        <v>91</v>
      </c>
      <c r="I36" s="1" t="s">
        <v>213</v>
      </c>
      <c r="J36" s="1" t="s">
        <v>512</v>
      </c>
      <c r="K36" s="1" t="s">
        <v>513</v>
      </c>
      <c r="L36" s="1" t="s">
        <v>514</v>
      </c>
      <c r="M36" s="1" t="s">
        <v>515</v>
      </c>
      <c r="N36" s="1" t="s">
        <v>516</v>
      </c>
      <c r="O36" s="1" t="s">
        <v>517</v>
      </c>
      <c r="P36" s="1" t="s">
        <v>518</v>
      </c>
      <c r="Q36" s="1" t="s">
        <v>519</v>
      </c>
      <c r="R36" s="1" t="s">
        <v>262</v>
      </c>
      <c r="S36" s="1" t="s">
        <v>245</v>
      </c>
    </row>
    <row r="37" spans="1:21" ht="15" customHeight="1" x14ac:dyDescent="0.25">
      <c r="A37" s="1" t="s">
        <v>520</v>
      </c>
      <c r="B37" s="1" t="s">
        <v>225</v>
      </c>
      <c r="C37" s="1" t="s">
        <v>91</v>
      </c>
      <c r="D37" s="1" t="s">
        <v>91</v>
      </c>
      <c r="E37" s="1" t="s">
        <v>91</v>
      </c>
      <c r="F37" s="1" t="s">
        <v>91</v>
      </c>
      <c r="G37" s="1" t="s">
        <v>91</v>
      </c>
      <c r="H37" s="1" t="s">
        <v>91</v>
      </c>
      <c r="I37" s="1" t="s">
        <v>213</v>
      </c>
      <c r="J37" s="1" t="s">
        <v>521</v>
      </c>
      <c r="K37" s="1" t="s">
        <v>513</v>
      </c>
      <c r="L37" s="1" t="s">
        <v>522</v>
      </c>
      <c r="M37" s="1" t="s">
        <v>523</v>
      </c>
      <c r="N37" s="1" t="s">
        <v>524</v>
      </c>
      <c r="O37" s="1" t="s">
        <v>525</v>
      </c>
      <c r="P37" s="1" t="s">
        <v>526</v>
      </c>
      <c r="Q37" s="1" t="s">
        <v>527</v>
      </c>
      <c r="R37" s="1" t="s">
        <v>252</v>
      </c>
      <c r="S37" s="1" t="s">
        <v>245</v>
      </c>
    </row>
    <row r="38" spans="1:21" ht="15" customHeight="1" x14ac:dyDescent="0.25">
      <c r="A38" s="1" t="s">
        <v>528</v>
      </c>
      <c r="B38" s="1" t="s">
        <v>212</v>
      </c>
      <c r="C38" s="1" t="s">
        <v>213</v>
      </c>
      <c r="D38" s="1" t="s">
        <v>213</v>
      </c>
      <c r="E38" s="1" t="s">
        <v>91</v>
      </c>
      <c r="F38" s="1" t="s">
        <v>91</v>
      </c>
      <c r="G38" s="1" t="s">
        <v>91</v>
      </c>
      <c r="H38" s="1" t="s">
        <v>91</v>
      </c>
      <c r="I38" s="1" t="s">
        <v>213</v>
      </c>
      <c r="J38" s="1" t="s">
        <v>529</v>
      </c>
      <c r="K38" s="1" t="s">
        <v>530</v>
      </c>
      <c r="L38" s="1" t="s">
        <v>531</v>
      </c>
      <c r="M38" s="1" t="s">
        <v>532</v>
      </c>
      <c r="N38" s="1" t="s">
        <v>431</v>
      </c>
      <c r="O38" s="1" t="s">
        <v>533</v>
      </c>
      <c r="P38" s="1" t="s">
        <v>534</v>
      </c>
      <c r="Q38" s="1" t="s">
        <v>535</v>
      </c>
      <c r="R38" s="1" t="s">
        <v>536</v>
      </c>
      <c r="S38" s="1" t="s">
        <v>451</v>
      </c>
    </row>
    <row r="39" spans="1:21" ht="15" customHeight="1" x14ac:dyDescent="0.25">
      <c r="A39" s="1" t="s">
        <v>537</v>
      </c>
      <c r="B39" s="1" t="s">
        <v>225</v>
      </c>
      <c r="C39" s="1" t="s">
        <v>213</v>
      </c>
      <c r="D39" s="1" t="s">
        <v>213</v>
      </c>
      <c r="E39" s="1" t="s">
        <v>91</v>
      </c>
      <c r="F39" s="1" t="s">
        <v>91</v>
      </c>
      <c r="G39" s="1" t="s">
        <v>91</v>
      </c>
      <c r="H39" s="1" t="s">
        <v>91</v>
      </c>
      <c r="I39" s="1" t="s">
        <v>213</v>
      </c>
      <c r="J39" s="1" t="s">
        <v>538</v>
      </c>
      <c r="K39" s="1" t="s">
        <v>530</v>
      </c>
      <c r="L39" s="1" t="s">
        <v>539</v>
      </c>
      <c r="M39" s="1" t="s">
        <v>540</v>
      </c>
      <c r="N39" s="1" t="s">
        <v>541</v>
      </c>
      <c r="O39" s="1" t="s">
        <v>457</v>
      </c>
      <c r="P39" s="1" t="s">
        <v>542</v>
      </c>
      <c r="Q39" s="1" t="s">
        <v>543</v>
      </c>
      <c r="R39" s="1" t="s">
        <v>544</v>
      </c>
      <c r="S39" s="1" t="s">
        <v>461</v>
      </c>
    </row>
    <row r="40" spans="1:21" ht="15" customHeight="1" x14ac:dyDescent="0.25">
      <c r="A40" s="1" t="s">
        <v>545</v>
      </c>
      <c r="B40" s="1" t="s">
        <v>212</v>
      </c>
      <c r="C40" s="1" t="s">
        <v>91</v>
      </c>
      <c r="D40" s="1" t="s">
        <v>91</v>
      </c>
      <c r="E40" s="1" t="s">
        <v>91</v>
      </c>
      <c r="F40" s="1" t="s">
        <v>213</v>
      </c>
      <c r="G40" s="1" t="s">
        <v>91</v>
      </c>
      <c r="H40" s="1" t="s">
        <v>91</v>
      </c>
      <c r="I40" s="1" t="s">
        <v>91</v>
      </c>
      <c r="J40" s="1" t="s">
        <v>546</v>
      </c>
      <c r="K40" s="1" t="s">
        <v>547</v>
      </c>
      <c r="L40" s="1" t="s">
        <v>465</v>
      </c>
      <c r="M40" s="1" t="s">
        <v>548</v>
      </c>
      <c r="N40" s="1" t="s">
        <v>472</v>
      </c>
      <c r="O40" s="1" t="s">
        <v>403</v>
      </c>
      <c r="P40" s="1" t="s">
        <v>549</v>
      </c>
      <c r="Q40" s="1" t="s">
        <v>550</v>
      </c>
      <c r="R40" s="1" t="s">
        <v>551</v>
      </c>
      <c r="S40" s="1" t="s">
        <v>552</v>
      </c>
    </row>
    <row r="41" spans="1:21" ht="15" customHeight="1" x14ac:dyDescent="0.25">
      <c r="A41" s="1" t="s">
        <v>553</v>
      </c>
      <c r="B41" s="1" t="s">
        <v>225</v>
      </c>
      <c r="C41" s="1" t="s">
        <v>91</v>
      </c>
      <c r="D41" s="1" t="s">
        <v>91</v>
      </c>
      <c r="E41" s="1" t="s">
        <v>91</v>
      </c>
      <c r="F41" s="1" t="s">
        <v>213</v>
      </c>
      <c r="G41" s="1" t="s">
        <v>91</v>
      </c>
      <c r="H41" s="1" t="s">
        <v>91</v>
      </c>
      <c r="I41" s="1" t="s">
        <v>91</v>
      </c>
      <c r="J41" s="1" t="s">
        <v>554</v>
      </c>
      <c r="K41" s="1" t="s">
        <v>547</v>
      </c>
      <c r="L41" s="1" t="s">
        <v>465</v>
      </c>
      <c r="M41" s="1" t="s">
        <v>555</v>
      </c>
      <c r="N41" s="1" t="s">
        <v>472</v>
      </c>
      <c r="O41" s="1" t="s">
        <v>403</v>
      </c>
      <c r="P41" s="1" t="s">
        <v>556</v>
      </c>
      <c r="Q41" s="1" t="s">
        <v>557</v>
      </c>
      <c r="R41" s="1" t="s">
        <v>269</v>
      </c>
      <c r="S41" s="1" t="s">
        <v>245</v>
      </c>
    </row>
    <row r="42" spans="1:21" ht="15" customHeight="1" x14ac:dyDescent="0.25">
      <c r="A42" s="1" t="s">
        <v>558</v>
      </c>
      <c r="B42" s="1" t="s">
        <v>212</v>
      </c>
      <c r="C42" s="1" t="s">
        <v>91</v>
      </c>
      <c r="D42" s="1" t="s">
        <v>91</v>
      </c>
      <c r="E42" s="1" t="s">
        <v>213</v>
      </c>
      <c r="F42" s="1" t="s">
        <v>213</v>
      </c>
      <c r="G42" s="1" t="s">
        <v>91</v>
      </c>
      <c r="H42" s="1" t="s">
        <v>91</v>
      </c>
      <c r="I42" s="1" t="s">
        <v>91</v>
      </c>
      <c r="J42" s="1" t="s">
        <v>559</v>
      </c>
      <c r="K42" s="1" t="s">
        <v>560</v>
      </c>
      <c r="L42" s="1" t="s">
        <v>561</v>
      </c>
      <c r="M42" s="1" t="s">
        <v>562</v>
      </c>
      <c r="N42" s="1" t="s">
        <v>563</v>
      </c>
      <c r="O42" s="1" t="s">
        <v>564</v>
      </c>
      <c r="P42" s="1" t="s">
        <v>565</v>
      </c>
      <c r="Q42" s="1" t="s">
        <v>566</v>
      </c>
      <c r="R42" s="1" t="s">
        <v>551</v>
      </c>
      <c r="S42" s="1" t="s">
        <v>567</v>
      </c>
    </row>
    <row r="43" spans="1:21" ht="15" customHeight="1" x14ac:dyDescent="0.25">
      <c r="A43" s="1" t="s">
        <v>568</v>
      </c>
      <c r="B43" s="1" t="s">
        <v>225</v>
      </c>
      <c r="C43" s="1" t="s">
        <v>91</v>
      </c>
      <c r="D43" s="1" t="s">
        <v>91</v>
      </c>
      <c r="E43" s="1" t="s">
        <v>213</v>
      </c>
      <c r="F43" s="1" t="s">
        <v>213</v>
      </c>
      <c r="G43" s="1" t="s">
        <v>91</v>
      </c>
      <c r="H43" s="1" t="s">
        <v>91</v>
      </c>
      <c r="I43" s="1" t="s">
        <v>91</v>
      </c>
      <c r="J43" s="1" t="s">
        <v>569</v>
      </c>
      <c r="K43" s="1" t="s">
        <v>560</v>
      </c>
      <c r="L43" s="1" t="s">
        <v>561</v>
      </c>
      <c r="M43" s="1" t="s">
        <v>471</v>
      </c>
      <c r="N43" s="1" t="s">
        <v>563</v>
      </c>
      <c r="O43" s="1" t="s">
        <v>564</v>
      </c>
      <c r="P43" s="1" t="s">
        <v>570</v>
      </c>
      <c r="Q43" s="1" t="s">
        <v>571</v>
      </c>
      <c r="R43" s="1" t="s">
        <v>269</v>
      </c>
      <c r="S43" s="1" t="s">
        <v>289</v>
      </c>
    </row>
    <row r="44" spans="1:21" ht="15" customHeight="1" x14ac:dyDescent="0.25">
      <c r="A44" s="1" t="s">
        <v>572</v>
      </c>
      <c r="B44" s="1" t="s">
        <v>212</v>
      </c>
      <c r="C44" s="1" t="s">
        <v>213</v>
      </c>
      <c r="D44" s="1" t="s">
        <v>91</v>
      </c>
      <c r="E44" s="1" t="s">
        <v>91</v>
      </c>
      <c r="F44" s="1" t="s">
        <v>213</v>
      </c>
      <c r="G44" s="1" t="s">
        <v>91</v>
      </c>
      <c r="H44" s="1" t="s">
        <v>91</v>
      </c>
      <c r="I44" s="1" t="s">
        <v>91</v>
      </c>
      <c r="J44" s="1" t="s">
        <v>573</v>
      </c>
      <c r="K44" s="1" t="s">
        <v>574</v>
      </c>
      <c r="L44" s="1" t="s">
        <v>575</v>
      </c>
      <c r="M44" s="1" t="s">
        <v>576</v>
      </c>
      <c r="N44" s="1" t="s">
        <v>431</v>
      </c>
      <c r="O44" s="1" t="s">
        <v>577</v>
      </c>
      <c r="P44" s="1" t="s">
        <v>578</v>
      </c>
      <c r="Q44" s="1" t="s">
        <v>579</v>
      </c>
      <c r="R44" s="1" t="s">
        <v>536</v>
      </c>
      <c r="S44" s="1" t="s">
        <v>580</v>
      </c>
    </row>
    <row r="45" spans="1:21" ht="15" customHeight="1" x14ac:dyDescent="0.25">
      <c r="A45" s="1" t="s">
        <v>581</v>
      </c>
      <c r="B45" s="1" t="s">
        <v>225</v>
      </c>
      <c r="C45" s="1" t="s">
        <v>213</v>
      </c>
      <c r="D45" s="1" t="s">
        <v>91</v>
      </c>
      <c r="E45" s="1" t="s">
        <v>91</v>
      </c>
      <c r="F45" s="1" t="s">
        <v>213</v>
      </c>
      <c r="G45" s="1" t="s">
        <v>91</v>
      </c>
      <c r="H45" s="1" t="s">
        <v>91</v>
      </c>
      <c r="I45" s="1" t="s">
        <v>91</v>
      </c>
      <c r="J45" s="1" t="s">
        <v>582</v>
      </c>
      <c r="K45" s="1" t="s">
        <v>583</v>
      </c>
      <c r="L45" s="1" t="s">
        <v>584</v>
      </c>
      <c r="M45" s="1" t="s">
        <v>585</v>
      </c>
      <c r="N45" s="1" t="s">
        <v>586</v>
      </c>
      <c r="O45" s="1" t="s">
        <v>587</v>
      </c>
      <c r="P45" s="1" t="s">
        <v>588</v>
      </c>
      <c r="Q45" s="1" t="s">
        <v>589</v>
      </c>
      <c r="R45" s="1" t="s">
        <v>544</v>
      </c>
      <c r="S45" s="1" t="s">
        <v>590</v>
      </c>
    </row>
    <row r="46" spans="1:21" ht="15" customHeight="1" x14ac:dyDescent="0.25">
      <c r="A46" s="1" t="s">
        <v>591</v>
      </c>
      <c r="B46" s="1" t="s">
        <v>212</v>
      </c>
      <c r="C46" s="1" t="s">
        <v>91</v>
      </c>
      <c r="D46" s="1" t="s">
        <v>91</v>
      </c>
      <c r="E46" s="1" t="s">
        <v>213</v>
      </c>
      <c r="F46" s="1" t="s">
        <v>91</v>
      </c>
      <c r="G46" s="1" t="s">
        <v>91</v>
      </c>
      <c r="H46" s="1" t="s">
        <v>91</v>
      </c>
      <c r="I46" s="1" t="s">
        <v>91</v>
      </c>
      <c r="J46" s="1" t="s">
        <v>592</v>
      </c>
      <c r="K46" s="1" t="s">
        <v>593</v>
      </c>
      <c r="L46" s="1" t="s">
        <v>594</v>
      </c>
      <c r="M46" s="1" t="s">
        <v>595</v>
      </c>
      <c r="N46" s="1" t="s">
        <v>305</v>
      </c>
      <c r="O46" s="1" t="s">
        <v>596</v>
      </c>
      <c r="P46" s="1" t="s">
        <v>597</v>
      </c>
      <c r="Q46" s="1" t="s">
        <v>598</v>
      </c>
      <c r="R46" s="1" t="s">
        <v>262</v>
      </c>
      <c r="S46" s="1" t="s">
        <v>289</v>
      </c>
    </row>
    <row r="47" spans="1:21" ht="15" customHeight="1" x14ac:dyDescent="0.25">
      <c r="A47" s="1" t="s">
        <v>599</v>
      </c>
      <c r="B47" s="1" t="s">
        <v>225</v>
      </c>
      <c r="C47" s="1" t="s">
        <v>91</v>
      </c>
      <c r="D47" s="1" t="s">
        <v>91</v>
      </c>
      <c r="E47" s="1" t="s">
        <v>213</v>
      </c>
      <c r="F47" s="1" t="s">
        <v>91</v>
      </c>
      <c r="G47" s="1" t="s">
        <v>91</v>
      </c>
      <c r="H47" s="1" t="s">
        <v>91</v>
      </c>
      <c r="I47" s="1" t="s">
        <v>91</v>
      </c>
      <c r="J47" s="1" t="s">
        <v>600</v>
      </c>
      <c r="K47" s="1" t="s">
        <v>601</v>
      </c>
      <c r="L47" s="1" t="s">
        <v>602</v>
      </c>
      <c r="M47" s="1" t="s">
        <v>603</v>
      </c>
      <c r="N47" s="1" t="s">
        <v>604</v>
      </c>
      <c r="O47" s="1" t="s">
        <v>605</v>
      </c>
      <c r="P47" s="1" t="s">
        <v>606</v>
      </c>
      <c r="Q47" s="1" t="s">
        <v>607</v>
      </c>
      <c r="R47" s="1" t="s">
        <v>252</v>
      </c>
      <c r="S47" s="1" t="s">
        <v>289</v>
      </c>
    </row>
    <row r="48" spans="1:21" ht="15" customHeight="1" x14ac:dyDescent="0.25">
      <c r="A48" s="1" t="s">
        <v>608</v>
      </c>
      <c r="B48" s="1" t="s">
        <v>212</v>
      </c>
      <c r="C48" s="1" t="s">
        <v>213</v>
      </c>
      <c r="D48" s="1" t="s">
        <v>213</v>
      </c>
      <c r="E48" s="1" t="s">
        <v>91</v>
      </c>
      <c r="F48" s="1" t="s">
        <v>91</v>
      </c>
      <c r="G48" s="1" t="s">
        <v>91</v>
      </c>
      <c r="H48" s="1" t="s">
        <v>91</v>
      </c>
      <c r="I48" s="1" t="s">
        <v>91</v>
      </c>
      <c r="J48" s="1" t="s">
        <v>609</v>
      </c>
      <c r="K48" s="1" t="s">
        <v>610</v>
      </c>
      <c r="L48" s="1" t="s">
        <v>611</v>
      </c>
      <c r="M48" s="1" t="s">
        <v>612</v>
      </c>
      <c r="N48" s="1" t="s">
        <v>613</v>
      </c>
      <c r="O48" s="1" t="s">
        <v>614</v>
      </c>
      <c r="P48" s="1" t="s">
        <v>615</v>
      </c>
      <c r="Q48" s="1" t="s">
        <v>616</v>
      </c>
      <c r="R48" s="1" t="s">
        <v>617</v>
      </c>
      <c r="S48" s="1" t="s">
        <v>461</v>
      </c>
    </row>
    <row r="49" spans="1:19" ht="15" customHeight="1" x14ac:dyDescent="0.25">
      <c r="A49" s="1" t="s">
        <v>618</v>
      </c>
      <c r="B49" s="1" t="s">
        <v>225</v>
      </c>
      <c r="C49" s="1" t="s">
        <v>213</v>
      </c>
      <c r="D49" s="1" t="s">
        <v>213</v>
      </c>
      <c r="E49" s="1" t="s">
        <v>91</v>
      </c>
      <c r="F49" s="1" t="s">
        <v>91</v>
      </c>
      <c r="G49" s="1" t="s">
        <v>91</v>
      </c>
      <c r="H49" s="1" t="s">
        <v>91</v>
      </c>
      <c r="I49" s="1" t="s">
        <v>91</v>
      </c>
      <c r="J49" s="1" t="s">
        <v>619</v>
      </c>
      <c r="K49" s="1" t="s">
        <v>610</v>
      </c>
      <c r="L49" s="1" t="s">
        <v>620</v>
      </c>
      <c r="M49" s="1" t="s">
        <v>621</v>
      </c>
      <c r="N49" s="1" t="s">
        <v>305</v>
      </c>
      <c r="O49" s="1" t="s">
        <v>622</v>
      </c>
      <c r="P49" s="1" t="s">
        <v>623</v>
      </c>
      <c r="Q49" s="1" t="s">
        <v>624</v>
      </c>
      <c r="R49" s="1" t="s">
        <v>544</v>
      </c>
      <c r="S49" s="1" t="s">
        <v>425</v>
      </c>
    </row>
    <row r="50" spans="1:19" ht="15" customHeight="1" x14ac:dyDescent="0.25">
      <c r="A50" s="1" t="s">
        <v>625</v>
      </c>
      <c r="B50" s="1" t="s">
        <v>212</v>
      </c>
      <c r="C50" s="1" t="s">
        <v>213</v>
      </c>
      <c r="D50" s="1" t="s">
        <v>91</v>
      </c>
      <c r="E50" s="1" t="s">
        <v>91</v>
      </c>
      <c r="F50" s="1" t="s">
        <v>91</v>
      </c>
      <c r="G50" s="1" t="s">
        <v>91</v>
      </c>
      <c r="H50" s="1" t="s">
        <v>91</v>
      </c>
      <c r="I50" s="1" t="s">
        <v>91</v>
      </c>
      <c r="J50" s="1" t="s">
        <v>626</v>
      </c>
      <c r="K50" s="1" t="s">
        <v>627</v>
      </c>
      <c r="L50" s="1" t="s">
        <v>628</v>
      </c>
      <c r="M50" s="1" t="s">
        <v>629</v>
      </c>
      <c r="N50" s="1" t="s">
        <v>431</v>
      </c>
      <c r="O50" s="1" t="s">
        <v>630</v>
      </c>
      <c r="P50" s="1" t="s">
        <v>631</v>
      </c>
      <c r="Q50" s="1" t="s">
        <v>632</v>
      </c>
      <c r="R50" s="1" t="s">
        <v>633</v>
      </c>
      <c r="S50" s="1" t="s">
        <v>634</v>
      </c>
    </row>
    <row r="51" spans="1:19" ht="15" customHeight="1" x14ac:dyDescent="0.25">
      <c r="A51" s="1" t="s">
        <v>635</v>
      </c>
      <c r="B51" s="1" t="s">
        <v>225</v>
      </c>
      <c r="C51" s="1" t="s">
        <v>213</v>
      </c>
      <c r="D51" s="1" t="s">
        <v>91</v>
      </c>
      <c r="E51" s="1" t="s">
        <v>91</v>
      </c>
      <c r="F51" s="1" t="s">
        <v>91</v>
      </c>
      <c r="G51" s="1" t="s">
        <v>91</v>
      </c>
      <c r="H51" s="1" t="s">
        <v>91</v>
      </c>
      <c r="I51" s="1" t="s">
        <v>91</v>
      </c>
      <c r="J51" s="1" t="s">
        <v>636</v>
      </c>
      <c r="K51" s="1" t="s">
        <v>627</v>
      </c>
      <c r="L51" s="1" t="s">
        <v>637</v>
      </c>
      <c r="M51" s="1" t="s">
        <v>638</v>
      </c>
      <c r="N51" s="1" t="s">
        <v>639</v>
      </c>
      <c r="O51" s="1" t="s">
        <v>640</v>
      </c>
      <c r="P51" s="1" t="s">
        <v>641</v>
      </c>
      <c r="Q51" s="1" t="s">
        <v>642</v>
      </c>
      <c r="R51" s="1" t="s">
        <v>643</v>
      </c>
      <c r="S51" s="1" t="s">
        <v>644</v>
      </c>
    </row>
    <row r="52" spans="1:19" ht="15" customHeight="1" x14ac:dyDescent="0.25">
      <c r="A52" s="1" t="s">
        <v>645</v>
      </c>
      <c r="B52" s="1" t="s">
        <v>212</v>
      </c>
      <c r="C52" s="1" t="s">
        <v>91</v>
      </c>
      <c r="D52" s="1" t="s">
        <v>91</v>
      </c>
      <c r="E52" s="1" t="s">
        <v>91</v>
      </c>
      <c r="F52" s="1" t="s">
        <v>213</v>
      </c>
      <c r="G52" s="1" t="s">
        <v>91</v>
      </c>
      <c r="H52" s="1" t="s">
        <v>91</v>
      </c>
      <c r="I52" s="1" t="s">
        <v>213</v>
      </c>
      <c r="J52" s="1" t="s">
        <v>646</v>
      </c>
      <c r="K52" s="1" t="s">
        <v>647</v>
      </c>
      <c r="L52" s="1" t="s">
        <v>648</v>
      </c>
      <c r="M52" s="1" t="s">
        <v>649</v>
      </c>
      <c r="N52" s="1" t="s">
        <v>258</v>
      </c>
      <c r="O52" s="1" t="s">
        <v>650</v>
      </c>
      <c r="P52" s="1" t="s">
        <v>651</v>
      </c>
      <c r="Q52" s="1" t="s">
        <v>652</v>
      </c>
      <c r="R52" s="1" t="s">
        <v>269</v>
      </c>
      <c r="S52" s="1" t="s">
        <v>653</v>
      </c>
    </row>
    <row r="53" spans="1:19" ht="15" customHeight="1" x14ac:dyDescent="0.25">
      <c r="A53" s="1" t="s">
        <v>654</v>
      </c>
      <c r="B53" s="1" t="s">
        <v>225</v>
      </c>
      <c r="C53" s="1" t="s">
        <v>91</v>
      </c>
      <c r="D53" s="1" t="s">
        <v>91</v>
      </c>
      <c r="E53" s="1" t="s">
        <v>91</v>
      </c>
      <c r="F53" s="1" t="s">
        <v>213</v>
      </c>
      <c r="G53" s="1" t="s">
        <v>91</v>
      </c>
      <c r="H53" s="1" t="s">
        <v>91</v>
      </c>
      <c r="I53" s="1" t="s">
        <v>213</v>
      </c>
      <c r="J53" s="1" t="s">
        <v>655</v>
      </c>
      <c r="K53" s="1" t="s">
        <v>647</v>
      </c>
      <c r="L53" s="1" t="s">
        <v>648</v>
      </c>
      <c r="M53" s="1" t="s">
        <v>656</v>
      </c>
      <c r="N53" s="1" t="s">
        <v>258</v>
      </c>
      <c r="O53" s="1" t="s">
        <v>650</v>
      </c>
      <c r="P53" s="1" t="s">
        <v>657</v>
      </c>
      <c r="Q53" s="1" t="s">
        <v>658</v>
      </c>
      <c r="R53" s="1" t="s">
        <v>269</v>
      </c>
      <c r="S53" s="1" t="s">
        <v>245</v>
      </c>
    </row>
    <row r="54" spans="1:19" ht="15" customHeight="1" x14ac:dyDescent="0.25">
      <c r="A54" s="1" t="s">
        <v>659</v>
      </c>
      <c r="B54" s="1" t="s">
        <v>212</v>
      </c>
      <c r="C54" s="1" t="s">
        <v>91</v>
      </c>
      <c r="D54" s="1" t="s">
        <v>91</v>
      </c>
      <c r="E54" s="1" t="s">
        <v>213</v>
      </c>
      <c r="F54" s="1" t="s">
        <v>213</v>
      </c>
      <c r="G54" s="1" t="s">
        <v>91</v>
      </c>
      <c r="H54" s="1" t="s">
        <v>91</v>
      </c>
      <c r="I54" s="1" t="s">
        <v>213</v>
      </c>
      <c r="J54" s="1" t="s">
        <v>660</v>
      </c>
      <c r="K54" s="1" t="s">
        <v>661</v>
      </c>
      <c r="L54" s="1" t="s">
        <v>465</v>
      </c>
      <c r="M54" s="1" t="s">
        <v>662</v>
      </c>
      <c r="N54" s="1" t="s">
        <v>258</v>
      </c>
      <c r="O54" s="1" t="s">
        <v>663</v>
      </c>
      <c r="P54" s="1" t="s">
        <v>664</v>
      </c>
      <c r="Q54" s="1" t="s">
        <v>665</v>
      </c>
      <c r="R54" s="1" t="s">
        <v>551</v>
      </c>
      <c r="S54" s="1" t="s">
        <v>666</v>
      </c>
    </row>
    <row r="55" spans="1:19" ht="15" customHeight="1" x14ac:dyDescent="0.25">
      <c r="A55" s="1" t="s">
        <v>667</v>
      </c>
      <c r="B55" s="1" t="s">
        <v>225</v>
      </c>
      <c r="C55" s="1" t="s">
        <v>91</v>
      </c>
      <c r="D55" s="1" t="s">
        <v>91</v>
      </c>
      <c r="E55" s="1" t="s">
        <v>213</v>
      </c>
      <c r="F55" s="1" t="s">
        <v>213</v>
      </c>
      <c r="G55" s="1" t="s">
        <v>91</v>
      </c>
      <c r="H55" s="1" t="s">
        <v>91</v>
      </c>
      <c r="I55" s="1" t="s">
        <v>213</v>
      </c>
      <c r="J55" s="1" t="s">
        <v>668</v>
      </c>
      <c r="K55" s="1" t="s">
        <v>661</v>
      </c>
      <c r="L55" s="1" t="s">
        <v>465</v>
      </c>
      <c r="M55" s="1" t="s">
        <v>669</v>
      </c>
      <c r="N55" s="1" t="s">
        <v>258</v>
      </c>
      <c r="O55" s="1" t="s">
        <v>663</v>
      </c>
      <c r="P55" s="1" t="s">
        <v>670</v>
      </c>
      <c r="Q55" s="1" t="s">
        <v>671</v>
      </c>
      <c r="R55" s="1" t="s">
        <v>269</v>
      </c>
      <c r="S55" s="1" t="s">
        <v>245</v>
      </c>
    </row>
    <row r="56" spans="1:19" ht="15" customHeight="1" x14ac:dyDescent="0.25">
      <c r="A56" s="1" t="s">
        <v>672</v>
      </c>
      <c r="B56" s="1" t="s">
        <v>212</v>
      </c>
      <c r="C56" s="1" t="s">
        <v>91</v>
      </c>
      <c r="D56" s="1" t="s">
        <v>213</v>
      </c>
      <c r="E56" s="1" t="s">
        <v>91</v>
      </c>
      <c r="F56" s="1" t="s">
        <v>213</v>
      </c>
      <c r="G56" s="1" t="s">
        <v>91</v>
      </c>
      <c r="H56" s="1" t="s">
        <v>91</v>
      </c>
      <c r="I56" s="1" t="s">
        <v>91</v>
      </c>
      <c r="J56" s="1" t="s">
        <v>673</v>
      </c>
      <c r="K56" s="1" t="s">
        <v>674</v>
      </c>
      <c r="L56" s="1" t="s">
        <v>675</v>
      </c>
      <c r="M56" s="1" t="s">
        <v>676</v>
      </c>
      <c r="N56" s="1" t="s">
        <v>258</v>
      </c>
      <c r="O56" s="1" t="s">
        <v>677</v>
      </c>
      <c r="P56" s="1" t="s">
        <v>678</v>
      </c>
      <c r="Q56" s="1" t="s">
        <v>679</v>
      </c>
      <c r="R56" s="1" t="s">
        <v>269</v>
      </c>
      <c r="S56" s="1" t="s">
        <v>680</v>
      </c>
    </row>
    <row r="57" spans="1:19" ht="15" customHeight="1" x14ac:dyDescent="0.25">
      <c r="A57" s="1" t="s">
        <v>681</v>
      </c>
      <c r="B57" s="1" t="s">
        <v>225</v>
      </c>
      <c r="C57" s="1" t="s">
        <v>91</v>
      </c>
      <c r="D57" s="1" t="s">
        <v>213</v>
      </c>
      <c r="E57" s="1" t="s">
        <v>91</v>
      </c>
      <c r="F57" s="1" t="s">
        <v>213</v>
      </c>
      <c r="G57" s="1" t="s">
        <v>91</v>
      </c>
      <c r="H57" s="1" t="s">
        <v>91</v>
      </c>
      <c r="I57" s="1" t="s">
        <v>91</v>
      </c>
      <c r="J57" s="1" t="s">
        <v>682</v>
      </c>
      <c r="K57" s="1" t="s">
        <v>674</v>
      </c>
      <c r="L57" s="1" t="s">
        <v>675</v>
      </c>
      <c r="M57" s="1" t="s">
        <v>683</v>
      </c>
      <c r="N57" s="1" t="s">
        <v>258</v>
      </c>
      <c r="O57" s="1" t="s">
        <v>677</v>
      </c>
      <c r="P57" s="1" t="s">
        <v>684</v>
      </c>
      <c r="Q57" s="1" t="s">
        <v>685</v>
      </c>
      <c r="R57" s="1" t="s">
        <v>269</v>
      </c>
      <c r="S57" s="1" t="s">
        <v>680</v>
      </c>
    </row>
    <row r="58" spans="1:19" ht="15" customHeight="1" x14ac:dyDescent="0.25">
      <c r="A58" s="1" t="s">
        <v>686</v>
      </c>
      <c r="B58" s="1" t="s">
        <v>212</v>
      </c>
      <c r="C58" s="1" t="s">
        <v>91</v>
      </c>
      <c r="D58" s="1" t="s">
        <v>213</v>
      </c>
      <c r="E58" s="1" t="s">
        <v>213</v>
      </c>
      <c r="F58" s="1" t="s">
        <v>213</v>
      </c>
      <c r="G58" s="1" t="s">
        <v>91</v>
      </c>
      <c r="H58" s="1" t="s">
        <v>91</v>
      </c>
      <c r="I58" s="1" t="s">
        <v>91</v>
      </c>
      <c r="J58" s="1" t="s">
        <v>687</v>
      </c>
      <c r="K58" s="1" t="s">
        <v>688</v>
      </c>
      <c r="L58" s="1" t="s">
        <v>689</v>
      </c>
      <c r="M58" s="1" t="s">
        <v>690</v>
      </c>
      <c r="N58" s="1" t="s">
        <v>258</v>
      </c>
      <c r="O58" s="1" t="s">
        <v>378</v>
      </c>
      <c r="P58" s="1" t="s">
        <v>691</v>
      </c>
      <c r="Q58" s="1" t="s">
        <v>692</v>
      </c>
      <c r="R58" s="1" t="s">
        <v>693</v>
      </c>
      <c r="S58" s="1" t="s">
        <v>245</v>
      </c>
    </row>
    <row r="59" spans="1:19" ht="15" customHeight="1" x14ac:dyDescent="0.25">
      <c r="A59" s="1" t="s">
        <v>694</v>
      </c>
      <c r="B59" s="1" t="s">
        <v>225</v>
      </c>
      <c r="C59" s="1" t="s">
        <v>91</v>
      </c>
      <c r="D59" s="1" t="s">
        <v>213</v>
      </c>
      <c r="E59" s="1" t="s">
        <v>213</v>
      </c>
      <c r="F59" s="1" t="s">
        <v>213</v>
      </c>
      <c r="G59" s="1" t="s">
        <v>91</v>
      </c>
      <c r="H59" s="1" t="s">
        <v>91</v>
      </c>
      <c r="I59" s="1" t="s">
        <v>91</v>
      </c>
      <c r="J59" s="1" t="s">
        <v>695</v>
      </c>
      <c r="K59" s="1" t="s">
        <v>688</v>
      </c>
      <c r="L59" s="1" t="s">
        <v>689</v>
      </c>
      <c r="M59" s="1" t="s">
        <v>696</v>
      </c>
      <c r="N59" s="1" t="s">
        <v>258</v>
      </c>
      <c r="O59" s="1" t="s">
        <v>378</v>
      </c>
      <c r="P59" s="1" t="s">
        <v>697</v>
      </c>
      <c r="Q59" s="1" t="s">
        <v>698</v>
      </c>
      <c r="R59" s="1" t="s">
        <v>699</v>
      </c>
      <c r="S59" s="1" t="s">
        <v>245</v>
      </c>
    </row>
    <row r="60" spans="1:19" ht="15" customHeight="1" x14ac:dyDescent="0.25">
      <c r="A60" s="1" t="s">
        <v>700</v>
      </c>
      <c r="B60" s="1" t="s">
        <v>212</v>
      </c>
      <c r="C60" s="1" t="s">
        <v>213</v>
      </c>
      <c r="D60" s="1" t="s">
        <v>91</v>
      </c>
      <c r="E60" s="1" t="s">
        <v>213</v>
      </c>
      <c r="F60" s="1" t="s">
        <v>213</v>
      </c>
      <c r="G60" s="1" t="s">
        <v>91</v>
      </c>
      <c r="H60" s="1" t="s">
        <v>91</v>
      </c>
      <c r="I60" s="1" t="s">
        <v>91</v>
      </c>
      <c r="J60" s="1" t="s">
        <v>701</v>
      </c>
      <c r="K60" s="1" t="s">
        <v>702</v>
      </c>
      <c r="L60" s="1" t="s">
        <v>703</v>
      </c>
      <c r="M60" s="1" t="s">
        <v>704</v>
      </c>
      <c r="N60" s="1" t="s">
        <v>431</v>
      </c>
      <c r="O60" s="1" t="s">
        <v>705</v>
      </c>
      <c r="P60" s="1" t="s">
        <v>706</v>
      </c>
      <c r="Q60" s="1" t="s">
        <v>707</v>
      </c>
      <c r="R60" s="1" t="s">
        <v>708</v>
      </c>
      <c r="S60" s="1" t="s">
        <v>347</v>
      </c>
    </row>
    <row r="61" spans="1:19" ht="15" customHeight="1" x14ac:dyDescent="0.25">
      <c r="A61" s="1" t="s">
        <v>709</v>
      </c>
      <c r="B61" s="1" t="s">
        <v>225</v>
      </c>
      <c r="C61" s="1" t="s">
        <v>213</v>
      </c>
      <c r="D61" s="1" t="s">
        <v>91</v>
      </c>
      <c r="E61" s="1" t="s">
        <v>213</v>
      </c>
      <c r="F61" s="1" t="s">
        <v>213</v>
      </c>
      <c r="G61" s="1" t="s">
        <v>91</v>
      </c>
      <c r="H61" s="1" t="s">
        <v>91</v>
      </c>
      <c r="I61" s="1" t="s">
        <v>91</v>
      </c>
      <c r="J61" s="1" t="s">
        <v>710</v>
      </c>
      <c r="K61" s="1" t="s">
        <v>702</v>
      </c>
      <c r="L61" s="1" t="s">
        <v>703</v>
      </c>
      <c r="M61" s="1" t="s">
        <v>711</v>
      </c>
      <c r="N61" s="1" t="s">
        <v>712</v>
      </c>
      <c r="O61" s="1" t="s">
        <v>713</v>
      </c>
      <c r="P61" s="1" t="s">
        <v>714</v>
      </c>
      <c r="Q61" s="1" t="s">
        <v>715</v>
      </c>
      <c r="R61" s="1" t="s">
        <v>544</v>
      </c>
      <c r="S61" s="1" t="s">
        <v>716</v>
      </c>
    </row>
    <row r="62" spans="1:19" ht="15" customHeight="1" x14ac:dyDescent="0.25">
      <c r="A62" s="1" t="s">
        <v>717</v>
      </c>
      <c r="B62" s="1" t="s">
        <v>212</v>
      </c>
      <c r="C62" s="1" t="s">
        <v>213</v>
      </c>
      <c r="D62" s="1" t="s">
        <v>213</v>
      </c>
      <c r="E62" s="1" t="s">
        <v>91</v>
      </c>
      <c r="F62" s="1" t="s">
        <v>213</v>
      </c>
      <c r="G62" s="1" t="s">
        <v>91</v>
      </c>
      <c r="H62" s="1" t="s">
        <v>91</v>
      </c>
      <c r="I62" s="1" t="s">
        <v>213</v>
      </c>
      <c r="J62" s="1" t="s">
        <v>718</v>
      </c>
      <c r="K62" s="1" t="s">
        <v>719</v>
      </c>
      <c r="L62" s="1" t="s">
        <v>720</v>
      </c>
      <c r="M62" s="1" t="s">
        <v>721</v>
      </c>
      <c r="N62" s="1" t="s">
        <v>722</v>
      </c>
      <c r="O62" s="1" t="s">
        <v>723</v>
      </c>
      <c r="P62" s="1" t="s">
        <v>724</v>
      </c>
      <c r="Q62" s="1" t="s">
        <v>725</v>
      </c>
      <c r="R62" s="1" t="s">
        <v>346</v>
      </c>
      <c r="S62" s="1" t="s">
        <v>726</v>
      </c>
    </row>
    <row r="63" spans="1:19" ht="15" customHeight="1" x14ac:dyDescent="0.25">
      <c r="A63" s="1" t="s">
        <v>727</v>
      </c>
      <c r="B63" s="1" t="s">
        <v>225</v>
      </c>
      <c r="C63" s="1" t="s">
        <v>213</v>
      </c>
      <c r="D63" s="1" t="s">
        <v>213</v>
      </c>
      <c r="E63" s="1" t="s">
        <v>91</v>
      </c>
      <c r="F63" s="1" t="s">
        <v>213</v>
      </c>
      <c r="G63" s="1" t="s">
        <v>91</v>
      </c>
      <c r="H63" s="1" t="s">
        <v>91</v>
      </c>
      <c r="I63" s="1" t="s">
        <v>213</v>
      </c>
      <c r="J63" s="1" t="s">
        <v>728</v>
      </c>
      <c r="K63" s="1" t="s">
        <v>719</v>
      </c>
      <c r="L63" s="1" t="s">
        <v>729</v>
      </c>
      <c r="M63" s="1" t="s">
        <v>730</v>
      </c>
      <c r="N63" s="1" t="s">
        <v>731</v>
      </c>
      <c r="O63" s="1" t="s">
        <v>732</v>
      </c>
      <c r="P63" s="1" t="s">
        <v>733</v>
      </c>
      <c r="Q63" s="1" t="s">
        <v>734</v>
      </c>
      <c r="R63" s="1" t="s">
        <v>643</v>
      </c>
      <c r="S63" s="1" t="s">
        <v>726</v>
      </c>
    </row>
    <row r="64" spans="1:19" ht="15" customHeight="1" x14ac:dyDescent="0.25">
      <c r="A64" s="1" t="s">
        <v>735</v>
      </c>
      <c r="B64" s="1" t="s">
        <v>212</v>
      </c>
      <c r="C64" s="1" t="s">
        <v>213</v>
      </c>
      <c r="D64" s="1" t="s">
        <v>213</v>
      </c>
      <c r="E64" s="1" t="s">
        <v>213</v>
      </c>
      <c r="F64" s="1" t="s">
        <v>213</v>
      </c>
      <c r="G64" s="1" t="s">
        <v>91</v>
      </c>
      <c r="H64" s="1" t="s">
        <v>91</v>
      </c>
      <c r="I64" s="1" t="s">
        <v>213</v>
      </c>
      <c r="J64" s="1" t="s">
        <v>736</v>
      </c>
      <c r="K64" s="1" t="s">
        <v>610</v>
      </c>
      <c r="L64" s="1" t="s">
        <v>737</v>
      </c>
      <c r="M64" s="1" t="s">
        <v>738</v>
      </c>
      <c r="N64" s="1" t="s">
        <v>739</v>
      </c>
      <c r="O64" s="1" t="s">
        <v>740</v>
      </c>
      <c r="P64" s="1" t="s">
        <v>741</v>
      </c>
      <c r="Q64" s="1" t="s">
        <v>742</v>
      </c>
      <c r="R64" s="1" t="s">
        <v>234</v>
      </c>
      <c r="S64" s="1" t="s">
        <v>743</v>
      </c>
    </row>
    <row r="65" spans="1:19" ht="15" customHeight="1" x14ac:dyDescent="0.25">
      <c r="A65" s="1" t="s">
        <v>744</v>
      </c>
      <c r="B65" s="1" t="s">
        <v>225</v>
      </c>
      <c r="C65" s="1" t="s">
        <v>213</v>
      </c>
      <c r="D65" s="1" t="s">
        <v>213</v>
      </c>
      <c r="E65" s="1" t="s">
        <v>213</v>
      </c>
      <c r="F65" s="1" t="s">
        <v>213</v>
      </c>
      <c r="G65" s="1" t="s">
        <v>91</v>
      </c>
      <c r="H65" s="1" t="s">
        <v>91</v>
      </c>
      <c r="I65" s="1" t="s">
        <v>213</v>
      </c>
      <c r="J65" s="1" t="s">
        <v>745</v>
      </c>
      <c r="K65" s="1" t="s">
        <v>610</v>
      </c>
      <c r="L65" s="1" t="s">
        <v>746</v>
      </c>
      <c r="M65" s="1" t="s">
        <v>747</v>
      </c>
      <c r="N65" s="1" t="s">
        <v>748</v>
      </c>
      <c r="O65" s="1" t="s">
        <v>749</v>
      </c>
      <c r="P65" s="1" t="s">
        <v>750</v>
      </c>
      <c r="Q65" s="1" t="s">
        <v>751</v>
      </c>
      <c r="R65" s="1" t="s">
        <v>544</v>
      </c>
      <c r="S65" s="1" t="s">
        <v>425</v>
      </c>
    </row>
    <row r="66" spans="1:19" ht="15" customHeight="1" x14ac:dyDescent="0.25">
      <c r="A66" s="1" t="s">
        <v>752</v>
      </c>
      <c r="B66" s="1" t="s">
        <v>212</v>
      </c>
      <c r="C66" s="1" t="s">
        <v>91</v>
      </c>
      <c r="D66" s="1" t="s">
        <v>91</v>
      </c>
      <c r="E66" s="1" t="s">
        <v>213</v>
      </c>
      <c r="F66" s="1" t="s">
        <v>91</v>
      </c>
      <c r="G66" s="1" t="s">
        <v>91</v>
      </c>
      <c r="H66" s="1" t="s">
        <v>91</v>
      </c>
      <c r="I66" s="1" t="s">
        <v>213</v>
      </c>
      <c r="J66" s="1" t="s">
        <v>753</v>
      </c>
      <c r="K66" s="1" t="s">
        <v>754</v>
      </c>
      <c r="L66" s="1" t="s">
        <v>755</v>
      </c>
      <c r="M66" s="1" t="s">
        <v>756</v>
      </c>
      <c r="N66" s="1" t="s">
        <v>757</v>
      </c>
      <c r="O66" s="1" t="s">
        <v>758</v>
      </c>
      <c r="P66" s="1" t="s">
        <v>759</v>
      </c>
      <c r="Q66" s="1" t="s">
        <v>760</v>
      </c>
      <c r="R66" s="1" t="s">
        <v>222</v>
      </c>
      <c r="S66" s="1" t="s">
        <v>289</v>
      </c>
    </row>
    <row r="67" spans="1:19" ht="15" customHeight="1" x14ac:dyDescent="0.25">
      <c r="A67" s="1" t="s">
        <v>761</v>
      </c>
      <c r="B67" s="1" t="s">
        <v>225</v>
      </c>
      <c r="C67" s="1" t="s">
        <v>91</v>
      </c>
      <c r="D67" s="1" t="s">
        <v>91</v>
      </c>
      <c r="E67" s="1" t="s">
        <v>213</v>
      </c>
      <c r="F67" s="1" t="s">
        <v>91</v>
      </c>
      <c r="G67" s="1" t="s">
        <v>91</v>
      </c>
      <c r="H67" s="1" t="s">
        <v>91</v>
      </c>
      <c r="I67" s="1" t="s">
        <v>213</v>
      </c>
      <c r="J67" s="1" t="s">
        <v>762</v>
      </c>
      <c r="K67" s="1" t="s">
        <v>754</v>
      </c>
      <c r="L67" s="1" t="s">
        <v>755</v>
      </c>
      <c r="M67" s="1" t="s">
        <v>763</v>
      </c>
      <c r="N67" s="1" t="s">
        <v>258</v>
      </c>
      <c r="O67" s="1" t="s">
        <v>758</v>
      </c>
      <c r="P67" s="1" t="s">
        <v>764</v>
      </c>
      <c r="Q67" s="1" t="s">
        <v>765</v>
      </c>
      <c r="R67" s="1" t="s">
        <v>269</v>
      </c>
      <c r="S67" s="1" t="s">
        <v>245</v>
      </c>
    </row>
    <row r="68" spans="1:19" ht="15" customHeight="1" x14ac:dyDescent="0.25">
      <c r="A68" s="1" t="s">
        <v>766</v>
      </c>
      <c r="B68" s="1" t="s">
        <v>212</v>
      </c>
      <c r="C68" s="1" t="s">
        <v>213</v>
      </c>
      <c r="D68" s="1" t="s">
        <v>91</v>
      </c>
      <c r="E68" s="1" t="s">
        <v>91</v>
      </c>
      <c r="F68" s="1" t="s">
        <v>91</v>
      </c>
      <c r="G68" s="1" t="s">
        <v>91</v>
      </c>
      <c r="H68" s="1" t="s">
        <v>91</v>
      </c>
      <c r="I68" s="1" t="s">
        <v>213</v>
      </c>
      <c r="J68" s="1" t="s">
        <v>767</v>
      </c>
      <c r="K68" s="1" t="s">
        <v>768</v>
      </c>
      <c r="L68" s="1" t="s">
        <v>769</v>
      </c>
      <c r="M68" s="1" t="s">
        <v>770</v>
      </c>
      <c r="N68" s="1" t="s">
        <v>771</v>
      </c>
      <c r="O68" s="1" t="s">
        <v>772</v>
      </c>
      <c r="P68" s="1" t="s">
        <v>773</v>
      </c>
      <c r="Q68" s="1" t="s">
        <v>774</v>
      </c>
      <c r="R68" s="1" t="s">
        <v>775</v>
      </c>
      <c r="S68" s="1" t="s">
        <v>776</v>
      </c>
    </row>
    <row r="69" spans="1:19" ht="15" customHeight="1" x14ac:dyDescent="0.25">
      <c r="A69" s="1" t="s">
        <v>777</v>
      </c>
      <c r="B69" s="1" t="s">
        <v>225</v>
      </c>
      <c r="C69" s="1" t="s">
        <v>213</v>
      </c>
      <c r="D69" s="1" t="s">
        <v>91</v>
      </c>
      <c r="E69" s="1" t="s">
        <v>91</v>
      </c>
      <c r="F69" s="1" t="s">
        <v>91</v>
      </c>
      <c r="G69" s="1" t="s">
        <v>91</v>
      </c>
      <c r="H69" s="1" t="s">
        <v>91</v>
      </c>
      <c r="I69" s="1" t="s">
        <v>213</v>
      </c>
      <c r="J69" s="1" t="s">
        <v>778</v>
      </c>
      <c r="K69" s="1" t="s">
        <v>779</v>
      </c>
      <c r="L69" s="1" t="s">
        <v>780</v>
      </c>
      <c r="M69" s="1" t="s">
        <v>781</v>
      </c>
      <c r="N69" s="1" t="s">
        <v>782</v>
      </c>
      <c r="O69" s="1" t="s">
        <v>783</v>
      </c>
      <c r="P69" s="1" t="s">
        <v>784</v>
      </c>
      <c r="Q69" s="1" t="s">
        <v>785</v>
      </c>
      <c r="R69" s="1" t="s">
        <v>536</v>
      </c>
      <c r="S69" s="1" t="s">
        <v>786</v>
      </c>
    </row>
    <row r="70" spans="1:19" ht="15" customHeight="1" x14ac:dyDescent="0.25">
      <c r="A70" s="1" t="s">
        <v>787</v>
      </c>
      <c r="B70" s="1" t="s">
        <v>212</v>
      </c>
      <c r="C70" s="1" t="s">
        <v>213</v>
      </c>
      <c r="D70" s="1" t="s">
        <v>91</v>
      </c>
      <c r="E70" s="1" t="s">
        <v>91</v>
      </c>
      <c r="F70" s="1" t="s">
        <v>213</v>
      </c>
      <c r="G70" s="1" t="s">
        <v>91</v>
      </c>
      <c r="H70" s="1" t="s">
        <v>91</v>
      </c>
      <c r="I70" s="1" t="s">
        <v>213</v>
      </c>
      <c r="J70" s="1" t="s">
        <v>788</v>
      </c>
      <c r="K70" s="1" t="s">
        <v>789</v>
      </c>
      <c r="L70" s="1" t="s">
        <v>790</v>
      </c>
      <c r="M70" s="1" t="s">
        <v>791</v>
      </c>
      <c r="N70" s="1" t="s">
        <v>792</v>
      </c>
      <c r="O70" s="1" t="s">
        <v>793</v>
      </c>
      <c r="P70" s="1" t="s">
        <v>794</v>
      </c>
      <c r="Q70" s="1" t="s">
        <v>795</v>
      </c>
      <c r="R70" s="1" t="s">
        <v>796</v>
      </c>
      <c r="S70" s="1" t="s">
        <v>743</v>
      </c>
    </row>
    <row r="71" spans="1:19" ht="15" customHeight="1" x14ac:dyDescent="0.25">
      <c r="A71" s="1" t="s">
        <v>797</v>
      </c>
      <c r="B71" s="1" t="s">
        <v>225</v>
      </c>
      <c r="C71" s="1" t="s">
        <v>213</v>
      </c>
      <c r="D71" s="1" t="s">
        <v>91</v>
      </c>
      <c r="E71" s="1" t="s">
        <v>91</v>
      </c>
      <c r="F71" s="1" t="s">
        <v>213</v>
      </c>
      <c r="G71" s="1" t="s">
        <v>91</v>
      </c>
      <c r="H71" s="1" t="s">
        <v>91</v>
      </c>
      <c r="I71" s="1" t="s">
        <v>213</v>
      </c>
      <c r="J71" s="1" t="s">
        <v>798</v>
      </c>
      <c r="K71" s="1" t="s">
        <v>789</v>
      </c>
      <c r="L71" s="1" t="s">
        <v>799</v>
      </c>
      <c r="M71" s="1" t="s">
        <v>800</v>
      </c>
      <c r="N71" s="1" t="s">
        <v>801</v>
      </c>
      <c r="O71" s="1" t="s">
        <v>793</v>
      </c>
      <c r="P71" s="1" t="s">
        <v>802</v>
      </c>
      <c r="Q71" s="1" t="s">
        <v>803</v>
      </c>
      <c r="R71" s="1" t="s">
        <v>804</v>
      </c>
      <c r="S71" s="1" t="s">
        <v>357</v>
      </c>
    </row>
    <row r="72" spans="1:19" ht="15" customHeight="1" x14ac:dyDescent="0.25">
      <c r="A72" s="1" t="s">
        <v>805</v>
      </c>
      <c r="B72" s="1" t="s">
        <v>212</v>
      </c>
      <c r="C72" s="1" t="s">
        <v>213</v>
      </c>
      <c r="D72" s="1" t="s">
        <v>91</v>
      </c>
      <c r="E72" s="1" t="s">
        <v>213</v>
      </c>
      <c r="F72" s="1" t="s">
        <v>213</v>
      </c>
      <c r="G72" s="1" t="s">
        <v>91</v>
      </c>
      <c r="H72" s="1" t="s">
        <v>91</v>
      </c>
      <c r="I72" s="1" t="s">
        <v>213</v>
      </c>
      <c r="J72" s="1" t="s">
        <v>806</v>
      </c>
      <c r="K72" s="1" t="s">
        <v>807</v>
      </c>
      <c r="L72" s="1" t="s">
        <v>808</v>
      </c>
      <c r="M72" s="1" t="s">
        <v>809</v>
      </c>
      <c r="N72" s="1" t="s">
        <v>810</v>
      </c>
      <c r="O72" s="1" t="s">
        <v>811</v>
      </c>
      <c r="P72" s="1" t="s">
        <v>812</v>
      </c>
      <c r="Q72" s="1" t="s">
        <v>813</v>
      </c>
      <c r="R72" s="1" t="s">
        <v>536</v>
      </c>
      <c r="S72" s="1" t="s">
        <v>814</v>
      </c>
    </row>
    <row r="73" spans="1:19" ht="15" customHeight="1" x14ac:dyDescent="0.25">
      <c r="A73" s="1" t="s">
        <v>815</v>
      </c>
      <c r="B73" s="1" t="s">
        <v>225</v>
      </c>
      <c r="C73" s="1" t="s">
        <v>213</v>
      </c>
      <c r="D73" s="1" t="s">
        <v>91</v>
      </c>
      <c r="E73" s="1" t="s">
        <v>213</v>
      </c>
      <c r="F73" s="1" t="s">
        <v>213</v>
      </c>
      <c r="G73" s="1" t="s">
        <v>91</v>
      </c>
      <c r="H73" s="1" t="s">
        <v>91</v>
      </c>
      <c r="I73" s="1" t="s">
        <v>213</v>
      </c>
      <c r="J73" s="1" t="s">
        <v>816</v>
      </c>
      <c r="K73" s="1" t="s">
        <v>807</v>
      </c>
      <c r="L73" s="1" t="s">
        <v>808</v>
      </c>
      <c r="M73" s="1" t="s">
        <v>817</v>
      </c>
      <c r="N73" s="1" t="s">
        <v>818</v>
      </c>
      <c r="O73" s="1" t="s">
        <v>819</v>
      </c>
      <c r="P73" s="1" t="s">
        <v>820</v>
      </c>
      <c r="Q73" s="1" t="s">
        <v>821</v>
      </c>
      <c r="R73" s="1" t="s">
        <v>544</v>
      </c>
      <c r="S73" s="1" t="s">
        <v>822</v>
      </c>
    </row>
    <row r="74" spans="1:19" ht="15" customHeight="1" x14ac:dyDescent="0.25">
      <c r="A74" s="1" t="s">
        <v>823</v>
      </c>
      <c r="B74" s="1" t="s">
        <v>212</v>
      </c>
      <c r="C74" s="1" t="s">
        <v>213</v>
      </c>
      <c r="D74" s="1" t="s">
        <v>213</v>
      </c>
      <c r="E74" s="1" t="s">
        <v>213</v>
      </c>
      <c r="F74" s="1" t="s">
        <v>91</v>
      </c>
      <c r="G74" s="1" t="s">
        <v>91</v>
      </c>
      <c r="H74" s="1" t="s">
        <v>91</v>
      </c>
      <c r="I74" s="1" t="s">
        <v>213</v>
      </c>
      <c r="J74" s="1" t="s">
        <v>824</v>
      </c>
      <c r="K74" s="1" t="s">
        <v>825</v>
      </c>
      <c r="L74" s="1" t="s">
        <v>826</v>
      </c>
      <c r="M74" s="1" t="s">
        <v>827</v>
      </c>
      <c r="N74" s="1" t="s">
        <v>828</v>
      </c>
      <c r="O74" s="1" t="s">
        <v>829</v>
      </c>
      <c r="P74" s="1" t="s">
        <v>830</v>
      </c>
      <c r="Q74" s="1" t="s">
        <v>831</v>
      </c>
      <c r="R74" s="1" t="s">
        <v>832</v>
      </c>
      <c r="S74" s="1" t="s">
        <v>346</v>
      </c>
    </row>
    <row r="75" spans="1:19" ht="15" customHeight="1" x14ac:dyDescent="0.25">
      <c r="A75" s="1" t="s">
        <v>833</v>
      </c>
      <c r="B75" s="1" t="s">
        <v>225</v>
      </c>
      <c r="C75" s="1" t="s">
        <v>213</v>
      </c>
      <c r="D75" s="1" t="s">
        <v>213</v>
      </c>
      <c r="E75" s="1" t="s">
        <v>213</v>
      </c>
      <c r="F75" s="1" t="s">
        <v>91</v>
      </c>
      <c r="G75" s="1" t="s">
        <v>91</v>
      </c>
      <c r="H75" s="1" t="s">
        <v>91</v>
      </c>
      <c r="I75" s="1" t="s">
        <v>213</v>
      </c>
      <c r="J75" s="1" t="s">
        <v>816</v>
      </c>
      <c r="K75" s="1" t="s">
        <v>825</v>
      </c>
      <c r="L75" s="1" t="s">
        <v>826</v>
      </c>
      <c r="M75" s="1" t="s">
        <v>834</v>
      </c>
      <c r="N75" s="1" t="s">
        <v>828</v>
      </c>
      <c r="O75" s="1" t="s">
        <v>829</v>
      </c>
      <c r="P75" s="1" t="s">
        <v>835</v>
      </c>
      <c r="Q75" s="1" t="s">
        <v>836</v>
      </c>
      <c r="R75" s="1" t="s">
        <v>544</v>
      </c>
      <c r="S75" s="1" t="s">
        <v>837</v>
      </c>
    </row>
    <row r="76" spans="1:19" ht="15" customHeight="1" x14ac:dyDescent="0.25">
      <c r="A76" s="1" t="s">
        <v>838</v>
      </c>
      <c r="B76" s="1" t="s">
        <v>212</v>
      </c>
      <c r="C76" s="1" t="s">
        <v>213</v>
      </c>
      <c r="D76" s="1" t="s">
        <v>213</v>
      </c>
      <c r="E76" s="1" t="s">
        <v>213</v>
      </c>
      <c r="F76" s="1" t="s">
        <v>213</v>
      </c>
      <c r="G76" s="1" t="s">
        <v>91</v>
      </c>
      <c r="H76" s="1" t="s">
        <v>91</v>
      </c>
      <c r="I76" s="1" t="s">
        <v>91</v>
      </c>
      <c r="J76" s="1" t="s">
        <v>839</v>
      </c>
      <c r="K76" s="1" t="s">
        <v>840</v>
      </c>
      <c r="L76" s="1" t="s">
        <v>841</v>
      </c>
      <c r="M76" s="1" t="s">
        <v>842</v>
      </c>
      <c r="N76" s="1" t="s">
        <v>843</v>
      </c>
      <c r="O76" s="1" t="s">
        <v>432</v>
      </c>
      <c r="P76" s="1" t="s">
        <v>844</v>
      </c>
      <c r="Q76" s="1" t="s">
        <v>845</v>
      </c>
      <c r="R76" s="1" t="s">
        <v>617</v>
      </c>
      <c r="S76" s="1" t="s">
        <v>743</v>
      </c>
    </row>
    <row r="77" spans="1:19" ht="15" customHeight="1" x14ac:dyDescent="0.25">
      <c r="A77" s="1" t="s">
        <v>846</v>
      </c>
      <c r="B77" s="1" t="s">
        <v>225</v>
      </c>
      <c r="C77" s="1" t="s">
        <v>213</v>
      </c>
      <c r="D77" s="1" t="s">
        <v>213</v>
      </c>
      <c r="E77" s="1" t="s">
        <v>213</v>
      </c>
      <c r="F77" s="1" t="s">
        <v>213</v>
      </c>
      <c r="G77" s="1" t="s">
        <v>91</v>
      </c>
      <c r="H77" s="1" t="s">
        <v>91</v>
      </c>
      <c r="I77" s="1" t="s">
        <v>91</v>
      </c>
      <c r="J77" s="1" t="s">
        <v>847</v>
      </c>
      <c r="K77" s="1" t="s">
        <v>848</v>
      </c>
      <c r="L77" s="1" t="s">
        <v>849</v>
      </c>
      <c r="M77" s="1" t="s">
        <v>351</v>
      </c>
      <c r="N77" s="1" t="s">
        <v>850</v>
      </c>
      <c r="O77" s="1" t="s">
        <v>851</v>
      </c>
      <c r="P77" s="1" t="s">
        <v>852</v>
      </c>
      <c r="Q77" s="1" t="s">
        <v>853</v>
      </c>
      <c r="R77" s="1" t="s">
        <v>854</v>
      </c>
      <c r="S77" s="1" t="s">
        <v>425</v>
      </c>
    </row>
    <row r="78" spans="1:19" ht="15" customHeight="1" x14ac:dyDescent="0.25">
      <c r="A78" s="1" t="s">
        <v>855</v>
      </c>
      <c r="B78" s="1" t="s">
        <v>212</v>
      </c>
      <c r="C78" s="1" t="s">
        <v>213</v>
      </c>
      <c r="D78" s="1" t="s">
        <v>213</v>
      </c>
      <c r="E78" s="1" t="s">
        <v>91</v>
      </c>
      <c r="F78" s="1" t="s">
        <v>213</v>
      </c>
      <c r="G78" s="1" t="s">
        <v>91</v>
      </c>
      <c r="H78" s="1" t="s">
        <v>91</v>
      </c>
      <c r="I78" s="1" t="s">
        <v>91</v>
      </c>
      <c r="J78" s="1" t="s">
        <v>856</v>
      </c>
      <c r="K78" s="1" t="s">
        <v>857</v>
      </c>
      <c r="L78" s="1" t="s">
        <v>858</v>
      </c>
      <c r="M78" s="1" t="s">
        <v>842</v>
      </c>
      <c r="N78" s="1" t="s">
        <v>843</v>
      </c>
      <c r="O78" s="1" t="s">
        <v>432</v>
      </c>
      <c r="P78" s="1" t="s">
        <v>859</v>
      </c>
      <c r="Q78" s="1" t="s">
        <v>860</v>
      </c>
      <c r="R78" s="1" t="s">
        <v>617</v>
      </c>
      <c r="S78" s="1" t="s">
        <v>743</v>
      </c>
    </row>
    <row r="79" spans="1:19" ht="15" customHeight="1" x14ac:dyDescent="0.25">
      <c r="A79" s="1" t="s">
        <v>861</v>
      </c>
      <c r="B79" s="1" t="s">
        <v>225</v>
      </c>
      <c r="C79" s="1" t="s">
        <v>213</v>
      </c>
      <c r="D79" s="1" t="s">
        <v>213</v>
      </c>
      <c r="E79" s="1" t="s">
        <v>91</v>
      </c>
      <c r="F79" s="1" t="s">
        <v>213</v>
      </c>
      <c r="G79" s="1" t="s">
        <v>91</v>
      </c>
      <c r="H79" s="1" t="s">
        <v>91</v>
      </c>
      <c r="I79" s="1" t="s">
        <v>91</v>
      </c>
      <c r="J79" s="1" t="s">
        <v>862</v>
      </c>
      <c r="K79" s="1" t="s">
        <v>857</v>
      </c>
      <c r="L79" s="1" t="s">
        <v>863</v>
      </c>
      <c r="M79" s="1" t="s">
        <v>351</v>
      </c>
      <c r="N79" s="1" t="s">
        <v>864</v>
      </c>
      <c r="O79" s="1" t="s">
        <v>865</v>
      </c>
      <c r="P79" s="1" t="s">
        <v>866</v>
      </c>
      <c r="Q79" s="1" t="s">
        <v>867</v>
      </c>
      <c r="R79" s="1" t="s">
        <v>854</v>
      </c>
      <c r="S79" s="1" t="s">
        <v>425</v>
      </c>
    </row>
    <row r="80" spans="1:19" x14ac:dyDescent="0.25">
      <c r="J80" s="499"/>
    </row>
    <row r="81" spans="10:10" x14ac:dyDescent="0.25">
      <c r="J81" s="500"/>
    </row>
    <row r="82" spans="10:10" x14ac:dyDescent="0.25">
      <c r="J82" s="499"/>
    </row>
    <row r="83" spans="10:10" x14ac:dyDescent="0.25">
      <c r="J83" s="500"/>
    </row>
    <row r="84" spans="10:10" x14ac:dyDescent="0.25">
      <c r="J84" s="499"/>
    </row>
    <row r="85" spans="10:10" x14ac:dyDescent="0.25">
      <c r="J85" s="501"/>
    </row>
    <row r="86" spans="10:10" x14ac:dyDescent="0.25">
      <c r="J86" s="499"/>
    </row>
    <row r="87" spans="10:10" x14ac:dyDescent="0.25">
      <c r="J87" s="501"/>
    </row>
    <row r="88" spans="10:10" x14ac:dyDescent="0.25">
      <c r="J88" s="499"/>
    </row>
    <row r="89" spans="10:10" x14ac:dyDescent="0.25">
      <c r="J89" s="501"/>
    </row>
  </sheetData>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8"/>
  <sheetViews>
    <sheetView topLeftCell="A4" zoomScaleNormal="100" workbookViewId="0">
      <selection activeCell="A25" sqref="A25"/>
    </sheetView>
  </sheetViews>
  <sheetFormatPr defaultColWidth="8.7109375" defaultRowHeight="15" x14ac:dyDescent="0.25"/>
  <cols>
    <col min="1" max="1" width="92" style="1" customWidth="1"/>
  </cols>
  <sheetData>
    <row r="1" spans="1:1" ht="18" customHeight="1" x14ac:dyDescent="0.25">
      <c r="A1" s="169" t="s">
        <v>868</v>
      </c>
    </row>
    <row r="2" spans="1:1" ht="15" customHeight="1" x14ac:dyDescent="0.25">
      <c r="A2" s="353"/>
    </row>
    <row r="3" spans="1:1" ht="15" customHeight="1" x14ac:dyDescent="0.25">
      <c r="A3" s="170" t="s">
        <v>869</v>
      </c>
    </row>
    <row r="4" spans="1:1" ht="15" customHeight="1" x14ac:dyDescent="0.25">
      <c r="A4" s="353" t="s">
        <v>870</v>
      </c>
    </row>
    <row r="5" spans="1:1" ht="15" customHeight="1" x14ac:dyDescent="0.25">
      <c r="A5" s="353" t="s">
        <v>871</v>
      </c>
    </row>
    <row r="6" spans="1:1" ht="15" customHeight="1" x14ac:dyDescent="0.25">
      <c r="A6" s="353" t="s">
        <v>872</v>
      </c>
    </row>
    <row r="7" spans="1:1" ht="15" customHeight="1" x14ac:dyDescent="0.25">
      <c r="A7" s="353" t="s">
        <v>873</v>
      </c>
    </row>
    <row r="8" spans="1:1" ht="15" customHeight="1" x14ac:dyDescent="0.25">
      <c r="A8" s="353" t="s">
        <v>874</v>
      </c>
    </row>
    <row r="9" spans="1:1" ht="15" customHeight="1" x14ac:dyDescent="0.25">
      <c r="A9" s="353" t="s">
        <v>875</v>
      </c>
    </row>
    <row r="10" spans="1:1" ht="15" customHeight="1" x14ac:dyDescent="0.25">
      <c r="A10" s="353"/>
    </row>
    <row r="11" spans="1:1" ht="15" customHeight="1" x14ac:dyDescent="0.25">
      <c r="A11" s="170" t="s">
        <v>876</v>
      </c>
    </row>
    <row r="12" spans="1:1" ht="15" customHeight="1" x14ac:dyDescent="0.25">
      <c r="A12" s="353" t="s">
        <v>877</v>
      </c>
    </row>
    <row r="13" spans="1:1" ht="15" customHeight="1" x14ac:dyDescent="0.25">
      <c r="A13" s="353" t="s">
        <v>878</v>
      </c>
    </row>
    <row r="14" spans="1:1" ht="15" customHeight="1" x14ac:dyDescent="0.25">
      <c r="A14" s="353" t="s">
        <v>879</v>
      </c>
    </row>
    <row r="15" spans="1:1" ht="15" customHeight="1" x14ac:dyDescent="0.25">
      <c r="A15" s="353" t="s">
        <v>880</v>
      </c>
    </row>
    <row r="16" spans="1:1" ht="15" customHeight="1" x14ac:dyDescent="0.25">
      <c r="A16" s="353" t="s">
        <v>881</v>
      </c>
    </row>
    <row r="17" spans="1:1" ht="15" customHeight="1" x14ac:dyDescent="0.25">
      <c r="A17" s="353"/>
    </row>
    <row r="18" spans="1:1" ht="15" customHeight="1" x14ac:dyDescent="0.25">
      <c r="A18" s="170" t="s">
        <v>882</v>
      </c>
    </row>
    <row r="19" spans="1:1" ht="15" customHeight="1" x14ac:dyDescent="0.25">
      <c r="A19" s="353" t="s">
        <v>883</v>
      </c>
    </row>
    <row r="20" spans="1:1" ht="15" customHeight="1" x14ac:dyDescent="0.25">
      <c r="A20" s="353" t="s">
        <v>884</v>
      </c>
    </row>
    <row r="21" spans="1:1" ht="15" customHeight="1" x14ac:dyDescent="0.25">
      <c r="A21" s="353" t="s">
        <v>885</v>
      </c>
    </row>
    <row r="22" spans="1:1" ht="15" customHeight="1" x14ac:dyDescent="0.25">
      <c r="A22" s="353" t="s">
        <v>886</v>
      </c>
    </row>
    <row r="23" spans="1:1" ht="15" customHeight="1" x14ac:dyDescent="0.25">
      <c r="A23" s="353"/>
    </row>
    <row r="24" spans="1:1" ht="15" customHeight="1" x14ac:dyDescent="0.25">
      <c r="A24" s="170" t="s">
        <v>887</v>
      </c>
    </row>
    <row r="25" spans="1:1" ht="15" customHeight="1" x14ac:dyDescent="0.25">
      <c r="A25" s="353" t="s">
        <v>888</v>
      </c>
    </row>
    <row r="26" spans="1:1" ht="15" customHeight="1" x14ac:dyDescent="0.25">
      <c r="A26" s="353" t="s">
        <v>889</v>
      </c>
    </row>
    <row r="27" spans="1:1" ht="15" customHeight="1" x14ac:dyDescent="0.25">
      <c r="A27" s="353" t="s">
        <v>890</v>
      </c>
    </row>
    <row r="28" spans="1:1" ht="15" customHeight="1" x14ac:dyDescent="0.25">
      <c r="A28" s="353" t="s">
        <v>891</v>
      </c>
    </row>
    <row r="29" spans="1:1" ht="15" customHeight="1" x14ac:dyDescent="0.25">
      <c r="A29" s="353" t="s">
        <v>892</v>
      </c>
    </row>
    <row r="30" spans="1:1" ht="15" customHeight="1" x14ac:dyDescent="0.25">
      <c r="A30" s="353" t="s">
        <v>893</v>
      </c>
    </row>
    <row r="31" spans="1:1" ht="15" customHeight="1" x14ac:dyDescent="0.25">
      <c r="A31" s="353" t="s">
        <v>894</v>
      </c>
    </row>
    <row r="32" spans="1:1" ht="15" customHeight="1" x14ac:dyDescent="0.25">
      <c r="A32" s="353"/>
    </row>
    <row r="33" spans="1:1" ht="15" customHeight="1" x14ac:dyDescent="0.25">
      <c r="A33" s="170" t="s">
        <v>895</v>
      </c>
    </row>
    <row r="34" spans="1:1" ht="15" customHeight="1" x14ac:dyDescent="0.25">
      <c r="A34" s="353" t="s">
        <v>896</v>
      </c>
    </row>
    <row r="35" spans="1:1" ht="15" customHeight="1" x14ac:dyDescent="0.25">
      <c r="A35" s="353" t="s">
        <v>897</v>
      </c>
    </row>
    <row r="36" spans="1:1" ht="15" customHeight="1" x14ac:dyDescent="0.25">
      <c r="A36" s="353" t="s">
        <v>898</v>
      </c>
    </row>
    <row r="37" spans="1:1" ht="15" customHeight="1" x14ac:dyDescent="0.25">
      <c r="A37" s="353" t="s">
        <v>899</v>
      </c>
    </row>
    <row r="38" spans="1:1" ht="15" customHeight="1" x14ac:dyDescent="0.25">
      <c r="A38" s="353"/>
    </row>
    <row r="39" spans="1:1" ht="15" customHeight="1" x14ac:dyDescent="0.25">
      <c r="A39" s="354" t="s">
        <v>900</v>
      </c>
    </row>
    <row r="40" spans="1:1" ht="15" customHeight="1" x14ac:dyDescent="0.25">
      <c r="A40" s="172" t="s">
        <v>901</v>
      </c>
    </row>
    <row r="41" spans="1:1" ht="15" customHeight="1" x14ac:dyDescent="0.25">
      <c r="A41" s="172" t="s">
        <v>902</v>
      </c>
    </row>
    <row r="42" spans="1:1" ht="15" customHeight="1" x14ac:dyDescent="0.25">
      <c r="A42" s="172" t="s">
        <v>903</v>
      </c>
    </row>
    <row r="43" spans="1:1" ht="15" customHeight="1" x14ac:dyDescent="0.25">
      <c r="A43" s="172" t="s">
        <v>904</v>
      </c>
    </row>
    <row r="45" spans="1:1" x14ac:dyDescent="0.25">
      <c r="A45" s="1" t="s">
        <v>905</v>
      </c>
    </row>
    <row r="46" spans="1:1" x14ac:dyDescent="0.25">
      <c r="A46" s="1" t="s">
        <v>906</v>
      </c>
    </row>
    <row r="47" spans="1:1" x14ac:dyDescent="0.25">
      <c r="A47" s="1" t="s">
        <v>907</v>
      </c>
    </row>
    <row r="48" spans="1:1" x14ac:dyDescent="0.25">
      <c r="A48" s="1" t="s">
        <v>908</v>
      </c>
    </row>
    <row r="49" spans="1:1" x14ac:dyDescent="0.25">
      <c r="A49" s="1" t="s">
        <v>909</v>
      </c>
    </row>
    <row r="50" spans="1:1" x14ac:dyDescent="0.25">
      <c r="A50" s="1" t="s">
        <v>910</v>
      </c>
    </row>
    <row r="51" spans="1:1" x14ac:dyDescent="0.25">
      <c r="A51" s="1" t="s">
        <v>911</v>
      </c>
    </row>
    <row r="52" spans="1:1" x14ac:dyDescent="0.25">
      <c r="A52" s="1" t="s">
        <v>912</v>
      </c>
    </row>
    <row r="54" spans="1:1" x14ac:dyDescent="0.25">
      <c r="A54" s="1" t="s">
        <v>1577</v>
      </c>
    </row>
    <row r="55" spans="1:1" x14ac:dyDescent="0.25">
      <c r="A55" s="1" t="s">
        <v>1578</v>
      </c>
    </row>
    <row r="56" spans="1:1" x14ac:dyDescent="0.25">
      <c r="A56" s="1" t="s">
        <v>1579</v>
      </c>
    </row>
    <row r="57" spans="1:1" x14ac:dyDescent="0.25">
      <c r="A57" s="1" t="s">
        <v>1580</v>
      </c>
    </row>
    <row r="58" spans="1:1" x14ac:dyDescent="0.25">
      <c r="A58" s="1" t="s">
        <v>1581</v>
      </c>
    </row>
    <row r="59" spans="1:1" x14ac:dyDescent="0.25">
      <c r="A59" s="1" t="s">
        <v>1582</v>
      </c>
    </row>
    <row r="60" spans="1:1" x14ac:dyDescent="0.25">
      <c r="A60" s="1" t="s">
        <v>1583</v>
      </c>
    </row>
    <row r="61" spans="1:1" x14ac:dyDescent="0.25">
      <c r="A61" s="1" t="s">
        <v>1584</v>
      </c>
    </row>
    <row r="62" spans="1:1" x14ac:dyDescent="0.25">
      <c r="A62" s="1" t="s">
        <v>1585</v>
      </c>
    </row>
    <row r="63" spans="1:1" x14ac:dyDescent="0.25">
      <c r="A63" s="1" t="s">
        <v>1586</v>
      </c>
    </row>
    <row r="64" spans="1:1" x14ac:dyDescent="0.25">
      <c r="A64" s="1" t="s">
        <v>1587</v>
      </c>
    </row>
    <row r="65" spans="1:1" x14ac:dyDescent="0.25">
      <c r="A65" s="1" t="s">
        <v>1588</v>
      </c>
    </row>
    <row r="66" spans="1:1" x14ac:dyDescent="0.25">
      <c r="A66" s="1" t="s">
        <v>1589</v>
      </c>
    </row>
    <row r="67" spans="1:1" x14ac:dyDescent="0.25">
      <c r="A67" s="1" t="s">
        <v>1590</v>
      </c>
    </row>
    <row r="68" spans="1:1" x14ac:dyDescent="0.25">
      <c r="A68" s="1" t="s">
        <v>1591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W72"/>
  <sheetViews>
    <sheetView zoomScaleNormal="100" workbookViewId="0">
      <selection activeCell="I6" sqref="I6"/>
    </sheetView>
  </sheetViews>
  <sheetFormatPr defaultColWidth="8.7109375" defaultRowHeight="15" x14ac:dyDescent="0.25"/>
  <cols>
    <col min="1" max="1" width="24" style="1" customWidth="1"/>
    <col min="2" max="2" width="40" style="1" customWidth="1"/>
    <col min="3" max="3" width="12" style="1" customWidth="1"/>
    <col min="4" max="4" width="16" style="1" customWidth="1"/>
    <col min="5" max="5" width="9" style="1" customWidth="1"/>
    <col min="6" max="6" width="14" style="1" customWidth="1"/>
    <col min="7" max="7" width="34" style="1" customWidth="1"/>
    <col min="9" max="9" width="22" style="1" customWidth="1"/>
    <col min="10" max="10" width="8" style="1" customWidth="1"/>
    <col min="13" max="13" width="26" style="1" customWidth="1"/>
    <col min="14" max="14" width="8" style="1" customWidth="1"/>
    <col min="15" max="23" width="30" style="1" hidden="1" customWidth="1"/>
  </cols>
  <sheetData>
    <row r="1" spans="1:23" ht="19.5" customHeight="1" x14ac:dyDescent="0.25">
      <c r="A1" s="647" t="s">
        <v>913</v>
      </c>
      <c r="B1" s="647"/>
      <c r="C1" s="647"/>
      <c r="D1" s="647"/>
      <c r="E1" s="647"/>
      <c r="F1" s="647"/>
      <c r="G1" s="647"/>
    </row>
    <row r="2" spans="1:23" ht="15" customHeight="1" x14ac:dyDescent="0.25">
      <c r="A2" s="648" t="s">
        <v>914</v>
      </c>
      <c r="B2" s="648"/>
      <c r="C2" s="648"/>
      <c r="D2" s="648"/>
      <c r="E2" s="648"/>
      <c r="F2" s="648"/>
      <c r="G2" s="648"/>
    </row>
    <row r="4" spans="1:23" ht="15" customHeight="1" x14ac:dyDescent="0.25">
      <c r="A4" s="649" t="s">
        <v>915</v>
      </c>
      <c r="B4" s="649"/>
      <c r="C4" s="649"/>
      <c r="D4" s="649"/>
      <c r="E4" s="649"/>
      <c r="F4" s="649"/>
      <c r="G4" s="649"/>
      <c r="I4" s="1" t="s">
        <v>916</v>
      </c>
      <c r="K4" s="218" t="s">
        <v>2793</v>
      </c>
      <c r="M4" s="1" t="s">
        <v>1530</v>
      </c>
      <c r="N4" s="1" t="s">
        <v>1531</v>
      </c>
      <c r="O4" s="1" t="s">
        <v>1532</v>
      </c>
      <c r="P4" s="1" t="s">
        <v>1533</v>
      </c>
      <c r="Q4" s="1" t="s">
        <v>1534</v>
      </c>
      <c r="R4" s="1" t="s">
        <v>1535</v>
      </c>
      <c r="S4" s="1" t="s">
        <v>1536</v>
      </c>
      <c r="T4" s="1" t="s">
        <v>1537</v>
      </c>
      <c r="U4" s="1" t="s">
        <v>1538</v>
      </c>
      <c r="V4" s="1" t="s">
        <v>1539</v>
      </c>
      <c r="W4" s="1" t="s">
        <v>1540</v>
      </c>
    </row>
    <row r="5" spans="1:23" ht="13.5" customHeight="1" x14ac:dyDescent="0.25">
      <c r="A5" s="650" t="s">
        <v>917</v>
      </c>
      <c r="B5" s="650"/>
      <c r="C5" s="650"/>
      <c r="D5" s="650"/>
      <c r="E5" s="650"/>
      <c r="F5" s="650"/>
      <c r="G5" s="650"/>
      <c r="I5" s="1" t="s">
        <v>918</v>
      </c>
      <c r="J5" s="1">
        <v>7827</v>
      </c>
      <c r="K5" s="218" t="s">
        <v>919</v>
      </c>
      <c r="M5" s="1">
        <f t="shared" ref="M5:M29" si="0">IFERROR(VLOOKUP($I5,$M$35:$N$59,2,FALSE),5)</f>
        <v>0</v>
      </c>
      <c r="N5" s="1" t="str">
        <f>IF(OR(NOT(ISNUMBER($J5)),$M5=0,NOT(ISNUMBER($J$5)),NOT(ISNUMBER('King Node Model'!$B$4))),"",$J5-($J$5-'King Node Model'!$B$4))</f>
        <v/>
      </c>
      <c r="O5" s="1" t="str">
        <f t="shared" ref="O5:O29" si="1">IF($N5="","",$I5&amp;"  "&amp;TEXT(MROUND($J5,0.25),"0.00")&amp;IF($K5="",""," · "&amp;$K5))</f>
        <v/>
      </c>
      <c r="P5" s="1">
        <f t="shared" ref="P5:P29" si="2">IF($N5="",99999,$M5*1000+ROW())</f>
        <v>99999</v>
      </c>
      <c r="Q5" s="1">
        <f t="shared" ref="Q5:Q29" si="3">IFERROR(MATCH(SMALL($P$5:$P$29,ROW()-4),$P$5:$P$29,0),"")</f>
        <v>15</v>
      </c>
      <c r="R5" s="1" t="str">
        <f>IF($Q5="","",IF(INDEX($N$5:$N$29,$Q5)="","",IF(ISNUMBER('King Node Model'!$AL$42),IF(ABS(INDEX($N$5:$N$29,$Q5)-'King Node Model'!$AL$42)&lt;=$J$31,CHAR(10)&amp;INDEX($O$5:$O$29,$Q5),""),"")))</f>
        <v/>
      </c>
      <c r="S5" s="1" t="str">
        <f>IF($Q5="","",IF(INDEX($N$5:$N$29,$Q5)="","",IF(ISNUMBER('King Node Model'!$AL$43),IF(ABS(INDEX($N$5:$N$29,$Q5)-'King Node Model'!$AL$43)&lt;=$J$31,CHAR(10)&amp;INDEX($O$5:$O$29,$Q5),""),"")))</f>
        <v/>
      </c>
      <c r="T5" s="1" t="str">
        <f>IF($Q5="","",IF(INDEX($N$5:$N$29,$Q5)="","",IF(ISNUMBER('King Node Model'!$AL$44),IF(ABS(INDEX($N$5:$N$29,$Q5)-'King Node Model'!$AL$44)&lt;=$J$31,CHAR(10)&amp;INDEX($O$5:$O$29,$Q5),""),"")))</f>
        <v/>
      </c>
      <c r="U5" s="1" t="str">
        <f>IF($Q5="","",IF(INDEX($N$5:$N$29,$Q5)="","",IF(ISNUMBER('King Node Model'!$AL$49),IF(ABS(INDEX($N$5:$N$29,$Q5)-'King Node Model'!$AL$49)&lt;=$J$31,CHAR(10)&amp;INDEX($O$5:$O$29,$Q5),""),"")))</f>
        <v xml:space="preserve">
POC (dev)  7822.00 · developing</v>
      </c>
      <c r="V5" s="1" t="str">
        <f>IF($Q5="","",IF(INDEX($N$5:$N$29,$Q5)="","",IF(ISNUMBER('King Node Model'!$AL$50),IF(ABS(INDEX($N$5:$N$29,$Q5)-'King Node Model'!$AL$50)&lt;=$J$31,CHAR(10)&amp;INDEX($O$5:$O$29,$Q5),""),"")))</f>
        <v xml:space="preserve">
POC (dev)  7822.00 · developing</v>
      </c>
      <c r="W5" s="1" t="str">
        <f>IF($Q5="","",IF(INDEX($N$5:$N$29,$Q5)="","",IF(ISNUMBER('King Node Model'!$AL$51),IF(ABS(INDEX($N$5:$N$29,$Q5)-'King Node Model'!$AL$51)&lt;=$J$31,CHAR(10)&amp;INDEX($O$5:$O$29,$Q5),""),"")))</f>
        <v/>
      </c>
    </row>
    <row r="6" spans="1:23" ht="13.5" customHeight="1" x14ac:dyDescent="0.25">
      <c r="A6" s="650" t="s">
        <v>920</v>
      </c>
      <c r="B6" s="650"/>
      <c r="C6" s="650"/>
      <c r="D6" s="650"/>
      <c r="E6" s="650"/>
      <c r="F6" s="650"/>
      <c r="G6" s="650"/>
      <c r="I6" s="1" t="s">
        <v>921</v>
      </c>
      <c r="J6" s="1">
        <v>7830.41</v>
      </c>
      <c r="K6" s="218" t="s">
        <v>922</v>
      </c>
      <c r="M6" s="1">
        <f t="shared" si="0"/>
        <v>3</v>
      </c>
      <c r="N6" s="1">
        <f>IF(OR(NOT(ISNUMBER($J6)),$M6=0,NOT(ISNUMBER($J$5)),NOT(ISNUMBER('King Node Model'!$B$4))),"",$J6-($J$5-'King Node Model'!$B$4))</f>
        <v>7778.8</v>
      </c>
      <c r="O6" s="1" t="str">
        <f t="shared" si="1"/>
        <v>Daily VWAP  7830.50 · developing</v>
      </c>
      <c r="P6" s="1">
        <f t="shared" si="2"/>
        <v>3006</v>
      </c>
      <c r="Q6" s="1">
        <f t="shared" si="3"/>
        <v>18</v>
      </c>
      <c r="R6" s="1" t="str">
        <f>IF($Q6="","",IF(INDEX($N$5:$N$29,$Q6)="","",IF(ISNUMBER('King Node Model'!$AL$42),IF(ABS(INDEX($N$5:$N$29,$Q6)-'King Node Model'!$AL$42)&lt;=$J$31,CHAR(10)&amp;INDEX($O$5:$O$29,$Q6),""),"")))</f>
        <v/>
      </c>
      <c r="S6" s="1" t="str">
        <f>IF($Q6="","",IF(INDEX($N$5:$N$29,$Q6)="","",IF(ISNUMBER('King Node Model'!$AL$43),IF(ABS(INDEX($N$5:$N$29,$Q6)-'King Node Model'!$AL$43)&lt;=$J$31,CHAR(10)&amp;INDEX($O$5:$O$29,$Q6),""),"")))</f>
        <v/>
      </c>
      <c r="T6" s="1" t="str">
        <f>IF($Q6="","",IF(INDEX($N$5:$N$29,$Q6)="","",IF(ISNUMBER('King Node Model'!$AL$44),IF(ABS(INDEX($N$5:$N$29,$Q6)-'King Node Model'!$AL$44)&lt;=$J$31,CHAR(10)&amp;INDEX($O$5:$O$29,$Q6),""),"")))</f>
        <v/>
      </c>
      <c r="U6" s="1" t="str">
        <f>IF($Q6="","",IF(INDEX($N$5:$N$29,$Q6)="","",IF(ISNUMBER('King Node Model'!$AL$49),IF(ABS(INDEX($N$5:$N$29,$Q6)-'King Node Model'!$AL$49)&lt;=$J$31,CHAR(10)&amp;INDEX($O$5:$O$29,$Q6),""),"")))</f>
        <v/>
      </c>
      <c r="V6" s="1" t="str">
        <f>IF($Q6="","",IF(INDEX($N$5:$N$29,$Q6)="","",IF(ISNUMBER('King Node Model'!$AL$50),IF(ABS(INDEX($N$5:$N$29,$Q6)-'King Node Model'!$AL$50)&lt;=$J$31,CHAR(10)&amp;INDEX($O$5:$O$29,$Q6),""),"")))</f>
        <v/>
      </c>
      <c r="W6" s="1" t="str">
        <f>IF($Q6="","",IF(INDEX($N$5:$N$29,$Q6)="","",IF(ISNUMBER('King Node Model'!$AL$51),IF(ABS(INDEX($N$5:$N$29,$Q6)-'King Node Model'!$AL$51)&lt;=$J$31,CHAR(10)&amp;INDEX($O$5:$O$29,$Q6),""),"")))</f>
        <v/>
      </c>
    </row>
    <row r="7" spans="1:23" ht="13.5" customHeight="1" x14ac:dyDescent="0.25">
      <c r="A7" s="650" t="s">
        <v>923</v>
      </c>
      <c r="B7" s="650"/>
      <c r="C7" s="650"/>
      <c r="D7" s="650"/>
      <c r="E7" s="650"/>
      <c r="F7" s="650"/>
      <c r="G7" s="650"/>
      <c r="I7" s="1" t="s">
        <v>924</v>
      </c>
      <c r="J7" s="1">
        <v>7839.33</v>
      </c>
      <c r="K7" s="218" t="s">
        <v>922</v>
      </c>
      <c r="M7" s="1">
        <f t="shared" si="0"/>
        <v>3</v>
      </c>
      <c r="N7" s="1">
        <f>IF(OR(NOT(ISNUMBER($J7)),$M7=0,NOT(ISNUMBER($J$5)),NOT(ISNUMBER('King Node Model'!$B$4))),"",$J7-($J$5-'King Node Model'!$B$4))</f>
        <v>7787.72</v>
      </c>
      <c r="O7" s="1" t="str">
        <f t="shared" si="1"/>
        <v>Weekly VWAP  7839.25 · developing</v>
      </c>
      <c r="P7" s="1">
        <f t="shared" si="2"/>
        <v>3007</v>
      </c>
      <c r="Q7" s="1">
        <f t="shared" si="3"/>
        <v>6</v>
      </c>
      <c r="R7" s="1" t="str">
        <f>IF($Q7="","",IF(INDEX($N$5:$N$29,$Q7)="","",IF(ISNUMBER('King Node Model'!$AL$42),IF(ABS(INDEX($N$5:$N$29,$Q7)-'King Node Model'!$AL$42)&lt;=$J$31,CHAR(10)&amp;INDEX($O$5:$O$29,$Q7),""),"")))</f>
        <v/>
      </c>
      <c r="S7" s="1" t="str">
        <f>IF($Q7="","",IF(INDEX($N$5:$N$29,$Q7)="","",IF(ISNUMBER('King Node Model'!$AL$43),IF(ABS(INDEX($N$5:$N$29,$Q7)-'King Node Model'!$AL$43)&lt;=$J$31,CHAR(10)&amp;INDEX($O$5:$O$29,$Q7),""),"")))</f>
        <v/>
      </c>
      <c r="T7" s="1" t="str">
        <f>IF($Q7="","",IF(INDEX($N$5:$N$29,$Q7)="","",IF(ISNUMBER('King Node Model'!$AL$44),IF(ABS(INDEX($N$5:$N$29,$Q7)-'King Node Model'!$AL$44)&lt;=$J$31,CHAR(10)&amp;INDEX($O$5:$O$29,$Q7),""),"")))</f>
        <v/>
      </c>
      <c r="U7" s="1" t="str">
        <f>IF($Q7="","",IF(INDEX($N$5:$N$29,$Q7)="","",IF(ISNUMBER('King Node Model'!$AL$49),IF(ABS(INDEX($N$5:$N$29,$Q7)-'King Node Model'!$AL$49)&lt;=$J$31,CHAR(10)&amp;INDEX($O$5:$O$29,$Q7),""),"")))</f>
        <v/>
      </c>
      <c r="V7" s="1" t="str">
        <f>IF($Q7="","",IF(INDEX($N$5:$N$29,$Q7)="","",IF(ISNUMBER('King Node Model'!$AL$50),IF(ABS(INDEX($N$5:$N$29,$Q7)-'King Node Model'!$AL$50)&lt;=$J$31,CHAR(10)&amp;INDEX($O$5:$O$29,$Q7),""),"")))</f>
        <v/>
      </c>
      <c r="W7" s="1" t="str">
        <f>IF($Q7="","",IF(INDEX($N$5:$N$29,$Q7)="","",IF(ISNUMBER('King Node Model'!$AL$51),IF(ABS(INDEX($N$5:$N$29,$Q7)-'King Node Model'!$AL$51)&lt;=$J$31,CHAR(10)&amp;INDEX($O$5:$O$29,$Q7),""),"")))</f>
        <v/>
      </c>
    </row>
    <row r="8" spans="1:23" ht="13.5" customHeight="1" x14ac:dyDescent="0.25">
      <c r="A8" s="650" t="s">
        <v>925</v>
      </c>
      <c r="B8" s="650"/>
      <c r="C8" s="650"/>
      <c r="D8" s="650"/>
      <c r="E8" s="650"/>
      <c r="F8" s="650"/>
      <c r="G8" s="650"/>
      <c r="I8" s="1" t="s">
        <v>926</v>
      </c>
      <c r="J8" s="1">
        <v>7858.25</v>
      </c>
      <c r="K8" s="218" t="s">
        <v>1597</v>
      </c>
      <c r="M8" s="1">
        <f t="shared" si="0"/>
        <v>3</v>
      </c>
      <c r="N8" s="1">
        <f>IF(OR(NOT(ISNUMBER($J8)),$M8=0,NOT(ISNUMBER($J$5)),NOT(ISNUMBER('King Node Model'!$B$4))),"",$J8-($J$5-'King Node Model'!$B$4))</f>
        <v>7806.64</v>
      </c>
      <c r="O8" s="1" t="str">
        <f t="shared" si="1"/>
        <v>Overnight High  7858.25 · settled @open</v>
      </c>
      <c r="P8" s="1">
        <f t="shared" si="2"/>
        <v>3008</v>
      </c>
      <c r="Q8" s="1">
        <f t="shared" si="3"/>
        <v>7</v>
      </c>
      <c r="R8" s="1" t="str">
        <f>IF($Q8="","",IF(INDEX($N$5:$N$29,$Q8)="","",IF(ISNUMBER('King Node Model'!$AL$42),IF(ABS(INDEX($N$5:$N$29,$Q8)-'King Node Model'!$AL$42)&lt;=$J$31,CHAR(10)&amp;INDEX($O$5:$O$29,$Q8),""),"")))</f>
        <v/>
      </c>
      <c r="S8" s="1" t="str">
        <f>IF($Q8="","",IF(INDEX($N$5:$N$29,$Q8)="","",IF(ISNUMBER('King Node Model'!$AL$43),IF(ABS(INDEX($N$5:$N$29,$Q8)-'King Node Model'!$AL$43)&lt;=$J$31,CHAR(10)&amp;INDEX($O$5:$O$29,$Q8),""),"")))</f>
        <v/>
      </c>
      <c r="T8" s="1" t="str">
        <f>IF($Q8="","",IF(INDEX($N$5:$N$29,$Q8)="","",IF(ISNUMBER('King Node Model'!$AL$44),IF(ABS(INDEX($N$5:$N$29,$Q8)-'King Node Model'!$AL$44)&lt;=$J$31,CHAR(10)&amp;INDEX($O$5:$O$29,$Q8),""),"")))</f>
        <v/>
      </c>
      <c r="U8" s="1" t="str">
        <f>IF($Q8="","",IF(INDEX($N$5:$N$29,$Q8)="","",IF(ISNUMBER('King Node Model'!$AL$49),IF(ABS(INDEX($N$5:$N$29,$Q8)-'King Node Model'!$AL$49)&lt;=$J$31,CHAR(10)&amp;INDEX($O$5:$O$29,$Q8),""),"")))</f>
        <v xml:space="preserve">
IB Low  7823.00 · locked</v>
      </c>
      <c r="V8" s="1" t="str">
        <f>IF($Q8="","",IF(INDEX($N$5:$N$29,$Q8)="","",IF(ISNUMBER('King Node Model'!$AL$50),IF(ABS(INDEX($N$5:$N$29,$Q8)-'King Node Model'!$AL$50)&lt;=$J$31,CHAR(10)&amp;INDEX($O$5:$O$29,$Q8),""),"")))</f>
        <v xml:space="preserve">
IB Low  7823.00 · locked</v>
      </c>
      <c r="W8" s="1" t="str">
        <f>IF($Q8="","",IF(INDEX($N$5:$N$29,$Q8)="","",IF(ISNUMBER('King Node Model'!$AL$51),IF(ABS(INDEX($N$5:$N$29,$Q8)-'King Node Model'!$AL$51)&lt;=$J$31,CHAR(10)&amp;INDEX($O$5:$O$29,$Q8),""),"")))</f>
        <v/>
      </c>
    </row>
    <row r="9" spans="1:23" ht="13.5" customHeight="1" x14ac:dyDescent="0.25">
      <c r="A9" s="650" t="s">
        <v>927</v>
      </c>
      <c r="B9" s="650"/>
      <c r="C9" s="650"/>
      <c r="D9" s="650"/>
      <c r="E9" s="650"/>
      <c r="F9" s="650"/>
      <c r="G9" s="650"/>
      <c r="I9" s="1" t="s">
        <v>928</v>
      </c>
      <c r="J9" s="1">
        <v>7802.75</v>
      </c>
      <c r="K9" s="218" t="s">
        <v>1597</v>
      </c>
      <c r="M9" s="1">
        <f t="shared" si="0"/>
        <v>3</v>
      </c>
      <c r="N9" s="1">
        <f>IF(OR(NOT(ISNUMBER($J9)),$M9=0,NOT(ISNUMBER($J$5)),NOT(ISNUMBER('King Node Model'!$B$4))),"",$J9-($J$5-'King Node Model'!$B$4))</f>
        <v>7751.14</v>
      </c>
      <c r="O9" s="1" t="str">
        <f t="shared" si="1"/>
        <v>Overnight Low  7802.75 · settled @open</v>
      </c>
      <c r="P9" s="1">
        <f t="shared" si="2"/>
        <v>3009</v>
      </c>
      <c r="Q9" s="1">
        <f t="shared" si="3"/>
        <v>9</v>
      </c>
      <c r="R9" s="1" t="str">
        <f>IF($Q9="","",IF(INDEX($N$5:$N$29,$Q9)="","",IF(ISNUMBER('King Node Model'!$AL$42),IF(ABS(INDEX($N$5:$N$29,$Q9)-'King Node Model'!$AL$42)&lt;=$J$31,CHAR(10)&amp;INDEX($O$5:$O$29,$Q9),""),"")))</f>
        <v/>
      </c>
      <c r="S9" s="1" t="str">
        <f>IF($Q9="","",IF(INDEX($N$5:$N$29,$Q9)="","",IF(ISNUMBER('King Node Model'!$AL$43),IF(ABS(INDEX($N$5:$N$29,$Q9)-'King Node Model'!$AL$43)&lt;=$J$31,CHAR(10)&amp;INDEX($O$5:$O$29,$Q9),""),"")))</f>
        <v/>
      </c>
      <c r="T9" s="1" t="str">
        <f>IF($Q9="","",IF(INDEX($N$5:$N$29,$Q9)="","",IF(ISNUMBER('King Node Model'!$AL$44),IF(ABS(INDEX($N$5:$N$29,$Q9)-'King Node Model'!$AL$44)&lt;=$J$31,CHAR(10)&amp;INDEX($O$5:$O$29,$Q9),""),"")))</f>
        <v xml:space="preserve">
Fib up -0.27  7850.00 · locked</v>
      </c>
      <c r="U9" s="1" t="str">
        <f>IF($Q9="","",IF(INDEX($N$5:$N$29,$Q9)="","",IF(ISNUMBER('King Node Model'!$AL$49),IF(ABS(INDEX($N$5:$N$29,$Q9)-'King Node Model'!$AL$49)&lt;=$J$31,CHAR(10)&amp;INDEX($O$5:$O$29,$Q9),""),"")))</f>
        <v/>
      </c>
      <c r="V9" s="1" t="str">
        <f>IF($Q9="","",IF(INDEX($N$5:$N$29,$Q9)="","",IF(ISNUMBER('King Node Model'!$AL$50),IF(ABS(INDEX($N$5:$N$29,$Q9)-'King Node Model'!$AL$50)&lt;=$J$31,CHAR(10)&amp;INDEX($O$5:$O$29,$Q9),""),"")))</f>
        <v/>
      </c>
      <c r="W9" s="1" t="str">
        <f>IF($Q9="","",IF(INDEX($N$5:$N$29,$Q9)="","",IF(ISNUMBER('King Node Model'!$AL$51),IF(ABS(INDEX($N$5:$N$29,$Q9)-'King Node Model'!$AL$51)&lt;=$J$31,CHAR(10)&amp;INDEX($O$5:$O$29,$Q9),""),"")))</f>
        <v/>
      </c>
    </row>
    <row r="10" spans="1:23" ht="13.5" customHeight="1" x14ac:dyDescent="0.25">
      <c r="A10" s="650" t="s">
        <v>929</v>
      </c>
      <c r="B10" s="650"/>
      <c r="C10" s="650"/>
      <c r="D10" s="650"/>
      <c r="E10" s="650"/>
      <c r="F10" s="650"/>
      <c r="G10" s="650"/>
      <c r="I10" s="1" t="s">
        <v>930</v>
      </c>
      <c r="J10" s="1">
        <v>7844.25</v>
      </c>
      <c r="K10" s="218" t="s">
        <v>2141</v>
      </c>
      <c r="M10" s="1">
        <f t="shared" si="0"/>
        <v>2</v>
      </c>
      <c r="N10" s="1">
        <f>IF(OR(NOT(ISNUMBER($J10)),$M10=0,NOT(ISNUMBER($J$5)),NOT(ISNUMBER('King Node Model'!$B$4))),"",$J10-($J$5-'King Node Model'!$B$4))</f>
        <v>7792.64</v>
      </c>
      <c r="O10" s="1" t="str">
        <f t="shared" si="1"/>
        <v>IB High  7844.25 · locked</v>
      </c>
      <c r="P10" s="1">
        <f t="shared" si="2"/>
        <v>2010</v>
      </c>
      <c r="Q10" s="1">
        <f t="shared" si="3"/>
        <v>10</v>
      </c>
      <c r="R10" s="1" t="str">
        <f>IF($Q10="","",IF(INDEX($N$5:$N$29,$Q10)="","",IF(ISNUMBER('King Node Model'!$AL$42),IF(ABS(INDEX($N$5:$N$29,$Q10)-'King Node Model'!$AL$42)&lt;=$J$31,CHAR(10)&amp;INDEX($O$5:$O$29,$Q10),""),"")))</f>
        <v/>
      </c>
      <c r="S10" s="1" t="str">
        <f>IF($Q10="","",IF(INDEX($N$5:$N$29,$Q10)="","",IF(ISNUMBER('King Node Model'!$AL$43),IF(ABS(INDEX($N$5:$N$29,$Q10)-'King Node Model'!$AL$43)&lt;=$J$31,CHAR(10)&amp;INDEX($O$5:$O$29,$Q10),""),"")))</f>
        <v xml:space="preserve">
Fib up -0.618  7857.50 · locked</v>
      </c>
      <c r="T10" s="1" t="str">
        <f>IF($Q10="","",IF(INDEX($N$5:$N$29,$Q10)="","",IF(ISNUMBER('King Node Model'!$AL$44),IF(ABS(INDEX($N$5:$N$29,$Q10)-'King Node Model'!$AL$44)&lt;=$J$31,CHAR(10)&amp;INDEX($O$5:$O$29,$Q10),""),"")))</f>
        <v/>
      </c>
      <c r="U10" s="1" t="str">
        <f>IF($Q10="","",IF(INDEX($N$5:$N$29,$Q10)="","",IF(ISNUMBER('King Node Model'!$AL$49),IF(ABS(INDEX($N$5:$N$29,$Q10)-'King Node Model'!$AL$49)&lt;=$J$31,CHAR(10)&amp;INDEX($O$5:$O$29,$Q10),""),"")))</f>
        <v/>
      </c>
      <c r="V10" s="1" t="str">
        <f>IF($Q10="","",IF(INDEX($N$5:$N$29,$Q10)="","",IF(ISNUMBER('King Node Model'!$AL$50),IF(ABS(INDEX($N$5:$N$29,$Q10)-'King Node Model'!$AL$50)&lt;=$J$31,CHAR(10)&amp;INDEX($O$5:$O$29,$Q10),""),"")))</f>
        <v/>
      </c>
      <c r="W10" s="1" t="str">
        <f>IF($Q10="","",IF(INDEX($N$5:$N$29,$Q10)="","",IF(ISNUMBER('King Node Model'!$AL$51),IF(ABS(INDEX($N$5:$N$29,$Q10)-'King Node Model'!$AL$51)&lt;=$J$31,CHAR(10)&amp;INDEX($O$5:$O$29,$Q10),""),"")))</f>
        <v/>
      </c>
    </row>
    <row r="11" spans="1:23" ht="15" customHeight="1" x14ac:dyDescent="0.25">
      <c r="I11" s="1" t="s">
        <v>931</v>
      </c>
      <c r="J11" s="1">
        <v>7823</v>
      </c>
      <c r="K11" s="218" t="s">
        <v>2141</v>
      </c>
      <c r="M11" s="1">
        <f t="shared" si="0"/>
        <v>2</v>
      </c>
      <c r="N11" s="1">
        <f>IF(OR(NOT(ISNUMBER($J11)),$M11=0,NOT(ISNUMBER($J$5)),NOT(ISNUMBER('King Node Model'!$B$4))),"",$J11-($J$5-'King Node Model'!$B$4))</f>
        <v>7771.39</v>
      </c>
      <c r="O11" s="1" t="str">
        <f t="shared" si="1"/>
        <v>IB Low  7823.00 · locked</v>
      </c>
      <c r="P11" s="1">
        <f t="shared" si="2"/>
        <v>2011</v>
      </c>
      <c r="Q11" s="1">
        <f t="shared" si="3"/>
        <v>11</v>
      </c>
      <c r="R11" s="1" t="str">
        <f>IF($Q11="","",IF(INDEX($N$5:$N$29,$Q11)="","",IF(ISNUMBER('King Node Model'!$AL$42),IF(ABS(INDEX($N$5:$N$29,$Q11)-'King Node Model'!$AL$42)&lt;=$J$31,CHAR(10)&amp;INDEX($O$5:$O$29,$Q11),""),"")))</f>
        <v/>
      </c>
      <c r="S11" s="1" t="str">
        <f>IF($Q11="","",IF(INDEX($N$5:$N$29,$Q11)="","",IF(ISNUMBER('King Node Model'!$AL$43),IF(ABS(INDEX($N$5:$N$29,$Q11)-'King Node Model'!$AL$43)&lt;=$J$31,CHAR(10)&amp;INDEX($O$5:$O$29,$Q11),""),"")))</f>
        <v/>
      </c>
      <c r="T11" s="1" t="str">
        <f>IF($Q11="","",IF(INDEX($N$5:$N$29,$Q11)="","",IF(ISNUMBER('King Node Model'!$AL$44),IF(ABS(INDEX($N$5:$N$29,$Q11)-'King Node Model'!$AL$44)&lt;=$J$31,CHAR(10)&amp;INDEX($O$5:$O$29,$Q11),""),"")))</f>
        <v/>
      </c>
      <c r="U11" s="1" t="str">
        <f>IF($Q11="","",IF(INDEX($N$5:$N$29,$Q11)="","",IF(ISNUMBER('King Node Model'!$AL$49),IF(ABS(INDEX($N$5:$N$29,$Q11)-'King Node Model'!$AL$49)&lt;=$J$31,CHAR(10)&amp;INDEX($O$5:$O$29,$Q11),""),"")))</f>
        <v/>
      </c>
      <c r="V11" s="1" t="str">
        <f>IF($Q11="","",IF(INDEX($N$5:$N$29,$Q11)="","",IF(ISNUMBER('King Node Model'!$AL$50),IF(ABS(INDEX($N$5:$N$29,$Q11)-'King Node Model'!$AL$50)&lt;=$J$31,CHAR(10)&amp;INDEX($O$5:$O$29,$Q11),""),"")))</f>
        <v/>
      </c>
      <c r="W11" s="1" t="str">
        <f>IF($Q11="","",IF(INDEX($N$5:$N$29,$Q11)="","",IF(ISNUMBER('King Node Model'!$AL$51),IF(ABS(INDEX($N$5:$N$29,$Q11)-'King Node Model'!$AL$51)&lt;=$J$31,CHAR(10)&amp;INDEX($O$5:$O$29,$Q11),""),"")))</f>
        <v/>
      </c>
    </row>
    <row r="12" spans="1:23" ht="15" customHeight="1" x14ac:dyDescent="0.25">
      <c r="A12" s="649" t="s">
        <v>932</v>
      </c>
      <c r="B12" s="649"/>
      <c r="C12" s="649"/>
      <c r="D12" s="649"/>
      <c r="E12" s="649"/>
      <c r="F12" s="649"/>
      <c r="G12" s="649"/>
      <c r="I12" s="1" t="s">
        <v>933</v>
      </c>
      <c r="J12" s="1">
        <v>7833.5</v>
      </c>
      <c r="K12" s="218" t="s">
        <v>2141</v>
      </c>
      <c r="M12" s="1">
        <f t="shared" si="0"/>
        <v>3</v>
      </c>
      <c r="N12" s="1">
        <f>IF(OR(NOT(ISNUMBER($J12)),$M12=0,NOT(ISNUMBER($J$5)),NOT(ISNUMBER('King Node Model'!$B$4))),"",$J12-($J$5-'King Node Model'!$B$4))</f>
        <v>7781.89</v>
      </c>
      <c r="O12" s="1" t="str">
        <f t="shared" si="1"/>
        <v>IB Mid  7833.50 · locked</v>
      </c>
      <c r="P12" s="1">
        <f t="shared" si="2"/>
        <v>3012</v>
      </c>
      <c r="Q12" s="1">
        <f t="shared" si="3"/>
        <v>12</v>
      </c>
      <c r="R12" s="1" t="str">
        <f>IF($Q12="","",IF(INDEX($N$5:$N$29,$Q12)="","",IF(ISNUMBER('King Node Model'!$AL$42),IF(ABS(INDEX($N$5:$N$29,$Q12)-'King Node Model'!$AL$42)&lt;=$J$31,CHAR(10)&amp;INDEX($O$5:$O$29,$Q12),""),"")))</f>
        <v/>
      </c>
      <c r="S12" s="1" t="str">
        <f>IF($Q12="","",IF(INDEX($N$5:$N$29,$Q12)="","",IF(ISNUMBER('King Node Model'!$AL$43),IF(ABS(INDEX($N$5:$N$29,$Q12)-'King Node Model'!$AL$43)&lt;=$J$31,CHAR(10)&amp;INDEX($O$5:$O$29,$Q12),""),"")))</f>
        <v/>
      </c>
      <c r="T12" s="1" t="str">
        <f>IF($Q12="","",IF(INDEX($N$5:$N$29,$Q12)="","",IF(ISNUMBER('King Node Model'!$AL$44),IF(ABS(INDEX($N$5:$N$29,$Q12)-'King Node Model'!$AL$44)&lt;=$J$31,CHAR(10)&amp;INDEX($O$5:$O$29,$Q12),""),"")))</f>
        <v/>
      </c>
      <c r="U12" s="1" t="str">
        <f>IF($Q12="","",IF(INDEX($N$5:$N$29,$Q12)="","",IF(ISNUMBER('King Node Model'!$AL$49),IF(ABS(INDEX($N$5:$N$29,$Q12)-'King Node Model'!$AL$49)&lt;=$J$31,CHAR(10)&amp;INDEX($O$5:$O$29,$Q12),""),"")))</f>
        <v/>
      </c>
      <c r="V12" s="1" t="str">
        <f>IF($Q12="","",IF(INDEX($N$5:$N$29,$Q12)="","",IF(ISNUMBER('King Node Model'!$AL$50),IF(ABS(INDEX($N$5:$N$29,$Q12)-'King Node Model'!$AL$50)&lt;=$J$31,CHAR(10)&amp;INDEX($O$5:$O$29,$Q12),""),"")))</f>
        <v xml:space="preserve">
Fib dn 1.27  7817.25 · locked</v>
      </c>
      <c r="W12" s="1" t="str">
        <f>IF($Q12="","",IF(INDEX($N$5:$N$29,$Q12)="","",IF(ISNUMBER('King Node Model'!$AL$51),IF(ABS(INDEX($N$5:$N$29,$Q12)-'King Node Model'!$AL$51)&lt;=$J$31,CHAR(10)&amp;INDEX($O$5:$O$29,$Q12),""),"")))</f>
        <v/>
      </c>
    </row>
    <row r="13" spans="1:23" ht="25.5" customHeight="1" x14ac:dyDescent="0.25">
      <c r="A13" s="355" t="s">
        <v>934</v>
      </c>
      <c r="B13" s="355" t="s">
        <v>935</v>
      </c>
      <c r="C13" s="355" t="s">
        <v>142</v>
      </c>
      <c r="D13" s="355" t="s">
        <v>936</v>
      </c>
      <c r="E13" s="355" t="s">
        <v>937</v>
      </c>
      <c r="F13" s="355" t="s">
        <v>938</v>
      </c>
      <c r="G13" s="355" t="s">
        <v>939</v>
      </c>
      <c r="I13" s="1" t="s">
        <v>940</v>
      </c>
      <c r="J13" s="1">
        <v>7850</v>
      </c>
      <c r="K13" s="218" t="s">
        <v>2141</v>
      </c>
      <c r="M13" s="1">
        <f t="shared" si="0"/>
        <v>2</v>
      </c>
      <c r="N13" s="1">
        <f>IF(OR(NOT(ISNUMBER($J13)),$M13=0,NOT(ISNUMBER($J$5)),NOT(ISNUMBER('King Node Model'!$B$4))),"",$J13-($J$5-'King Node Model'!$B$4))</f>
        <v>7798.39</v>
      </c>
      <c r="O13" s="1" t="str">
        <f t="shared" si="1"/>
        <v>Fib up -0.27  7850.00 · locked</v>
      </c>
      <c r="P13" s="1">
        <f t="shared" si="2"/>
        <v>2013</v>
      </c>
      <c r="Q13" s="1">
        <f t="shared" si="3"/>
        <v>13</v>
      </c>
      <c r="R13" s="1" t="str">
        <f>IF($Q13="","",IF(INDEX($N$5:$N$29,$Q13)="","",IF(ISNUMBER('King Node Model'!$AL$42),IF(ABS(INDEX($N$5:$N$29,$Q13)-'King Node Model'!$AL$42)&lt;=$J$31,CHAR(10)&amp;INDEX($O$5:$O$29,$Q13),""),"")))</f>
        <v/>
      </c>
      <c r="S13" s="1" t="str">
        <f>IF($Q13="","",IF(INDEX($N$5:$N$29,$Q13)="","",IF(ISNUMBER('King Node Model'!$AL$43),IF(ABS(INDEX($N$5:$N$29,$Q13)-'King Node Model'!$AL$43)&lt;=$J$31,CHAR(10)&amp;INDEX($O$5:$O$29,$Q13),""),"")))</f>
        <v/>
      </c>
      <c r="T13" s="1" t="str">
        <f>IF($Q13="","",IF(INDEX($N$5:$N$29,$Q13)="","",IF(ISNUMBER('King Node Model'!$AL$44),IF(ABS(INDEX($N$5:$N$29,$Q13)-'King Node Model'!$AL$44)&lt;=$J$31,CHAR(10)&amp;INDEX($O$5:$O$29,$Q13),""),"")))</f>
        <v/>
      </c>
      <c r="U13" s="1" t="str">
        <f>IF($Q13="","",IF(INDEX($N$5:$N$29,$Q13)="","",IF(ISNUMBER('King Node Model'!$AL$49),IF(ABS(INDEX($N$5:$N$29,$Q13)-'King Node Model'!$AL$49)&lt;=$J$31,CHAR(10)&amp;INDEX($O$5:$O$29,$Q13),""),"")))</f>
        <v/>
      </c>
      <c r="V13" s="1" t="str">
        <f>IF($Q13="","",IF(INDEX($N$5:$N$29,$Q13)="","",IF(ISNUMBER('King Node Model'!$AL$50),IF(ABS(INDEX($N$5:$N$29,$Q13)-'King Node Model'!$AL$50)&lt;=$J$31,CHAR(10)&amp;INDEX($O$5:$O$29,$Q13),""),"")))</f>
        <v/>
      </c>
      <c r="W13" s="1" t="str">
        <f>IF($Q13="","",IF(INDEX($N$5:$N$29,$Q13)="","",IF(ISNUMBER('King Node Model'!$AL$51),IF(ABS(INDEX($N$5:$N$29,$Q13)-'King Node Model'!$AL$51)&lt;=$J$31,CHAR(10)&amp;INDEX($O$5:$O$29,$Q13),""),"")))</f>
        <v/>
      </c>
    </row>
    <row r="14" spans="1:23" ht="27.75" customHeight="1" x14ac:dyDescent="0.25">
      <c r="A14" s="356" t="s">
        <v>941</v>
      </c>
      <c r="B14" s="357" t="s">
        <v>942</v>
      </c>
      <c r="C14" s="358" t="s">
        <v>943</v>
      </c>
      <c r="D14" s="359" t="s">
        <v>944</v>
      </c>
      <c r="E14" s="358" t="s">
        <v>945</v>
      </c>
      <c r="F14" s="360" t="s">
        <v>946</v>
      </c>
      <c r="G14" s="357" t="s">
        <v>947</v>
      </c>
      <c r="I14" s="1" t="s">
        <v>948</v>
      </c>
      <c r="J14" s="1">
        <v>7857.5</v>
      </c>
      <c r="K14" s="218" t="s">
        <v>2141</v>
      </c>
      <c r="M14" s="1">
        <f t="shared" si="0"/>
        <v>2</v>
      </c>
      <c r="N14" s="1">
        <f>IF(OR(NOT(ISNUMBER($J14)),$M14=0,NOT(ISNUMBER($J$5)),NOT(ISNUMBER('King Node Model'!$B$4))),"",$J14-($J$5-'King Node Model'!$B$4))</f>
        <v>7805.89</v>
      </c>
      <c r="O14" s="1" t="str">
        <f t="shared" si="1"/>
        <v>Fib up -0.618  7857.50 · locked</v>
      </c>
      <c r="P14" s="1">
        <f t="shared" si="2"/>
        <v>2014</v>
      </c>
      <c r="Q14" s="1">
        <f t="shared" si="3"/>
        <v>14</v>
      </c>
      <c r="R14" s="1" t="str">
        <f>IF($Q14="","",IF(INDEX($N$5:$N$29,$Q14)="","",IF(ISNUMBER('King Node Model'!$AL$42),IF(ABS(INDEX($N$5:$N$29,$Q14)-'King Node Model'!$AL$42)&lt;=$J$31,CHAR(10)&amp;INDEX($O$5:$O$29,$Q14),""),"")))</f>
        <v/>
      </c>
      <c r="S14" s="1" t="str">
        <f>IF($Q14="","",IF(INDEX($N$5:$N$29,$Q14)="","",IF(ISNUMBER('King Node Model'!$AL$43),IF(ABS(INDEX($N$5:$N$29,$Q14)-'King Node Model'!$AL$43)&lt;=$J$31,CHAR(10)&amp;INDEX($O$5:$O$29,$Q14),""),"")))</f>
        <v/>
      </c>
      <c r="T14" s="1" t="str">
        <f>IF($Q14="","",IF(INDEX($N$5:$N$29,$Q14)="","",IF(ISNUMBER('King Node Model'!$AL$44),IF(ABS(INDEX($N$5:$N$29,$Q14)-'King Node Model'!$AL$44)&lt;=$J$31,CHAR(10)&amp;INDEX($O$5:$O$29,$Q14),""),"")))</f>
        <v/>
      </c>
      <c r="U14" s="1" t="str">
        <f>IF($Q14="","",IF(INDEX($N$5:$N$29,$Q14)="","",IF(ISNUMBER('King Node Model'!$AL$49),IF(ABS(INDEX($N$5:$N$29,$Q14)-'King Node Model'!$AL$49)&lt;=$J$31,CHAR(10)&amp;INDEX($O$5:$O$29,$Q14),""),"")))</f>
        <v/>
      </c>
      <c r="V14" s="1" t="str">
        <f>IF($Q14="","",IF(INDEX($N$5:$N$29,$Q14)="","",IF(ISNUMBER('King Node Model'!$AL$50),IF(ABS(INDEX($N$5:$N$29,$Q14)-'King Node Model'!$AL$50)&lt;=$J$31,CHAR(10)&amp;INDEX($O$5:$O$29,$Q14),""),"")))</f>
        <v/>
      </c>
      <c r="W14" s="1" t="str">
        <f>IF($Q14="","",IF(INDEX($N$5:$N$29,$Q14)="","",IF(ISNUMBER('King Node Model'!$AL$51),IF(ABS(INDEX($N$5:$N$29,$Q14)-'King Node Model'!$AL$51)&lt;=$J$31,CHAR(10)&amp;INDEX($O$5:$O$29,$Q14),""),"")))</f>
        <v/>
      </c>
    </row>
    <row r="15" spans="1:23" ht="27.75" customHeight="1" x14ac:dyDescent="0.25">
      <c r="A15" s="361" t="s">
        <v>949</v>
      </c>
      <c r="B15" s="362" t="s">
        <v>950</v>
      </c>
      <c r="C15" s="363" t="s">
        <v>943</v>
      </c>
      <c r="D15" s="364" t="s">
        <v>951</v>
      </c>
      <c r="E15" s="363" t="s">
        <v>945</v>
      </c>
      <c r="F15" s="360" t="s">
        <v>946</v>
      </c>
      <c r="G15" s="362" t="s">
        <v>952</v>
      </c>
      <c r="I15" s="1" t="s">
        <v>953</v>
      </c>
      <c r="J15" s="1">
        <v>7865.5</v>
      </c>
      <c r="K15" s="218" t="s">
        <v>2141</v>
      </c>
      <c r="M15" s="1">
        <f t="shared" si="0"/>
        <v>2</v>
      </c>
      <c r="N15" s="1">
        <f>IF(OR(NOT(ISNUMBER($J15)),$M15=0,NOT(ISNUMBER($J$5)),NOT(ISNUMBER('King Node Model'!$B$4))),"",$J15-($J$5-'King Node Model'!$B$4))</f>
        <v>7813.89</v>
      </c>
      <c r="O15" s="1" t="str">
        <f t="shared" si="1"/>
        <v>Fib up -1.0  7865.50 · locked</v>
      </c>
      <c r="P15" s="1">
        <f t="shared" si="2"/>
        <v>2015</v>
      </c>
      <c r="Q15" s="1">
        <f t="shared" si="3"/>
        <v>16</v>
      </c>
      <c r="R15" s="1" t="str">
        <f>IF($Q15="","",IF(INDEX($N$5:$N$29,$Q15)="","",IF(ISNUMBER('King Node Model'!$AL$42),IF(ABS(INDEX($N$5:$N$29,$Q15)-'King Node Model'!$AL$42)&lt;=$J$31,CHAR(10)&amp;INDEX($O$5:$O$29,$Q15),""),"")))</f>
        <v xml:space="preserve">
VAH (dev)  7836.00 · developing</v>
      </c>
      <c r="S15" s="1" t="str">
        <f>IF($Q15="","",IF(INDEX($N$5:$N$29,$Q15)="","",IF(ISNUMBER('King Node Model'!$AL$43),IF(ABS(INDEX($N$5:$N$29,$Q15)-'King Node Model'!$AL$43)&lt;=$J$31,CHAR(10)&amp;INDEX($O$5:$O$29,$Q15),""),"")))</f>
        <v/>
      </c>
      <c r="T15" s="1" t="str">
        <f>IF($Q15="","",IF(INDEX($N$5:$N$29,$Q15)="","",IF(ISNUMBER('King Node Model'!$AL$44),IF(ABS(INDEX($N$5:$N$29,$Q15)-'King Node Model'!$AL$44)&lt;=$J$31,CHAR(10)&amp;INDEX($O$5:$O$29,$Q15),""),"")))</f>
        <v/>
      </c>
      <c r="U15" s="1" t="str">
        <f>IF($Q15="","",IF(INDEX($N$5:$N$29,$Q15)="","",IF(ISNUMBER('King Node Model'!$AL$49),IF(ABS(INDEX($N$5:$N$29,$Q15)-'King Node Model'!$AL$49)&lt;=$J$31,CHAR(10)&amp;INDEX($O$5:$O$29,$Q15),""),"")))</f>
        <v/>
      </c>
      <c r="V15" s="1" t="str">
        <f>IF($Q15="","",IF(INDEX($N$5:$N$29,$Q15)="","",IF(ISNUMBER('King Node Model'!$AL$50),IF(ABS(INDEX($N$5:$N$29,$Q15)-'King Node Model'!$AL$50)&lt;=$J$31,CHAR(10)&amp;INDEX($O$5:$O$29,$Q15),""),"")))</f>
        <v/>
      </c>
      <c r="W15" s="1" t="str">
        <f>IF($Q15="","",IF(INDEX($N$5:$N$29,$Q15)="","",IF(ISNUMBER('King Node Model'!$AL$51),IF(ABS(INDEX($N$5:$N$29,$Q15)-'King Node Model'!$AL$51)&lt;=$J$31,CHAR(10)&amp;INDEX($O$5:$O$29,$Q15),""),"")))</f>
        <v/>
      </c>
    </row>
    <row r="16" spans="1:23" ht="27.75" customHeight="1" x14ac:dyDescent="0.25">
      <c r="A16" s="356" t="s">
        <v>954</v>
      </c>
      <c r="B16" s="357" t="s">
        <v>955</v>
      </c>
      <c r="C16" s="358" t="s">
        <v>943</v>
      </c>
      <c r="D16" s="359" t="s">
        <v>944</v>
      </c>
      <c r="E16" s="358" t="s">
        <v>956</v>
      </c>
      <c r="F16" s="360" t="s">
        <v>946</v>
      </c>
      <c r="G16" s="357" t="s">
        <v>957</v>
      </c>
      <c r="I16" s="1" t="s">
        <v>958</v>
      </c>
      <c r="J16" s="1">
        <v>7817.25</v>
      </c>
      <c r="K16" s="218" t="s">
        <v>2141</v>
      </c>
      <c r="M16" s="1">
        <f t="shared" si="0"/>
        <v>2</v>
      </c>
      <c r="N16" s="1">
        <f>IF(OR(NOT(ISNUMBER($J16)),$M16=0,NOT(ISNUMBER($J$5)),NOT(ISNUMBER('King Node Model'!$B$4))),"",$J16-($J$5-'King Node Model'!$B$4))</f>
        <v>7765.64</v>
      </c>
      <c r="O16" s="1" t="str">
        <f t="shared" si="1"/>
        <v>Fib dn 1.27  7817.25 · locked</v>
      </c>
      <c r="P16" s="1">
        <f t="shared" si="2"/>
        <v>2016</v>
      </c>
      <c r="Q16" s="1">
        <f t="shared" si="3"/>
        <v>17</v>
      </c>
      <c r="R16" s="1" t="str">
        <f>IF($Q16="","",IF(INDEX($N$5:$N$29,$Q16)="","",IF(ISNUMBER('King Node Model'!$AL$42),IF(ABS(INDEX($N$5:$N$29,$Q16)-'King Node Model'!$AL$42)&lt;=$J$31,CHAR(10)&amp;INDEX($O$5:$O$29,$Q16),""),"")))</f>
        <v/>
      </c>
      <c r="S16" s="1" t="str">
        <f>IF($Q16="","",IF(INDEX($N$5:$N$29,$Q16)="","",IF(ISNUMBER('King Node Model'!$AL$43),IF(ABS(INDEX($N$5:$N$29,$Q16)-'King Node Model'!$AL$43)&lt;=$J$31,CHAR(10)&amp;INDEX($O$5:$O$29,$Q16),""),"")))</f>
        <v/>
      </c>
      <c r="T16" s="1" t="str">
        <f>IF($Q16="","",IF(INDEX($N$5:$N$29,$Q16)="","",IF(ISNUMBER('King Node Model'!$AL$44),IF(ABS(INDEX($N$5:$N$29,$Q16)-'King Node Model'!$AL$44)&lt;=$J$31,CHAR(10)&amp;INDEX($O$5:$O$29,$Q16),""),"")))</f>
        <v/>
      </c>
      <c r="U16" s="1" t="str">
        <f>IF($Q16="","",IF(INDEX($N$5:$N$29,$Q16)="","",IF(ISNUMBER('King Node Model'!$AL$49),IF(ABS(INDEX($N$5:$N$29,$Q16)-'King Node Model'!$AL$49)&lt;=$J$31,CHAR(10)&amp;INDEX($O$5:$O$29,$Q16),""),"")))</f>
        <v xml:space="preserve">
VAL (dev)  7822.00 · developing</v>
      </c>
      <c r="V16" s="1" t="str">
        <f>IF($Q16="","",IF(INDEX($N$5:$N$29,$Q16)="","",IF(ISNUMBER('King Node Model'!$AL$50),IF(ABS(INDEX($N$5:$N$29,$Q16)-'King Node Model'!$AL$50)&lt;=$J$31,CHAR(10)&amp;INDEX($O$5:$O$29,$Q16),""),"")))</f>
        <v xml:space="preserve">
VAL (dev)  7822.00 · developing</v>
      </c>
      <c r="W16" s="1" t="str">
        <f>IF($Q16="","",IF(INDEX($N$5:$N$29,$Q16)="","",IF(ISNUMBER('King Node Model'!$AL$51),IF(ABS(INDEX($N$5:$N$29,$Q16)-'King Node Model'!$AL$51)&lt;=$J$31,CHAR(10)&amp;INDEX($O$5:$O$29,$Q16),""),"")))</f>
        <v/>
      </c>
    </row>
    <row r="17" spans="1:23" ht="27.75" customHeight="1" x14ac:dyDescent="0.25">
      <c r="A17" s="361" t="s">
        <v>959</v>
      </c>
      <c r="B17" s="362" t="s">
        <v>960</v>
      </c>
      <c r="C17" s="363" t="s">
        <v>943</v>
      </c>
      <c r="D17" s="364" t="s">
        <v>951</v>
      </c>
      <c r="E17" s="363" t="s">
        <v>956</v>
      </c>
      <c r="F17" s="360" t="s">
        <v>946</v>
      </c>
      <c r="G17" s="362" t="s">
        <v>961</v>
      </c>
      <c r="I17" s="1" t="s">
        <v>962</v>
      </c>
      <c r="J17" s="1">
        <v>7809.75</v>
      </c>
      <c r="K17" s="218" t="s">
        <v>2141</v>
      </c>
      <c r="M17" s="1">
        <f t="shared" si="0"/>
        <v>2</v>
      </c>
      <c r="N17" s="1">
        <f>IF(OR(NOT(ISNUMBER($J17)),$M17=0,NOT(ISNUMBER($J$5)),NOT(ISNUMBER('King Node Model'!$B$4))),"",$J17-($J$5-'King Node Model'!$B$4))</f>
        <v>7758.14</v>
      </c>
      <c r="O17" s="1" t="str">
        <f t="shared" si="1"/>
        <v>Fib dn 1.618  7809.75 · locked</v>
      </c>
      <c r="P17" s="1">
        <f t="shared" si="2"/>
        <v>2017</v>
      </c>
      <c r="Q17" s="1">
        <f t="shared" si="3"/>
        <v>19</v>
      </c>
      <c r="R17" s="1" t="str">
        <f>IF($Q17="","",IF(INDEX($N$5:$N$29,$Q17)="","",IF(ISNUMBER('King Node Model'!$AL$42),IF(ABS(INDEX($N$5:$N$29,$Q17)-'King Node Model'!$AL$42)&lt;=$J$31,CHAR(10)&amp;INDEX($O$5:$O$29,$Q17),""),"")))</f>
        <v/>
      </c>
      <c r="S17" s="1" t="str">
        <f>IF($Q17="","",IF(INDEX($N$5:$N$29,$Q17)="","",IF(ISNUMBER('King Node Model'!$AL$43),IF(ABS(INDEX($N$5:$N$29,$Q17)-'King Node Model'!$AL$43)&lt;=$J$31,CHAR(10)&amp;INDEX($O$5:$O$29,$Q17),""),"")))</f>
        <v/>
      </c>
      <c r="T17" s="1" t="str">
        <f>IF($Q17="","",IF(INDEX($N$5:$N$29,$Q17)="","",IF(ISNUMBER('King Node Model'!$AL$44),IF(ABS(INDEX($N$5:$N$29,$Q17)-'King Node Model'!$AL$44)&lt;=$J$31,CHAR(10)&amp;INDEX($O$5:$O$29,$Q17),""),"")))</f>
        <v/>
      </c>
      <c r="U17" s="1" t="str">
        <f>IF($Q17="","",IF(INDEX($N$5:$N$29,$Q17)="","",IF(ISNUMBER('King Node Model'!$AL$49),IF(ABS(INDEX($N$5:$N$29,$Q17)-'King Node Model'!$AL$49)&lt;=$J$31,CHAR(10)&amp;INDEX($O$5:$O$29,$Q17),""),"")))</f>
        <v/>
      </c>
      <c r="V17" s="1" t="str">
        <f>IF($Q17="","",IF(INDEX($N$5:$N$29,$Q17)="","",IF(ISNUMBER('King Node Model'!$AL$50),IF(ABS(INDEX($N$5:$N$29,$Q17)-'King Node Model'!$AL$50)&lt;=$J$31,CHAR(10)&amp;INDEX($O$5:$O$29,$Q17),""),"")))</f>
        <v/>
      </c>
      <c r="W17" s="1" t="str">
        <f>IF($Q17="","",IF(INDEX($N$5:$N$29,$Q17)="","",IF(ISNUMBER('King Node Model'!$AL$51),IF(ABS(INDEX($N$5:$N$29,$Q17)-'King Node Model'!$AL$51)&lt;=$J$31,CHAR(10)&amp;INDEX($O$5:$O$29,$Q17),""),"")))</f>
        <v/>
      </c>
    </row>
    <row r="18" spans="1:23" ht="27.75" customHeight="1" x14ac:dyDescent="0.25">
      <c r="A18" s="356" t="s">
        <v>921</v>
      </c>
      <c r="B18" s="357" t="s">
        <v>963</v>
      </c>
      <c r="C18" s="358" t="s">
        <v>943</v>
      </c>
      <c r="D18" s="359" t="s">
        <v>944</v>
      </c>
      <c r="E18" s="358" t="s">
        <v>964</v>
      </c>
      <c r="F18" s="360" t="s">
        <v>946</v>
      </c>
      <c r="G18" s="357" t="s">
        <v>965</v>
      </c>
      <c r="I18" s="1" t="s">
        <v>966</v>
      </c>
      <c r="J18" s="1">
        <v>7801.75</v>
      </c>
      <c r="K18" s="218" t="s">
        <v>2141</v>
      </c>
      <c r="M18" s="1">
        <f t="shared" si="0"/>
        <v>2</v>
      </c>
      <c r="N18" s="1">
        <f>IF(OR(NOT(ISNUMBER($J18)),$M18=0,NOT(ISNUMBER($J$5)),NOT(ISNUMBER('King Node Model'!$B$4))),"",$J18-($J$5-'King Node Model'!$B$4))</f>
        <v>7750.14</v>
      </c>
      <c r="O18" s="1" t="str">
        <f t="shared" si="1"/>
        <v>Fib dn 2.0  7801.75 · locked</v>
      </c>
      <c r="P18" s="1">
        <f t="shared" si="2"/>
        <v>2018</v>
      </c>
      <c r="Q18" s="1">
        <f t="shared" si="3"/>
        <v>20</v>
      </c>
      <c r="R18" s="1" t="str">
        <f>IF($Q18="","",IF(INDEX($N$5:$N$29,$Q18)="","",IF(ISNUMBER('King Node Model'!$AL$42),IF(ABS(INDEX($N$5:$N$29,$Q18)-'King Node Model'!$AL$42)&lt;=$J$31,CHAR(10)&amp;INDEX($O$5:$O$29,$Q18),""),"")))</f>
        <v/>
      </c>
      <c r="S18" s="1" t="str">
        <f>IF($Q18="","",IF(INDEX($N$5:$N$29,$Q18)="","",IF(ISNUMBER('King Node Model'!$AL$43),IF(ABS(INDEX($N$5:$N$29,$Q18)-'King Node Model'!$AL$43)&lt;=$J$31,CHAR(10)&amp;INDEX($O$5:$O$29,$Q18),""),"")))</f>
        <v/>
      </c>
      <c r="T18" s="1" t="str">
        <f>IF($Q18="","",IF(INDEX($N$5:$N$29,$Q18)="","",IF(ISNUMBER('King Node Model'!$AL$44),IF(ABS(INDEX($N$5:$N$29,$Q18)-'King Node Model'!$AL$44)&lt;=$J$31,CHAR(10)&amp;INDEX($O$5:$O$29,$Q18),""),"")))</f>
        <v/>
      </c>
      <c r="U18" s="1" t="str">
        <f>IF($Q18="","",IF(INDEX($N$5:$N$29,$Q18)="","",IF(ISNUMBER('King Node Model'!$AL$49),IF(ABS(INDEX($N$5:$N$29,$Q18)-'King Node Model'!$AL$49)&lt;=$J$31,CHAR(10)&amp;INDEX($O$5:$O$29,$Q18),""),"")))</f>
        <v/>
      </c>
      <c r="V18" s="1" t="str">
        <f>IF($Q18="","",IF(INDEX($N$5:$N$29,$Q18)="","",IF(ISNUMBER('King Node Model'!$AL$50),IF(ABS(INDEX($N$5:$N$29,$Q18)-'King Node Model'!$AL$50)&lt;=$J$31,CHAR(10)&amp;INDEX($O$5:$O$29,$Q18),""),"")))</f>
        <v/>
      </c>
      <c r="W18" s="1" t="str">
        <f>IF($Q18="","",IF(INDEX($N$5:$N$29,$Q18)="","",IF(ISNUMBER('King Node Model'!$AL$51),IF(ABS(INDEX($N$5:$N$29,$Q18)-'King Node Model'!$AL$51)&lt;=$J$31,CHAR(10)&amp;INDEX($O$5:$O$29,$Q18),""),"")))</f>
        <v/>
      </c>
    </row>
    <row r="19" spans="1:23" ht="27.75" customHeight="1" x14ac:dyDescent="0.25">
      <c r="A19" s="361" t="s">
        <v>924</v>
      </c>
      <c r="B19" s="362" t="s">
        <v>967</v>
      </c>
      <c r="C19" s="363" t="s">
        <v>943</v>
      </c>
      <c r="D19" s="365" t="s">
        <v>944</v>
      </c>
      <c r="E19" s="363" t="s">
        <v>964</v>
      </c>
      <c r="F19" s="360" t="s">
        <v>946</v>
      </c>
      <c r="G19" s="362" t="s">
        <v>968</v>
      </c>
      <c r="I19" s="1" t="s">
        <v>969</v>
      </c>
      <c r="J19" s="1">
        <v>7822</v>
      </c>
      <c r="K19" s="218" t="s">
        <v>922</v>
      </c>
      <c r="M19" s="1">
        <f t="shared" si="0"/>
        <v>1</v>
      </c>
      <c r="N19" s="1">
        <f>IF(OR(NOT(ISNUMBER($J19)),$M19=0,NOT(ISNUMBER($J$5)),NOT(ISNUMBER('King Node Model'!$B$4))),"",$J19-($J$5-'King Node Model'!$B$4))</f>
        <v>7770.39</v>
      </c>
      <c r="O19" s="1" t="str">
        <f t="shared" si="1"/>
        <v>POC (dev)  7822.00 · developing</v>
      </c>
      <c r="P19" s="1">
        <f t="shared" si="2"/>
        <v>1019</v>
      </c>
      <c r="Q19" s="1">
        <f t="shared" si="3"/>
        <v>2</v>
      </c>
      <c r="R19" s="1" t="str">
        <f>IF($Q19="","",IF(INDEX($N$5:$N$29,$Q19)="","",IF(ISNUMBER('King Node Model'!$AL$42),IF(ABS(INDEX($N$5:$N$29,$Q19)-'King Node Model'!$AL$42)&lt;=$J$31,CHAR(10)&amp;INDEX($O$5:$O$29,$Q19),""),"")))</f>
        <v xml:space="preserve">
Daily VWAP  7830.50 · developing</v>
      </c>
      <c r="S19" s="1" t="str">
        <f>IF($Q19="","",IF(INDEX($N$5:$N$29,$Q19)="","",IF(ISNUMBER('King Node Model'!$AL$43),IF(ABS(INDEX($N$5:$N$29,$Q19)-'King Node Model'!$AL$43)&lt;=$J$31,CHAR(10)&amp;INDEX($O$5:$O$29,$Q19),""),"")))</f>
        <v/>
      </c>
      <c r="T19" s="1" t="str">
        <f>IF($Q19="","",IF(INDEX($N$5:$N$29,$Q19)="","",IF(ISNUMBER('King Node Model'!$AL$44),IF(ABS(INDEX($N$5:$N$29,$Q19)-'King Node Model'!$AL$44)&lt;=$J$31,CHAR(10)&amp;INDEX($O$5:$O$29,$Q19),""),"")))</f>
        <v/>
      </c>
      <c r="U19" s="1" t="str">
        <f>IF($Q19="","",IF(INDEX($N$5:$N$29,$Q19)="","",IF(ISNUMBER('King Node Model'!$AL$49),IF(ABS(INDEX($N$5:$N$29,$Q19)-'King Node Model'!$AL$49)&lt;=$J$31,CHAR(10)&amp;INDEX($O$5:$O$29,$Q19),""),"")))</f>
        <v xml:space="preserve">
Daily VWAP  7830.50 · developing</v>
      </c>
      <c r="V19" s="1" t="str">
        <f>IF($Q19="","",IF(INDEX($N$5:$N$29,$Q19)="","",IF(ISNUMBER('King Node Model'!$AL$50),IF(ABS(INDEX($N$5:$N$29,$Q19)-'King Node Model'!$AL$50)&lt;=$J$31,CHAR(10)&amp;INDEX($O$5:$O$29,$Q19),""),"")))</f>
        <v/>
      </c>
      <c r="W19" s="1" t="str">
        <f>IF($Q19="","",IF(INDEX($N$5:$N$29,$Q19)="","",IF(ISNUMBER('King Node Model'!$AL$51),IF(ABS(INDEX($N$5:$N$29,$Q19)-'King Node Model'!$AL$51)&lt;=$J$31,CHAR(10)&amp;INDEX($O$5:$O$29,$Q19),""),"")))</f>
        <v/>
      </c>
    </row>
    <row r="20" spans="1:23" ht="27.75" customHeight="1" x14ac:dyDescent="0.25">
      <c r="A20" s="356" t="s">
        <v>926</v>
      </c>
      <c r="B20" s="357" t="s">
        <v>970</v>
      </c>
      <c r="C20" s="358" t="s">
        <v>943</v>
      </c>
      <c r="D20" s="366" t="s">
        <v>971</v>
      </c>
      <c r="E20" s="358" t="s">
        <v>964</v>
      </c>
      <c r="F20" s="360" t="s">
        <v>946</v>
      </c>
      <c r="G20" s="357" t="s">
        <v>972</v>
      </c>
      <c r="I20" s="1" t="s">
        <v>973</v>
      </c>
      <c r="J20" s="1">
        <v>7836</v>
      </c>
      <c r="K20" s="218" t="s">
        <v>922</v>
      </c>
      <c r="M20" s="1">
        <f t="shared" si="0"/>
        <v>2</v>
      </c>
      <c r="N20" s="1">
        <f>IF(OR(NOT(ISNUMBER($J20)),$M20=0,NOT(ISNUMBER($J$5)),NOT(ISNUMBER('King Node Model'!$B$4))),"",$J20-($J$5-'King Node Model'!$B$4))</f>
        <v>7784.39</v>
      </c>
      <c r="O20" s="1" t="str">
        <f t="shared" si="1"/>
        <v>VAH (dev)  7836.00 · developing</v>
      </c>
      <c r="P20" s="1">
        <f t="shared" si="2"/>
        <v>2020</v>
      </c>
      <c r="Q20" s="1">
        <f t="shared" si="3"/>
        <v>3</v>
      </c>
      <c r="R20" s="1" t="str">
        <f>IF($Q20="","",IF(INDEX($N$5:$N$29,$Q20)="","",IF(ISNUMBER('King Node Model'!$AL$42),IF(ABS(INDEX($N$5:$N$29,$Q20)-'King Node Model'!$AL$42)&lt;=$J$31,CHAR(10)&amp;INDEX($O$5:$O$29,$Q20),""),"")))</f>
        <v/>
      </c>
      <c r="S20" s="1" t="str">
        <f>IF($Q20="","",IF(INDEX($N$5:$N$29,$Q20)="","",IF(ISNUMBER('King Node Model'!$AL$43),IF(ABS(INDEX($N$5:$N$29,$Q20)-'King Node Model'!$AL$43)&lt;=$J$31,CHAR(10)&amp;INDEX($O$5:$O$29,$Q20),""),"")))</f>
        <v/>
      </c>
      <c r="T20" s="1" t="str">
        <f>IF($Q20="","",IF(INDEX($N$5:$N$29,$Q20)="","",IF(ISNUMBER('King Node Model'!$AL$44),IF(ABS(INDEX($N$5:$N$29,$Q20)-'King Node Model'!$AL$44)&lt;=$J$31,CHAR(10)&amp;INDEX($O$5:$O$29,$Q20),""),"")))</f>
        <v/>
      </c>
      <c r="U20" s="1" t="str">
        <f>IF($Q20="","",IF(INDEX($N$5:$N$29,$Q20)="","",IF(ISNUMBER('King Node Model'!$AL$49),IF(ABS(INDEX($N$5:$N$29,$Q20)-'King Node Model'!$AL$49)&lt;=$J$31,CHAR(10)&amp;INDEX($O$5:$O$29,$Q20),""),"")))</f>
        <v/>
      </c>
      <c r="V20" s="1" t="str">
        <f>IF($Q20="","",IF(INDEX($N$5:$N$29,$Q20)="","",IF(ISNUMBER('King Node Model'!$AL$50),IF(ABS(INDEX($N$5:$N$29,$Q20)-'King Node Model'!$AL$50)&lt;=$J$31,CHAR(10)&amp;INDEX($O$5:$O$29,$Q20),""),"")))</f>
        <v/>
      </c>
      <c r="W20" s="1" t="str">
        <f>IF($Q20="","",IF(INDEX($N$5:$N$29,$Q20)="","",IF(ISNUMBER('King Node Model'!$AL$51),IF(ABS(INDEX($N$5:$N$29,$Q20)-'King Node Model'!$AL$51)&lt;=$J$31,CHAR(10)&amp;INDEX($O$5:$O$29,$Q20),""),"")))</f>
        <v/>
      </c>
    </row>
    <row r="21" spans="1:23" ht="27.75" customHeight="1" x14ac:dyDescent="0.25">
      <c r="A21" s="361" t="s">
        <v>928</v>
      </c>
      <c r="B21" s="362" t="s">
        <v>974</v>
      </c>
      <c r="C21" s="363" t="s">
        <v>943</v>
      </c>
      <c r="D21" s="364" t="s">
        <v>971</v>
      </c>
      <c r="E21" s="363" t="s">
        <v>964</v>
      </c>
      <c r="F21" s="360" t="s">
        <v>946</v>
      </c>
      <c r="G21" s="362" t="s">
        <v>972</v>
      </c>
      <c r="I21" s="1" t="s">
        <v>975</v>
      </c>
      <c r="J21" s="1">
        <v>7822</v>
      </c>
      <c r="K21" s="218" t="s">
        <v>922</v>
      </c>
      <c r="M21" s="1">
        <f t="shared" si="0"/>
        <v>2</v>
      </c>
      <c r="N21" s="1">
        <f>IF(OR(NOT(ISNUMBER($J21)),$M21=0,NOT(ISNUMBER($J$5)),NOT(ISNUMBER('King Node Model'!$B$4))),"",$J21-($J$5-'King Node Model'!$B$4))</f>
        <v>7770.39</v>
      </c>
      <c r="O21" s="1" t="str">
        <f t="shared" si="1"/>
        <v>VAL (dev)  7822.00 · developing</v>
      </c>
      <c r="P21" s="1">
        <f t="shared" si="2"/>
        <v>2021</v>
      </c>
      <c r="Q21" s="1">
        <f t="shared" si="3"/>
        <v>4</v>
      </c>
      <c r="R21" s="1" t="str">
        <f>IF($Q21="","",IF(INDEX($N$5:$N$29,$Q21)="","",IF(ISNUMBER('King Node Model'!$AL$42),IF(ABS(INDEX($N$5:$N$29,$Q21)-'King Node Model'!$AL$42)&lt;=$J$31,CHAR(10)&amp;INDEX($O$5:$O$29,$Q21),""),"")))</f>
        <v/>
      </c>
      <c r="S21" s="1" t="str">
        <f>IF($Q21="","",IF(INDEX($N$5:$N$29,$Q21)="","",IF(ISNUMBER('King Node Model'!$AL$43),IF(ABS(INDEX($N$5:$N$29,$Q21)-'King Node Model'!$AL$43)&lt;=$J$31,CHAR(10)&amp;INDEX($O$5:$O$29,$Q21),""),"")))</f>
        <v xml:space="preserve">
Overnight High  7858.25 · settled @open</v>
      </c>
      <c r="T21" s="1" t="str">
        <f>IF($Q21="","",IF(INDEX($N$5:$N$29,$Q21)="","",IF(ISNUMBER('King Node Model'!$AL$44),IF(ABS(INDEX($N$5:$N$29,$Q21)-'King Node Model'!$AL$44)&lt;=$J$31,CHAR(10)&amp;INDEX($O$5:$O$29,$Q21),""),"")))</f>
        <v/>
      </c>
      <c r="U21" s="1" t="str">
        <f>IF($Q21="","",IF(INDEX($N$5:$N$29,$Q21)="","",IF(ISNUMBER('King Node Model'!$AL$49),IF(ABS(INDEX($N$5:$N$29,$Q21)-'King Node Model'!$AL$49)&lt;=$J$31,CHAR(10)&amp;INDEX($O$5:$O$29,$Q21),""),"")))</f>
        <v/>
      </c>
      <c r="V21" s="1" t="str">
        <f>IF($Q21="","",IF(INDEX($N$5:$N$29,$Q21)="","",IF(ISNUMBER('King Node Model'!$AL$50),IF(ABS(INDEX($N$5:$N$29,$Q21)-'King Node Model'!$AL$50)&lt;=$J$31,CHAR(10)&amp;INDEX($O$5:$O$29,$Q21),""),"")))</f>
        <v/>
      </c>
      <c r="W21" s="1" t="str">
        <f>IF($Q21="","",IF(INDEX($N$5:$N$29,$Q21)="","",IF(ISNUMBER('King Node Model'!$AL$51),IF(ABS(INDEX($N$5:$N$29,$Q21)-'King Node Model'!$AL$51)&lt;=$J$31,CHAR(10)&amp;INDEX($O$5:$O$29,$Q21),""),"")))</f>
        <v/>
      </c>
    </row>
    <row r="22" spans="1:23" ht="27.75" customHeight="1" x14ac:dyDescent="0.25">
      <c r="A22" s="356" t="s">
        <v>976</v>
      </c>
      <c r="B22" s="357" t="s">
        <v>977</v>
      </c>
      <c r="C22" s="358" t="s">
        <v>943</v>
      </c>
      <c r="D22" s="366" t="s">
        <v>978</v>
      </c>
      <c r="E22" s="358" t="s">
        <v>956</v>
      </c>
      <c r="F22" s="360" t="s">
        <v>946</v>
      </c>
      <c r="G22" s="357" t="s">
        <v>979</v>
      </c>
      <c r="I22" s="1" t="s">
        <v>980</v>
      </c>
      <c r="J22" s="1">
        <v>7799</v>
      </c>
      <c r="K22" s="218" t="s">
        <v>2783</v>
      </c>
      <c r="M22" s="1">
        <f t="shared" si="0"/>
        <v>1</v>
      </c>
      <c r="N22" s="1">
        <f>IF(OR(NOT(ISNUMBER($J22)),$M22=0,NOT(ISNUMBER($J$5)),NOT(ISNUMBER('King Node Model'!$B$4))),"",$J22-($J$5-'King Node Model'!$B$4))</f>
        <v>7747.39</v>
      </c>
      <c r="O22" s="1" t="str">
        <f t="shared" si="1"/>
        <v>Prior POC  7799.00 · SPX TPO 07 Oct</v>
      </c>
      <c r="P22" s="1">
        <f t="shared" si="2"/>
        <v>1022</v>
      </c>
      <c r="Q22" s="1">
        <f t="shared" si="3"/>
        <v>5</v>
      </c>
      <c r="R22" s="1" t="str">
        <f>IF($Q22="","",IF(INDEX($N$5:$N$29,$Q22)="","",IF(ISNUMBER('King Node Model'!$AL$42),IF(ABS(INDEX($N$5:$N$29,$Q22)-'King Node Model'!$AL$42)&lt;=$J$31,CHAR(10)&amp;INDEX($O$5:$O$29,$Q22),""),"")))</f>
        <v/>
      </c>
      <c r="S22" s="1" t="str">
        <f>IF($Q22="","",IF(INDEX($N$5:$N$29,$Q22)="","",IF(ISNUMBER('King Node Model'!$AL$43),IF(ABS(INDEX($N$5:$N$29,$Q22)-'King Node Model'!$AL$43)&lt;=$J$31,CHAR(10)&amp;INDEX($O$5:$O$29,$Q22),""),"")))</f>
        <v/>
      </c>
      <c r="T22" s="1" t="str">
        <f>IF($Q22="","",IF(INDEX($N$5:$N$29,$Q22)="","",IF(ISNUMBER('King Node Model'!$AL$44),IF(ABS(INDEX($N$5:$N$29,$Q22)-'King Node Model'!$AL$44)&lt;=$J$31,CHAR(10)&amp;INDEX($O$5:$O$29,$Q22),""),"")))</f>
        <v/>
      </c>
      <c r="U22" s="1" t="str">
        <f>IF($Q22="","",IF(INDEX($N$5:$N$29,$Q22)="","",IF(ISNUMBER('King Node Model'!$AL$49),IF(ABS(INDEX($N$5:$N$29,$Q22)-'King Node Model'!$AL$49)&lt;=$J$31,CHAR(10)&amp;INDEX($O$5:$O$29,$Q22),""),"")))</f>
        <v/>
      </c>
      <c r="V22" s="1" t="str">
        <f>IF($Q22="","",IF(INDEX($N$5:$N$29,$Q22)="","",IF(ISNUMBER('King Node Model'!$AL$50),IF(ABS(INDEX($N$5:$N$29,$Q22)-'King Node Model'!$AL$50)&lt;=$J$31,CHAR(10)&amp;INDEX($O$5:$O$29,$Q22),""),"")))</f>
        <v/>
      </c>
      <c r="W22" s="1" t="str">
        <f>IF($Q22="","",IF(INDEX($N$5:$N$29,$Q22)="","",IF(ISNUMBER('King Node Model'!$AL$51),IF(ABS(INDEX($N$5:$N$29,$Q22)-'King Node Model'!$AL$51)&lt;=$J$31,CHAR(10)&amp;INDEX($O$5:$O$29,$Q22),""),"")))</f>
        <v/>
      </c>
    </row>
    <row r="23" spans="1:23" ht="27.75" customHeight="1" x14ac:dyDescent="0.25">
      <c r="A23" s="361" t="s">
        <v>933</v>
      </c>
      <c r="B23" s="362" t="s">
        <v>982</v>
      </c>
      <c r="C23" s="363" t="s">
        <v>943</v>
      </c>
      <c r="D23" s="364" t="s">
        <v>978</v>
      </c>
      <c r="E23" s="363" t="s">
        <v>964</v>
      </c>
      <c r="F23" s="360" t="s">
        <v>946</v>
      </c>
      <c r="G23" s="362" t="s">
        <v>983</v>
      </c>
      <c r="I23" s="1" t="s">
        <v>984</v>
      </c>
      <c r="J23" s="1">
        <v>7805</v>
      </c>
      <c r="K23" s="218" t="s">
        <v>2783</v>
      </c>
      <c r="M23" s="1">
        <f t="shared" si="0"/>
        <v>2</v>
      </c>
      <c r="N23" s="1">
        <f>IF(OR(NOT(ISNUMBER($J23)),$M23=0,NOT(ISNUMBER($J$5)),NOT(ISNUMBER('King Node Model'!$B$4))),"",$J23-($J$5-'King Node Model'!$B$4))</f>
        <v>7753.39</v>
      </c>
      <c r="O23" s="1" t="str">
        <f t="shared" si="1"/>
        <v>Prior VAH  7805.00 · SPX TPO 07 Oct</v>
      </c>
      <c r="P23" s="1">
        <f t="shared" si="2"/>
        <v>2023</v>
      </c>
      <c r="Q23" s="1">
        <f t="shared" si="3"/>
        <v>8</v>
      </c>
      <c r="R23" s="1" t="str">
        <f>IF($Q23="","",IF(INDEX($N$5:$N$29,$Q23)="","",IF(ISNUMBER('King Node Model'!$AL$42),IF(ABS(INDEX($N$5:$N$29,$Q23)-'King Node Model'!$AL$42)&lt;=$J$31,CHAR(10)&amp;INDEX($O$5:$O$29,$Q23),""),"")))</f>
        <v xml:space="preserve">
IB Mid  7833.50 · locked</v>
      </c>
      <c r="S23" s="1" t="str">
        <f>IF($Q23="","",IF(INDEX($N$5:$N$29,$Q23)="","",IF(ISNUMBER('King Node Model'!$AL$43),IF(ABS(INDEX($N$5:$N$29,$Q23)-'King Node Model'!$AL$43)&lt;=$J$31,CHAR(10)&amp;INDEX($O$5:$O$29,$Q23),""),"")))</f>
        <v/>
      </c>
      <c r="T23" s="1" t="str">
        <f>IF($Q23="","",IF(INDEX($N$5:$N$29,$Q23)="","",IF(ISNUMBER('King Node Model'!$AL$44),IF(ABS(INDEX($N$5:$N$29,$Q23)-'King Node Model'!$AL$44)&lt;=$J$31,CHAR(10)&amp;INDEX($O$5:$O$29,$Q23),""),"")))</f>
        <v/>
      </c>
      <c r="U23" s="1" t="str">
        <f>IF($Q23="","",IF(INDEX($N$5:$N$29,$Q23)="","",IF(ISNUMBER('King Node Model'!$AL$49),IF(ABS(INDEX($N$5:$N$29,$Q23)-'King Node Model'!$AL$49)&lt;=$J$31,CHAR(10)&amp;INDEX($O$5:$O$29,$Q23),""),"")))</f>
        <v/>
      </c>
      <c r="V23" s="1" t="str">
        <f>IF($Q23="","",IF(INDEX($N$5:$N$29,$Q23)="","",IF(ISNUMBER('King Node Model'!$AL$50),IF(ABS(INDEX($N$5:$N$29,$Q23)-'King Node Model'!$AL$50)&lt;=$J$31,CHAR(10)&amp;INDEX($O$5:$O$29,$Q23),""),"")))</f>
        <v/>
      </c>
      <c r="W23" s="1" t="str">
        <f>IF($Q23="","",IF(INDEX($N$5:$N$29,$Q23)="","",IF(ISNUMBER('King Node Model'!$AL$51),IF(ABS(INDEX($N$5:$N$29,$Q23)-'King Node Model'!$AL$51)&lt;=$J$31,CHAR(10)&amp;INDEX($O$5:$O$29,$Q23),""),"")))</f>
        <v/>
      </c>
    </row>
    <row r="24" spans="1:23" ht="27.75" customHeight="1" x14ac:dyDescent="0.25">
      <c r="A24" s="356" t="s">
        <v>985</v>
      </c>
      <c r="B24" s="357" t="s">
        <v>986</v>
      </c>
      <c r="C24" s="358" t="s">
        <v>943</v>
      </c>
      <c r="D24" s="366" t="s">
        <v>978</v>
      </c>
      <c r="E24" s="358" t="s">
        <v>956</v>
      </c>
      <c r="F24" s="360" t="s">
        <v>946</v>
      </c>
      <c r="G24" s="357" t="s">
        <v>987</v>
      </c>
      <c r="I24" s="1" t="s">
        <v>988</v>
      </c>
      <c r="J24" s="1">
        <v>7775</v>
      </c>
      <c r="K24" s="218" t="s">
        <v>2783</v>
      </c>
      <c r="M24" s="1">
        <f t="shared" si="0"/>
        <v>2</v>
      </c>
      <c r="N24" s="1">
        <f>IF(OR(NOT(ISNUMBER($J24)),$M24=0,NOT(ISNUMBER($J$5)),NOT(ISNUMBER('King Node Model'!$B$4))),"",$J24-($J$5-'King Node Model'!$B$4))</f>
        <v>7723.39</v>
      </c>
      <c r="O24" s="1" t="str">
        <f t="shared" si="1"/>
        <v>Prior VAL  7775.00 · SPX TPO 07 Oct</v>
      </c>
      <c r="P24" s="1">
        <f t="shared" si="2"/>
        <v>2024</v>
      </c>
      <c r="Q24" s="1">
        <f t="shared" si="3"/>
        <v>24</v>
      </c>
      <c r="R24" s="1" t="str">
        <f>IF($Q24="","",IF(INDEX($N$5:$N$29,$Q24)="","",IF(ISNUMBER('King Node Model'!$AL$42),IF(ABS(INDEX($N$5:$N$29,$Q24)-'King Node Model'!$AL$42)&lt;=$J$31,CHAR(10)&amp;INDEX($O$5:$O$29,$Q24),""),"")))</f>
        <v xml:space="preserve">
ES SMA200 (5m)  7834.25 · ES below by 7.24</v>
      </c>
      <c r="S24" s="1" t="str">
        <f>IF($Q24="","",IF(INDEX($N$5:$N$29,$Q24)="","",IF(ISNUMBER('King Node Model'!$AL$43),IF(ABS(INDEX($N$5:$N$29,$Q24)-'King Node Model'!$AL$43)&lt;=$J$31,CHAR(10)&amp;INDEX($O$5:$O$29,$Q24),""),"")))</f>
        <v/>
      </c>
      <c r="T24" s="1" t="str">
        <f>IF($Q24="","",IF(INDEX($N$5:$N$29,$Q24)="","",IF(ISNUMBER('King Node Model'!$AL$44),IF(ABS(INDEX($N$5:$N$29,$Q24)-'King Node Model'!$AL$44)&lt;=$J$31,CHAR(10)&amp;INDEX($O$5:$O$29,$Q24),""),"")))</f>
        <v/>
      </c>
      <c r="U24" s="1" t="str">
        <f>IF($Q24="","",IF(INDEX($N$5:$N$29,$Q24)="","",IF(ISNUMBER('King Node Model'!$AL$49),IF(ABS(INDEX($N$5:$N$29,$Q24)-'King Node Model'!$AL$49)&lt;=$J$31,CHAR(10)&amp;INDEX($O$5:$O$29,$Q24),""),"")))</f>
        <v/>
      </c>
      <c r="V24" s="1" t="str">
        <f>IF($Q24="","",IF(INDEX($N$5:$N$29,$Q24)="","",IF(ISNUMBER('King Node Model'!$AL$50),IF(ABS(INDEX($N$5:$N$29,$Q24)-'King Node Model'!$AL$50)&lt;=$J$31,CHAR(10)&amp;INDEX($O$5:$O$29,$Q24),""),"")))</f>
        <v/>
      </c>
      <c r="W24" s="1" t="str">
        <f>IF($Q24="","",IF(INDEX($N$5:$N$29,$Q24)="","",IF(ISNUMBER('King Node Model'!$AL$51),IF(ABS(INDEX($N$5:$N$29,$Q24)-'King Node Model'!$AL$51)&lt;=$J$31,CHAR(10)&amp;INDEX($O$5:$O$29,$Q24),""),"")))</f>
        <v/>
      </c>
    </row>
    <row r="25" spans="1:23" ht="27.75" customHeight="1" x14ac:dyDescent="0.25">
      <c r="A25" s="361" t="s">
        <v>989</v>
      </c>
      <c r="B25" s="362" t="s">
        <v>990</v>
      </c>
      <c r="C25" s="363" t="s">
        <v>943</v>
      </c>
      <c r="D25" s="364" t="s">
        <v>978</v>
      </c>
      <c r="E25" s="363" t="s">
        <v>956</v>
      </c>
      <c r="F25" s="360" t="s">
        <v>946</v>
      </c>
      <c r="G25" s="362" t="s">
        <v>991</v>
      </c>
      <c r="I25" s="1" t="s">
        <v>992</v>
      </c>
      <c r="J25" s="1" t="s">
        <v>981</v>
      </c>
      <c r="K25" s="218" t="s">
        <v>993</v>
      </c>
      <c r="M25" s="1">
        <f t="shared" si="0"/>
        <v>0</v>
      </c>
      <c r="N25" s="1" t="str">
        <f>IF(OR(NOT(ISNUMBER($J25)),$M25=0,NOT(ISNUMBER($J$5)),NOT(ISNUMBER('King Node Model'!$B$4))),"",$J25-($J$5-'King Node Model'!$B$4))</f>
        <v/>
      </c>
      <c r="O25" s="1" t="str">
        <f t="shared" si="1"/>
        <v/>
      </c>
      <c r="P25" s="1">
        <f t="shared" si="2"/>
        <v>99999</v>
      </c>
      <c r="Q25" s="1">
        <f t="shared" si="3"/>
        <v>25</v>
      </c>
      <c r="R25" s="1" t="str">
        <f>IF($Q25="","",IF(INDEX($N$5:$N$29,$Q25)="","",IF(ISNUMBER('King Node Model'!$AL$42),IF(ABS(INDEX($N$5:$N$29,$Q25)-'King Node Model'!$AL$42)&lt;=$J$31,CHAR(10)&amp;INDEX($O$5:$O$29,$Q25),""),"")))</f>
        <v/>
      </c>
      <c r="S25" s="1" t="str">
        <f>IF($Q25="","",IF(INDEX($N$5:$N$29,$Q25)="","",IF(ISNUMBER('King Node Model'!$AL$43),IF(ABS(INDEX($N$5:$N$29,$Q25)-'King Node Model'!$AL$43)&lt;=$J$31,CHAR(10)&amp;INDEX($O$5:$O$29,$Q25),""),"")))</f>
        <v/>
      </c>
      <c r="T25" s="1" t="str">
        <f>IF($Q25="","",IF(INDEX($N$5:$N$29,$Q25)="","",IF(ISNUMBER('King Node Model'!$AL$44),IF(ABS(INDEX($N$5:$N$29,$Q25)-'King Node Model'!$AL$44)&lt;=$J$31,CHAR(10)&amp;INDEX($O$5:$O$29,$Q25),""),"")))</f>
        <v/>
      </c>
      <c r="U25" s="1" t="str">
        <f>IF($Q25="","",IF(INDEX($N$5:$N$29,$Q25)="","",IF(ISNUMBER('King Node Model'!$AL$49),IF(ABS(INDEX($N$5:$N$29,$Q25)-'King Node Model'!$AL$49)&lt;=$J$31,CHAR(10)&amp;INDEX($O$5:$O$29,$Q25),""),"")))</f>
        <v/>
      </c>
      <c r="V25" s="1" t="str">
        <f>IF($Q25="","",IF(INDEX($N$5:$N$29,$Q25)="","",IF(ISNUMBER('King Node Model'!$AL$50),IF(ABS(INDEX($N$5:$N$29,$Q25)-'King Node Model'!$AL$50)&lt;=$J$31,CHAR(10)&amp;INDEX($O$5:$O$29,$Q25),""),"")))</f>
        <v/>
      </c>
      <c r="W25" s="1" t="str">
        <f>IF($Q25="","",IF(INDEX($N$5:$N$29,$Q25)="","",IF(ISNUMBER('King Node Model'!$AL$51),IF(ABS(INDEX($N$5:$N$29,$Q25)-'King Node Model'!$AL$51)&lt;=$J$31,CHAR(10)&amp;INDEX($O$5:$O$29,$Q25),""),"")))</f>
        <v/>
      </c>
    </row>
    <row r="26" spans="1:23" ht="27.75" customHeight="1" x14ac:dyDescent="0.25">
      <c r="A26" s="356" t="s">
        <v>994</v>
      </c>
      <c r="B26" s="357" t="s">
        <v>995</v>
      </c>
      <c r="C26" s="358" t="s">
        <v>996</v>
      </c>
      <c r="D26" s="359" t="s">
        <v>944</v>
      </c>
      <c r="E26" s="358" t="s">
        <v>997</v>
      </c>
      <c r="F26" s="360" t="s">
        <v>946</v>
      </c>
      <c r="G26" s="357" t="s">
        <v>998</v>
      </c>
      <c r="I26" s="1" t="s">
        <v>994</v>
      </c>
      <c r="J26" s="1" t="s">
        <v>981</v>
      </c>
      <c r="K26" s="218" t="s">
        <v>993</v>
      </c>
      <c r="M26" s="1">
        <f t="shared" si="0"/>
        <v>4</v>
      </c>
      <c r="N26" s="1" t="str">
        <f>IF(OR(NOT(ISNUMBER($J26)),$M26=0,NOT(ISNUMBER($J$5)),NOT(ISNUMBER('King Node Model'!$B$4))),"",$J26-($J$5-'King Node Model'!$B$4))</f>
        <v/>
      </c>
      <c r="O26" s="1" t="str">
        <f t="shared" si="1"/>
        <v/>
      </c>
      <c r="P26" s="1">
        <f t="shared" si="2"/>
        <v>99999</v>
      </c>
      <c r="Q26" s="1">
        <f t="shared" si="3"/>
        <v>1</v>
      </c>
      <c r="R26" s="1" t="str">
        <f>IF($Q26="","",IF(INDEX($N$5:$N$29,$Q26)="","",IF(ISNUMBER('King Node Model'!$AL$42),IF(ABS(INDEX($N$5:$N$29,$Q26)-'King Node Model'!$AL$42)&lt;=$J$31,CHAR(10)&amp;INDEX($O$5:$O$29,$Q26),""),"")))</f>
        <v/>
      </c>
      <c r="S26" s="1" t="str">
        <f>IF($Q26="","",IF(INDEX($N$5:$N$29,$Q26)="","",IF(ISNUMBER('King Node Model'!$AL$43),IF(ABS(INDEX($N$5:$N$29,$Q26)-'King Node Model'!$AL$43)&lt;=$J$31,CHAR(10)&amp;INDEX($O$5:$O$29,$Q26),""),"")))</f>
        <v/>
      </c>
      <c r="T26" s="1" t="str">
        <f>IF($Q26="","",IF(INDEX($N$5:$N$29,$Q26)="","",IF(ISNUMBER('King Node Model'!$AL$44),IF(ABS(INDEX($N$5:$N$29,$Q26)-'King Node Model'!$AL$44)&lt;=$J$31,CHAR(10)&amp;INDEX($O$5:$O$29,$Q26),""),"")))</f>
        <v/>
      </c>
      <c r="U26" s="1" t="str">
        <f>IF($Q26="","",IF(INDEX($N$5:$N$29,$Q26)="","",IF(ISNUMBER('King Node Model'!$AL$49),IF(ABS(INDEX($N$5:$N$29,$Q26)-'King Node Model'!$AL$49)&lt;=$J$31,CHAR(10)&amp;INDEX($O$5:$O$29,$Q26),""),"")))</f>
        <v/>
      </c>
      <c r="V26" s="1" t="str">
        <f>IF($Q26="","",IF(INDEX($N$5:$N$29,$Q26)="","",IF(ISNUMBER('King Node Model'!$AL$50),IF(ABS(INDEX($N$5:$N$29,$Q26)-'King Node Model'!$AL$50)&lt;=$J$31,CHAR(10)&amp;INDEX($O$5:$O$29,$Q26),""),"")))</f>
        <v/>
      </c>
      <c r="W26" s="1" t="str">
        <f>IF($Q26="","",IF(INDEX($N$5:$N$29,$Q26)="","",IF(ISNUMBER('King Node Model'!$AL$51),IF(ABS(INDEX($N$5:$N$29,$Q26)-'King Node Model'!$AL$51)&lt;=$J$31,CHAR(10)&amp;INDEX($O$5:$O$29,$Q26),""),"")))</f>
        <v/>
      </c>
    </row>
    <row r="27" spans="1:23" ht="27.75" customHeight="1" x14ac:dyDescent="0.25">
      <c r="A27" s="361" t="s">
        <v>999</v>
      </c>
      <c r="B27" s="362" t="s">
        <v>1000</v>
      </c>
      <c r="C27" s="363" t="s">
        <v>996</v>
      </c>
      <c r="D27" s="365" t="s">
        <v>944</v>
      </c>
      <c r="E27" s="363" t="s">
        <v>997</v>
      </c>
      <c r="F27" s="360" t="s">
        <v>946</v>
      </c>
      <c r="G27" s="362" t="s">
        <v>1001</v>
      </c>
      <c r="I27" s="1" t="s">
        <v>999</v>
      </c>
      <c r="J27" s="1" t="s">
        <v>981</v>
      </c>
      <c r="K27" s="218" t="s">
        <v>993</v>
      </c>
      <c r="M27" s="1">
        <f t="shared" si="0"/>
        <v>4</v>
      </c>
      <c r="N27" s="1" t="str">
        <f>IF(OR(NOT(ISNUMBER($J27)),$M27=0,NOT(ISNUMBER($J$5)),NOT(ISNUMBER('King Node Model'!$B$4))),"",$J27-($J$5-'King Node Model'!$B$4))</f>
        <v/>
      </c>
      <c r="O27" s="1" t="str">
        <f t="shared" si="1"/>
        <v/>
      </c>
      <c r="P27" s="1">
        <f t="shared" si="2"/>
        <v>99999</v>
      </c>
      <c r="Q27" s="1">
        <f t="shared" si="3"/>
        <v>1</v>
      </c>
      <c r="R27" s="1" t="str">
        <f>IF($Q27="","",IF(INDEX($N$5:$N$29,$Q27)="","",IF(ISNUMBER('King Node Model'!$AL$42),IF(ABS(INDEX($N$5:$N$29,$Q27)-'King Node Model'!$AL$42)&lt;=$J$31,CHAR(10)&amp;INDEX($O$5:$O$29,$Q27),""),"")))</f>
        <v/>
      </c>
      <c r="S27" s="1" t="str">
        <f>IF($Q27="","",IF(INDEX($N$5:$N$29,$Q27)="","",IF(ISNUMBER('King Node Model'!$AL$43),IF(ABS(INDEX($N$5:$N$29,$Q27)-'King Node Model'!$AL$43)&lt;=$J$31,CHAR(10)&amp;INDEX($O$5:$O$29,$Q27),""),"")))</f>
        <v/>
      </c>
      <c r="T27" s="1" t="str">
        <f>IF($Q27="","",IF(INDEX($N$5:$N$29,$Q27)="","",IF(ISNUMBER('King Node Model'!$AL$44),IF(ABS(INDEX($N$5:$N$29,$Q27)-'King Node Model'!$AL$44)&lt;=$J$31,CHAR(10)&amp;INDEX($O$5:$O$29,$Q27),""),"")))</f>
        <v/>
      </c>
      <c r="U27" s="1" t="str">
        <f>IF($Q27="","",IF(INDEX($N$5:$N$29,$Q27)="","",IF(ISNUMBER('King Node Model'!$AL$49),IF(ABS(INDEX($N$5:$N$29,$Q27)-'King Node Model'!$AL$49)&lt;=$J$31,CHAR(10)&amp;INDEX($O$5:$O$29,$Q27),""),"")))</f>
        <v/>
      </c>
      <c r="V27" s="1" t="str">
        <f>IF($Q27="","",IF(INDEX($N$5:$N$29,$Q27)="","",IF(ISNUMBER('King Node Model'!$AL$50),IF(ABS(INDEX($N$5:$N$29,$Q27)-'King Node Model'!$AL$50)&lt;=$J$31,CHAR(10)&amp;INDEX($O$5:$O$29,$Q27),""),"")))</f>
        <v/>
      </c>
      <c r="W27" s="1" t="str">
        <f>IF($Q27="","",IF(INDEX($N$5:$N$29,$Q27)="","",IF(ISNUMBER('King Node Model'!$AL$51),IF(ABS(INDEX($N$5:$N$29,$Q27)-'King Node Model'!$AL$51)&lt;=$J$31,CHAR(10)&amp;INDEX($O$5:$O$29,$Q27),""),"")))</f>
        <v/>
      </c>
    </row>
    <row r="28" spans="1:23" ht="27.75" customHeight="1" x14ac:dyDescent="0.25">
      <c r="A28" s="356" t="s">
        <v>1002</v>
      </c>
      <c r="B28" s="357" t="s">
        <v>1003</v>
      </c>
      <c r="C28" s="358" t="s">
        <v>9</v>
      </c>
      <c r="D28" s="358" t="s">
        <v>1004</v>
      </c>
      <c r="E28" s="358" t="s">
        <v>981</v>
      </c>
      <c r="F28" s="367" t="s">
        <v>1005</v>
      </c>
      <c r="G28" s="357" t="s">
        <v>1006</v>
      </c>
      <c r="I28" s="1" t="s">
        <v>1478</v>
      </c>
      <c r="J28" s="1">
        <v>7834.24</v>
      </c>
      <c r="K28" t="s">
        <v>2789</v>
      </c>
      <c r="M28" s="1">
        <f t="shared" si="0"/>
        <v>5</v>
      </c>
      <c r="N28" s="1">
        <f>IF(OR(NOT(ISNUMBER($J28)),$M28=0,NOT(ISNUMBER($J$5)),NOT(ISNUMBER('King Node Model'!$B$4))),"",$J28-($J$5-'King Node Model'!$B$4))</f>
        <v>7782.63</v>
      </c>
      <c r="O28" s="1" t="str">
        <f t="shared" si="1"/>
        <v>ES SMA200 (5m)  7834.25 · ES below by 7.24</v>
      </c>
      <c r="P28" s="1">
        <f t="shared" si="2"/>
        <v>5028</v>
      </c>
      <c r="Q28" s="1">
        <f t="shared" si="3"/>
        <v>1</v>
      </c>
      <c r="R28" s="1" t="str">
        <f>IF($Q28="","",IF(INDEX($N$5:$N$29,$Q28)="","",IF(ISNUMBER('King Node Model'!$AL$42),IF(ABS(INDEX($N$5:$N$29,$Q28)-'King Node Model'!$AL$42)&lt;=$J$31,CHAR(10)&amp;INDEX($O$5:$O$29,$Q28),""),"")))</f>
        <v/>
      </c>
      <c r="S28" s="1" t="str">
        <f>IF($Q28="","",IF(INDEX($N$5:$N$29,$Q28)="","",IF(ISNUMBER('King Node Model'!$AL$43),IF(ABS(INDEX($N$5:$N$29,$Q28)-'King Node Model'!$AL$43)&lt;=$J$31,CHAR(10)&amp;INDEX($O$5:$O$29,$Q28),""),"")))</f>
        <v/>
      </c>
      <c r="T28" s="1" t="str">
        <f>IF($Q28="","",IF(INDEX($N$5:$N$29,$Q28)="","",IF(ISNUMBER('King Node Model'!$AL$44),IF(ABS(INDEX($N$5:$N$29,$Q28)-'King Node Model'!$AL$44)&lt;=$J$31,CHAR(10)&amp;INDEX($O$5:$O$29,$Q28),""),"")))</f>
        <v/>
      </c>
      <c r="U28" s="1" t="str">
        <f>IF($Q28="","",IF(INDEX($N$5:$N$29,$Q28)="","",IF(ISNUMBER('King Node Model'!$AL$49),IF(ABS(INDEX($N$5:$N$29,$Q28)-'King Node Model'!$AL$49)&lt;=$J$31,CHAR(10)&amp;INDEX($O$5:$O$29,$Q28),""),"")))</f>
        <v/>
      </c>
      <c r="V28" s="1" t="str">
        <f>IF($Q28="","",IF(INDEX($N$5:$N$29,$Q28)="","",IF(ISNUMBER('King Node Model'!$AL$50),IF(ABS(INDEX($N$5:$N$29,$Q28)-'King Node Model'!$AL$50)&lt;=$J$31,CHAR(10)&amp;INDEX($O$5:$O$29,$Q28),""),"")))</f>
        <v/>
      </c>
      <c r="W28" s="1" t="str">
        <f>IF($Q28="","",IF(INDEX($N$5:$N$29,$Q28)="","",IF(ISNUMBER('King Node Model'!$AL$51),IF(ABS(INDEX($N$5:$N$29,$Q28)-'King Node Model'!$AL$51)&lt;=$J$31,CHAR(10)&amp;INDEX($O$5:$O$29,$Q28),""),"")))</f>
        <v/>
      </c>
    </row>
    <row r="29" spans="1:23" x14ac:dyDescent="0.25">
      <c r="I29" s="1" t="s">
        <v>1479</v>
      </c>
      <c r="J29" s="1">
        <v>7842.99</v>
      </c>
      <c r="K29" t="s">
        <v>2790</v>
      </c>
      <c r="M29" s="1">
        <f t="shared" si="0"/>
        <v>5</v>
      </c>
      <c r="N29" s="1">
        <f>IF(OR(NOT(ISNUMBER($J29)),$M29=0,NOT(ISNUMBER($J$5)),NOT(ISNUMBER('King Node Model'!$B$4))),"",$J29-($J$5-'King Node Model'!$B$4))</f>
        <v>7791.38</v>
      </c>
      <c r="O29" s="1" t="str">
        <f t="shared" si="1"/>
        <v>ES SMA400 (5m)  7843.00 · ES below by 15.99</v>
      </c>
      <c r="P29" s="1">
        <f t="shared" si="2"/>
        <v>5029</v>
      </c>
      <c r="Q29" s="1">
        <f t="shared" si="3"/>
        <v>1</v>
      </c>
      <c r="R29" s="1" t="str">
        <f>IF($Q29="","",IF(INDEX($N$5:$N$29,$Q29)="","",IF(ISNUMBER('King Node Model'!$AL$42),IF(ABS(INDEX($N$5:$N$29,$Q29)-'King Node Model'!$AL$42)&lt;=$J$31,CHAR(10)&amp;INDEX($O$5:$O$29,$Q29),""),"")))</f>
        <v/>
      </c>
      <c r="S29" s="1" t="str">
        <f>IF($Q29="","",IF(INDEX($N$5:$N$29,$Q29)="","",IF(ISNUMBER('King Node Model'!$AL$43),IF(ABS(INDEX($N$5:$N$29,$Q29)-'King Node Model'!$AL$43)&lt;=$J$31,CHAR(10)&amp;INDEX($O$5:$O$29,$Q29),""),"")))</f>
        <v/>
      </c>
      <c r="T29" s="1" t="str">
        <f>IF($Q29="","",IF(INDEX($N$5:$N$29,$Q29)="","",IF(ISNUMBER('King Node Model'!$AL$44),IF(ABS(INDEX($N$5:$N$29,$Q29)-'King Node Model'!$AL$44)&lt;=$J$31,CHAR(10)&amp;INDEX($O$5:$O$29,$Q29),""),"")))</f>
        <v/>
      </c>
      <c r="U29" s="1" t="str">
        <f>IF($Q29="","",IF(INDEX($N$5:$N$29,$Q29)="","",IF(ISNUMBER('King Node Model'!$AL$49),IF(ABS(INDEX($N$5:$N$29,$Q29)-'King Node Model'!$AL$49)&lt;=$J$31,CHAR(10)&amp;INDEX($O$5:$O$29,$Q29),""),"")))</f>
        <v/>
      </c>
      <c r="V29" s="1" t="str">
        <f>IF($Q29="","",IF(INDEX($N$5:$N$29,$Q29)="","",IF(ISNUMBER('King Node Model'!$AL$50),IF(ABS(INDEX($N$5:$N$29,$Q29)-'King Node Model'!$AL$50)&lt;=$J$31,CHAR(10)&amp;INDEX($O$5:$O$29,$Q29),""),"")))</f>
        <v/>
      </c>
      <c r="W29" s="1" t="str">
        <f>IF($Q29="","",IF(INDEX($N$5:$N$29,$Q29)="","",IF(ISNUMBER('King Node Model'!$AL$51),IF(ABS(INDEX($N$5:$N$29,$Q29)-'King Node Model'!$AL$51)&lt;=$J$31,CHAR(10)&amp;INDEX($O$5:$O$29,$Q29),""),"")))</f>
        <v/>
      </c>
    </row>
    <row r="30" spans="1:23" ht="15" customHeight="1" x14ac:dyDescent="0.25">
      <c r="A30" s="649" t="s">
        <v>1007</v>
      </c>
      <c r="B30" s="649"/>
      <c r="C30" s="649"/>
      <c r="D30" s="649"/>
      <c r="E30" s="649"/>
      <c r="F30" s="649"/>
      <c r="G30" s="649"/>
    </row>
    <row r="31" spans="1:23" ht="27.75" customHeight="1" x14ac:dyDescent="0.25">
      <c r="A31" s="368" t="s">
        <v>1008</v>
      </c>
      <c r="B31" s="650" t="s">
        <v>1009</v>
      </c>
      <c r="C31" s="650"/>
      <c r="D31" s="650"/>
      <c r="E31" s="650"/>
      <c r="F31" s="650"/>
      <c r="G31" s="650"/>
      <c r="I31" s="1" t="s">
        <v>1541</v>
      </c>
      <c r="J31" s="1">
        <v>5</v>
      </c>
      <c r="Q31" s="1" t="s">
        <v>1542</v>
      </c>
      <c r="R31" s="1" t="str">
        <f t="shared" ref="R31:W31" si="4">R5&amp;R6&amp;R7&amp;R8&amp;R9&amp;R10&amp;R11&amp;R12&amp;R13&amp;R14&amp;R15&amp;R16&amp;R17&amp;R18&amp;R19&amp;R20&amp;R21&amp;R22&amp;R23&amp;R24&amp;R25&amp;R26&amp;R27&amp;R28&amp;R29</f>
        <v xml:space="preserve">
VAH (dev)  7836.00 · developing
Daily VWAP  7830.50 · developing
IB Mid  7833.50 · locked
ES SMA200 (5m)  7834.25 · ES below by 7.24</v>
      </c>
      <c r="S31" s="1" t="str">
        <f t="shared" si="4"/>
        <v xml:space="preserve">
Fib up -0.618  7857.50 · locked
Overnight High  7858.25 · settled @open</v>
      </c>
      <c r="T31" s="1" t="str">
        <f t="shared" si="4"/>
        <v xml:space="preserve">
Fib up -0.27  7850.00 · locked</v>
      </c>
      <c r="U31" s="1" t="str">
        <f t="shared" si="4"/>
        <v xml:space="preserve">
POC (dev)  7822.00 · developing
IB Low  7823.00 · locked
VAL (dev)  7822.00 · developing
Daily VWAP  7830.50 · developing</v>
      </c>
      <c r="V31" s="1" t="str">
        <f t="shared" si="4"/>
        <v xml:space="preserve">
POC (dev)  7822.00 · developing
IB Low  7823.00 · locked
Fib dn 1.27  7817.25 · locked
VAL (dev)  7822.00 · developing</v>
      </c>
      <c r="W31" s="1" t="str">
        <f t="shared" si="4"/>
        <v/>
      </c>
    </row>
    <row r="32" spans="1:23" ht="27.75" customHeight="1" x14ac:dyDescent="0.25">
      <c r="A32" s="368" t="s">
        <v>1010</v>
      </c>
      <c r="B32" s="650" t="s">
        <v>1011</v>
      </c>
      <c r="C32" s="650"/>
      <c r="D32" s="650"/>
      <c r="E32" s="650"/>
      <c r="F32" s="650"/>
      <c r="G32" s="650"/>
    </row>
    <row r="33" spans="1:14" ht="27.75" customHeight="1" x14ac:dyDescent="0.25">
      <c r="A33" s="368" t="s">
        <v>1012</v>
      </c>
      <c r="B33" s="650" t="s">
        <v>1013</v>
      </c>
      <c r="C33" s="650"/>
      <c r="D33" s="650"/>
      <c r="E33" s="650"/>
      <c r="F33" s="650"/>
      <c r="G33" s="650"/>
      <c r="M33" s="1" t="s">
        <v>1543</v>
      </c>
    </row>
    <row r="34" spans="1:14" ht="27.75" customHeight="1" x14ac:dyDescent="0.25">
      <c r="A34" s="368" t="s">
        <v>1014</v>
      </c>
      <c r="B34" s="650" t="s">
        <v>1015</v>
      </c>
      <c r="C34" s="650"/>
      <c r="D34" s="650"/>
      <c r="E34" s="650"/>
      <c r="F34" s="650"/>
      <c r="G34" s="650"/>
      <c r="M34" s="1" t="s">
        <v>1544</v>
      </c>
      <c r="N34" s="1" t="s">
        <v>1530</v>
      </c>
    </row>
    <row r="35" spans="1:14" ht="27.75" customHeight="1" x14ac:dyDescent="0.25">
      <c r="A35" s="368" t="s">
        <v>1016</v>
      </c>
      <c r="B35" s="650" t="s">
        <v>1017</v>
      </c>
      <c r="C35" s="650"/>
      <c r="D35" s="650"/>
      <c r="E35" s="650"/>
      <c r="F35" s="650"/>
      <c r="G35" s="650"/>
      <c r="M35" s="1" t="s">
        <v>918</v>
      </c>
      <c r="N35" s="1">
        <v>0</v>
      </c>
    </row>
    <row r="36" spans="1:14" ht="27.75" customHeight="1" x14ac:dyDescent="0.25">
      <c r="A36" s="368" t="s">
        <v>1018</v>
      </c>
      <c r="B36" s="650" t="s">
        <v>1019</v>
      </c>
      <c r="C36" s="650"/>
      <c r="D36" s="650"/>
      <c r="E36" s="650"/>
      <c r="F36" s="650"/>
      <c r="G36" s="650"/>
      <c r="M36" s="1" t="s">
        <v>921</v>
      </c>
      <c r="N36" s="1">
        <v>3</v>
      </c>
    </row>
    <row r="37" spans="1:14" x14ac:dyDescent="0.25">
      <c r="M37" s="1" t="s">
        <v>924</v>
      </c>
      <c r="N37" s="1">
        <v>3</v>
      </c>
    </row>
    <row r="38" spans="1:14" ht="15" customHeight="1" x14ac:dyDescent="0.25">
      <c r="A38" s="651" t="s">
        <v>1020</v>
      </c>
      <c r="B38" s="651"/>
      <c r="C38" s="651"/>
      <c r="D38" s="651"/>
      <c r="E38" s="651"/>
      <c r="F38" s="651"/>
      <c r="G38" s="651"/>
      <c r="M38" s="1" t="s">
        <v>926</v>
      </c>
      <c r="N38" s="1">
        <v>3</v>
      </c>
    </row>
    <row r="39" spans="1:14" ht="13.5" customHeight="1" x14ac:dyDescent="0.25">
      <c r="A39" s="650" t="s">
        <v>1021</v>
      </c>
      <c r="B39" s="650"/>
      <c r="C39" s="650"/>
      <c r="D39" s="650"/>
      <c r="E39" s="650"/>
      <c r="F39" s="650"/>
      <c r="G39" s="650"/>
      <c r="M39" s="1" t="s">
        <v>928</v>
      </c>
      <c r="N39" s="1">
        <v>3</v>
      </c>
    </row>
    <row r="40" spans="1:14" ht="13.5" customHeight="1" x14ac:dyDescent="0.25">
      <c r="A40" s="650" t="s">
        <v>1022</v>
      </c>
      <c r="B40" s="650"/>
      <c r="C40" s="650"/>
      <c r="D40" s="650"/>
      <c r="E40" s="650"/>
      <c r="F40" s="650"/>
      <c r="G40" s="650"/>
      <c r="M40" s="1" t="s">
        <v>930</v>
      </c>
      <c r="N40" s="1">
        <v>2</v>
      </c>
    </row>
    <row r="41" spans="1:14" ht="13.5" customHeight="1" x14ac:dyDescent="0.25">
      <c r="A41" s="650" t="s">
        <v>1023</v>
      </c>
      <c r="B41" s="650"/>
      <c r="C41" s="650"/>
      <c r="D41" s="650"/>
      <c r="E41" s="650"/>
      <c r="F41" s="650"/>
      <c r="G41" s="650"/>
      <c r="M41" s="1" t="s">
        <v>931</v>
      </c>
      <c r="N41" s="1">
        <v>2</v>
      </c>
    </row>
    <row r="42" spans="1:14" ht="13.5" customHeight="1" x14ac:dyDescent="0.25">
      <c r="A42" s="650" t="s">
        <v>1024</v>
      </c>
      <c r="B42" s="650"/>
      <c r="C42" s="650"/>
      <c r="D42" s="650"/>
      <c r="E42" s="650"/>
      <c r="F42" s="650"/>
      <c r="G42" s="650"/>
      <c r="M42" s="1" t="s">
        <v>933</v>
      </c>
      <c r="N42" s="1">
        <v>3</v>
      </c>
    </row>
    <row r="43" spans="1:14" ht="13.5" customHeight="1" x14ac:dyDescent="0.25">
      <c r="A43" s="650" t="s">
        <v>1025</v>
      </c>
      <c r="B43" s="650"/>
      <c r="C43" s="650"/>
      <c r="D43" s="650"/>
      <c r="E43" s="650"/>
      <c r="F43" s="650"/>
      <c r="G43" s="650"/>
      <c r="M43" s="1" t="s">
        <v>940</v>
      </c>
      <c r="N43" s="1">
        <v>2</v>
      </c>
    </row>
    <row r="44" spans="1:14" x14ac:dyDescent="0.25">
      <c r="M44" s="1" t="s">
        <v>948</v>
      </c>
      <c r="N44" s="1">
        <v>2</v>
      </c>
    </row>
    <row r="45" spans="1:14" ht="15" customHeight="1" x14ac:dyDescent="0.25">
      <c r="A45" s="652" t="s">
        <v>1026</v>
      </c>
      <c r="B45" s="652"/>
      <c r="C45" s="652"/>
      <c r="D45" s="652"/>
      <c r="E45" s="652"/>
      <c r="F45" s="652"/>
      <c r="G45" s="652"/>
      <c r="M45" s="1" t="s">
        <v>953</v>
      </c>
      <c r="N45" s="1">
        <v>2</v>
      </c>
    </row>
    <row r="46" spans="1:14" ht="15" customHeight="1" x14ac:dyDescent="0.25">
      <c r="A46" s="369" t="s">
        <v>33</v>
      </c>
      <c r="B46" s="369" t="s">
        <v>1027</v>
      </c>
      <c r="C46" s="369" t="s">
        <v>1028</v>
      </c>
      <c r="M46" s="1" t="s">
        <v>958</v>
      </c>
      <c r="N46" s="1">
        <v>2</v>
      </c>
    </row>
    <row r="47" spans="1:14" ht="15" customHeight="1" x14ac:dyDescent="0.25">
      <c r="A47" s="370" t="s">
        <v>1029</v>
      </c>
      <c r="B47" s="371">
        <v>7581.75</v>
      </c>
      <c r="C47" s="372" t="s">
        <v>1030</v>
      </c>
      <c r="M47" s="1" t="s">
        <v>962</v>
      </c>
      <c r="N47" s="1">
        <v>2</v>
      </c>
    </row>
    <row r="48" spans="1:14" ht="15" customHeight="1" x14ac:dyDescent="0.25">
      <c r="A48" s="370" t="s">
        <v>1031</v>
      </c>
      <c r="B48" s="371">
        <v>7535.5</v>
      </c>
      <c r="C48" s="372" t="s">
        <v>1032</v>
      </c>
      <c r="M48" s="1" t="s">
        <v>966</v>
      </c>
      <c r="N48" s="1">
        <v>2</v>
      </c>
    </row>
    <row r="49" spans="1:14" ht="15" customHeight="1" x14ac:dyDescent="0.25">
      <c r="A49" s="373" t="s">
        <v>1033</v>
      </c>
      <c r="B49" s="374">
        <f>B47-B48</f>
        <v>46.25</v>
      </c>
      <c r="C49" s="372" t="s">
        <v>1034</v>
      </c>
      <c r="M49" s="1" t="s">
        <v>969</v>
      </c>
      <c r="N49" s="1">
        <v>1</v>
      </c>
    </row>
    <row r="50" spans="1:14" ht="15" customHeight="1" x14ac:dyDescent="0.25">
      <c r="A50" s="373" t="s">
        <v>933</v>
      </c>
      <c r="B50" s="374">
        <f>(B47+B48)/2</f>
        <v>7558.625</v>
      </c>
      <c r="C50" s="372" t="s">
        <v>1035</v>
      </c>
      <c r="M50" s="1" t="s">
        <v>973</v>
      </c>
      <c r="N50" s="1">
        <v>2</v>
      </c>
    </row>
    <row r="51" spans="1:14" ht="15" customHeight="1" x14ac:dyDescent="0.25">
      <c r="A51" s="375" t="s">
        <v>1036</v>
      </c>
      <c r="B51" s="376">
        <f>B47+0.27*B49</f>
        <v>7594.2375000000002</v>
      </c>
      <c r="C51" s="377" t="s">
        <v>1037</v>
      </c>
      <c r="M51" s="1" t="s">
        <v>975</v>
      </c>
      <c r="N51" s="1">
        <v>2</v>
      </c>
    </row>
    <row r="52" spans="1:14" ht="15" customHeight="1" x14ac:dyDescent="0.25">
      <c r="A52" s="375" t="s">
        <v>1038</v>
      </c>
      <c r="B52" s="376">
        <f>B47+0.618*B49</f>
        <v>7610.3325000000004</v>
      </c>
      <c r="C52" s="377" t="s">
        <v>1039</v>
      </c>
      <c r="M52" s="1" t="s">
        <v>980</v>
      </c>
      <c r="N52" s="1">
        <v>1</v>
      </c>
    </row>
    <row r="53" spans="1:14" ht="15" customHeight="1" x14ac:dyDescent="0.25">
      <c r="A53" s="375" t="s">
        <v>1040</v>
      </c>
      <c r="B53" s="376">
        <f>B47+1*B49</f>
        <v>7628</v>
      </c>
      <c r="C53" s="377" t="s">
        <v>1041</v>
      </c>
      <c r="M53" s="1" t="s">
        <v>984</v>
      </c>
      <c r="N53" s="1">
        <v>2</v>
      </c>
    </row>
    <row r="54" spans="1:14" ht="15" customHeight="1" x14ac:dyDescent="0.25">
      <c r="A54" s="378" t="s">
        <v>1042</v>
      </c>
      <c r="B54" s="379">
        <f>B48-0.27*B49</f>
        <v>7523.0124999999998</v>
      </c>
      <c r="C54" s="380" t="s">
        <v>1043</v>
      </c>
      <c r="M54" s="1" t="s">
        <v>988</v>
      </c>
      <c r="N54" s="1">
        <v>2</v>
      </c>
    </row>
    <row r="55" spans="1:14" ht="15" customHeight="1" x14ac:dyDescent="0.25">
      <c r="A55" s="378" t="s">
        <v>1044</v>
      </c>
      <c r="B55" s="379">
        <f>B48-0.618*B49</f>
        <v>7506.9174999999996</v>
      </c>
      <c r="C55" s="380" t="s">
        <v>1045</v>
      </c>
      <c r="M55" s="1" t="s">
        <v>992</v>
      </c>
      <c r="N55" s="1">
        <v>0</v>
      </c>
    </row>
    <row r="56" spans="1:14" ht="15" customHeight="1" x14ac:dyDescent="0.25">
      <c r="A56" s="378" t="s">
        <v>1046</v>
      </c>
      <c r="B56" s="379">
        <f>B48-1*B49</f>
        <v>7489.25</v>
      </c>
      <c r="C56" s="380" t="s">
        <v>1047</v>
      </c>
      <c r="M56" s="1" t="s">
        <v>994</v>
      </c>
      <c r="N56" s="1">
        <v>4</v>
      </c>
    </row>
    <row r="57" spans="1:14" ht="13.5" customHeight="1" x14ac:dyDescent="0.25">
      <c r="A57" s="653" t="s">
        <v>1048</v>
      </c>
      <c r="B57" s="653"/>
      <c r="C57" s="653"/>
      <c r="D57" s="653"/>
      <c r="E57" s="653"/>
      <c r="F57" s="653"/>
      <c r="G57" s="653"/>
      <c r="M57" s="1" t="s">
        <v>999</v>
      </c>
      <c r="N57" s="1">
        <v>4</v>
      </c>
    </row>
    <row r="58" spans="1:14" x14ac:dyDescent="0.25">
      <c r="M58" s="1" t="s">
        <v>1478</v>
      </c>
      <c r="N58" s="1">
        <v>5</v>
      </c>
    </row>
    <row r="59" spans="1:14" ht="15" customHeight="1" x14ac:dyDescent="0.25">
      <c r="A59" s="649" t="s">
        <v>1049</v>
      </c>
      <c r="B59" s="649"/>
      <c r="C59" s="649"/>
      <c r="D59" s="649"/>
      <c r="E59" s="649"/>
      <c r="F59" s="649"/>
      <c r="G59" s="649"/>
      <c r="M59" s="1" t="s">
        <v>1479</v>
      </c>
      <c r="N59" s="1">
        <v>5</v>
      </c>
    </row>
    <row r="60" spans="1:14" ht="13.5" customHeight="1" x14ac:dyDescent="0.25">
      <c r="A60" s="650" t="s">
        <v>1050</v>
      </c>
      <c r="B60" s="650"/>
      <c r="C60" s="650"/>
      <c r="D60" s="650"/>
      <c r="E60" s="650"/>
      <c r="F60" s="650"/>
      <c r="G60" s="650"/>
    </row>
    <row r="61" spans="1:14" ht="13.5" customHeight="1" x14ac:dyDescent="0.25">
      <c r="A61" s="650" t="s">
        <v>1051</v>
      </c>
      <c r="B61" s="650"/>
      <c r="C61" s="650"/>
      <c r="D61" s="650"/>
      <c r="E61" s="650"/>
      <c r="F61" s="650"/>
      <c r="G61" s="650"/>
    </row>
    <row r="62" spans="1:14" ht="13.5" customHeight="1" x14ac:dyDescent="0.25">
      <c r="A62" s="650" t="s">
        <v>1052</v>
      </c>
      <c r="B62" s="650"/>
      <c r="C62" s="650"/>
      <c r="D62" s="650"/>
      <c r="E62" s="650"/>
      <c r="F62" s="650"/>
      <c r="G62" s="650"/>
    </row>
    <row r="63" spans="1:14" ht="13.5" customHeight="1" x14ac:dyDescent="0.25">
      <c r="A63" s="650" t="s">
        <v>1053</v>
      </c>
      <c r="B63" s="650"/>
      <c r="C63" s="650"/>
      <c r="D63" s="650"/>
      <c r="E63" s="650"/>
      <c r="F63" s="650"/>
      <c r="G63" s="650"/>
    </row>
    <row r="65" spans="1:7" ht="15" customHeight="1" x14ac:dyDescent="0.25">
      <c r="A65" s="655" t="s">
        <v>1054</v>
      </c>
      <c r="B65" s="655"/>
      <c r="C65" s="655"/>
      <c r="D65" s="655"/>
      <c r="E65" s="655"/>
      <c r="F65" s="655"/>
      <c r="G65" s="655"/>
    </row>
    <row r="66" spans="1:7" ht="13.5" customHeight="1" x14ac:dyDescent="0.25">
      <c r="A66" s="654" t="s">
        <v>1055</v>
      </c>
      <c r="B66" s="654"/>
      <c r="C66" s="654"/>
      <c r="D66" s="654"/>
      <c r="E66" s="654"/>
      <c r="F66" s="654"/>
      <c r="G66" s="654"/>
    </row>
    <row r="67" spans="1:7" ht="13.5" customHeight="1" x14ac:dyDescent="0.25">
      <c r="A67" s="654" t="s">
        <v>1056</v>
      </c>
      <c r="B67" s="654"/>
      <c r="C67" s="654"/>
      <c r="D67" s="654"/>
      <c r="E67" s="654"/>
      <c r="F67" s="654"/>
      <c r="G67" s="654"/>
    </row>
    <row r="68" spans="1:7" ht="13.5" customHeight="1" x14ac:dyDescent="0.25">
      <c r="A68" s="654" t="s">
        <v>1057</v>
      </c>
      <c r="B68" s="654"/>
      <c r="C68" s="654"/>
      <c r="D68" s="654"/>
      <c r="E68" s="654"/>
      <c r="F68" s="654"/>
      <c r="G68" s="654"/>
    </row>
    <row r="69" spans="1:7" ht="13.5" customHeight="1" x14ac:dyDescent="0.25">
      <c r="A69" s="654" t="s">
        <v>1058</v>
      </c>
      <c r="B69" s="654"/>
      <c r="C69" s="654"/>
      <c r="D69" s="654"/>
      <c r="E69" s="654"/>
      <c r="F69" s="654"/>
      <c r="G69" s="654"/>
    </row>
    <row r="70" spans="1:7" ht="13.5" customHeight="1" x14ac:dyDescent="0.25">
      <c r="A70" s="654" t="s">
        <v>1059</v>
      </c>
      <c r="B70" s="654"/>
      <c r="C70" s="654"/>
      <c r="D70" s="654"/>
      <c r="E70" s="654"/>
      <c r="F70" s="654"/>
      <c r="G70" s="654"/>
    </row>
    <row r="71" spans="1:7" ht="13.5" customHeight="1" x14ac:dyDescent="0.25">
      <c r="A71" s="654" t="s">
        <v>1060</v>
      </c>
      <c r="B71" s="654"/>
      <c r="C71" s="654"/>
      <c r="D71" s="654"/>
      <c r="E71" s="654"/>
      <c r="F71" s="654"/>
      <c r="G71" s="654"/>
    </row>
    <row r="72" spans="1:7" ht="13.5" customHeight="1" x14ac:dyDescent="0.25">
      <c r="A72" s="654" t="s">
        <v>1061</v>
      </c>
      <c r="B72" s="654"/>
      <c r="C72" s="654"/>
      <c r="D72" s="654"/>
      <c r="E72" s="654"/>
      <c r="F72" s="654"/>
      <c r="G72" s="654"/>
    </row>
  </sheetData>
  <mergeCells count="38">
    <mergeCell ref="A70:G70"/>
    <mergeCell ref="A71:G71"/>
    <mergeCell ref="A72:G72"/>
    <mergeCell ref="A65:G65"/>
    <mergeCell ref="A66:G66"/>
    <mergeCell ref="A67:G67"/>
    <mergeCell ref="A68:G68"/>
    <mergeCell ref="A69:G69"/>
    <mergeCell ref="A59:G59"/>
    <mergeCell ref="A60:G60"/>
    <mergeCell ref="A61:G61"/>
    <mergeCell ref="A62:G62"/>
    <mergeCell ref="A63:G63"/>
    <mergeCell ref="A41:G41"/>
    <mergeCell ref="A42:G42"/>
    <mergeCell ref="A43:G43"/>
    <mergeCell ref="A45:G45"/>
    <mergeCell ref="A57:G57"/>
    <mergeCell ref="B35:G35"/>
    <mergeCell ref="B36:G36"/>
    <mergeCell ref="A38:G38"/>
    <mergeCell ref="A39:G39"/>
    <mergeCell ref="A40:G40"/>
    <mergeCell ref="A30:G30"/>
    <mergeCell ref="B31:G31"/>
    <mergeCell ref="B32:G32"/>
    <mergeCell ref="B33:G33"/>
    <mergeCell ref="B34:G34"/>
    <mergeCell ref="A7:G7"/>
    <mergeCell ref="A8:G8"/>
    <mergeCell ref="A9:G9"/>
    <mergeCell ref="A10:G10"/>
    <mergeCell ref="A12:G12"/>
    <mergeCell ref="A1:G1"/>
    <mergeCell ref="A2:G2"/>
    <mergeCell ref="A4:G4"/>
    <mergeCell ref="A5:G5"/>
    <mergeCell ref="A6:G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8"/>
  <sheetViews>
    <sheetView zoomScaleNormal="100" workbookViewId="0">
      <pane ySplit="16" topLeftCell="A17" activePane="bottomLeft" state="frozen"/>
      <selection pane="bottomLeft" activeCell="O39" sqref="O39"/>
    </sheetView>
  </sheetViews>
  <sheetFormatPr defaultColWidth="8.7109375" defaultRowHeight="15" x14ac:dyDescent="0.25"/>
  <cols>
    <col min="1" max="1" width="11.28515625" style="1" customWidth="1"/>
    <col min="2" max="2" width="8" style="1" customWidth="1"/>
    <col min="3" max="3" width="9" style="1" customWidth="1"/>
    <col min="4" max="4" width="11" style="1" customWidth="1"/>
    <col min="5" max="5" width="6" style="1" customWidth="1"/>
    <col min="6" max="6" width="8" style="1" customWidth="1"/>
    <col min="7" max="7" width="6" style="1" customWidth="1"/>
    <col min="8" max="8" width="9" style="1" customWidth="1"/>
    <col min="9" max="9" width="12" style="1" customWidth="1"/>
    <col min="10" max="10" width="22" style="1" customWidth="1"/>
    <col min="11" max="11" width="6" style="1" customWidth="1"/>
    <col min="12" max="12" width="9" style="1" customWidth="1"/>
    <col min="13" max="13" width="30.28515625" style="1" customWidth="1"/>
    <col min="14" max="14" width="28.5703125" style="1" customWidth="1"/>
    <col min="15" max="15" width="57.140625" style="1" customWidth="1"/>
    <col min="16" max="16" width="14.28515625" customWidth="1"/>
    <col min="17" max="17" width="17.5703125" customWidth="1"/>
    <col min="18" max="18" width="18.28515625" customWidth="1"/>
    <col min="19" max="19" width="13.140625" customWidth="1"/>
    <col min="20" max="20" width="12.28515625" customWidth="1"/>
    <col min="21" max="21" width="12.85546875" customWidth="1"/>
    <col min="22" max="22" width="13.140625" customWidth="1"/>
    <col min="24" max="24" width="23.7109375" customWidth="1"/>
  </cols>
  <sheetData>
    <row r="1" spans="1:24" ht="18.75" customHeight="1" x14ac:dyDescent="0.3">
      <c r="A1" s="381" t="s">
        <v>1062</v>
      </c>
    </row>
    <row r="2" spans="1:24" ht="15" customHeight="1" x14ac:dyDescent="0.25">
      <c r="A2" s="382" t="s">
        <v>1063</v>
      </c>
    </row>
    <row r="4" spans="1:24" ht="15" customHeight="1" x14ac:dyDescent="0.25">
      <c r="A4" s="76" t="s">
        <v>1064</v>
      </c>
      <c r="I4" s="76" t="s">
        <v>1065</v>
      </c>
    </row>
    <row r="5" spans="1:24" ht="15" customHeight="1" x14ac:dyDescent="0.25">
      <c r="A5" s="76" t="s">
        <v>1066</v>
      </c>
      <c r="B5" s="6">
        <f>'Level Engine'!B4</f>
        <v>7775.39</v>
      </c>
      <c r="D5" s="76" t="s">
        <v>1067</v>
      </c>
      <c r="E5" s="1" t="str">
        <f>'King Node Model'!L5</f>
        <v>Low</v>
      </c>
      <c r="F5" s="76" t="s">
        <v>100</v>
      </c>
      <c r="G5" s="1" t="str">
        <f>'King Node Model'!A20</f>
        <v>BUY-LEAN REGIME  -  buy dips per matrix guidance.</v>
      </c>
      <c r="I5" s="336" t="s">
        <v>1068</v>
      </c>
      <c r="J5" s="76">
        <f>COUNTA($F$17:$F$200)</f>
        <v>26</v>
      </c>
    </row>
    <row r="6" spans="1:24" ht="15" customHeight="1" x14ac:dyDescent="0.25">
      <c r="I6" s="336" t="s">
        <v>1069</v>
      </c>
      <c r="J6" s="76">
        <f>COUNTIF($L$17:$L$200,"Held")</f>
        <v>10</v>
      </c>
    </row>
    <row r="7" spans="1:24" ht="15" customHeight="1" x14ac:dyDescent="0.25">
      <c r="A7" s="383" t="s">
        <v>33</v>
      </c>
      <c r="B7" s="383" t="s">
        <v>1070</v>
      </c>
      <c r="C7" s="383" t="s">
        <v>45</v>
      </c>
      <c r="D7" s="383" t="s">
        <v>36</v>
      </c>
      <c r="E7" s="383" t="s">
        <v>37</v>
      </c>
      <c r="F7" s="383" t="s">
        <v>1071</v>
      </c>
      <c r="I7" s="336" t="s">
        <v>1072</v>
      </c>
      <c r="J7" s="76">
        <f>COUNTIF($L$17:$L$200,"Failed")</f>
        <v>6</v>
      </c>
    </row>
    <row r="8" spans="1:24" ht="15" customHeight="1" x14ac:dyDescent="0.25">
      <c r="A8" s="384" t="s">
        <v>1073</v>
      </c>
      <c r="B8" s="385" t="str">
        <f>'Level Engine'!A9</f>
        <v>7800</v>
      </c>
      <c r="C8" s="386">
        <f>'Level Engine'!B9</f>
        <v>-80182</v>
      </c>
      <c r="D8" s="385" t="str">
        <f>'Level Engine'!C9</f>
        <v>Vex Dex Dex↓ Spi Gfx</v>
      </c>
      <c r="E8" s="385">
        <f>'Level Engine'!D9</f>
        <v>5</v>
      </c>
      <c r="F8" s="385" t="str">
        <f>'Level Engine'!F9</f>
        <v>ACCELERANT</v>
      </c>
      <c r="I8" s="76" t="s">
        <v>1074</v>
      </c>
      <c r="J8" s="387">
        <f>COUNTIFS($L$17:$L$200,"Held",$N$17:$N$200,"Ranked too low")</f>
        <v>0</v>
      </c>
    </row>
    <row r="9" spans="1:24" ht="15" customHeight="1" x14ac:dyDescent="0.25">
      <c r="A9" s="384" t="s">
        <v>1075</v>
      </c>
      <c r="B9" s="385" t="str">
        <f>'Level Engine'!A10</f>
        <v>7805</v>
      </c>
      <c r="C9" s="386">
        <f>'Level Engine'!B10</f>
        <v>308525</v>
      </c>
      <c r="D9" s="385" t="str">
        <f>'Level Engine'!C10</f>
        <v>Gxp Gfx oEdge</v>
      </c>
      <c r="E9" s="385">
        <f>'Level Engine'!D10</f>
        <v>3</v>
      </c>
      <c r="F9" s="385" t="str">
        <f>'Level Engine'!F10</f>
        <v>stable</v>
      </c>
      <c r="I9" s="76" t="s">
        <v>1076</v>
      </c>
      <c r="J9" s="387">
        <f>COUNTIFS($L$17:$L$200,"Failed",$N$17:$N$200,"Ranked too high")</f>
        <v>0</v>
      </c>
    </row>
    <row r="10" spans="1:24" ht="15" customHeight="1" x14ac:dyDescent="0.25">
      <c r="A10" s="384" t="s">
        <v>1077</v>
      </c>
      <c r="B10" s="385" t="str">
        <f>'Level Engine'!A11</f>
        <v>7810</v>
      </c>
      <c r="C10" s="386">
        <f>'Level Engine'!B11</f>
        <v>353277</v>
      </c>
      <c r="D10" s="385" t="str">
        <f>'Level Engine'!C11</f>
        <v>Gam Dex↓ Gxp oEdge</v>
      </c>
      <c r="E10" s="385">
        <f>'Level Engine'!D11</f>
        <v>4</v>
      </c>
      <c r="F10" s="385" t="str">
        <f>'Level Engine'!F11</f>
        <v>stable</v>
      </c>
    </row>
    <row r="11" spans="1:24" ht="15" customHeight="1" x14ac:dyDescent="0.25">
      <c r="A11" s="384" t="s">
        <v>1078</v>
      </c>
      <c r="B11" s="385" t="str">
        <f>'Level Engine'!A18</f>
        <v>7775</v>
      </c>
      <c r="C11" s="386">
        <f>'Level Engine'!B18</f>
        <v>-49207</v>
      </c>
      <c r="D11" s="385" t="str">
        <f>'Level Engine'!C18</f>
        <v>iDex Vgf ZG dEdge C-OI</v>
      </c>
      <c r="E11" s="385">
        <f>'Level Engine'!D18</f>
        <v>5</v>
      </c>
      <c r="F11" s="385" t="str">
        <f>'Level Engine'!F18</f>
        <v>stable</v>
      </c>
      <c r="I11" s="388" t="s">
        <v>1079</v>
      </c>
    </row>
    <row r="12" spans="1:24" ht="15" customHeight="1" x14ac:dyDescent="0.25">
      <c r="A12" s="384" t="s">
        <v>1080</v>
      </c>
      <c r="B12" s="385" t="str">
        <f>'Level Engine'!A19</f>
        <v>7765</v>
      </c>
      <c r="C12" s="386">
        <f>'Level Engine'!B19</f>
        <v>-1477513</v>
      </c>
      <c r="D12" s="385" t="str">
        <f>'Level Engine'!C19</f>
        <v>Zom Dex↓ Zsh P-OI</v>
      </c>
      <c r="E12" s="385">
        <f>'Level Engine'!D19</f>
        <v>4</v>
      </c>
      <c r="F12" s="385" t="str">
        <f>'Level Engine'!F19</f>
        <v>stable</v>
      </c>
    </row>
    <row r="13" spans="1:24" ht="15" customHeight="1" x14ac:dyDescent="0.25">
      <c r="A13" s="384" t="s">
        <v>1081</v>
      </c>
      <c r="B13" s="385" t="str">
        <f>'Level Engine'!A20</f>
        <v>7750</v>
      </c>
      <c r="C13" s="386">
        <f>'Level Engine'!B20</f>
        <v>-1614015</v>
      </c>
      <c r="D13" s="385" t="str">
        <f>'Level Engine'!C20</f>
        <v>Gam Dex Dex↓</v>
      </c>
      <c r="E13" s="385">
        <f>'Level Engine'!D20</f>
        <v>3</v>
      </c>
      <c r="F13" s="385" t="str">
        <f>'Level Engine'!F20</f>
        <v>ACCELERANT</v>
      </c>
    </row>
    <row r="15" spans="1:24" ht="15" customHeight="1" x14ac:dyDescent="0.25">
      <c r="A15" s="76" t="s">
        <v>1082</v>
      </c>
    </row>
    <row r="16" spans="1:24" ht="30" customHeight="1" x14ac:dyDescent="0.25">
      <c r="A16" s="389" t="s">
        <v>1083</v>
      </c>
      <c r="B16" s="389" t="s">
        <v>191</v>
      </c>
      <c r="C16" s="389" t="s">
        <v>123</v>
      </c>
      <c r="D16" s="389" t="s">
        <v>9</v>
      </c>
      <c r="E16" s="389" t="s">
        <v>204</v>
      </c>
      <c r="F16" s="389" t="s">
        <v>33</v>
      </c>
      <c r="G16" s="389" t="s">
        <v>46</v>
      </c>
      <c r="H16" s="389" t="s">
        <v>1622</v>
      </c>
      <c r="I16" s="389" t="s">
        <v>45</v>
      </c>
      <c r="J16" s="389" t="s">
        <v>1623</v>
      </c>
      <c r="K16" s="389" t="s">
        <v>37</v>
      </c>
      <c r="L16" s="389" t="s">
        <v>1085</v>
      </c>
      <c r="M16" s="389" t="s">
        <v>143</v>
      </c>
      <c r="N16" s="389" t="s">
        <v>1624</v>
      </c>
      <c r="O16" s="389" t="s">
        <v>939</v>
      </c>
      <c r="P16" s="389" t="s">
        <v>5</v>
      </c>
      <c r="Q16" s="389" t="s">
        <v>13</v>
      </c>
      <c r="R16" s="389" t="s">
        <v>1625</v>
      </c>
      <c r="S16" s="389" t="s">
        <v>1626</v>
      </c>
      <c r="T16" s="389" t="s">
        <v>1627</v>
      </c>
      <c r="U16" s="389" t="s">
        <v>1628</v>
      </c>
      <c r="V16" s="389" t="s">
        <v>1629</v>
      </c>
      <c r="W16" s="389" t="s">
        <v>1659</v>
      </c>
      <c r="X16" s="389" t="s">
        <v>1660</v>
      </c>
    </row>
    <row r="17" spans="1:24" ht="105" customHeight="1" x14ac:dyDescent="0.25">
      <c r="A17" s="390" t="s">
        <v>1630</v>
      </c>
      <c r="B17" s="390" t="s">
        <v>1631</v>
      </c>
      <c r="C17" s="390">
        <v>7663.42</v>
      </c>
      <c r="D17" s="390" t="s">
        <v>1632</v>
      </c>
      <c r="E17" s="390" t="s">
        <v>225</v>
      </c>
      <c r="F17" s="390">
        <v>7660</v>
      </c>
      <c r="G17" s="390" t="s">
        <v>1633</v>
      </c>
      <c r="H17" s="390" t="s">
        <v>1634</v>
      </c>
      <c r="I17" s="390">
        <v>192334</v>
      </c>
      <c r="J17" s="390" t="s">
        <v>1635</v>
      </c>
      <c r="K17" s="390">
        <v>6</v>
      </c>
      <c r="L17" s="390" t="s">
        <v>1086</v>
      </c>
      <c r="M17" s="391" t="s">
        <v>1636</v>
      </c>
      <c r="N17" s="391" t="s">
        <v>1637</v>
      </c>
      <c r="O17" s="391" t="s">
        <v>1638</v>
      </c>
      <c r="P17" s="391" t="s">
        <v>1639</v>
      </c>
      <c r="Q17" s="391" t="s">
        <v>1640</v>
      </c>
      <c r="R17" s="391" t="s">
        <v>1641</v>
      </c>
      <c r="S17" s="391" t="s">
        <v>1642</v>
      </c>
      <c r="T17" s="391" t="s">
        <v>1643</v>
      </c>
      <c r="U17" s="391" t="s">
        <v>1644</v>
      </c>
      <c r="V17" s="391" t="s">
        <v>1645</v>
      </c>
      <c r="W17" s="390" t="s">
        <v>1661</v>
      </c>
      <c r="X17" s="391" t="s">
        <v>1662</v>
      </c>
    </row>
    <row r="18" spans="1:24" ht="105" customHeight="1" x14ac:dyDescent="0.25">
      <c r="A18" s="390" t="s">
        <v>1630</v>
      </c>
      <c r="B18" s="390" t="s">
        <v>1646</v>
      </c>
      <c r="C18" s="390">
        <v>7696.39</v>
      </c>
      <c r="D18" s="390" t="s">
        <v>1647</v>
      </c>
      <c r="E18" s="390" t="s">
        <v>225</v>
      </c>
      <c r="F18" s="390">
        <v>7700</v>
      </c>
      <c r="G18" s="390" t="s">
        <v>1648</v>
      </c>
      <c r="H18" s="390" t="s">
        <v>1634</v>
      </c>
      <c r="I18" s="390">
        <v>3406579</v>
      </c>
      <c r="J18" s="390" t="s">
        <v>1649</v>
      </c>
      <c r="K18" s="390">
        <v>5</v>
      </c>
      <c r="L18" s="390" t="s">
        <v>1086</v>
      </c>
      <c r="M18" s="391" t="s">
        <v>1650</v>
      </c>
      <c r="N18" s="391" t="s">
        <v>1651</v>
      </c>
      <c r="O18" s="391" t="s">
        <v>1652</v>
      </c>
      <c r="P18" s="391" t="s">
        <v>1639</v>
      </c>
      <c r="Q18" s="391" t="s">
        <v>1653</v>
      </c>
      <c r="R18" s="391" t="s">
        <v>1654</v>
      </c>
      <c r="S18" s="391" t="s">
        <v>1655</v>
      </c>
      <c r="T18" s="391" t="s">
        <v>1656</v>
      </c>
      <c r="U18" s="391" t="s">
        <v>1657</v>
      </c>
      <c r="V18" s="391" t="s">
        <v>1658</v>
      </c>
      <c r="W18" s="390" t="s">
        <v>1661</v>
      </c>
      <c r="X18" s="391" t="s">
        <v>1663</v>
      </c>
    </row>
    <row r="19" spans="1:24" ht="105" customHeight="1" x14ac:dyDescent="0.25">
      <c r="A19" s="390" t="s">
        <v>1664</v>
      </c>
      <c r="B19" s="390" t="s">
        <v>1665</v>
      </c>
      <c r="C19" s="390">
        <v>7651.31</v>
      </c>
      <c r="D19" s="390" t="s">
        <v>1632</v>
      </c>
      <c r="E19" s="390" t="s">
        <v>225</v>
      </c>
      <c r="F19" s="390">
        <v>7640</v>
      </c>
      <c r="G19" s="390" t="s">
        <v>1633</v>
      </c>
      <c r="H19" s="390" t="s">
        <v>1634</v>
      </c>
      <c r="I19" s="390">
        <v>1668163</v>
      </c>
      <c r="J19" s="390" t="s">
        <v>1666</v>
      </c>
      <c r="K19" s="390">
        <v>6</v>
      </c>
      <c r="L19" s="390" t="s">
        <v>1086</v>
      </c>
      <c r="M19" s="391" t="s">
        <v>1667</v>
      </c>
      <c r="N19" s="391" t="s">
        <v>1668</v>
      </c>
      <c r="O19" s="391" t="s">
        <v>1669</v>
      </c>
      <c r="P19" s="391" t="s">
        <v>1670</v>
      </c>
      <c r="Q19" s="391" t="s">
        <v>1671</v>
      </c>
      <c r="R19" s="391" t="s">
        <v>1672</v>
      </c>
      <c r="S19" s="391" t="s">
        <v>1673</v>
      </c>
      <c r="T19" s="391" t="s">
        <v>1674</v>
      </c>
      <c r="U19" s="391" t="s">
        <v>1675</v>
      </c>
      <c r="V19" s="391" t="s">
        <v>1676</v>
      </c>
      <c r="W19" s="391" t="s">
        <v>1677</v>
      </c>
      <c r="X19" s="391" t="s">
        <v>1678</v>
      </c>
    </row>
    <row r="20" spans="1:24" ht="105" customHeight="1" x14ac:dyDescent="0.25">
      <c r="A20" s="390" t="s">
        <v>1664</v>
      </c>
      <c r="B20" s="390" t="s">
        <v>1679</v>
      </c>
      <c r="C20" s="390">
        <v>7666.7</v>
      </c>
      <c r="D20" s="390" t="s">
        <v>1632</v>
      </c>
      <c r="E20" s="390" t="s">
        <v>225</v>
      </c>
      <c r="F20" s="390">
        <v>7670</v>
      </c>
      <c r="G20" s="390" t="s">
        <v>1648</v>
      </c>
      <c r="H20" s="390" t="s">
        <v>1634</v>
      </c>
      <c r="I20" s="390">
        <v>2821451</v>
      </c>
      <c r="J20" s="390" t="s">
        <v>1666</v>
      </c>
      <c r="K20" s="390">
        <v>7</v>
      </c>
      <c r="L20" s="390" t="s">
        <v>1086</v>
      </c>
      <c r="M20" s="391" t="s">
        <v>1680</v>
      </c>
      <c r="N20" s="391" t="s">
        <v>1681</v>
      </c>
      <c r="O20" s="391" t="s">
        <v>1682</v>
      </c>
      <c r="P20" s="391" t="s">
        <v>1670</v>
      </c>
      <c r="Q20" s="391" t="s">
        <v>1683</v>
      </c>
      <c r="R20" s="391" t="s">
        <v>1684</v>
      </c>
      <c r="S20" s="391" t="s">
        <v>1685</v>
      </c>
      <c r="T20" s="391" t="s">
        <v>1686</v>
      </c>
      <c r="U20" s="391" t="s">
        <v>1687</v>
      </c>
      <c r="V20" s="391" t="s">
        <v>1688</v>
      </c>
      <c r="W20" s="391" t="s">
        <v>1661</v>
      </c>
      <c r="X20" s="391" t="s">
        <v>1689</v>
      </c>
    </row>
    <row r="21" spans="1:24" ht="105" customHeight="1" x14ac:dyDescent="0.25">
      <c r="A21" s="390" t="s">
        <v>1664</v>
      </c>
      <c r="B21" s="390" t="s">
        <v>1690</v>
      </c>
      <c r="C21" s="390">
        <v>7648.93</v>
      </c>
      <c r="D21" s="390" t="s">
        <v>1632</v>
      </c>
      <c r="E21" s="390" t="s">
        <v>225</v>
      </c>
      <c r="F21" s="390">
        <v>7650</v>
      </c>
      <c r="G21" s="390" t="s">
        <v>1633</v>
      </c>
      <c r="H21" s="390" t="s">
        <v>1634</v>
      </c>
      <c r="I21" s="390">
        <v>5333421</v>
      </c>
      <c r="J21" s="390" t="s">
        <v>1666</v>
      </c>
      <c r="K21" s="390">
        <v>4</v>
      </c>
      <c r="L21" s="390" t="s">
        <v>1086</v>
      </c>
      <c r="M21" s="391" t="s">
        <v>1691</v>
      </c>
      <c r="N21" s="391" t="s">
        <v>1692</v>
      </c>
      <c r="O21" s="391" t="s">
        <v>1693</v>
      </c>
      <c r="P21" s="391" t="s">
        <v>1670</v>
      </c>
      <c r="Q21" s="391" t="s">
        <v>1694</v>
      </c>
      <c r="R21" s="391" t="s">
        <v>1695</v>
      </c>
      <c r="S21" s="391" t="s">
        <v>1696</v>
      </c>
      <c r="T21" s="391" t="s">
        <v>1697</v>
      </c>
      <c r="U21" s="391" t="s">
        <v>1698</v>
      </c>
      <c r="V21" s="391" t="s">
        <v>1699</v>
      </c>
      <c r="W21" s="391" t="s">
        <v>1661</v>
      </c>
      <c r="X21" s="391" t="s">
        <v>1700</v>
      </c>
    </row>
    <row r="22" spans="1:24" ht="105" customHeight="1" x14ac:dyDescent="0.25">
      <c r="A22" s="390" t="s">
        <v>1701</v>
      </c>
      <c r="B22" s="390" t="s">
        <v>1702</v>
      </c>
      <c r="C22" s="390">
        <v>7660.31</v>
      </c>
      <c r="D22" s="390" t="s">
        <v>1703</v>
      </c>
      <c r="E22" s="390" t="s">
        <v>225</v>
      </c>
      <c r="F22" s="390">
        <v>7660</v>
      </c>
      <c r="G22" s="390" t="s">
        <v>1633</v>
      </c>
      <c r="H22" s="390" t="s">
        <v>1634</v>
      </c>
      <c r="I22" s="390">
        <v>2835172</v>
      </c>
      <c r="J22" s="390" t="s">
        <v>1666</v>
      </c>
      <c r="K22" s="390">
        <v>4</v>
      </c>
      <c r="L22" s="390" t="s">
        <v>1086</v>
      </c>
      <c r="M22" s="391" t="s">
        <v>1704</v>
      </c>
      <c r="N22" s="391" t="s">
        <v>1705</v>
      </c>
      <c r="O22" s="391" t="s">
        <v>1706</v>
      </c>
      <c r="P22" s="391" t="s">
        <v>600</v>
      </c>
      <c r="Q22" s="391" t="s">
        <v>1707</v>
      </c>
      <c r="R22" s="391" t="s">
        <v>1708</v>
      </c>
      <c r="S22" s="391" t="s">
        <v>1709</v>
      </c>
      <c r="T22" s="391" t="s">
        <v>1710</v>
      </c>
      <c r="U22" s="391" t="s">
        <v>1711</v>
      </c>
      <c r="V22" s="391" t="s">
        <v>1712</v>
      </c>
      <c r="W22" s="391" t="s">
        <v>1661</v>
      </c>
      <c r="X22" s="391" t="s">
        <v>1713</v>
      </c>
    </row>
    <row r="23" spans="1:24" ht="105" customHeight="1" x14ac:dyDescent="0.25">
      <c r="A23" s="390" t="s">
        <v>1701</v>
      </c>
      <c r="B23" s="390" t="s">
        <v>1714</v>
      </c>
      <c r="C23" s="390">
        <v>7675.06</v>
      </c>
      <c r="D23" s="390" t="s">
        <v>1703</v>
      </c>
      <c r="E23" s="390" t="s">
        <v>225</v>
      </c>
      <c r="F23" s="390">
        <v>7675</v>
      </c>
      <c r="G23" s="390" t="s">
        <v>1648</v>
      </c>
      <c r="H23" s="390" t="s">
        <v>1634</v>
      </c>
      <c r="I23" s="390">
        <v>3890723</v>
      </c>
      <c r="J23" s="390" t="s">
        <v>1715</v>
      </c>
      <c r="K23" s="390">
        <v>5</v>
      </c>
      <c r="L23" s="390" t="s">
        <v>1086</v>
      </c>
      <c r="M23" s="391" t="s">
        <v>1716</v>
      </c>
      <c r="N23" s="391" t="s">
        <v>1717</v>
      </c>
      <c r="O23" s="391" t="s">
        <v>1718</v>
      </c>
      <c r="P23" s="391" t="s">
        <v>1719</v>
      </c>
      <c r="Q23" s="391" t="s">
        <v>1720</v>
      </c>
      <c r="R23" s="391" t="s">
        <v>1721</v>
      </c>
      <c r="S23" s="391" t="s">
        <v>1722</v>
      </c>
      <c r="T23" s="391" t="s">
        <v>1723</v>
      </c>
      <c r="U23" s="391" t="s">
        <v>1724</v>
      </c>
      <c r="V23" s="391" t="s">
        <v>1725</v>
      </c>
      <c r="W23" s="391" t="s">
        <v>1661</v>
      </c>
      <c r="X23" s="391" t="s">
        <v>1726</v>
      </c>
    </row>
    <row r="24" spans="1:24" ht="105" customHeight="1" x14ac:dyDescent="0.25">
      <c r="A24" s="390" t="s">
        <v>1701</v>
      </c>
      <c r="B24" s="390" t="s">
        <v>1727</v>
      </c>
      <c r="C24" s="390">
        <v>7675.62</v>
      </c>
      <c r="D24" s="390" t="s">
        <v>1703</v>
      </c>
      <c r="E24" s="390" t="s">
        <v>225</v>
      </c>
      <c r="F24" s="390">
        <v>7675</v>
      </c>
      <c r="G24" s="390" t="s">
        <v>1648</v>
      </c>
      <c r="H24" s="390" t="s">
        <v>1634</v>
      </c>
      <c r="I24" s="390">
        <v>6036741</v>
      </c>
      <c r="J24" s="390" t="s">
        <v>1728</v>
      </c>
      <c r="K24" s="390">
        <v>4</v>
      </c>
      <c r="L24" s="390" t="s">
        <v>1086</v>
      </c>
      <c r="M24" s="391" t="s">
        <v>1729</v>
      </c>
      <c r="N24" s="391" t="s">
        <v>1730</v>
      </c>
      <c r="O24" s="391" t="s">
        <v>1731</v>
      </c>
      <c r="P24" s="391" t="s">
        <v>1732</v>
      </c>
      <c r="Q24" s="391" t="s">
        <v>1733</v>
      </c>
      <c r="R24" s="391" t="s">
        <v>1734</v>
      </c>
      <c r="S24" s="391" t="s">
        <v>1735</v>
      </c>
      <c r="T24" s="391" t="s">
        <v>1736</v>
      </c>
      <c r="U24" s="391" t="s">
        <v>1737</v>
      </c>
      <c r="V24" s="391" t="s">
        <v>1738</v>
      </c>
      <c r="W24" s="391" t="s">
        <v>1661</v>
      </c>
      <c r="X24" s="391" t="s">
        <v>1739</v>
      </c>
    </row>
    <row r="25" spans="1:24" ht="120" customHeight="1" x14ac:dyDescent="0.25">
      <c r="A25" s="390" t="s">
        <v>1701</v>
      </c>
      <c r="B25" s="390" t="s">
        <v>1740</v>
      </c>
      <c r="C25" s="390">
        <v>7674.07</v>
      </c>
      <c r="D25" s="390" t="s">
        <v>1703</v>
      </c>
      <c r="E25" s="390" t="s">
        <v>225</v>
      </c>
      <c r="F25" s="390">
        <v>7675</v>
      </c>
      <c r="G25" s="390" t="s">
        <v>1633</v>
      </c>
      <c r="H25" s="390" t="s">
        <v>1741</v>
      </c>
      <c r="I25" s="390">
        <v>2277245</v>
      </c>
      <c r="J25" s="390" t="s">
        <v>1715</v>
      </c>
      <c r="K25" s="390">
        <v>5</v>
      </c>
      <c r="L25" s="390" t="s">
        <v>1742</v>
      </c>
      <c r="M25" s="391" t="s">
        <v>1743</v>
      </c>
      <c r="N25" s="391" t="s">
        <v>1744</v>
      </c>
      <c r="O25" s="391" t="s">
        <v>1745</v>
      </c>
      <c r="P25" s="391" t="s">
        <v>1746</v>
      </c>
      <c r="Q25" s="391" t="s">
        <v>1747</v>
      </c>
      <c r="R25" s="391" t="s">
        <v>1748</v>
      </c>
      <c r="S25" s="391" t="s">
        <v>1749</v>
      </c>
      <c r="T25" s="391" t="s">
        <v>1750</v>
      </c>
      <c r="U25" s="391" t="s">
        <v>1751</v>
      </c>
      <c r="V25" s="391" t="s">
        <v>1752</v>
      </c>
      <c r="W25" s="391" t="s">
        <v>1753</v>
      </c>
      <c r="X25" s="391" t="s">
        <v>1754</v>
      </c>
    </row>
    <row r="26" spans="1:24" s="33" customFormat="1" ht="120" customHeight="1" x14ac:dyDescent="0.25">
      <c r="A26" s="390" t="s">
        <v>1755</v>
      </c>
      <c r="B26" s="390" t="s">
        <v>1756</v>
      </c>
      <c r="C26" s="390">
        <v>7679.48</v>
      </c>
      <c r="D26" s="390" t="s">
        <v>1703</v>
      </c>
      <c r="E26" s="390" t="s">
        <v>225</v>
      </c>
      <c r="F26" s="390">
        <v>7675</v>
      </c>
      <c r="G26" s="390" t="s">
        <v>1633</v>
      </c>
      <c r="H26" s="390" t="s">
        <v>1757</v>
      </c>
      <c r="I26" s="390">
        <v>5113332</v>
      </c>
      <c r="J26" s="390" t="s">
        <v>1004</v>
      </c>
      <c r="K26" s="390">
        <v>4</v>
      </c>
      <c r="L26" s="390" t="s">
        <v>1742</v>
      </c>
      <c r="M26" s="391" t="s">
        <v>1758</v>
      </c>
      <c r="N26" s="391" t="s">
        <v>1759</v>
      </c>
      <c r="O26" s="391" t="s">
        <v>1760</v>
      </c>
      <c r="P26" s="391" t="s">
        <v>1732</v>
      </c>
      <c r="Q26" s="391" t="s">
        <v>1761</v>
      </c>
      <c r="R26" s="391" t="s">
        <v>1762</v>
      </c>
      <c r="S26" s="391" t="s">
        <v>1763</v>
      </c>
      <c r="T26" s="391" t="s">
        <v>1764</v>
      </c>
      <c r="U26" s="391" t="s">
        <v>1765</v>
      </c>
      <c r="V26" s="391" t="s">
        <v>1766</v>
      </c>
      <c r="W26" s="391" t="s">
        <v>1661</v>
      </c>
      <c r="X26" s="391" t="s">
        <v>1767</v>
      </c>
    </row>
    <row r="27" spans="1:24" s="33" customFormat="1" ht="120" customHeight="1" x14ac:dyDescent="0.25">
      <c r="A27" s="390" t="s">
        <v>1755</v>
      </c>
      <c r="B27" s="390" t="s">
        <v>1768</v>
      </c>
      <c r="C27" s="390">
        <v>7669.83</v>
      </c>
      <c r="D27" s="390" t="s">
        <v>1632</v>
      </c>
      <c r="E27" s="390" t="s">
        <v>225</v>
      </c>
      <c r="F27" s="390">
        <v>7670</v>
      </c>
      <c r="G27" s="390" t="s">
        <v>1633</v>
      </c>
      <c r="H27" s="390" t="s">
        <v>1661</v>
      </c>
      <c r="I27" s="390">
        <v>4971251</v>
      </c>
      <c r="J27" s="390" t="s">
        <v>1004</v>
      </c>
      <c r="K27" s="390">
        <v>6</v>
      </c>
      <c r="L27" s="390" t="s">
        <v>1769</v>
      </c>
      <c r="M27" s="391" t="s">
        <v>1770</v>
      </c>
      <c r="N27" s="391" t="s">
        <v>1771</v>
      </c>
      <c r="O27" s="391" t="s">
        <v>1772</v>
      </c>
      <c r="P27" s="391" t="s">
        <v>1773</v>
      </c>
      <c r="Q27" s="391" t="s">
        <v>1774</v>
      </c>
      <c r="R27" s="391" t="s">
        <v>1775</v>
      </c>
      <c r="S27" s="391" t="s">
        <v>1776</v>
      </c>
      <c r="T27" s="391" t="s">
        <v>1777</v>
      </c>
      <c r="U27" s="391" t="s">
        <v>1778</v>
      </c>
      <c r="V27" s="391" t="s">
        <v>1779</v>
      </c>
      <c r="W27" s="391" t="s">
        <v>1661</v>
      </c>
      <c r="X27" s="391" t="s">
        <v>1780</v>
      </c>
    </row>
    <row r="28" spans="1:24" s="33" customFormat="1" ht="120" customHeight="1" x14ac:dyDescent="0.25">
      <c r="A28" s="390" t="s">
        <v>1755</v>
      </c>
      <c r="B28" s="390" t="s">
        <v>1781</v>
      </c>
      <c r="C28" s="390">
        <v>7677.13</v>
      </c>
      <c r="D28" s="390" t="s">
        <v>1703</v>
      </c>
      <c r="E28" s="390" t="s">
        <v>225</v>
      </c>
      <c r="F28" s="390">
        <v>7680</v>
      </c>
      <c r="G28" s="390" t="s">
        <v>1648</v>
      </c>
      <c r="H28" s="390" t="s">
        <v>1661</v>
      </c>
      <c r="I28" s="390">
        <v>8287011</v>
      </c>
      <c r="J28" s="390" t="s">
        <v>1782</v>
      </c>
      <c r="K28" s="390">
        <v>4</v>
      </c>
      <c r="L28" s="390" t="s">
        <v>1783</v>
      </c>
      <c r="M28" s="391" t="s">
        <v>1784</v>
      </c>
      <c r="N28" s="391" t="s">
        <v>1785</v>
      </c>
      <c r="O28" s="391" t="s">
        <v>1786</v>
      </c>
      <c r="P28" s="391" t="s">
        <v>1732</v>
      </c>
      <c r="Q28" s="391" t="s">
        <v>1787</v>
      </c>
      <c r="R28" s="391" t="s">
        <v>1788</v>
      </c>
      <c r="S28" s="391" t="s">
        <v>1789</v>
      </c>
      <c r="T28" s="391" t="s">
        <v>1790</v>
      </c>
      <c r="U28" s="391" t="s">
        <v>1791</v>
      </c>
      <c r="V28" s="391" t="s">
        <v>1792</v>
      </c>
      <c r="W28" s="391" t="s">
        <v>1661</v>
      </c>
      <c r="X28" s="391" t="s">
        <v>1793</v>
      </c>
    </row>
    <row r="29" spans="1:24" s="33" customFormat="1" ht="120" customHeight="1" x14ac:dyDescent="0.25">
      <c r="A29" s="390" t="s">
        <v>1755</v>
      </c>
      <c r="B29" s="390" t="s">
        <v>1794</v>
      </c>
      <c r="C29" s="390">
        <v>7671.58</v>
      </c>
      <c r="D29" s="390" t="s">
        <v>1632</v>
      </c>
      <c r="E29" s="390" t="s">
        <v>225</v>
      </c>
      <c r="F29" s="390">
        <v>7670</v>
      </c>
      <c r="G29" s="390" t="s">
        <v>1633</v>
      </c>
      <c r="H29" s="390" t="s">
        <v>1661</v>
      </c>
      <c r="I29" s="390">
        <v>6893043</v>
      </c>
      <c r="J29" s="390" t="s">
        <v>1004</v>
      </c>
      <c r="K29" s="390">
        <v>7</v>
      </c>
      <c r="L29" s="390" t="s">
        <v>1769</v>
      </c>
      <c r="M29" s="391" t="s">
        <v>1795</v>
      </c>
      <c r="N29" s="391" t="s">
        <v>1796</v>
      </c>
      <c r="O29" s="391" t="s">
        <v>1797</v>
      </c>
      <c r="P29" s="391" t="s">
        <v>1773</v>
      </c>
      <c r="Q29" s="391" t="s">
        <v>1761</v>
      </c>
      <c r="R29" s="391" t="s">
        <v>1798</v>
      </c>
      <c r="S29" s="391" t="s">
        <v>1799</v>
      </c>
      <c r="T29" s="391" t="s">
        <v>1800</v>
      </c>
      <c r="U29" s="391" t="s">
        <v>1801</v>
      </c>
      <c r="V29" s="391" t="s">
        <v>1802</v>
      </c>
      <c r="W29" s="391" t="s">
        <v>1661</v>
      </c>
      <c r="X29" s="391" t="s">
        <v>1803</v>
      </c>
    </row>
    <row r="30" spans="1:24" s="33" customFormat="1" ht="120" customHeight="1" x14ac:dyDescent="0.25">
      <c r="A30" s="390" t="s">
        <v>1755</v>
      </c>
      <c r="B30" s="390" t="s">
        <v>1804</v>
      </c>
      <c r="C30" s="390">
        <v>7678.47</v>
      </c>
      <c r="D30" s="390" t="s">
        <v>1703</v>
      </c>
      <c r="E30" s="390" t="s">
        <v>225</v>
      </c>
      <c r="F30" s="390">
        <v>7680</v>
      </c>
      <c r="G30" s="390" t="s">
        <v>1648</v>
      </c>
      <c r="H30" s="390" t="s">
        <v>1661</v>
      </c>
      <c r="I30" s="390">
        <v>9282499</v>
      </c>
      <c r="J30" s="390" t="s">
        <v>1782</v>
      </c>
      <c r="K30" s="390">
        <v>5</v>
      </c>
      <c r="L30" s="390" t="s">
        <v>1805</v>
      </c>
      <c r="M30" s="391" t="s">
        <v>1806</v>
      </c>
      <c r="N30" s="391" t="s">
        <v>1807</v>
      </c>
      <c r="O30" s="391" t="s">
        <v>1808</v>
      </c>
      <c r="P30" s="391" t="s">
        <v>1719</v>
      </c>
      <c r="Q30" s="391" t="s">
        <v>1809</v>
      </c>
      <c r="R30" s="391" t="s">
        <v>1810</v>
      </c>
      <c r="S30" s="391" t="s">
        <v>1811</v>
      </c>
      <c r="T30" s="391" t="s">
        <v>1812</v>
      </c>
      <c r="U30" s="391" t="s">
        <v>1813</v>
      </c>
      <c r="V30" s="391" t="s">
        <v>1814</v>
      </c>
      <c r="W30" s="391" t="s">
        <v>1661</v>
      </c>
      <c r="X30" s="391" t="s">
        <v>1815</v>
      </c>
    </row>
    <row r="31" spans="1:24" s="33" customFormat="1" ht="120" customHeight="1" x14ac:dyDescent="0.25">
      <c r="A31" s="390" t="s">
        <v>1755</v>
      </c>
      <c r="B31" s="390" t="s">
        <v>1816</v>
      </c>
      <c r="C31" s="390">
        <v>7670.81</v>
      </c>
      <c r="D31" s="390" t="s">
        <v>1632</v>
      </c>
      <c r="E31" s="390" t="s">
        <v>225</v>
      </c>
      <c r="F31" s="390">
        <v>7670</v>
      </c>
      <c r="G31" s="390" t="s">
        <v>1633</v>
      </c>
      <c r="H31" s="390" t="s">
        <v>1661</v>
      </c>
      <c r="I31" s="390">
        <v>7064631</v>
      </c>
      <c r="J31" s="390" t="s">
        <v>1004</v>
      </c>
      <c r="K31" s="390">
        <v>6</v>
      </c>
      <c r="L31" s="390" t="s">
        <v>1817</v>
      </c>
      <c r="M31" s="391" t="s">
        <v>1818</v>
      </c>
      <c r="N31" s="391" t="s">
        <v>1819</v>
      </c>
      <c r="O31" s="391" t="s">
        <v>1820</v>
      </c>
      <c r="P31" s="391" t="s">
        <v>1773</v>
      </c>
      <c r="Q31" s="391" t="s">
        <v>1821</v>
      </c>
      <c r="R31" s="391" t="s">
        <v>1822</v>
      </c>
      <c r="S31" s="391" t="s">
        <v>1823</v>
      </c>
      <c r="T31" s="391" t="s">
        <v>1824</v>
      </c>
      <c r="U31" s="391" t="s">
        <v>1825</v>
      </c>
      <c r="V31" s="391" t="s">
        <v>1826</v>
      </c>
      <c r="W31" s="391" t="s">
        <v>1661</v>
      </c>
      <c r="X31" s="391" t="s">
        <v>1827</v>
      </c>
    </row>
    <row r="32" spans="1:24" s="33" customFormat="1" ht="120" customHeight="1" x14ac:dyDescent="0.25">
      <c r="A32" s="390" t="s">
        <v>1755</v>
      </c>
      <c r="B32" s="390" t="s">
        <v>1828</v>
      </c>
      <c r="C32" s="390">
        <v>7662.67</v>
      </c>
      <c r="D32" s="390" t="s">
        <v>1632</v>
      </c>
      <c r="E32" s="390" t="s">
        <v>225</v>
      </c>
      <c r="F32" s="390">
        <v>7660</v>
      </c>
      <c r="G32" s="390" t="s">
        <v>1633</v>
      </c>
      <c r="H32" s="390" t="s">
        <v>1661</v>
      </c>
      <c r="I32" s="390">
        <v>4741682</v>
      </c>
      <c r="J32" s="390" t="s">
        <v>1666</v>
      </c>
      <c r="K32" s="390">
        <v>6</v>
      </c>
      <c r="L32" s="390" t="s">
        <v>1086</v>
      </c>
      <c r="M32" s="391" t="s">
        <v>1829</v>
      </c>
      <c r="N32" s="391" t="s">
        <v>1830</v>
      </c>
      <c r="O32" s="391" t="s">
        <v>1831</v>
      </c>
      <c r="P32" s="391" t="s">
        <v>1773</v>
      </c>
      <c r="Q32" s="391" t="s">
        <v>1832</v>
      </c>
      <c r="R32" s="391" t="s">
        <v>1833</v>
      </c>
      <c r="S32" s="391" t="s">
        <v>1834</v>
      </c>
      <c r="T32" s="391" t="s">
        <v>1835</v>
      </c>
      <c r="U32" s="391" t="s">
        <v>1836</v>
      </c>
      <c r="V32" s="391" t="s">
        <v>1837</v>
      </c>
      <c r="W32" s="391" t="s">
        <v>1661</v>
      </c>
      <c r="X32" s="391" t="s">
        <v>1838</v>
      </c>
    </row>
    <row r="33" spans="1:24" s="33" customFormat="1" ht="120" customHeight="1" x14ac:dyDescent="0.25">
      <c r="A33" s="390" t="s">
        <v>1839</v>
      </c>
      <c r="B33" s="390" t="s">
        <v>1840</v>
      </c>
      <c r="C33" s="390">
        <v>7697.69</v>
      </c>
      <c r="D33" s="390" t="s">
        <v>1703</v>
      </c>
      <c r="E33" s="390" t="s">
        <v>225</v>
      </c>
      <c r="F33" s="390">
        <v>7700</v>
      </c>
      <c r="G33" s="390" t="s">
        <v>1648</v>
      </c>
      <c r="H33" s="390" t="s">
        <v>1661</v>
      </c>
      <c r="I33" s="390">
        <v>4343417</v>
      </c>
      <c r="J33" s="390" t="s">
        <v>1004</v>
      </c>
      <c r="K33" s="390">
        <v>4</v>
      </c>
      <c r="L33" s="390" t="s">
        <v>1841</v>
      </c>
      <c r="M33" s="391" t="s">
        <v>1842</v>
      </c>
      <c r="N33" s="391" t="s">
        <v>1843</v>
      </c>
      <c r="O33" s="391" t="s">
        <v>1844</v>
      </c>
      <c r="P33" s="391" t="s">
        <v>1845</v>
      </c>
      <c r="Q33" s="391" t="s">
        <v>1846</v>
      </c>
      <c r="R33" s="391" t="s">
        <v>1847</v>
      </c>
      <c r="S33" s="391" t="s">
        <v>1848</v>
      </c>
      <c r="T33" s="391" t="s">
        <v>1849</v>
      </c>
      <c r="U33" s="391" t="s">
        <v>1850</v>
      </c>
      <c r="V33" s="391" t="s">
        <v>1851</v>
      </c>
      <c r="W33" s="391" t="s">
        <v>1661</v>
      </c>
      <c r="X33" s="391" t="s">
        <v>1852</v>
      </c>
    </row>
    <row r="34" spans="1:24" s="33" customFormat="1" ht="120" customHeight="1" x14ac:dyDescent="0.25">
      <c r="A34" s="390" t="s">
        <v>1839</v>
      </c>
      <c r="B34" s="390" t="s">
        <v>1853</v>
      </c>
      <c r="C34" s="390">
        <v>7699.09</v>
      </c>
      <c r="D34" s="390" t="s">
        <v>1703</v>
      </c>
      <c r="E34" s="390" t="s">
        <v>225</v>
      </c>
      <c r="F34" s="390">
        <v>7700</v>
      </c>
      <c r="G34" s="390" t="s">
        <v>1633</v>
      </c>
      <c r="H34" s="390" t="s">
        <v>1661</v>
      </c>
      <c r="I34" s="390">
        <v>4316739</v>
      </c>
      <c r="J34" s="390" t="s">
        <v>1004</v>
      </c>
      <c r="K34" s="390">
        <v>5</v>
      </c>
      <c r="L34" s="390" t="s">
        <v>1854</v>
      </c>
      <c r="M34" s="391" t="s">
        <v>1855</v>
      </c>
      <c r="N34" s="391" t="s">
        <v>1856</v>
      </c>
      <c r="O34" s="391" t="s">
        <v>1857</v>
      </c>
      <c r="P34" s="391" t="s">
        <v>1845</v>
      </c>
      <c r="Q34" s="391" t="s">
        <v>1858</v>
      </c>
      <c r="R34" s="391" t="s">
        <v>1859</v>
      </c>
      <c r="S34" s="391" t="s">
        <v>1860</v>
      </c>
      <c r="T34" s="391" t="s">
        <v>1861</v>
      </c>
      <c r="U34" s="391" t="s">
        <v>1862</v>
      </c>
      <c r="V34" s="391" t="s">
        <v>1851</v>
      </c>
      <c r="W34" s="391" t="s">
        <v>1661</v>
      </c>
      <c r="X34" s="391" t="s">
        <v>1863</v>
      </c>
    </row>
    <row r="35" spans="1:24" s="33" customFormat="1" ht="120" customHeight="1" x14ac:dyDescent="0.25">
      <c r="A35" s="390" t="s">
        <v>1839</v>
      </c>
      <c r="B35" s="390" t="s">
        <v>1631</v>
      </c>
      <c r="C35" s="390">
        <v>7712.61</v>
      </c>
      <c r="D35" s="390" t="s">
        <v>1703</v>
      </c>
      <c r="E35" s="390" t="s">
        <v>225</v>
      </c>
      <c r="F35" s="390">
        <v>7715</v>
      </c>
      <c r="G35" s="390" t="s">
        <v>1648</v>
      </c>
      <c r="H35" s="390" t="s">
        <v>1661</v>
      </c>
      <c r="I35" s="390">
        <v>4213968</v>
      </c>
      <c r="J35" s="390" t="s">
        <v>1666</v>
      </c>
      <c r="K35" s="390">
        <v>7</v>
      </c>
      <c r="L35" s="390" t="s">
        <v>1864</v>
      </c>
      <c r="M35" s="391" t="s">
        <v>1865</v>
      </c>
      <c r="N35" s="391" t="s">
        <v>1866</v>
      </c>
      <c r="O35" s="391" t="s">
        <v>1867</v>
      </c>
      <c r="P35" s="391" t="s">
        <v>1845</v>
      </c>
      <c r="Q35" s="391" t="s">
        <v>1868</v>
      </c>
      <c r="R35" s="391" t="s">
        <v>1869</v>
      </c>
      <c r="S35" s="391" t="s">
        <v>1870</v>
      </c>
      <c r="T35" s="391" t="s">
        <v>1871</v>
      </c>
      <c r="U35" s="391" t="s">
        <v>1862</v>
      </c>
      <c r="V35" s="391" t="s">
        <v>1872</v>
      </c>
      <c r="W35" s="391" t="s">
        <v>1661</v>
      </c>
      <c r="X35" s="391" t="s">
        <v>1873</v>
      </c>
    </row>
    <row r="36" spans="1:24" s="33" customFormat="1" ht="120" customHeight="1" x14ac:dyDescent="0.25">
      <c r="A36" s="390" t="s">
        <v>1839</v>
      </c>
      <c r="B36" s="390" t="s">
        <v>1874</v>
      </c>
      <c r="C36" s="390">
        <v>7728.2</v>
      </c>
      <c r="D36" s="390" t="s">
        <v>1703</v>
      </c>
      <c r="E36" s="390" t="s">
        <v>225</v>
      </c>
      <c r="F36" s="390">
        <v>7725</v>
      </c>
      <c r="G36" s="390" t="s">
        <v>1648</v>
      </c>
      <c r="H36" s="390" t="s">
        <v>1661</v>
      </c>
      <c r="I36" s="390">
        <v>6597895</v>
      </c>
      <c r="J36" s="390" t="s">
        <v>1875</v>
      </c>
      <c r="K36" s="390">
        <v>6</v>
      </c>
      <c r="L36" s="390" t="s">
        <v>1841</v>
      </c>
      <c r="M36" s="391" t="s">
        <v>1876</v>
      </c>
      <c r="N36" s="391" t="s">
        <v>1877</v>
      </c>
      <c r="O36" s="391" t="s">
        <v>1878</v>
      </c>
      <c r="P36" s="391" t="s">
        <v>1845</v>
      </c>
      <c r="Q36" s="391" t="s">
        <v>1879</v>
      </c>
      <c r="R36" s="391" t="s">
        <v>1880</v>
      </c>
      <c r="S36" s="391" t="s">
        <v>1881</v>
      </c>
      <c r="T36" s="391" t="s">
        <v>1882</v>
      </c>
      <c r="U36" s="391" t="s">
        <v>1862</v>
      </c>
      <c r="V36" s="391" t="s">
        <v>1851</v>
      </c>
      <c r="W36" s="391" t="s">
        <v>1661</v>
      </c>
      <c r="X36" s="391" t="s">
        <v>1883</v>
      </c>
    </row>
    <row r="37" spans="1:24" s="33" customFormat="1" ht="120" customHeight="1" x14ac:dyDescent="0.25">
      <c r="A37" s="390" t="s">
        <v>1839</v>
      </c>
      <c r="B37" s="390" t="s">
        <v>1884</v>
      </c>
      <c r="C37" s="390">
        <v>7740.06</v>
      </c>
      <c r="D37" s="390" t="s">
        <v>1703</v>
      </c>
      <c r="E37" s="390" t="s">
        <v>225</v>
      </c>
      <c r="F37" s="390">
        <v>7740</v>
      </c>
      <c r="G37" s="390" t="s">
        <v>1648</v>
      </c>
      <c r="H37" s="390" t="s">
        <v>1661</v>
      </c>
      <c r="I37" s="390">
        <v>8098307</v>
      </c>
      <c r="J37" s="390" t="s">
        <v>1885</v>
      </c>
      <c r="K37" s="390">
        <v>5</v>
      </c>
      <c r="L37" s="390" t="s">
        <v>1086</v>
      </c>
      <c r="M37" s="391" t="s">
        <v>1886</v>
      </c>
      <c r="N37" s="391" t="s">
        <v>1887</v>
      </c>
      <c r="O37" s="391" t="s">
        <v>1888</v>
      </c>
      <c r="P37" s="391" t="s">
        <v>1845</v>
      </c>
      <c r="Q37" s="391" t="s">
        <v>1889</v>
      </c>
      <c r="R37" s="391" t="s">
        <v>1890</v>
      </c>
      <c r="S37" s="391" t="s">
        <v>1891</v>
      </c>
      <c r="T37" s="391" t="s">
        <v>1892</v>
      </c>
      <c r="U37" s="391" t="s">
        <v>1893</v>
      </c>
      <c r="V37" s="391" t="s">
        <v>1894</v>
      </c>
      <c r="W37" s="391" t="s">
        <v>1661</v>
      </c>
      <c r="X37" s="391" t="s">
        <v>1895</v>
      </c>
    </row>
    <row r="38" spans="1:24" s="33" customFormat="1" ht="120" customHeight="1" x14ac:dyDescent="0.25">
      <c r="A38" s="390" t="s">
        <v>1896</v>
      </c>
      <c r="B38" s="390" t="s">
        <v>1897</v>
      </c>
      <c r="C38" s="390">
        <v>7657.05</v>
      </c>
      <c r="D38" s="390" t="s">
        <v>1632</v>
      </c>
      <c r="E38" s="390" t="s">
        <v>225</v>
      </c>
      <c r="F38" s="390">
        <v>7655</v>
      </c>
      <c r="G38" s="390" t="s">
        <v>1633</v>
      </c>
      <c r="H38" s="390" t="s">
        <v>1741</v>
      </c>
      <c r="I38" s="390">
        <v>1630044</v>
      </c>
      <c r="J38" s="390" t="s">
        <v>1666</v>
      </c>
      <c r="K38" s="390">
        <v>4</v>
      </c>
      <c r="L38" s="390" t="s">
        <v>1841</v>
      </c>
      <c r="M38" s="391" t="s">
        <v>1898</v>
      </c>
      <c r="N38" s="391" t="s">
        <v>1899</v>
      </c>
      <c r="O38" s="391" t="s">
        <v>1900</v>
      </c>
      <c r="P38" s="391" t="s">
        <v>1901</v>
      </c>
      <c r="Q38" s="391" t="s">
        <v>1902</v>
      </c>
      <c r="R38" s="391" t="s">
        <v>1903</v>
      </c>
      <c r="S38" s="391" t="s">
        <v>1904</v>
      </c>
      <c r="T38" s="391" t="s">
        <v>1905</v>
      </c>
      <c r="U38" s="391" t="s">
        <v>1906</v>
      </c>
      <c r="V38" s="391" t="s">
        <v>1907</v>
      </c>
      <c r="W38" s="391" t="s">
        <v>1661</v>
      </c>
      <c r="X38" s="391" t="s">
        <v>1908</v>
      </c>
    </row>
    <row r="39" spans="1:24" s="33" customFormat="1" ht="120" customHeight="1" x14ac:dyDescent="0.25">
      <c r="A39" s="390" t="s">
        <v>1896</v>
      </c>
      <c r="B39" s="390" t="s">
        <v>1909</v>
      </c>
      <c r="C39" s="390">
        <v>7652.47</v>
      </c>
      <c r="D39" s="390" t="s">
        <v>1632</v>
      </c>
      <c r="E39" s="390" t="s">
        <v>225</v>
      </c>
      <c r="F39" s="390">
        <v>7650</v>
      </c>
      <c r="G39" s="390" t="s">
        <v>1633</v>
      </c>
      <c r="H39" s="390" t="s">
        <v>1741</v>
      </c>
      <c r="I39" s="390">
        <v>4019457</v>
      </c>
      <c r="J39" s="390" t="s">
        <v>1666</v>
      </c>
      <c r="K39" s="390">
        <v>7</v>
      </c>
      <c r="L39" s="390" t="s">
        <v>1841</v>
      </c>
      <c r="M39" s="391" t="s">
        <v>1910</v>
      </c>
      <c r="N39" s="391" t="s">
        <v>1911</v>
      </c>
      <c r="O39" s="391" t="s">
        <v>1912</v>
      </c>
      <c r="P39" s="391" t="s">
        <v>1913</v>
      </c>
      <c r="Q39" s="391" t="s">
        <v>1914</v>
      </c>
      <c r="R39" s="391" t="s">
        <v>1915</v>
      </c>
      <c r="S39" s="391" t="s">
        <v>1916</v>
      </c>
      <c r="T39" s="391" t="s">
        <v>1917</v>
      </c>
      <c r="U39" s="391" t="s">
        <v>1918</v>
      </c>
      <c r="V39" s="391" t="s">
        <v>1919</v>
      </c>
      <c r="W39" s="391" t="s">
        <v>1661</v>
      </c>
      <c r="X39" s="391" t="s">
        <v>1920</v>
      </c>
    </row>
    <row r="40" spans="1:24" s="33" customFormat="1" ht="120" customHeight="1" x14ac:dyDescent="0.25">
      <c r="A40" s="390" t="s">
        <v>1896</v>
      </c>
      <c r="B40" s="390" t="s">
        <v>1804</v>
      </c>
      <c r="C40" s="390">
        <v>7659.19</v>
      </c>
      <c r="D40" s="390" t="s">
        <v>1632</v>
      </c>
      <c r="E40" s="390" t="s">
        <v>225</v>
      </c>
      <c r="F40" s="390">
        <v>7660</v>
      </c>
      <c r="G40" s="390" t="s">
        <v>1648</v>
      </c>
      <c r="H40" s="390" t="s">
        <v>1741</v>
      </c>
      <c r="I40" s="390">
        <v>2574151</v>
      </c>
      <c r="J40" s="390" t="s">
        <v>1666</v>
      </c>
      <c r="K40" s="390">
        <v>7</v>
      </c>
      <c r="L40" s="390" t="s">
        <v>1921</v>
      </c>
      <c r="M40" s="391" t="s">
        <v>1922</v>
      </c>
      <c r="N40" s="391" t="s">
        <v>1923</v>
      </c>
      <c r="O40" s="391" t="s">
        <v>1924</v>
      </c>
      <c r="P40" s="391" t="s">
        <v>1913</v>
      </c>
      <c r="Q40" s="391" t="s">
        <v>1925</v>
      </c>
      <c r="R40" s="391" t="s">
        <v>1926</v>
      </c>
      <c r="S40" s="391" t="s">
        <v>1927</v>
      </c>
      <c r="T40" s="391" t="s">
        <v>1928</v>
      </c>
      <c r="U40" s="391" t="s">
        <v>1929</v>
      </c>
      <c r="V40" s="391" t="s">
        <v>1930</v>
      </c>
      <c r="W40" s="391" t="s">
        <v>1661</v>
      </c>
      <c r="X40" s="391" t="s">
        <v>1931</v>
      </c>
    </row>
    <row r="41" spans="1:24" s="33" customFormat="1" ht="120" customHeight="1" x14ac:dyDescent="0.25">
      <c r="A41" s="390" t="s">
        <v>1896</v>
      </c>
      <c r="B41" s="390" t="s">
        <v>1932</v>
      </c>
      <c r="C41" s="390">
        <v>7648.85</v>
      </c>
      <c r="D41" s="390" t="s">
        <v>1632</v>
      </c>
      <c r="E41" s="390" t="s">
        <v>225</v>
      </c>
      <c r="F41" s="390">
        <v>7650</v>
      </c>
      <c r="G41" s="390" t="s">
        <v>1633</v>
      </c>
      <c r="H41" s="390" t="s">
        <v>1741</v>
      </c>
      <c r="I41" s="390">
        <v>4764127</v>
      </c>
      <c r="J41" s="390" t="s">
        <v>1666</v>
      </c>
      <c r="K41" s="390">
        <v>6</v>
      </c>
      <c r="L41" s="390" t="s">
        <v>1841</v>
      </c>
      <c r="M41" s="391" t="s">
        <v>1933</v>
      </c>
      <c r="N41" s="391" t="s">
        <v>1934</v>
      </c>
      <c r="O41" s="391" t="s">
        <v>1935</v>
      </c>
      <c r="P41" s="391" t="s">
        <v>1913</v>
      </c>
      <c r="Q41" s="391" t="s">
        <v>1936</v>
      </c>
      <c r="R41" s="391" t="s">
        <v>1937</v>
      </c>
      <c r="S41" s="391" t="s">
        <v>1938</v>
      </c>
      <c r="T41" s="391" t="s">
        <v>1939</v>
      </c>
      <c r="U41" s="391" t="s">
        <v>1940</v>
      </c>
      <c r="V41" s="391" t="s">
        <v>1941</v>
      </c>
      <c r="W41" s="391" t="s">
        <v>1677</v>
      </c>
      <c r="X41" s="391" t="s">
        <v>1942</v>
      </c>
    </row>
    <row r="42" spans="1:24" s="33" customFormat="1" ht="120" customHeight="1" x14ac:dyDescent="0.25">
      <c r="A42" s="390" t="s">
        <v>1896</v>
      </c>
      <c r="B42" s="390" t="s">
        <v>1943</v>
      </c>
      <c r="C42" s="390">
        <v>7644.5</v>
      </c>
      <c r="D42" s="390" t="s">
        <v>1632</v>
      </c>
      <c r="E42" s="390" t="s">
        <v>225</v>
      </c>
      <c r="F42" s="390">
        <v>7640</v>
      </c>
      <c r="G42" s="390" t="s">
        <v>1633</v>
      </c>
      <c r="H42" s="390" t="s">
        <v>1741</v>
      </c>
      <c r="I42" s="390">
        <v>2274535</v>
      </c>
      <c r="J42" s="390" t="s">
        <v>1666</v>
      </c>
      <c r="K42" s="390">
        <v>5</v>
      </c>
      <c r="L42" s="390" t="s">
        <v>1841</v>
      </c>
      <c r="M42" s="391" t="s">
        <v>1944</v>
      </c>
      <c r="N42" s="391" t="s">
        <v>1945</v>
      </c>
      <c r="O42" s="391" t="s">
        <v>1946</v>
      </c>
      <c r="P42" s="391" t="s">
        <v>1913</v>
      </c>
      <c r="Q42" s="391" t="s">
        <v>1947</v>
      </c>
      <c r="R42" s="391" t="s">
        <v>1948</v>
      </c>
      <c r="S42" s="391" t="s">
        <v>1949</v>
      </c>
      <c r="T42" s="391" t="s">
        <v>1950</v>
      </c>
      <c r="U42" s="391" t="s">
        <v>1951</v>
      </c>
      <c r="V42" s="391" t="s">
        <v>1952</v>
      </c>
      <c r="W42" s="391" t="s">
        <v>1661</v>
      </c>
      <c r="X42" s="391" t="s">
        <v>1953</v>
      </c>
    </row>
    <row r="43" spans="1:24" s="33" customFormat="1" ht="120" customHeight="1" x14ac:dyDescent="0.25">
      <c r="A43" s="390"/>
      <c r="B43" s="390"/>
      <c r="C43" s="390"/>
      <c r="D43" s="390"/>
      <c r="E43" s="390"/>
      <c r="F43" s="390"/>
      <c r="G43" s="390"/>
      <c r="H43" s="390"/>
      <c r="I43" s="390"/>
      <c r="J43" s="390"/>
      <c r="K43" s="390"/>
      <c r="L43" s="390"/>
      <c r="M43" s="391"/>
      <c r="N43" s="391"/>
      <c r="O43" s="391"/>
      <c r="P43" s="391"/>
      <c r="Q43" s="391"/>
      <c r="R43" s="391"/>
      <c r="S43" s="391"/>
      <c r="T43" s="391"/>
      <c r="U43" s="391"/>
      <c r="V43" s="391"/>
      <c r="W43" s="391"/>
      <c r="X43" s="391"/>
    </row>
    <row r="44" spans="1:24" s="33" customFormat="1" ht="120" customHeight="1" x14ac:dyDescent="0.25">
      <c r="A44" s="390"/>
      <c r="B44" s="390"/>
      <c r="C44" s="390"/>
      <c r="D44" s="390"/>
      <c r="E44" s="390"/>
      <c r="F44" s="390"/>
      <c r="G44" s="390"/>
      <c r="H44" s="390"/>
      <c r="I44" s="390"/>
      <c r="J44" s="390"/>
      <c r="K44" s="390"/>
      <c r="L44" s="390"/>
      <c r="M44" s="391"/>
      <c r="N44" s="391"/>
      <c r="O44" s="391"/>
      <c r="P44" s="391"/>
      <c r="Q44" s="391"/>
      <c r="R44" s="391"/>
      <c r="S44" s="391"/>
      <c r="T44" s="391"/>
      <c r="U44" s="391"/>
      <c r="V44" s="391"/>
      <c r="W44" s="391"/>
      <c r="X44" s="391"/>
    </row>
    <row r="45" spans="1:24" s="33" customFormat="1" ht="120" customHeight="1" x14ac:dyDescent="0.25">
      <c r="A45" s="390"/>
      <c r="B45" s="390"/>
      <c r="C45" s="390"/>
      <c r="D45" s="390"/>
      <c r="E45" s="390"/>
      <c r="F45" s="390"/>
      <c r="G45" s="390"/>
      <c r="H45" s="390"/>
      <c r="I45" s="390"/>
      <c r="J45" s="390"/>
      <c r="K45" s="390"/>
      <c r="L45" s="390"/>
      <c r="M45" s="391"/>
      <c r="N45" s="391"/>
      <c r="O45" s="391"/>
      <c r="P45" s="391"/>
      <c r="Q45" s="391"/>
      <c r="R45" s="391"/>
      <c r="S45" s="391"/>
      <c r="T45" s="391"/>
      <c r="U45" s="391"/>
      <c r="V45" s="391"/>
      <c r="W45" s="391"/>
      <c r="X45" s="391"/>
    </row>
    <row r="46" spans="1:24" s="33" customFormat="1" ht="120" customHeight="1" x14ac:dyDescent="0.25">
      <c r="A46" s="390"/>
      <c r="B46" s="390"/>
      <c r="C46" s="390"/>
      <c r="D46" s="390"/>
      <c r="E46" s="390"/>
      <c r="F46" s="390"/>
      <c r="G46" s="390"/>
      <c r="H46" s="390"/>
      <c r="I46" s="390"/>
      <c r="J46" s="390"/>
      <c r="K46" s="390"/>
      <c r="L46" s="390"/>
      <c r="M46" s="391"/>
      <c r="N46" s="391"/>
      <c r="O46" s="391"/>
      <c r="P46" s="391"/>
      <c r="Q46" s="391"/>
      <c r="R46" s="391"/>
      <c r="S46" s="391"/>
      <c r="T46" s="391"/>
      <c r="U46" s="391"/>
      <c r="V46" s="391"/>
      <c r="W46" s="391"/>
      <c r="X46" s="391"/>
    </row>
    <row r="47" spans="1:24" s="33" customFormat="1" ht="120" customHeight="1" x14ac:dyDescent="0.25">
      <c r="A47" s="390"/>
      <c r="B47" s="390"/>
      <c r="C47" s="390"/>
      <c r="D47" s="390"/>
      <c r="E47" s="390"/>
      <c r="F47" s="390"/>
      <c r="G47" s="390"/>
      <c r="H47" s="390"/>
      <c r="I47" s="390"/>
      <c r="J47" s="390"/>
      <c r="K47" s="390"/>
      <c r="L47" s="390"/>
      <c r="M47" s="391"/>
      <c r="N47" s="391"/>
      <c r="O47" s="391"/>
      <c r="P47" s="391"/>
      <c r="Q47" s="391"/>
      <c r="R47" s="391"/>
      <c r="S47" s="391"/>
      <c r="T47" s="391"/>
      <c r="U47" s="391"/>
      <c r="V47" s="391"/>
      <c r="W47" s="391"/>
      <c r="X47" s="391"/>
    </row>
    <row r="48" spans="1:24" s="33" customFormat="1" ht="120" customHeight="1" x14ac:dyDescent="0.25">
      <c r="A48" s="390"/>
      <c r="B48" s="390"/>
      <c r="C48" s="390"/>
      <c r="D48" s="390"/>
      <c r="E48" s="390"/>
      <c r="F48" s="390"/>
      <c r="G48" s="390"/>
      <c r="H48" s="390"/>
      <c r="I48" s="390"/>
      <c r="J48" s="390"/>
      <c r="K48" s="390"/>
      <c r="L48" s="390"/>
      <c r="M48" s="391"/>
      <c r="N48" s="391"/>
      <c r="O48" s="391"/>
      <c r="P48" s="391"/>
      <c r="Q48" s="391"/>
      <c r="R48" s="391"/>
      <c r="S48" s="391"/>
      <c r="T48" s="391"/>
      <c r="U48" s="391"/>
      <c r="V48" s="391"/>
      <c r="W48" s="391"/>
      <c r="X48" s="391"/>
    </row>
    <row r="49" spans="1:24" s="33" customFormat="1" ht="120" customHeight="1" x14ac:dyDescent="0.25">
      <c r="A49" s="390"/>
      <c r="B49" s="390"/>
      <c r="C49" s="390"/>
      <c r="D49" s="390"/>
      <c r="E49" s="390"/>
      <c r="F49" s="390"/>
      <c r="G49" s="390"/>
      <c r="H49" s="390"/>
      <c r="I49" s="390"/>
      <c r="J49" s="390"/>
      <c r="K49" s="390"/>
      <c r="L49" s="390"/>
      <c r="M49" s="391"/>
      <c r="N49" s="391"/>
      <c r="O49" s="391"/>
      <c r="P49" s="391"/>
      <c r="Q49" s="391"/>
      <c r="R49" s="391"/>
      <c r="S49" s="391"/>
      <c r="T49" s="391"/>
      <c r="U49" s="391"/>
      <c r="V49" s="391"/>
      <c r="W49" s="391"/>
      <c r="X49" s="391"/>
    </row>
    <row r="50" spans="1:24" s="33" customFormat="1" ht="120" customHeight="1" x14ac:dyDescent="0.25">
      <c r="A50" s="390"/>
      <c r="B50" s="390"/>
      <c r="C50" s="390"/>
      <c r="D50" s="390"/>
      <c r="E50" s="390"/>
      <c r="F50" s="390"/>
      <c r="G50" s="390"/>
      <c r="H50" s="390"/>
      <c r="I50" s="390"/>
      <c r="J50" s="390"/>
      <c r="K50" s="390"/>
      <c r="L50" s="390"/>
      <c r="M50" s="391"/>
      <c r="N50" s="391"/>
      <c r="O50" s="391"/>
      <c r="P50" s="391"/>
      <c r="Q50" s="391"/>
      <c r="R50" s="391"/>
      <c r="S50" s="391"/>
      <c r="T50" s="391"/>
      <c r="U50" s="391"/>
      <c r="V50" s="391"/>
      <c r="W50" s="391"/>
      <c r="X50" s="391"/>
    </row>
    <row r="51" spans="1:24" s="33" customFormat="1" ht="120" customHeight="1" x14ac:dyDescent="0.25">
      <c r="A51" s="390"/>
      <c r="B51" s="390"/>
      <c r="C51" s="390"/>
      <c r="D51" s="390"/>
      <c r="E51" s="390"/>
      <c r="F51" s="390"/>
      <c r="G51" s="390"/>
      <c r="H51" s="390"/>
      <c r="I51" s="390"/>
      <c r="J51" s="390"/>
      <c r="K51" s="390"/>
      <c r="L51" s="390"/>
      <c r="M51" s="391"/>
      <c r="N51" s="391"/>
      <c r="O51" s="391"/>
      <c r="P51" s="391"/>
      <c r="Q51" s="391"/>
      <c r="R51" s="391"/>
      <c r="S51" s="391"/>
      <c r="T51" s="391"/>
      <c r="U51" s="391"/>
      <c r="V51" s="391"/>
      <c r="W51" s="391"/>
      <c r="X51" s="391"/>
    </row>
    <row r="52" spans="1:24" s="33" customFormat="1" ht="120" customHeight="1" x14ac:dyDescent="0.25">
      <c r="A52" s="390"/>
      <c r="B52" s="390"/>
      <c r="C52" s="390"/>
      <c r="D52" s="390"/>
      <c r="E52" s="390"/>
      <c r="F52" s="390"/>
      <c r="G52" s="390"/>
      <c r="H52" s="390"/>
      <c r="I52" s="390"/>
      <c r="J52" s="390"/>
      <c r="K52" s="390"/>
      <c r="L52" s="390"/>
      <c r="M52" s="391"/>
      <c r="N52" s="391"/>
      <c r="O52" s="391"/>
      <c r="P52" s="391"/>
      <c r="Q52" s="391"/>
      <c r="R52" s="391"/>
      <c r="S52" s="391"/>
      <c r="T52" s="391"/>
      <c r="U52" s="391"/>
      <c r="V52" s="391"/>
      <c r="W52" s="391"/>
      <c r="X52" s="391"/>
    </row>
    <row r="53" spans="1:24" s="33" customFormat="1" ht="120" customHeight="1" x14ac:dyDescent="0.25">
      <c r="A53" s="390"/>
      <c r="B53" s="390"/>
      <c r="C53" s="390"/>
      <c r="D53" s="390"/>
      <c r="E53" s="390"/>
      <c r="F53" s="390"/>
      <c r="G53" s="390"/>
      <c r="H53" s="390"/>
      <c r="I53" s="390"/>
      <c r="J53" s="390"/>
      <c r="K53" s="390"/>
      <c r="L53" s="390"/>
      <c r="M53" s="391"/>
      <c r="N53" s="391"/>
      <c r="O53" s="391"/>
      <c r="P53" s="391"/>
      <c r="Q53" s="391"/>
      <c r="R53" s="391"/>
      <c r="S53" s="391"/>
      <c r="T53" s="391"/>
      <c r="U53" s="391"/>
      <c r="V53" s="391"/>
      <c r="W53" s="391"/>
      <c r="X53" s="391"/>
    </row>
    <row r="54" spans="1:24" s="33" customFormat="1" ht="120" customHeight="1" x14ac:dyDescent="0.25">
      <c r="A54" s="390"/>
      <c r="B54" s="390"/>
      <c r="C54" s="390"/>
      <c r="D54" s="390"/>
      <c r="E54" s="390"/>
      <c r="F54" s="390"/>
      <c r="G54" s="390"/>
      <c r="H54" s="390"/>
      <c r="I54" s="390"/>
      <c r="J54" s="390"/>
      <c r="K54" s="390"/>
      <c r="L54" s="390"/>
      <c r="M54" s="391"/>
      <c r="N54" s="391"/>
      <c r="O54" s="391"/>
      <c r="P54" s="391"/>
      <c r="Q54" s="391"/>
      <c r="R54" s="391"/>
      <c r="S54" s="391"/>
      <c r="T54" s="391"/>
      <c r="U54" s="391"/>
      <c r="V54" s="391"/>
      <c r="W54" s="391"/>
      <c r="X54" s="391"/>
    </row>
    <row r="55" spans="1:24" s="33" customFormat="1" ht="120" customHeight="1" x14ac:dyDescent="0.25">
      <c r="A55" s="390"/>
      <c r="B55" s="390"/>
      <c r="C55" s="390"/>
      <c r="D55" s="390"/>
      <c r="E55" s="390"/>
      <c r="F55" s="390"/>
      <c r="G55" s="390"/>
      <c r="H55" s="390"/>
      <c r="I55" s="390"/>
      <c r="J55" s="390"/>
      <c r="K55" s="390"/>
      <c r="L55" s="390"/>
      <c r="M55" s="391"/>
      <c r="N55" s="391"/>
      <c r="O55" s="391"/>
      <c r="P55" s="391"/>
      <c r="Q55" s="391"/>
      <c r="R55" s="391"/>
      <c r="S55" s="391"/>
      <c r="T55" s="391"/>
      <c r="U55" s="391"/>
      <c r="V55" s="391"/>
      <c r="W55" s="391"/>
      <c r="X55" s="391"/>
    </row>
    <row r="56" spans="1:24" s="33" customFormat="1" ht="120" customHeight="1" x14ac:dyDescent="0.25">
      <c r="A56" s="390"/>
      <c r="B56" s="390"/>
      <c r="C56" s="390"/>
      <c r="D56" s="390"/>
      <c r="E56" s="390"/>
      <c r="F56" s="390"/>
      <c r="G56" s="390"/>
      <c r="H56" s="390"/>
      <c r="I56" s="390"/>
      <c r="J56" s="390"/>
      <c r="K56" s="390"/>
      <c r="L56" s="390"/>
      <c r="M56" s="391"/>
      <c r="N56" s="391"/>
      <c r="O56" s="391"/>
      <c r="P56" s="391"/>
      <c r="Q56" s="391"/>
      <c r="R56" s="391"/>
      <c r="S56" s="391"/>
      <c r="T56" s="391"/>
      <c r="U56" s="391"/>
      <c r="V56" s="391"/>
      <c r="W56" s="391"/>
      <c r="X56" s="391"/>
    </row>
    <row r="57" spans="1:24" s="33" customFormat="1" ht="120" customHeight="1" x14ac:dyDescent="0.25">
      <c r="A57" s="390"/>
      <c r="B57" s="390"/>
      <c r="C57" s="390"/>
      <c r="D57" s="390"/>
      <c r="E57" s="390"/>
      <c r="F57" s="390"/>
      <c r="G57" s="390"/>
      <c r="H57" s="390"/>
      <c r="I57" s="390"/>
      <c r="J57" s="390"/>
      <c r="K57" s="390"/>
      <c r="L57" s="390"/>
      <c r="M57" s="391"/>
      <c r="N57" s="391"/>
      <c r="O57" s="391"/>
      <c r="P57" s="391"/>
      <c r="Q57" s="391"/>
      <c r="R57" s="391"/>
      <c r="S57" s="391"/>
      <c r="T57" s="391"/>
      <c r="U57" s="391"/>
      <c r="V57" s="391"/>
      <c r="W57" s="391"/>
      <c r="X57" s="391"/>
    </row>
    <row r="58" spans="1:24" s="33" customFormat="1" ht="120" customHeight="1" x14ac:dyDescent="0.25">
      <c r="A58" s="390"/>
      <c r="B58" s="390"/>
      <c r="C58" s="390"/>
      <c r="D58" s="390"/>
      <c r="E58" s="390"/>
      <c r="F58" s="390"/>
      <c r="G58" s="390"/>
      <c r="H58" s="390"/>
      <c r="I58" s="390"/>
      <c r="J58" s="390"/>
      <c r="K58" s="390"/>
      <c r="L58" s="390"/>
      <c r="M58" s="391"/>
      <c r="N58" s="391"/>
      <c r="O58" s="391"/>
      <c r="P58" s="391"/>
      <c r="Q58" s="391"/>
      <c r="R58" s="391"/>
      <c r="S58" s="391"/>
      <c r="T58" s="391"/>
      <c r="U58" s="391"/>
      <c r="V58" s="391"/>
      <c r="W58" s="391"/>
      <c r="X58" s="391"/>
    </row>
    <row r="59" spans="1:24" s="33" customFormat="1" ht="120" customHeight="1" x14ac:dyDescent="0.25">
      <c r="A59" s="390"/>
      <c r="B59" s="390"/>
      <c r="C59" s="390"/>
      <c r="D59" s="390"/>
      <c r="E59" s="390"/>
      <c r="F59" s="390"/>
      <c r="G59" s="390"/>
      <c r="H59" s="390"/>
      <c r="I59" s="390"/>
      <c r="J59" s="390"/>
      <c r="K59" s="390"/>
      <c r="L59" s="390"/>
      <c r="M59" s="391"/>
      <c r="N59" s="391"/>
      <c r="O59" s="391"/>
      <c r="P59" s="391"/>
      <c r="Q59" s="391"/>
      <c r="R59" s="391"/>
      <c r="S59" s="391"/>
      <c r="T59" s="391"/>
      <c r="U59" s="391"/>
      <c r="V59" s="391"/>
      <c r="W59" s="391"/>
      <c r="X59" s="391"/>
    </row>
    <row r="60" spans="1:24" s="33" customFormat="1" ht="120" customHeight="1" x14ac:dyDescent="0.25">
      <c r="A60" s="390"/>
      <c r="B60" s="390"/>
      <c r="C60" s="390"/>
      <c r="D60" s="390"/>
      <c r="E60" s="390"/>
      <c r="F60" s="390"/>
      <c r="G60" s="390"/>
      <c r="H60" s="390"/>
      <c r="I60" s="390"/>
      <c r="J60" s="390"/>
      <c r="K60" s="390"/>
      <c r="L60" s="390"/>
      <c r="M60" s="391"/>
      <c r="N60" s="391"/>
      <c r="O60" s="391"/>
      <c r="P60" s="391"/>
      <c r="Q60" s="391"/>
      <c r="R60" s="391"/>
      <c r="S60" s="391"/>
      <c r="T60" s="391"/>
      <c r="U60" s="391"/>
      <c r="V60" s="391"/>
      <c r="W60" s="391"/>
      <c r="X60" s="391"/>
    </row>
    <row r="61" spans="1:24" s="33" customFormat="1" ht="120" customHeight="1" x14ac:dyDescent="0.25">
      <c r="A61" s="390"/>
      <c r="B61" s="390"/>
      <c r="C61" s="390"/>
      <c r="D61" s="390"/>
      <c r="E61" s="390"/>
      <c r="F61" s="390"/>
      <c r="G61" s="390"/>
      <c r="H61" s="390"/>
      <c r="I61" s="390"/>
      <c r="J61" s="390"/>
      <c r="K61" s="390"/>
      <c r="L61" s="390"/>
      <c r="M61" s="391"/>
      <c r="N61" s="391"/>
      <c r="O61" s="391"/>
      <c r="P61" s="391"/>
      <c r="Q61" s="391"/>
      <c r="R61" s="391"/>
      <c r="S61" s="391"/>
      <c r="T61" s="391"/>
      <c r="U61" s="391"/>
      <c r="V61" s="391"/>
      <c r="W61" s="391"/>
      <c r="X61" s="391"/>
    </row>
    <row r="62" spans="1:24" s="33" customFormat="1" ht="120" customHeight="1" x14ac:dyDescent="0.25">
      <c r="A62" s="390"/>
      <c r="B62" s="390"/>
      <c r="C62" s="390"/>
      <c r="D62" s="390"/>
      <c r="E62" s="390"/>
      <c r="F62" s="390"/>
      <c r="G62" s="390"/>
      <c r="H62" s="390"/>
      <c r="I62" s="390"/>
      <c r="J62" s="390"/>
      <c r="K62" s="390"/>
      <c r="L62" s="390"/>
      <c r="M62" s="391"/>
      <c r="N62" s="391"/>
      <c r="O62" s="391"/>
      <c r="P62" s="391"/>
      <c r="Q62" s="391"/>
      <c r="R62" s="391"/>
      <c r="S62" s="391"/>
      <c r="T62" s="391"/>
      <c r="U62" s="391"/>
      <c r="V62" s="391"/>
      <c r="W62" s="391"/>
      <c r="X62" s="391"/>
    </row>
    <row r="63" spans="1:24" s="33" customFormat="1" ht="120" customHeight="1" x14ac:dyDescent="0.25">
      <c r="A63" s="390"/>
      <c r="B63" s="390"/>
      <c r="C63" s="390"/>
      <c r="D63" s="390"/>
      <c r="E63" s="390"/>
      <c r="F63" s="390"/>
      <c r="G63" s="390"/>
      <c r="H63" s="390"/>
      <c r="I63" s="390"/>
      <c r="J63" s="390"/>
      <c r="K63" s="390"/>
      <c r="L63" s="390"/>
      <c r="M63" s="391"/>
      <c r="N63" s="391"/>
      <c r="O63" s="391"/>
      <c r="P63" s="391"/>
      <c r="Q63" s="391"/>
      <c r="R63" s="391"/>
      <c r="S63" s="391"/>
      <c r="T63" s="391"/>
      <c r="U63" s="391"/>
      <c r="V63" s="391"/>
      <c r="W63" s="391"/>
      <c r="X63" s="391"/>
    </row>
    <row r="64" spans="1:24" s="33" customFormat="1" ht="120" customHeight="1" x14ac:dyDescent="0.25">
      <c r="A64" s="390"/>
      <c r="B64" s="390"/>
      <c r="C64" s="390"/>
      <c r="D64" s="390"/>
      <c r="E64" s="390"/>
      <c r="F64" s="390"/>
      <c r="G64" s="390"/>
      <c r="H64" s="390"/>
      <c r="I64" s="390"/>
      <c r="J64" s="390"/>
      <c r="K64" s="390"/>
      <c r="L64" s="390"/>
      <c r="M64" s="391"/>
      <c r="N64" s="391"/>
      <c r="O64" s="391"/>
      <c r="P64" s="391"/>
      <c r="Q64" s="391"/>
      <c r="R64" s="391"/>
      <c r="S64" s="391"/>
      <c r="T64" s="391"/>
      <c r="U64" s="391"/>
      <c r="V64" s="391"/>
      <c r="W64" s="391"/>
      <c r="X64" s="391"/>
    </row>
    <row r="65" spans="1:24" s="33" customFormat="1" ht="120" customHeight="1" x14ac:dyDescent="0.25">
      <c r="A65" s="390"/>
      <c r="B65" s="390"/>
      <c r="C65" s="390"/>
      <c r="D65" s="390"/>
      <c r="E65" s="390"/>
      <c r="F65" s="390"/>
      <c r="G65" s="390"/>
      <c r="H65" s="390"/>
      <c r="I65" s="390"/>
      <c r="J65" s="390"/>
      <c r="K65" s="390"/>
      <c r="L65" s="390"/>
      <c r="M65" s="391"/>
      <c r="N65" s="391"/>
      <c r="O65" s="391"/>
      <c r="P65" s="391"/>
      <c r="Q65" s="391"/>
      <c r="R65" s="391"/>
      <c r="S65" s="391"/>
      <c r="T65" s="391"/>
      <c r="U65" s="391"/>
      <c r="V65" s="391"/>
      <c r="W65" s="391"/>
      <c r="X65" s="391"/>
    </row>
    <row r="66" spans="1:24" s="33" customFormat="1" ht="120" customHeight="1" x14ac:dyDescent="0.25">
      <c r="A66" s="390"/>
      <c r="B66" s="390"/>
      <c r="C66" s="390"/>
      <c r="D66" s="390"/>
      <c r="E66" s="390"/>
      <c r="F66" s="390"/>
      <c r="G66" s="390"/>
      <c r="H66" s="390"/>
      <c r="I66" s="390"/>
      <c r="J66" s="390"/>
      <c r="K66" s="390"/>
      <c r="L66" s="390"/>
      <c r="M66" s="391"/>
      <c r="N66" s="391"/>
      <c r="O66" s="391"/>
      <c r="P66" s="391"/>
      <c r="Q66" s="391"/>
      <c r="R66" s="391"/>
      <c r="S66" s="391"/>
      <c r="T66" s="391"/>
      <c r="U66" s="391"/>
      <c r="V66" s="391"/>
      <c r="W66" s="391"/>
      <c r="X66" s="391"/>
    </row>
    <row r="67" spans="1:24" s="33" customFormat="1" ht="120" customHeight="1" x14ac:dyDescent="0.25">
      <c r="A67" s="390"/>
      <c r="B67" s="390"/>
      <c r="C67" s="390"/>
      <c r="D67" s="390"/>
      <c r="E67" s="390"/>
      <c r="F67" s="390"/>
      <c r="G67" s="390"/>
      <c r="H67" s="390"/>
      <c r="I67" s="390"/>
      <c r="J67" s="390"/>
      <c r="K67" s="390"/>
      <c r="L67" s="390"/>
      <c r="M67" s="391"/>
      <c r="N67" s="391"/>
      <c r="O67" s="391"/>
      <c r="P67" s="391"/>
      <c r="Q67" s="391"/>
      <c r="R67" s="391"/>
      <c r="S67" s="391"/>
      <c r="T67" s="391"/>
      <c r="U67" s="391"/>
      <c r="V67" s="391"/>
      <c r="W67" s="391"/>
      <c r="X67" s="391"/>
    </row>
    <row r="68" spans="1:24" s="33" customFormat="1" ht="120" customHeight="1" x14ac:dyDescent="0.25">
      <c r="A68" s="390"/>
      <c r="B68" s="390"/>
      <c r="C68" s="390"/>
      <c r="D68" s="390"/>
      <c r="E68" s="390"/>
      <c r="F68" s="390"/>
      <c r="G68" s="390"/>
      <c r="H68" s="390"/>
      <c r="I68" s="390"/>
      <c r="J68" s="390"/>
      <c r="K68" s="390"/>
      <c r="L68" s="390"/>
      <c r="M68" s="391"/>
      <c r="N68" s="391"/>
      <c r="O68" s="391"/>
      <c r="P68" s="391"/>
      <c r="Q68" s="391"/>
      <c r="R68" s="391"/>
      <c r="S68" s="391"/>
      <c r="T68" s="391"/>
      <c r="U68" s="391"/>
      <c r="V68" s="391"/>
      <c r="W68" s="391"/>
      <c r="X68" s="391"/>
    </row>
    <row r="69" spans="1:24" s="33" customFormat="1" ht="120" customHeight="1" x14ac:dyDescent="0.25">
      <c r="A69" s="390"/>
      <c r="B69" s="390"/>
      <c r="C69" s="390"/>
      <c r="D69" s="390"/>
      <c r="E69" s="390"/>
      <c r="F69" s="390"/>
      <c r="G69" s="390"/>
      <c r="H69" s="390"/>
      <c r="I69" s="390"/>
      <c r="J69" s="390"/>
      <c r="K69" s="390"/>
      <c r="L69" s="390"/>
      <c r="M69" s="391"/>
      <c r="N69" s="391"/>
      <c r="O69" s="391"/>
      <c r="P69" s="391"/>
      <c r="Q69" s="391"/>
      <c r="R69" s="391"/>
      <c r="S69" s="391"/>
      <c r="T69" s="391"/>
      <c r="U69" s="391"/>
      <c r="V69" s="391"/>
      <c r="W69" s="391"/>
      <c r="X69" s="391"/>
    </row>
    <row r="70" spans="1:24" s="33" customFormat="1" ht="120" customHeight="1" x14ac:dyDescent="0.25">
      <c r="A70" s="390"/>
      <c r="B70" s="390"/>
      <c r="C70" s="390"/>
      <c r="D70" s="390"/>
      <c r="E70" s="390"/>
      <c r="F70" s="390"/>
      <c r="G70" s="390"/>
      <c r="H70" s="390"/>
      <c r="I70" s="390"/>
      <c r="J70" s="390"/>
      <c r="K70" s="390"/>
      <c r="L70" s="390"/>
      <c r="M70" s="391"/>
      <c r="N70" s="391"/>
      <c r="O70" s="391"/>
      <c r="P70" s="391"/>
      <c r="Q70" s="391"/>
      <c r="R70" s="391"/>
      <c r="S70" s="391"/>
      <c r="T70" s="391"/>
      <c r="U70" s="391"/>
      <c r="V70" s="391"/>
      <c r="W70" s="391"/>
      <c r="X70" s="391"/>
    </row>
    <row r="71" spans="1:24" s="33" customFormat="1" ht="120" customHeight="1" x14ac:dyDescent="0.25">
      <c r="A71" s="390"/>
      <c r="B71" s="390"/>
      <c r="C71" s="390"/>
      <c r="D71" s="390"/>
      <c r="E71" s="390"/>
      <c r="F71" s="390"/>
      <c r="G71" s="390"/>
      <c r="H71" s="390"/>
      <c r="I71" s="390"/>
      <c r="J71" s="390"/>
      <c r="K71" s="390"/>
      <c r="L71" s="390"/>
      <c r="M71" s="391"/>
      <c r="N71" s="391"/>
      <c r="O71" s="391"/>
      <c r="P71" s="391"/>
      <c r="Q71" s="391"/>
      <c r="R71" s="391"/>
      <c r="S71" s="391"/>
      <c r="T71" s="391"/>
      <c r="U71" s="391"/>
      <c r="V71" s="391"/>
      <c r="W71" s="391"/>
      <c r="X71" s="391"/>
    </row>
    <row r="72" spans="1:24" s="33" customFormat="1" ht="120" customHeight="1" x14ac:dyDescent="0.25">
      <c r="A72" s="390"/>
      <c r="B72" s="390"/>
      <c r="C72" s="390"/>
      <c r="D72" s="390"/>
      <c r="E72" s="390"/>
      <c r="F72" s="390"/>
      <c r="G72" s="390"/>
      <c r="H72" s="390"/>
      <c r="I72" s="390"/>
      <c r="J72" s="390"/>
      <c r="K72" s="390"/>
      <c r="L72" s="390"/>
      <c r="M72" s="391"/>
      <c r="N72" s="391"/>
      <c r="O72" s="391"/>
      <c r="P72" s="391"/>
      <c r="Q72" s="391"/>
      <c r="R72" s="391"/>
      <c r="S72" s="391"/>
      <c r="T72" s="391"/>
      <c r="U72" s="391"/>
      <c r="V72" s="391"/>
      <c r="W72" s="391"/>
      <c r="X72" s="391"/>
    </row>
    <row r="73" spans="1:24" s="33" customFormat="1" ht="120" customHeight="1" x14ac:dyDescent="0.25">
      <c r="A73" s="390"/>
      <c r="B73" s="390"/>
      <c r="C73" s="390"/>
      <c r="D73" s="390"/>
      <c r="E73" s="390"/>
      <c r="F73" s="390"/>
      <c r="G73" s="390"/>
      <c r="H73" s="390"/>
      <c r="I73" s="390"/>
      <c r="J73" s="390"/>
      <c r="K73" s="390"/>
      <c r="L73" s="390"/>
      <c r="M73" s="391"/>
      <c r="N73" s="391"/>
      <c r="O73" s="391"/>
      <c r="P73" s="391"/>
      <c r="Q73" s="391"/>
      <c r="R73" s="391"/>
      <c r="S73" s="391"/>
      <c r="T73" s="391"/>
      <c r="U73" s="391"/>
      <c r="V73" s="391"/>
      <c r="W73" s="391"/>
      <c r="X73" s="391"/>
    </row>
    <row r="74" spans="1:24" s="33" customFormat="1" ht="120" customHeight="1" x14ac:dyDescent="0.25">
      <c r="A74" s="390"/>
      <c r="B74" s="390"/>
      <c r="C74" s="390"/>
      <c r="D74" s="390"/>
      <c r="E74" s="390"/>
      <c r="F74" s="390"/>
      <c r="G74" s="390"/>
      <c r="H74" s="390"/>
      <c r="I74" s="390"/>
      <c r="J74" s="390"/>
      <c r="K74" s="390"/>
      <c r="L74" s="390"/>
      <c r="M74" s="391"/>
      <c r="N74" s="391"/>
      <c r="O74" s="391"/>
      <c r="P74" s="391"/>
      <c r="Q74" s="391"/>
      <c r="R74" s="391"/>
      <c r="S74" s="391"/>
      <c r="T74" s="391"/>
      <c r="U74" s="391"/>
      <c r="V74" s="391"/>
      <c r="W74" s="391"/>
      <c r="X74" s="391"/>
    </row>
    <row r="75" spans="1:24" s="33" customFormat="1" ht="120" customHeight="1" x14ac:dyDescent="0.25">
      <c r="A75" s="390"/>
      <c r="B75" s="390"/>
      <c r="C75" s="390"/>
      <c r="D75" s="390"/>
      <c r="E75" s="390"/>
      <c r="F75" s="390"/>
      <c r="G75" s="390"/>
      <c r="H75" s="390"/>
      <c r="I75" s="390"/>
      <c r="J75" s="390"/>
      <c r="K75" s="390"/>
      <c r="L75" s="390"/>
      <c r="M75" s="391"/>
      <c r="N75" s="391"/>
      <c r="O75" s="391"/>
      <c r="P75" s="391"/>
      <c r="Q75" s="391"/>
      <c r="R75" s="391"/>
      <c r="S75" s="391"/>
      <c r="T75" s="391"/>
      <c r="U75" s="391"/>
      <c r="V75" s="391"/>
      <c r="W75" s="391"/>
      <c r="X75" s="391"/>
    </row>
    <row r="76" spans="1:24" s="33" customFormat="1" ht="120" customHeight="1" x14ac:dyDescent="0.25">
      <c r="A76" s="390"/>
      <c r="B76" s="390"/>
      <c r="C76" s="390"/>
      <c r="D76" s="390"/>
      <c r="E76" s="390"/>
      <c r="F76" s="390"/>
      <c r="G76" s="390"/>
      <c r="H76" s="390"/>
      <c r="I76" s="390"/>
      <c r="J76" s="390"/>
      <c r="K76" s="390"/>
      <c r="L76" s="390"/>
      <c r="M76" s="391"/>
      <c r="N76" s="391"/>
      <c r="O76" s="391"/>
      <c r="P76" s="391"/>
      <c r="Q76" s="391"/>
      <c r="R76" s="391"/>
      <c r="S76" s="391"/>
      <c r="T76" s="391"/>
      <c r="U76" s="391"/>
      <c r="V76" s="391"/>
      <c r="W76" s="391"/>
      <c r="X76" s="391"/>
    </row>
    <row r="77" spans="1:24" s="33" customFormat="1" ht="120" customHeight="1" x14ac:dyDescent="0.25">
      <c r="A77" s="390"/>
      <c r="B77" s="390"/>
      <c r="C77" s="390"/>
      <c r="D77" s="390"/>
      <c r="E77" s="390"/>
      <c r="F77" s="390"/>
      <c r="G77" s="390"/>
      <c r="H77" s="390"/>
      <c r="I77" s="390"/>
      <c r="J77" s="390"/>
      <c r="K77" s="390"/>
      <c r="L77" s="390"/>
      <c r="M77" s="391"/>
      <c r="N77" s="391"/>
      <c r="O77" s="391"/>
      <c r="P77" s="391"/>
      <c r="Q77" s="391"/>
      <c r="R77" s="391"/>
      <c r="S77" s="391"/>
      <c r="T77" s="391"/>
      <c r="U77" s="391"/>
      <c r="V77" s="391"/>
      <c r="W77" s="391"/>
      <c r="X77" s="391"/>
    </row>
    <row r="78" spans="1:24" s="33" customFormat="1" ht="120" customHeight="1" x14ac:dyDescent="0.25">
      <c r="A78" s="390"/>
      <c r="B78" s="390"/>
      <c r="C78" s="390"/>
      <c r="D78" s="390"/>
      <c r="E78" s="390"/>
      <c r="F78" s="390"/>
      <c r="G78" s="390"/>
      <c r="H78" s="390"/>
      <c r="I78" s="390"/>
      <c r="J78" s="390"/>
      <c r="K78" s="390"/>
      <c r="L78" s="390"/>
      <c r="M78" s="391"/>
      <c r="N78" s="391"/>
      <c r="O78" s="391"/>
      <c r="P78" s="391"/>
      <c r="Q78" s="391"/>
      <c r="R78" s="391"/>
      <c r="S78" s="391"/>
      <c r="T78" s="391"/>
      <c r="U78" s="391"/>
      <c r="V78" s="391"/>
      <c r="W78" s="391"/>
      <c r="X78" s="391"/>
    </row>
    <row r="79" spans="1:24" s="33" customFormat="1" ht="120" customHeight="1" x14ac:dyDescent="0.25">
      <c r="A79" s="390"/>
      <c r="B79" s="390"/>
      <c r="C79" s="390"/>
      <c r="D79" s="390"/>
      <c r="E79" s="390"/>
      <c r="F79" s="390"/>
      <c r="G79" s="390"/>
      <c r="H79" s="390"/>
      <c r="I79" s="390"/>
      <c r="J79" s="390"/>
      <c r="K79" s="390"/>
      <c r="L79" s="390"/>
      <c r="M79" s="391"/>
      <c r="N79" s="391"/>
      <c r="O79" s="391"/>
      <c r="P79" s="391"/>
      <c r="Q79" s="391"/>
      <c r="R79" s="391"/>
      <c r="S79" s="391"/>
      <c r="T79" s="391"/>
      <c r="U79" s="391"/>
      <c r="V79" s="391"/>
      <c r="W79" s="391"/>
      <c r="X79" s="391"/>
    </row>
    <row r="80" spans="1:24" s="33" customFormat="1" ht="120" customHeight="1" x14ac:dyDescent="0.25">
      <c r="A80" s="390"/>
      <c r="B80" s="390"/>
      <c r="C80" s="390"/>
      <c r="D80" s="390"/>
      <c r="E80" s="390"/>
      <c r="F80" s="390"/>
      <c r="G80" s="390"/>
      <c r="H80" s="390"/>
      <c r="I80" s="390"/>
      <c r="J80" s="390"/>
      <c r="K80" s="390"/>
      <c r="L80" s="390"/>
      <c r="M80" s="391"/>
      <c r="N80" s="391"/>
      <c r="O80" s="391"/>
      <c r="P80" s="391"/>
      <c r="Q80" s="391"/>
      <c r="R80" s="391"/>
      <c r="S80" s="391"/>
      <c r="T80" s="391"/>
      <c r="U80" s="391"/>
      <c r="V80" s="391"/>
      <c r="W80" s="391"/>
      <c r="X80" s="391"/>
    </row>
    <row r="81" spans="1:24" s="33" customFormat="1" ht="120" customHeight="1" x14ac:dyDescent="0.25">
      <c r="A81" s="390"/>
      <c r="B81" s="390"/>
      <c r="C81" s="390"/>
      <c r="D81" s="390"/>
      <c r="E81" s="390"/>
      <c r="F81" s="390"/>
      <c r="G81" s="390"/>
      <c r="H81" s="390"/>
      <c r="I81" s="390"/>
      <c r="J81" s="390"/>
      <c r="K81" s="390"/>
      <c r="L81" s="390"/>
      <c r="M81" s="391"/>
      <c r="N81" s="391"/>
      <c r="O81" s="391"/>
      <c r="P81" s="391"/>
      <c r="Q81" s="391"/>
      <c r="R81" s="391"/>
      <c r="S81" s="391"/>
      <c r="T81" s="391"/>
      <c r="U81" s="391"/>
      <c r="V81" s="391"/>
      <c r="W81" s="391"/>
      <c r="X81" s="391"/>
    </row>
    <row r="82" spans="1:24" s="33" customFormat="1" ht="120" customHeight="1" x14ac:dyDescent="0.25">
      <c r="A82" s="390"/>
      <c r="B82" s="390"/>
      <c r="C82" s="390"/>
      <c r="D82" s="390"/>
      <c r="E82" s="390"/>
      <c r="F82" s="390"/>
      <c r="G82" s="390"/>
      <c r="H82" s="390"/>
      <c r="I82" s="390"/>
      <c r="J82" s="390"/>
      <c r="K82" s="390"/>
      <c r="L82" s="390"/>
      <c r="M82" s="391"/>
      <c r="N82" s="391"/>
      <c r="O82" s="391"/>
      <c r="P82" s="391"/>
      <c r="Q82" s="391"/>
      <c r="R82" s="391"/>
      <c r="S82" s="391"/>
      <c r="T82" s="391"/>
      <c r="U82" s="391"/>
      <c r="V82" s="391"/>
      <c r="W82" s="391"/>
      <c r="X82" s="391"/>
    </row>
    <row r="83" spans="1:24" s="33" customFormat="1" ht="120" customHeight="1" x14ac:dyDescent="0.25">
      <c r="A83" s="390"/>
      <c r="B83" s="390"/>
      <c r="C83" s="390"/>
      <c r="D83" s="390"/>
      <c r="E83" s="390"/>
      <c r="F83" s="390"/>
      <c r="G83" s="390"/>
      <c r="H83" s="390"/>
      <c r="I83" s="390"/>
      <c r="J83" s="390"/>
      <c r="K83" s="390"/>
      <c r="L83" s="390"/>
      <c r="M83" s="391"/>
      <c r="N83" s="391"/>
      <c r="O83" s="391"/>
      <c r="P83" s="391"/>
      <c r="Q83" s="391"/>
      <c r="R83" s="391"/>
      <c r="S83" s="391"/>
      <c r="T83" s="391"/>
      <c r="U83" s="391"/>
      <c r="V83" s="391"/>
      <c r="W83" s="391"/>
      <c r="X83" s="391"/>
    </row>
    <row r="84" spans="1:24" s="33" customFormat="1" ht="120" customHeight="1" x14ac:dyDescent="0.25">
      <c r="A84" s="390"/>
      <c r="B84" s="390"/>
      <c r="C84" s="390"/>
      <c r="D84" s="390"/>
      <c r="E84" s="390"/>
      <c r="F84" s="390"/>
      <c r="G84" s="390"/>
      <c r="H84" s="390"/>
      <c r="I84" s="390"/>
      <c r="J84" s="390"/>
      <c r="K84" s="390"/>
      <c r="L84" s="390"/>
      <c r="M84" s="391"/>
      <c r="N84" s="391"/>
      <c r="O84" s="391"/>
      <c r="P84" s="391"/>
      <c r="Q84" s="391"/>
      <c r="R84" s="391"/>
      <c r="S84" s="391"/>
      <c r="T84" s="391"/>
      <c r="U84" s="391"/>
      <c r="V84" s="391"/>
      <c r="W84" s="391"/>
      <c r="X84" s="391"/>
    </row>
    <row r="85" spans="1:24" x14ac:dyDescent="0.25">
      <c r="M85" s="391"/>
      <c r="N85" s="391"/>
      <c r="O85" s="391"/>
      <c r="P85" s="391"/>
      <c r="Q85" s="391"/>
      <c r="R85" s="391"/>
      <c r="S85" s="391"/>
      <c r="T85" s="391"/>
      <c r="U85" s="391"/>
      <c r="V85" s="391"/>
      <c r="W85" s="391"/>
      <c r="X85" s="391"/>
    </row>
    <row r="86" spans="1:24" x14ac:dyDescent="0.25">
      <c r="M86" s="391"/>
      <c r="N86" s="391"/>
      <c r="O86" s="391"/>
      <c r="P86" s="391"/>
      <c r="Q86" s="391"/>
      <c r="R86" s="391"/>
      <c r="S86" s="391"/>
      <c r="T86" s="391"/>
      <c r="U86" s="391"/>
      <c r="V86" s="391"/>
      <c r="W86" s="391"/>
      <c r="X86" s="391"/>
    </row>
    <row r="87" spans="1:24" x14ac:dyDescent="0.25">
      <c r="M87" s="391"/>
      <c r="N87" s="391"/>
      <c r="O87" s="391"/>
      <c r="P87" s="391"/>
      <c r="Q87" s="391"/>
      <c r="R87" s="391"/>
      <c r="S87" s="391"/>
      <c r="T87" s="391"/>
      <c r="U87" s="391"/>
      <c r="V87" s="391"/>
      <c r="W87" s="391"/>
      <c r="X87" s="391"/>
    </row>
    <row r="88" spans="1:24" x14ac:dyDescent="0.25">
      <c r="M88" s="391"/>
      <c r="N88" s="391"/>
      <c r="O88" s="391"/>
      <c r="P88" s="391"/>
      <c r="Q88" s="391"/>
      <c r="R88" s="391"/>
      <c r="S88" s="391"/>
      <c r="T88" s="391"/>
      <c r="U88" s="391"/>
      <c r="V88" s="391"/>
      <c r="W88" s="391"/>
      <c r="X88" s="391"/>
    </row>
  </sheetData>
  <dataValidations count="6">
    <dataValidation type="list" allowBlank="1" sqref="G17:G200">
      <formula1>"R,S"</formula1>
      <formula2>0</formula2>
    </dataValidation>
    <dataValidation type="list" allowBlank="1" sqref="H17:H200">
      <formula1>"R1,R2,R3,R4,S1,S2,S3,S4,not shown"</formula1>
      <formula2>0</formula2>
    </dataValidation>
    <dataValidation type="list" allowBlank="1" sqref="L17:L200">
      <formula1>"Held,Failed,Partial"</formula1>
      <formula2>0</formula2>
    </dataValidation>
    <dataValidation type="list" allowBlank="1" sqref="N17:N200">
      <formula1>"Rank OK,Ranked too low,Ranked too high,n/a"</formula1>
      <formula2>0</formula2>
    </dataValidation>
    <dataValidation type="list" allowBlank="1" sqref="E17:E200">
      <formula1>"High,Low"</formula1>
      <formula2>0</formula2>
    </dataValidation>
    <dataValidation type="list" allowBlank="1" sqref="D17:D200">
      <formula1>"BUY-LEAN,SELL-LEAN,NEUTRAL"</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J166"/>
  <sheetViews>
    <sheetView topLeftCell="W13" zoomScaleNormal="100" workbookViewId="0">
      <selection activeCell="W33" sqref="A33:XFD34"/>
    </sheetView>
  </sheetViews>
  <sheetFormatPr defaultColWidth="8.7109375" defaultRowHeight="15" x14ac:dyDescent="0.25"/>
  <cols>
    <col min="1" max="1" width="22" style="1" customWidth="1"/>
    <col min="2" max="2" width="12" style="1" customWidth="1"/>
    <col min="3" max="3" width="19.5703125" style="1" customWidth="1"/>
    <col min="4" max="4" width="7" style="1" customWidth="1"/>
    <col min="5" max="5" width="11" style="1" customWidth="1"/>
    <col min="6" max="6" width="12" style="1" customWidth="1"/>
    <col min="7" max="7" width="28" style="1" customWidth="1"/>
    <col min="11" max="11" width="14.140625" style="1" customWidth="1"/>
    <col min="18" max="19" width="13" style="1" hidden="1" customWidth="1"/>
    <col min="22" max="22" width="13" style="1" hidden="1" customWidth="1"/>
    <col min="27" max="27" width="13" style="1" customWidth="1"/>
    <col min="28" max="43" width="13" style="1" hidden="1" customWidth="1"/>
    <col min="44" max="45" width="0" hidden="1" customWidth="1"/>
    <col min="46" max="47" width="13" style="1" hidden="1" customWidth="1"/>
    <col min="48" max="48" width="0" hidden="1" customWidth="1"/>
    <col min="49" max="54" width="13" style="1" hidden="1" customWidth="1"/>
    <col min="55" max="146" width="0" hidden="1" customWidth="1"/>
  </cols>
  <sheetData>
    <row r="1" spans="1:349" ht="15.75" customHeight="1" x14ac:dyDescent="0.25">
      <c r="A1" s="392" t="s">
        <v>1087</v>
      </c>
      <c r="CM1" s="76" t="s">
        <v>1088</v>
      </c>
      <c r="CN1" s="76" t="s">
        <v>1089</v>
      </c>
      <c r="CO1" s="76" t="s">
        <v>1090</v>
      </c>
      <c r="CP1" s="218">
        <f>IFERROR(INDEX('King Node Model'!$A$29:$A$75,MATCH(MAX('King Node Model'!$B$29:$B$75),'King Node Model'!$B$29:$B$75,0)),"")</f>
        <v>7770</v>
      </c>
      <c r="CR1" s="393" t="s">
        <v>1091</v>
      </c>
      <c r="CT1" s="218" t="s">
        <v>1092</v>
      </c>
      <c r="CW1" s="218" t="s">
        <v>1093</v>
      </c>
      <c r="EK1" t="s">
        <v>1548</v>
      </c>
      <c r="EL1">
        <f>'King Node Model'!$D$26</f>
        <v>7805</v>
      </c>
      <c r="EO1">
        <f>MAX($EO$9:$EO$55)</f>
        <v>4056043</v>
      </c>
      <c r="EQ1">
        <v>7770</v>
      </c>
      <c r="EV1" t="s">
        <v>1954</v>
      </c>
      <c r="FH1">
        <f>IFERROR(INDEX($AA$9:$AA$55,MAX($FG$9:$FG$55)),"")</f>
        <v>7780</v>
      </c>
      <c r="FI1">
        <f>IFERROR(INDEX($AA$9:$AA$55,MAX($FM$9:$FM$55)),"")</f>
        <v>7770</v>
      </c>
      <c r="FT1" t="s">
        <v>1972</v>
      </c>
      <c r="GI1">
        <f>IFERROR(SUMPRODUCT(MIN(($GA$9:$GA$55=1)*($GF$9:$GF$55=1)*($AA$9:$AA$55&gt;=$B$4)*$AA$9:$AA$55+(1-($GA$9:$GA$55=1)*($GF$9:$GF$55=1)*($AA$9:$AA$55&gt;=$B$4))*999999)),"")</f>
        <v>7780</v>
      </c>
      <c r="GJ1">
        <f>IFERROR(SUMPRODUCT(MAX(($W$9:$W$14&lt;=$B$4)*$W$9:$W$14)),"")</f>
        <v>0</v>
      </c>
      <c r="GM1">
        <f>IFERROR(SUMPRODUCT(MIN(($CU$9:$CU$55=1)*($AG$9:$AG$55="R")*($AA$9:$AA$55&gt;=$GJ$3)*$AA$9:$AA$55+(1-($CU$9:$CU$55=1)*($AG$9:$AG$55="R")*($AA$9:$AA$55&gt;=$GJ$3))*999999)),"")</f>
        <v>7780</v>
      </c>
    </row>
    <row r="2" spans="1:349" ht="15" customHeight="1" x14ac:dyDescent="0.25">
      <c r="A2" s="181" t="s">
        <v>1094</v>
      </c>
      <c r="CM2" s="218">
        <f t="array" ref="CM2">IF(AND(ISNUMBER($GI$3),ISNUMBER($GI$4),SUMPRODUCT(($AA$9:$AA$55&gt;=MIN($GI$3,$GI$4))*($AA$9:$AA$55&lt;=MAX($GI$3,$GI$4))*($GZ$9:$GZ$55=1))=0),1,0)</f>
        <v>1</v>
      </c>
      <c r="CN2" s="218">
        <f t="array" ref="CN2">IF(AND(ISNUMBER($GI$5),ISNUMBER($GI$6),SUMPRODUCT(($AA$9:$AA$55&gt;=MIN($GI$5,$GI$6))*($AA$9:$AA$55&lt;=MAX($GI$5,$GI$6))*($GZ$9:$GZ$55=1))=0),1,0)</f>
        <v>1</v>
      </c>
      <c r="CO2" s="394" t="s">
        <v>1095</v>
      </c>
      <c r="CP2" s="3">
        <f>'King Node Model'!$T$22</f>
        <v>7825</v>
      </c>
      <c r="CR2" s="394" t="s">
        <v>1096</v>
      </c>
      <c r="CS2" s="6">
        <f>$B$4</f>
        <v>7775.39</v>
      </c>
      <c r="CT2" s="218">
        <f>IF(ISNUMBER(CT3),1,0)</f>
        <v>1</v>
      </c>
      <c r="CW2" s="218">
        <f>IF(ISNUMBER(CW3),1,0)</f>
        <v>1</v>
      </c>
      <c r="DY2" s="218">
        <f>IF(NOT(ISNUMBER('King Node Model'!$AL$42)),"",IF(IFERROR(INDEX($AN$9:$AN$55,MATCH('King Node Model'!$AL$42,$AA$9:$AA$55,0))=1,FALSE()),MIN('King Node Model'!$AB$22,'King Node Model'!$AB$23),IF(AND($CT$2=1,'King Node Model'!$AL$42&gt;=MIN($CT$3,$CT$4),'King Node Model'!$AL$42&lt;=MAX($CT$3,$CT$4)),MIN($CT$3,$CT$4),'King Node Model'!$AL$42)))</f>
        <v>0</v>
      </c>
      <c r="DZ2" s="218">
        <f>IF(NOT(ISNUMBER('King Node Model'!$AL$42)),"",IF(IFERROR(INDEX($AN$9:$AN$55,MATCH('King Node Model'!$AL$42,$AA$9:$AA$55,0))=1,FALSE()),MAX('King Node Model'!$AB$22,'King Node Model'!$AB$23),IF(AND($CT$2=1,'King Node Model'!$AL$42&gt;=MIN($CT$3,$CT$4),'King Node Model'!$AL$42&lt;=MAX($CT$3,$CT$4)),MAX($CT$3,$CT$4),'King Node Model'!$AL$42)))</f>
        <v>0</v>
      </c>
      <c r="EA2" s="218" t="str">
        <f>IF(ISNUMBER(IFERROR(INDEX($BT$9:$BT$55,MATCH($DY$2,$AA$9:$AA$55,0)),"")),INDEX($BT$9:$BT$55,MATCH($DY$2,$AA$9:$AA$55,0)),IF(NOT(ISNUMBER($DY$2)),"",IF(AND(ISNUMBER($W$9),$W$9&gt;=$DY$2,$W$9&lt;=$DZ$2),1,IF(AND(ISNUMBER($W$10),$W$10&gt;=$DY$2,$W$10&lt;=$DZ$2),2,IF(AND(ISNUMBER($W$11),$W$11&gt;=$DY$2,$W$11&lt;=$DZ$2),3,IF(AND(ISNUMBER($W$12),$W$12&gt;=$DY$2,$W$12&lt;=$DZ$2),4,IF(AND(ISNUMBER($W$13),$W$13&gt;=$DY$2,$W$13&lt;=$DZ$2),5,IF(AND(ISNUMBER($W$14),$W$14&gt;=$DY$2,$W$14&lt;=$DZ$2),6,""))))))))</f>
        <v/>
      </c>
      <c r="EK2" t="s">
        <v>1549</v>
      </c>
      <c r="EL2">
        <f t="array" ref="EL2">MIN(IF(($AA$9:$AA$55&gt;$EL$1)*($AC$9:$AC$55&lt;$BG$41),$AA$9:$AA$55,99999))</f>
        <v>7810</v>
      </c>
      <c r="EO2">
        <f>IF($EO$1&lt;=0,"",INDEX($AA$9:$AA$55,MATCH($EO$1,$EO$9:$EO$55,0)))</f>
        <v>7775</v>
      </c>
      <c r="EP2">
        <f t="array" ref="EP2">IF(N('King Node Model'!$AL$42)=0,"",MAX(($AA$9:$AA$55&gt;='King Node Model'!$AL$42-20)*($AA$9:$AA$55&lt;='King Node Model'!$AL$42+20)*($AA$9:$AA$55&lt;&gt;'King Node Model'!$AL$42)*(SIGN($AB$9:$AB$55)=SIGN(INDEX($AB$9:$AB$55,MATCH('King Node Model'!$AL$42,$AA$9:$AA$55,0))))*ABS($AB$9:$AB$55)))</f>
        <v>3137174</v>
      </c>
      <c r="EQ2">
        <f t="array" ref="EQ2">IF(N('King Node Model'!$AL$49)=0,"",MAX(($AA$9:$AA$55&gt;='King Node Model'!$AL$49-20)*($AA$9:$AA$55&lt;='King Node Model'!$AL$49+20)*($AA$9:$AA$55&lt;&gt;'King Node Model'!$AL$49)*(SIGN($AB$9:$AB$55)=SIGN(INDEX($AB$9:$AB$55,MATCH('King Node Model'!$AL$49,$AA$9:$AA$55,0))))*ABS($AB$9:$AB$55)))</f>
        <v>3137174</v>
      </c>
      <c r="EV2" s="218">
        <f>'Master Dashboard'!$AM$2</f>
        <v>7775.39</v>
      </c>
      <c r="FH2">
        <f>IFERROR(INDEX($AA$9:$AA$55,MIN($FG$9:$FG$55)),"")</f>
        <v>7780</v>
      </c>
      <c r="FI2">
        <f>IFERROR(INDEX($AA$9:$AA$55,MIN($FM$9:$FM$55)),"")</f>
        <v>7780</v>
      </c>
      <c r="FT2">
        <v>0.6</v>
      </c>
      <c r="GG2">
        <v>300000</v>
      </c>
      <c r="GI2">
        <f>IFERROR(SUMPRODUCT(MAX(($GA$9:$GA$55=1)*($GF$9:$GF$55=1)*($AA$9:$AA$55&lt;=$B$4)*$AA$9:$AA$55)),"")</f>
        <v>7775</v>
      </c>
      <c r="GJ2">
        <f>IFERROR(SUMPRODUCT(MIN(($W$18:$W$23&gt;=$B$4)*$W$18:$W$23+(1-($W$18:$W$23&gt;=$B$4))*999999)),"")</f>
        <v>999999</v>
      </c>
      <c r="GL2">
        <v>3</v>
      </c>
      <c r="GM2">
        <f>IFERROR(SUMPRODUCT(MAX(($CV$9:$CV$55=1)*($AG$9:$AG$55="S")*($AA$9:$AA$55&lt;=$GJ$3)*$AA$9:$AA$55)),"")</f>
        <v>7775</v>
      </c>
      <c r="HR2" t="s">
        <v>2026</v>
      </c>
    </row>
    <row r="3" spans="1:349" ht="15" customHeight="1" x14ac:dyDescent="0.25">
      <c r="A3" t="s">
        <v>1480</v>
      </c>
      <c r="B3" t="s">
        <v>1263</v>
      </c>
      <c r="C3" s="1">
        <v>0.13700000000000001</v>
      </c>
      <c r="D3" t="s">
        <v>1620</v>
      </c>
      <c r="E3">
        <v>0.89490000000000003</v>
      </c>
      <c r="I3" s="275"/>
      <c r="BF3" s="218" t="s">
        <v>1097</v>
      </c>
      <c r="BG3" s="218">
        <f>MAX(MAX(AD9:AD55),-MIN(AD9:AD55))</f>
        <v>3673666</v>
      </c>
      <c r="CM3" s="218">
        <f>IF($CM$2=1,$GI$3,"")</f>
        <v>7770</v>
      </c>
      <c r="CN3">
        <f>IF($CN$2=1,$GI$6,"")</f>
        <v>7780</v>
      </c>
      <c r="CO3" s="394" t="s">
        <v>1098</v>
      </c>
      <c r="CP3" s="3">
        <f>'King Node Model'!$T$23</f>
        <v>7770</v>
      </c>
      <c r="CR3" s="393" t="s">
        <v>1099</v>
      </c>
      <c r="CT3">
        <v>7770</v>
      </c>
      <c r="CW3">
        <v>7780</v>
      </c>
      <c r="DY3" s="33">
        <f>IF(NOT(ISNUMBER('King Node Model'!$AL$43)),"",IF(AND(IFERROR(INDEX($AN$9:$AN$55,MATCH('King Node Model'!$AL$43,$AA$9:$AA$55,0))=1,FALSE()),NOT(OR('King Node Model'!$A$8="Neg",N($BG$72)=1))),INDEX($AT$9:$AT$55,MATCH('King Node Model'!$AL$43,$AA$9:$AA$55,0)),IF(AND($CT$2=1,'King Node Model'!$AL$43&gt;=MIN($CT$3,$CT$4),'King Node Model'!$AL$43&lt;=MAX($CT$3,$CT$4)),MIN($CT$3,$CT$4),'King Node Model'!$AL$43)))</f>
        <v>7805</v>
      </c>
      <c r="DZ3" s="33">
        <f>IF(NOT(ISNUMBER('King Node Model'!$AL$43)),"",IF(AND(IFERROR(INDEX($AN$9:$AN$55,MATCH('King Node Model'!$AL$43,$AA$9:$AA$55,0))=1,FALSE()),NOT(OR('King Node Model'!$A$8="Neg",N($BG$72)=1))),INDEX($AU$9:$AU$55,MATCH('King Node Model'!$AL$43,$AA$9:$AA$55,0)),IF(AND($CT$2=1,'King Node Model'!$AL$43&gt;=MIN($CT$3,$CT$4),'King Node Model'!$AL$43&lt;=MAX($CT$3,$CT$4)),MAX($CT$3,$CT$4),'King Node Model'!$AL$43)))</f>
        <v>7805</v>
      </c>
      <c r="EA3" s="33">
        <f>IF(ISNUMBER(IFERROR(INDEX($BT$9:$BT$55,MATCH($DY$3,$AA$9:$AA$55,0)),"")),INDEX($BT$9:$BT$55,MATCH($DY$3,$AA$9:$AA$55,0)),IF(NOT(ISNUMBER($DY$3)),"",IF(AND(ISNUMBER($W$9),$W$9&gt;=$DY$3,$W$9&lt;=$DZ$3),1,IF(AND(ISNUMBER($W$10),$W$10&gt;=$DY$3,$W$10&lt;=$DZ$3),2,IF(AND(ISNUMBER($W$11),$W$11&gt;=$DY$3,$W$11&lt;=$DZ$3),3,IF(AND(ISNUMBER($W$12),$W$12&gt;=$DY$3,$W$12&lt;=$DZ$3),4,IF(AND(ISNUMBER($W$13),$W$13&gt;=$DY$3,$W$13&lt;=$DZ$3),5,IF(AND(ISNUMBER($W$14),$W$14&gt;=$DY$3,$W$14&lt;=$DZ$3),6,""))))))))</f>
        <v>2</v>
      </c>
      <c r="EK3" t="s">
        <v>1550</v>
      </c>
      <c r="EL3">
        <f>IF(NOT(ISNUMBER($EL$1)),"",IF($EL$2&gt;=99999,MAX($AA$9:$AA$55),$EL$2-5))</f>
        <v>7805</v>
      </c>
      <c r="EO3">
        <f>IF(ISNUMBER($EQ$1),$EQ$1-5,IF(ISNUMBER($EO$2),$EO$2-5,""))</f>
        <v>7765</v>
      </c>
      <c r="EP3">
        <f t="array" ref="EP3">IF(N('King Node Model'!$AL$43)=0,"",MAX(($AA$9:$AA$55&gt;='King Node Model'!$AL$43-20)*($AA$9:$AA$55&lt;='King Node Model'!$AL$43+20)*($AA$9:$AA$55&lt;&gt;'King Node Model'!$AL$43)*(SIGN($AB$9:$AB$55)=SIGN(INDEX($AB$9:$AB$55,MATCH('King Node Model'!$AL$43,$AA$9:$AA$55,0))))*ABS($AB$9:$AB$55)))</f>
        <v>538591</v>
      </c>
      <c r="EQ3">
        <f t="array" ref="EQ3">IF(N('King Node Model'!$AL$50)=0,"",MAX(($AA$9:$AA$55&gt;='King Node Model'!$AL$50-20)*($AA$9:$AA$55&lt;='King Node Model'!$AL$50+20)*($AA$9:$AA$55&lt;&gt;'King Node Model'!$AL$50)*(SIGN($AB$9:$AB$55)=SIGN(INDEX($AB$9:$AB$55,MATCH('King Node Model'!$AL$50,$AA$9:$AA$55,0))))*ABS($AB$9:$AB$55)))</f>
        <v>2299593</v>
      </c>
      <c r="EV3" s="218">
        <f>IFERROR(IF(INDEX($AA$9:$AA$55,MATCH($EV$2,$AA$9:$AA$55,-1))=$EV$2,MATCH($EV$2,$AA$9:$AA$55,-1)-1,MATCH($EV$2,$AA$9:$AA$55,-1)),0)</f>
        <v>22</v>
      </c>
      <c r="FH3" t="str">
        <f>IFERROR(IF(SUMPRODUCT(($AA$9:$AA$55&gt;=IFERROR(IF(ISNUMBER($FH$1),MAX(MIN($CT$3,$CT$4),$FH$1),MIN($CT$3,$CT$4)),-1E+30))*($AA$9:$AA$55&lt;=IFERROR(IF(ISNUMBER($FH$2),MIN(MAX($CT$3,$CT$4),$FH$2),MAX($CT$3,$CT$4)),1E+30)))&lt;$BG$34,"",IF(ISNUMBER($FH$1),MAX(MIN($CT$3,$CT$4),$FH$1),MIN($CT$3,$CT$4))),"")</f>
        <v/>
      </c>
      <c r="FI3">
        <f>IFERROR(IF(SUMPRODUCT(($AA$9:$AA$55&gt;=IFERROR(IF(ISNUMBER($FI$1),MAX(MIN($CW$3,$CW$4),$FI$1),MIN($CW$3,$CW$4)),-1E+30))*($AA$9:$AA$55&lt;=IFERROR(IF(ISNUMBER($FI$2),MIN(MAX($CW$3,$CW$4),$FI$2),MAX($CW$3,$CW$4)),1E+30)))&lt;$BG$34,"",IF(ISNUMBER($FI$1),MAX(MIN($CW$3,$CW$4),$FI$1),MIN($CW$3,$CW$4))),"")</f>
        <v>7770</v>
      </c>
      <c r="GG3">
        <v>0.4</v>
      </c>
      <c r="GI3">
        <f>IFERROR(INDEX($GD$9:$GD$55,MATCH($GI$1,$AA$9:$AA$55,0)),"")</f>
        <v>7770</v>
      </c>
      <c r="GJ3">
        <f>IF(AND(ISNUMBER($GJ$1),$GJ$1&gt;0,$B$4&gt;$GJ$1,$B$4-$GJ$1&lt;$BG$9),$GJ$1,IF(AND(ISNUMBER($GJ$2),$GJ$2&gt;0,$GJ$2&lt;999999,$B$4&lt;$GJ$2,$GJ$2-$B$4&lt;$BG$9),$GJ$2,$B$4))</f>
        <v>7775.39</v>
      </c>
      <c r="GL3">
        <v>5</v>
      </c>
      <c r="HP3" t="s">
        <v>2027</v>
      </c>
      <c r="HQ3" t="s">
        <v>2028</v>
      </c>
      <c r="HR3">
        <f>IF(AND(COUNTIF($IU$9:$IU$55,1)&gt;0,IFERROR(INDEX($AA$9:$AA$55,MATCH(1,$IU$9:$IU$55,0)),0)&lt;&gt;N('King Node Model'!$AL$42),IFERROR(INDEX($AA$9:$AA$55,MATCH(1,$IU$9:$IU$55,0)),0)&lt;&gt;N('King Node Model'!$AL$43)),IFERROR(INDEX($AA$9:$AA$55,MATCH(1,$IU$9:$IU$55,0)),0),IF(AND(OR(NOT(ISNUMBER('King Node Model'!$AL$42)),IFERROR(INDEX($HP$9:$HP$55,MATCH('King Node Model'!$AL$42,$AA$9:$AA$55,0)),0)=1),OR(NOT(ISNUMBER('King Node Model'!$AL$43)),IFERROR(INDEX($HP$9:$HP$55,MATCH('King Node Model'!$AL$43,$AA$9:$AA$55,0)),0)=1)),IF(COUNT($HR$9:$HR$14)&gt;0,INDEX($W$9:$W$14,MATCH(MIN($HR$9:$HR$14),$HR$9:$HR$14,0)),IF(COUNT($JA$9:$JA$14)&gt;0,INDEX($W$9:$W$14,MATCH(MIN($JA$9:$JA$14),$JA$9:$JA$14,0)),IF(COUNT($IR$9:$IR$14)&gt;0,INDEX($W$9:$W$14,MATCH(MIN($IR$9:$IR$14),$IR$9:$IR$14,0)),""))),""))</f>
        <v>7800</v>
      </c>
    </row>
    <row r="4" spans="1:349" ht="15" customHeight="1" x14ac:dyDescent="0.25">
      <c r="A4" s="177" t="s">
        <v>1066</v>
      </c>
      <c r="B4" s="395">
        <f>'King Node Model'!B4</f>
        <v>7775.39</v>
      </c>
      <c r="C4" s="177" t="s">
        <v>1100</v>
      </c>
      <c r="D4" s="396">
        <f>'King Node Model'!D26</f>
        <v>7805</v>
      </c>
      <c r="E4" s="177" t="s">
        <v>1101</v>
      </c>
      <c r="F4" s="397" t="str">
        <f>'King Node Model'!L5</f>
        <v>Low</v>
      </c>
      <c r="G4" s="398" t="s">
        <v>1102</v>
      </c>
      <c r="I4" s="188"/>
      <c r="K4" s="399"/>
      <c r="L4" s="400"/>
      <c r="M4" s="401"/>
      <c r="N4" s="402"/>
      <c r="O4" s="403"/>
      <c r="P4" s="181" t="s">
        <v>1103</v>
      </c>
      <c r="Q4" s="404">
        <v>10000</v>
      </c>
      <c r="BF4" s="218" t="s">
        <v>1104</v>
      </c>
      <c r="BG4" s="218">
        <f>MAX(MAX(AZ9:AZ55),-MIN(AZ9:AZ55))</f>
        <v>20533</v>
      </c>
      <c r="CM4" s="218">
        <f t="array" ref="CM4">IF($CM$2=1,$GI$4,"")</f>
        <v>7780</v>
      </c>
      <c r="CN4" s="218">
        <f t="array" ref="CN4">IF($CN$2=1,$GI$5,"")</f>
        <v>7770</v>
      </c>
      <c r="CO4" s="394" t="s">
        <v>1105</v>
      </c>
      <c r="CP4" t="str">
        <f>'King Node Model'!$T$34</f>
        <v>-</v>
      </c>
      <c r="CR4" s="394" t="s">
        <v>1106</v>
      </c>
      <c r="CS4" s="218">
        <f>CN7</f>
        <v>7775</v>
      </c>
      <c r="CT4">
        <v>7780</v>
      </c>
      <c r="CW4">
        <v>7770</v>
      </c>
      <c r="DY4" s="33">
        <f>IF(AND(ISNUMBER('King Node Model'!$AL$42),ISNUMBER('King Node Model'!$AL$43)),MIN('King Node Model'!$AL$42,'King Node Model'!$AL$43),"")</f>
        <v>7780</v>
      </c>
      <c r="DZ4" s="33">
        <f>IF(AND(ISNUMBER('King Node Model'!$AL$42),ISNUMBER('King Node Model'!$AL$43)),MAX('King Node Model'!$AL$42,'King Node Model'!$AL$43),"")</f>
        <v>7805</v>
      </c>
      <c r="EA4" s="33">
        <f>IF(ISNUMBER(IFERROR(INDEX($BT$9:$BT$55,MATCH($DY$4,$AA$9:$AA$55,0)),"")),INDEX($BT$9:$BT$55,MATCH($DY$4,$AA$9:$AA$55,0)),IF(NOT(ISNUMBER($DY$4)),"",IF(AND(ISNUMBER($W$9),$W$9&gt;=$DY$4,$W$9&lt;=$DZ$4),1,IF(AND(ISNUMBER($W$10),$W$10&gt;=$DY$4,$W$10&lt;=$DZ$4),2,IF(AND(ISNUMBER($W$11),$W$11&gt;=$DY$4,$W$11&lt;=$DZ$4),3,IF(AND(ISNUMBER($W$12),$W$12&gt;=$DY$4,$W$12&lt;=$DZ$4),4,IF(AND(ISNUMBER($W$13),$W$13&gt;=$DY$4,$W$13&lt;=$DZ$4),5,IF(AND(ISNUMBER($W$14),$W$14&gt;=$DY$4,$W$14&lt;=$DZ$4),6,""))))))))</f>
        <v>1</v>
      </c>
      <c r="EK4" t="s">
        <v>1551</v>
      </c>
      <c r="EL4">
        <f>IF(NOT(ISNUMBER($EL$3)),"",$EL$3-$EL$1)</f>
        <v>0</v>
      </c>
      <c r="EO4">
        <f>IF(ISNUMBER($EQ$1),$EQ$1,IF(ISNUMBER($EO$2),$EO$2,""))</f>
        <v>7770</v>
      </c>
      <c r="EP4">
        <f t="array" ref="EP4">IF(N('King Node Model'!$AL$42)=0,"",MAX(($AA$9:$AA$55&gt;='King Node Model'!$AL$42-20)*($AA$9:$AA$55&lt;='King Node Model'!$AL$42+20)*($AA$9:$AA$55&lt;&gt;'King Node Model'!$AL$42)*(SIGN($AB$9:$AB$55)=SIGN(INDEX($AB$9:$AB$55,MATCH('King Node Model'!$AL$42,$AA$9:$AA$55,0))))*ABS($AB$9:$AB$55)))</f>
        <v>3137174</v>
      </c>
      <c r="EQ4">
        <f t="array" ref="EQ4">IF(N('King Node Model'!$AL$49)=0,"",MAX(($AA$9:$AA$55&gt;='King Node Model'!$AL$49-20)*($AA$9:$AA$55&lt;='King Node Model'!$AL$49+20)*($AA$9:$AA$55&lt;&gt;'King Node Model'!$AL$49)*(SIGN($AB$9:$AB$55)=SIGN(INDEX($AB$9:$AB$55,MATCH('King Node Model'!$AL$49,$AA$9:$AA$55,0))))*ABS($AB$9:$AB$55)))</f>
        <v>3137174</v>
      </c>
      <c r="EV4" s="218">
        <f>IF(OR($EV$3&lt;1,$EV$3&gt;46),"",INDEX($AE$9:$AE$55,$EV$3))</f>
        <v>-923901</v>
      </c>
      <c r="FH4" t="str">
        <f>IFERROR(IF(SUMPRODUCT(($AA$9:$AA$55&gt;=IFERROR(IF(ISNUMBER($FH$1),MAX(MIN($CT$3,$CT$4),$FH$1),MIN($CT$3,$CT$4)),-1E+30))*($AA$9:$AA$55&lt;=IFERROR(IF(ISNUMBER($FH$2),MIN(MAX($CT$3,$CT$4),$FH$2),MAX($CT$3,$CT$4)),1E+30)))&lt;$BG$34,"",IF(ISNUMBER($FH$2),MIN(MAX($CT$3,$CT$4),$FH$2),MAX($CT$3,$CT$4))),"")</f>
        <v/>
      </c>
      <c r="FI4">
        <f>IFERROR(IF(SUMPRODUCT(($AA$9:$AA$55&gt;=IFERROR(IF(ISNUMBER($FI$1),MAX(MIN($CW$3,$CW$4),$FI$1),MIN($CW$3,$CW$4)),-1E+30))*($AA$9:$AA$55&lt;=IFERROR(IF(ISNUMBER($FI$2),MIN(MAX($CW$3,$CW$4),$FI$2),MAX($CW$3,$CW$4)),1E+30)))&lt;$BG$34,"",IF(ISNUMBER($FI$2),MIN(MAX($CW$3,$CW$4),$FI$2),MAX($CW$3,$CW$4))),"")</f>
        <v>7780</v>
      </c>
      <c r="GG4">
        <v>2</v>
      </c>
      <c r="GI4">
        <f>IFERROR(INDEX($GE$9:$GE$55,MATCH($GI$1,$AA$9:$AA$55,0)),"")</f>
        <v>7780</v>
      </c>
      <c r="GJ4">
        <f>IF($GJ$3&lt;&gt;$B$4,1,0)</f>
        <v>0</v>
      </c>
      <c r="GL4">
        <v>3</v>
      </c>
      <c r="HP4">
        <f>IFERROR(ABS(INDEX($HP$9:$HP$55,MATCH('King Node Model'!$AL$42,$AA$9:$AA$55,0))-'Master Dashboard'!$CJ$45),0)+IFERROR(ABS(INDEX($HP$9:$HP$55,MATCH('King Node Model'!$AL$43,$AA$9:$AA$55,0))-'Master Dashboard'!$CJ$46),0)+IFERROR(ABS(INDEX($HP$9:$HP$55,MATCH('King Node Model'!$AL$49,$AA$9:$AA$55,0))-'Master Dashboard'!$CJ$52),0)+IFERROR(ABS(INDEX($HP$9:$HP$55,MATCH('King Node Model'!$AL$50,$AA$9:$AA$55,0))-'Master Dashboard'!$CJ$53),0)</f>
        <v>0</v>
      </c>
      <c r="HR4" t="str">
        <f>IF(AND(OR(NOT(ISNUMBER('King Node Model'!$AL$49)),IFERROR(INDEX($HP$9:$HP$55,MATCH('King Node Model'!$AL$49,$AA$9:$AA$55,0)),0)=1),OR(NOT(ISNUMBER('King Node Model'!$AL$50)),IFERROR(INDEX($HP$9:$HP$55,MATCH('King Node Model'!$AL$50,$AA$9:$AA$55,0)),0)=1)),IF(COUNT($HR$18:$HR$23)&gt;0,INDEX($W$18:$W$23,MATCH(MIN($HR$18:$HR$23),$HR$18:$HR$23,0)),IF(COUNT($JA$18:$JA$23)&gt;0,INDEX($W$18:$W$23,MATCH(MIN($JA$18:$JA$23),$JA$18:$JA$23,0)),IF(COUNT($IR$18:$IR$23)&gt;0,INDEX($W$18:$W$23,MATCH(MIN($IR$18:$IR$23),$IR$18:$IR$23,0)),""))),"")</f>
        <v/>
      </c>
    </row>
    <row r="5" spans="1:349" ht="15" customHeight="1" x14ac:dyDescent="0.25">
      <c r="A5" s="188" t="s">
        <v>1107</v>
      </c>
      <c r="B5" s="405" t="s">
        <v>1108</v>
      </c>
      <c r="C5" s="406"/>
      <c r="D5" s="407" t="str">
        <f>IF($C$5&lt;&gt;"",UPPER(TRIM($C$5)),IF($B$3&lt;&gt;"",UPPER(TRIM($B$3)),"FLAT"))</f>
        <v>UP</v>
      </c>
      <c r="E5" s="181" t="s">
        <v>1109</v>
      </c>
      <c r="F5" s="178">
        <v>1.25</v>
      </c>
      <c r="G5" s="181" t="s">
        <v>1110</v>
      </c>
      <c r="H5" s="178">
        <v>0.8</v>
      </c>
      <c r="I5" s="218" t="s">
        <v>1111</v>
      </c>
      <c r="J5" s="188" t="s">
        <v>1112</v>
      </c>
      <c r="K5" s="408" t="str">
        <f>$S$15</f>
        <v>NO (uniform)</v>
      </c>
      <c r="BF5" s="218" t="s">
        <v>1113</v>
      </c>
      <c r="BG5" s="218">
        <f>MAX(MAX(BC9:BC55),-MIN(BC9:BC55))</f>
        <v>3137174</v>
      </c>
      <c r="CM5" s="218">
        <f t="array" ref="CM5">IF($CM$2=1,$GI$7,"")</f>
        <v>7770</v>
      </c>
      <c r="CN5" s="218">
        <f t="array" ref="CN5">IF($CN$2=1,$GI$8,"")</f>
        <v>7770</v>
      </c>
      <c r="CO5" s="394" t="s">
        <v>1114</v>
      </c>
      <c r="CP5" t="str">
        <f>'King Node Model'!$T$35</f>
        <v>-</v>
      </c>
      <c r="CR5" s="394" t="s">
        <v>1115</v>
      </c>
      <c r="CS5" s="10">
        <f>IFERROR(INDEX($BC$9:$BC$55,MATCH(CN7,$AA$9:$AA$55,0)),"no match")</f>
        <v>-49207</v>
      </c>
      <c r="DY5" s="33">
        <f>IF(NOT(ISNUMBER('King Node Model'!$AL$49)),"",IF(AND(IFERROR(INDEX($AN$9:$AN$55,MATCH('King Node Model'!$AL$49,$AA$9:$AA$55,0))=1,FALSE()),NOT(OR('King Node Model'!$A$8="Neg",N($BG$72)=1))),MIN('King Node Model'!$AB$20,'King Node Model'!$AB$21),IF(AND($CW$2=1,'King Node Model'!$AL$49&gt;=MIN($CW$3,$CW$4),'King Node Model'!$AL$49&lt;=MAX($CW$3,$CW$4)),MIN($CW$3,$CW$4),'King Node Model'!$AL$49)))</f>
        <v>7770</v>
      </c>
      <c r="DZ5" s="33">
        <f>IF(NOT(ISNUMBER('King Node Model'!$AL$49)),"",IF(AND(IFERROR(INDEX($AN$9:$AN$55,MATCH('King Node Model'!$AL$49,$AA$9:$AA$55,0))=1,FALSE()),NOT(OR('King Node Model'!$A$8="Neg",N($BG$72)=1))),MAX('King Node Model'!$AB$20,'King Node Model'!$AB$21),IF(AND($CW$2=1,'King Node Model'!$AL$49&gt;=MIN($CW$3,$CW$4),'King Node Model'!$AL$49&lt;=MAX($CW$3,$CW$4)),MAX($CW$3,$CW$4),'King Node Model'!$AL$49)))</f>
        <v>7780</v>
      </c>
      <c r="EA5" s="33">
        <f>IF(ISNUMBER(IFERROR(INDEX($DN$9:$DN$55,MATCH($DY$5,$AA$9:$AA$55,0)),"")),INDEX($DN$9:$DN$55,MATCH($DY$5,$AA$9:$AA$55,0)),IF(NOT(ISNUMBER($DY$5)),"",IF(AND(ISNUMBER($W$18),$W$18&gt;=$DY$5,$W$18&lt;=$DZ$5),1,IF(AND(ISNUMBER($W$19),$W$19&gt;=$DY$5,$W$19&lt;=$DZ$5),2,IF(AND(ISNUMBER($W$20),$W$20&gt;=$DY$5,$W$20&lt;=$DZ$5),3,IF(AND(ISNUMBER($W$21),$W$21&gt;=$DY$5,$W$21&lt;=$DZ$5),4,IF(AND(ISNUMBER($W$22),$W$22&gt;=$DY$5,$W$22&lt;=$DZ$5),5,IF(AND(ISNUMBER($W$23),$W$23&gt;=$DY$5,$W$23&lt;=$DZ$5),6,""))))))))</f>
        <v>2</v>
      </c>
      <c r="EK5" t="s">
        <v>1552</v>
      </c>
      <c r="EL5">
        <f>IF(NOT(ISNUMBER($EL$3)),"",SUMPRODUCT(($AA$9:$AA$55&gt;=$EL$1)*($AA$9:$AA$55&lt;=$EL$3)*$AC$9:$AC$55))</f>
        <v>874234</v>
      </c>
      <c r="EO5">
        <f>IF(NOT(ISNUMBER($EO$3)),0,IF(AND($B$4&gt;=$EO$3,$B$4&lt;=$EO$4),1,0))</f>
        <v>0</v>
      </c>
      <c r="EP5">
        <f t="array" ref="EP5">IF(N('King Node Model'!$AL$43)=0,"",MAX(($AA$9:$AA$55&gt;='King Node Model'!$AL$43-20)*($AA$9:$AA$55&lt;='King Node Model'!$AL$43+20)*($AA$9:$AA$55&lt;&gt;'King Node Model'!$AL$43)*(SIGN($AB$9:$AB$55)=SIGN(INDEX($AB$9:$AB$55,MATCH('King Node Model'!$AL$43,$AA$9:$AA$55,0))))*ABS($AB$9:$AB$55)))</f>
        <v>538591</v>
      </c>
      <c r="EQ5">
        <f t="array" ref="EQ5">IF(N('King Node Model'!$AL$50)=0,"",MAX(($AA$9:$AA$55&gt;='King Node Model'!$AL$50-20)*($AA$9:$AA$55&lt;='King Node Model'!$AL$50+20)*($AA$9:$AA$55&lt;&gt;'King Node Model'!$AL$50)*(SIGN($AB$9:$AB$55)=SIGN(INDEX($AB$9:$AB$55,MATCH('King Node Model'!$AL$50,$AA$9:$AA$55,0))))*ABS($AB$9:$AB$55)))</f>
        <v>2299593</v>
      </c>
      <c r="EV5" s="218">
        <f>IF(OR($EV$3&lt;1,$EV$3&gt;46),"",INDEX($AE$9:$AE$55,$EV$3+1))</f>
        <v>81141</v>
      </c>
      <c r="FA5" t="s">
        <v>1958</v>
      </c>
      <c r="FO5" t="s">
        <v>1973</v>
      </c>
      <c r="GG5">
        <v>2</v>
      </c>
      <c r="GI5">
        <f>IFERROR(INDEX($GD$9:$GD$55,MATCH($GI$2,$AA$9:$AA$55,0)),"")</f>
        <v>7770</v>
      </c>
    </row>
    <row r="6" spans="1:349" ht="15" customHeight="1" x14ac:dyDescent="0.25">
      <c r="A6" s="214" t="s">
        <v>1116</v>
      </c>
      <c r="B6" s="178">
        <v>0.4</v>
      </c>
      <c r="C6" s="181" t="s">
        <v>1117</v>
      </c>
      <c r="E6" s="178">
        <v>0.3</v>
      </c>
      <c r="F6" s="409">
        <v>0.1</v>
      </c>
      <c r="G6" s="181" t="s">
        <v>1118</v>
      </c>
      <c r="I6" s="410">
        <v>2.5</v>
      </c>
      <c r="BF6" s="218" t="s">
        <v>1119</v>
      </c>
      <c r="BG6" s="218">
        <f>MAX(MAX(AF9:AF55),-MIN(AF9:AF55))</f>
        <v>20439820</v>
      </c>
      <c r="CM6" t="str">
        <f>IF(CM2=1,IF(CM3=CM4,TEXT(CM3,"0"),TEXT(CM3,"0")&amp;"–"&amp;TEXT(CM4,"0")),"none")</f>
        <v>7770–7780</v>
      </c>
      <c r="CN6" t="str">
        <f>IF(CN2=1,IF(CN3=CN4,TEXT(CN3,"0"),TEXT(CN4,"0")&amp;"–"&amp;TEXT(CN3,"0")),"none")</f>
        <v>7770–7780</v>
      </c>
      <c r="CO6" s="394" t="s">
        <v>1120</v>
      </c>
      <c r="CP6" t="str">
        <f>'King Node Model'!$T$36</f>
        <v>-</v>
      </c>
      <c r="CR6" s="394" t="s">
        <v>1121</v>
      </c>
      <c r="CS6" s="218">
        <f>CN8</f>
        <v>-1</v>
      </c>
      <c r="CT6" t="str">
        <f>IF(CT2=1,IF(CT3=CT4,TEXT(CT3,"0"),TEXT(CT3,"0")&amp;"–"&amp;TEXT(CT4,"0")),"none")</f>
        <v>7770–7780</v>
      </c>
      <c r="CW6" t="str">
        <f>IF(CW2=1,IF(CW3=CW4,TEXT(CW3,"0"),TEXT(CW4,"0")&amp;"–"&amp;TEXT(CW3,"0")),"none")</f>
        <v>7770–7780</v>
      </c>
      <c r="DY6" t="str">
        <f>IF(NOT(ISNUMBER('King Node Model'!$AL$50)),"",IF(IFERROR(INDEX($AN$9:$AN$55,MATCH('King Node Model'!$AL$50,$AA$9:$AA$55,0))=1,FALSE()),INDEX($AT$9:$AT$55,MATCH('King Node Model'!$AL$50,$AA$9:$AA$55,0)),IF(AND($CW$2=1,'King Node Model'!$AL$50&gt;=MIN($CW$3,$CW$4),'King Node Model'!$AL$50&lt;=MAX($CW$3,$CW$4)),MIN($CW$3,$CW$4),'King Node Model'!$AL$50)))</f>
        <v/>
      </c>
      <c r="DZ6" t="str">
        <f>IF(NOT(ISNUMBER('King Node Model'!$AL$50)),"",IF(IFERROR(INDEX($AN$9:$AN$55,MATCH('King Node Model'!$AL$50,$AA$9:$AA$55,0))=1,FALSE()),INDEX($AU$9:$AU$55,MATCH('King Node Model'!$AL$50,$AA$9:$AA$55,0)),IF(AND($CW$2=1,'King Node Model'!$AL$50&gt;=MIN($CW$3,$CW$4),'King Node Model'!$AL$50&lt;=MAX($CW$3,$CW$4)),MAX($CW$3,$CW$4),'King Node Model'!$AL$50)))</f>
        <v/>
      </c>
      <c r="EA6" t="str">
        <f>IF(ISNUMBER(IFERROR(INDEX($DN$9:$DN$55,MATCH($DY$6,$AA$9:$AA$55,0)),"")),INDEX($DN$9:$DN$55,MATCH($DY$6,$AA$9:$AA$55,0)),IF(NOT(ISNUMBER($DY$6)),"",IF(AND(ISNUMBER($W$18),$W$18&gt;=$DY$6,$W$18&lt;=$DZ$6),1,IF(AND(ISNUMBER($W$19),$W$19&gt;=$DY$6,$W$19&lt;=$DZ$6),2,IF(AND(ISNUMBER($W$20),$W$20&gt;=$DY$6,$W$20&lt;=$DZ$6),3,IF(AND(ISNUMBER($W$21),$W$21&gt;=$DY$6,$W$21&lt;=$DZ$6),4,IF(AND(ISNUMBER($W$22),$W$22&gt;=$DY$6,$W$22&lt;=$DZ$6),5,IF(AND(ISNUMBER($W$23),$W$23&gt;=$DY$6,$W$23&lt;=$DZ$6),6,""))))))))</f>
        <v/>
      </c>
      <c r="EK6" t="s">
        <v>1553</v>
      </c>
      <c r="EL6">
        <f>IF(AND(ISNUMBER($EL$4),$EL$4&gt;=10,ISNUMBER($EL$5),$EL$5&gt;=5*$BG$41,IFERROR(INDEX($AC$9:$AC$55,MATCH($EL$1,$AA$9:$AA$55,0)),0)&gt;=$BG$41),1,0)</f>
        <v>0</v>
      </c>
      <c r="EO6">
        <f>IF(NOT(ISNUMBER($EO$3)),0,IF($B$4&lt;$EO$3-$BG$9,1,0))</f>
        <v>0</v>
      </c>
      <c r="EV6" s="218">
        <f>IF(OR($EV$4="",$EV$5=""),0,IF(AND($EV$5&gt;0,$EV$4&lt;0.5*$EV$5),1,0))</f>
        <v>1</v>
      </c>
      <c r="FA6">
        <v>0.2</v>
      </c>
      <c r="FO6">
        <v>2</v>
      </c>
      <c r="GI6">
        <f>IFERROR(INDEX($GE$9:$GE$55,MATCH($GI$2,$AA$9:$AA$55,0)),"")</f>
        <v>7780</v>
      </c>
      <c r="HB6" t="s">
        <v>2009</v>
      </c>
      <c r="HC6">
        <v>0.6</v>
      </c>
      <c r="HD6" t="s">
        <v>2013</v>
      </c>
      <c r="HE6">
        <f>IF(ISNUMBER(SEARCH("SELL",'King Node Model'!$C$14)),1,IF(ISNUMBER(SEARCH("BUY",'King Node Model'!$C$14)),-1,0))</f>
        <v>-1</v>
      </c>
      <c r="HJ6" t="s">
        <v>2020</v>
      </c>
      <c r="HK6">
        <v>5</v>
      </c>
    </row>
    <row r="7" spans="1:349" ht="15" customHeight="1" x14ac:dyDescent="0.25">
      <c r="A7" s="172" t="s">
        <v>1122</v>
      </c>
      <c r="BF7" s="218" t="s">
        <v>1123</v>
      </c>
      <c r="BG7">
        <v>50</v>
      </c>
      <c r="CM7" s="218">
        <f t="array" ref="CM7">IF(SUMPRODUCT((($AA$9:$AA$55&gt;=$B$4)*(ABS(IFERROR($BC$9:$BC$55*1,0))&gt;$BG$23)*ISNUMBER($AA$9:$AA$55)))=0,"",SUMPRODUCT(MIN((($AA$9:$AA$55&gt;=$B$4)*(ABS(IFERROR($BC$9:$BC$55*1,0))&gt;$BG$23)*ISNUMBER($AA$9:$AA$55))*IFERROR($AA$9:$AA$55*1,0)+(1-(($AA$9:$AA$55&gt;=$B$4)*(ABS(IFERROR($BC$9:$BC$55*1,0))&gt;$BG$23)*ISNUMBER($AA$9:$AA$55)))*9^9)))</f>
        <v>7780</v>
      </c>
      <c r="CN7" s="218">
        <f t="array" ref="CN7">IF(SUMPRODUCT((($AA$9:$AA$55&lt;=$B$4)*(ABS(IFERROR($BC$9:$BC$55*1,0))&gt;$BG$23)*ISNUMBER($AA$9:$AA$55)))=0,"",SUMPRODUCT(MAX((($AA$9:$AA$55&lt;=$B$4)*(ABS(IFERROR($BC$9:$BC$55*1,0))&gt;$BG$23)*ISNUMBER($AA$9:$AA$55))*IFERROR($AA$9:$AA$55*1,0))))</f>
        <v>7775</v>
      </c>
      <c r="CO7" s="394" t="s">
        <v>1124</v>
      </c>
      <c r="CP7" t="str">
        <f>'King Node Model'!$T$37</f>
        <v>-</v>
      </c>
      <c r="CR7" s="394" t="s">
        <v>1125</v>
      </c>
      <c r="CS7" s="218">
        <f>SUMPRODUCT(($CL$9:$CL$55=1)*1)</f>
        <v>2</v>
      </c>
      <c r="DY7">
        <f>IF(AND(ISNUMBER('King Node Model'!$AL$49),ISNUMBER('King Node Model'!$AL$50)),MIN('King Node Model'!$AL$49,'King Node Model'!$AL$50),"")</f>
        <v>7770</v>
      </c>
      <c r="DZ7">
        <f>IF(AND(ISNUMBER('King Node Model'!$AL$49),ISNUMBER('King Node Model'!$AL$50)),MAX('King Node Model'!$AL$49,'King Node Model'!$AL$50),"")</f>
        <v>7775</v>
      </c>
      <c r="EA7">
        <f>IF(ISNUMBER(IFERROR(INDEX($DN$9:$DN$55,MATCH($DY$7,$AA$9:$AA$55,0)),"")),INDEX($DN$9:$DN$55,MATCH($DY$7,$AA$9:$AA$55,0)),IF(NOT(ISNUMBER($DY$7)),"",IF(AND(ISNUMBER($W$18),$W$18&gt;=$DY$7,$W$18&lt;=$DZ$7),1,IF(AND(ISNUMBER($W$19),$W$19&gt;=$DY$7,$W$19&lt;=$DZ$7),2,IF(AND(ISNUMBER($W$20),$W$20&gt;=$DY$7,$W$20&lt;=$DZ$7),3,IF(AND(ISNUMBER($W$21),$W$21&gt;=$DY$7,$W$21&lt;=$DZ$7),4,IF(AND(ISNUMBER($W$22),$W$22&gt;=$DY$7,$W$22&lt;=$DZ$7),5,IF(AND(ISNUMBER($W$23),$W$23&gt;=$DY$7,$W$23&lt;=$DZ$7),6,""))))))))</f>
        <v>2</v>
      </c>
      <c r="EK7" t="s">
        <v>1554</v>
      </c>
      <c r="EL7">
        <v>0</v>
      </c>
      <c r="EO7" t="str">
        <f>IF(NOT(ISNUMBER($EO$4)),"",IF($EO$6=1,"⚠ BOX FAIL "&amp;TEXT($EO$3,"0"),IF($EO$5=1,"⊙ IN BOX "&amp;TEXT($EO$3,"0")&amp;"-"&amp;TEXT($EO$4,"0"),"⊙ BOX ARMED "&amp;TEXT($EO$3,"0")&amp;"-"&amp;TEXT($EO$4,"0")))&amp;IF(ISNUMBER($EQ$1)," ·held",""))</f>
        <v>⊙ BOX ARMED 7765-7770 ·held</v>
      </c>
      <c r="FA7">
        <v>1.7</v>
      </c>
      <c r="GI7">
        <f>IFERROR(SUMPRODUCT(($FV$9:$FV$55=INDEX($FV$9:$FV$55,MATCH($GI$1,$AA$9:$AA$55,0)))*($FU$9:$FU$55=INDEX($FX$9:$FX$55,MATCH($GI$1,$AA$9:$AA$55,0)))*$AA$9:$AA$55),"")</f>
        <v>7770</v>
      </c>
      <c r="HB7" t="s">
        <v>2010</v>
      </c>
      <c r="HC7">
        <v>0.04</v>
      </c>
    </row>
    <row r="8" spans="1:349" ht="15" customHeight="1" x14ac:dyDescent="0.25">
      <c r="A8" s="175" t="s">
        <v>33</v>
      </c>
      <c r="B8" s="175" t="s">
        <v>35</v>
      </c>
      <c r="C8" s="175" t="s">
        <v>36</v>
      </c>
      <c r="D8" s="175" t="s">
        <v>37</v>
      </c>
      <c r="E8" s="175" t="s">
        <v>1126</v>
      </c>
      <c r="F8" s="176" t="s">
        <v>1071</v>
      </c>
      <c r="G8" s="176" t="s">
        <v>15</v>
      </c>
      <c r="R8" s="181" t="s">
        <v>1127</v>
      </c>
      <c r="S8" s="276">
        <f>IFERROR(MEDIAN(AO9:AO55),0)</f>
        <v>195854</v>
      </c>
      <c r="AA8" s="181" t="s">
        <v>1128</v>
      </c>
      <c r="AB8" s="181" t="s">
        <v>1129</v>
      </c>
      <c r="AC8" s="181" t="s">
        <v>1130</v>
      </c>
      <c r="AD8" t="s">
        <v>2023</v>
      </c>
      <c r="AE8" s="181" t="s">
        <v>1131</v>
      </c>
      <c r="AF8" s="181" t="s">
        <v>1132</v>
      </c>
      <c r="AG8" s="181" t="s">
        <v>1133</v>
      </c>
      <c r="AH8" s="181" t="s">
        <v>1134</v>
      </c>
      <c r="AI8" s="181" t="s">
        <v>1135</v>
      </c>
      <c r="AJ8" s="181" t="s">
        <v>1136</v>
      </c>
      <c r="AK8" s="181" t="s">
        <v>1137</v>
      </c>
      <c r="AL8" s="181" t="s">
        <v>1138</v>
      </c>
      <c r="AM8" s="181" t="s">
        <v>1139</v>
      </c>
      <c r="AN8" s="181" t="s">
        <v>1140</v>
      </c>
      <c r="AV8" s="218" t="s">
        <v>1141</v>
      </c>
      <c r="BC8" s="218" t="s">
        <v>1142</v>
      </c>
      <c r="BD8" s="218" t="s">
        <v>1143</v>
      </c>
      <c r="BE8" s="218" t="s">
        <v>1144</v>
      </c>
      <c r="BF8" s="218" t="s">
        <v>1145</v>
      </c>
      <c r="BI8" t="s">
        <v>2151</v>
      </c>
      <c r="BJ8" s="218" t="s">
        <v>1146</v>
      </c>
      <c r="BK8" s="218" t="s">
        <v>1147</v>
      </c>
      <c r="BL8" s="218" t="s">
        <v>1148</v>
      </c>
      <c r="BM8" s="218" t="s">
        <v>1149</v>
      </c>
      <c r="BN8" s="218" t="s">
        <v>1150</v>
      </c>
      <c r="BO8" s="218" t="s">
        <v>1151</v>
      </c>
      <c r="BP8" s="218" t="s">
        <v>1152</v>
      </c>
      <c r="BQ8" s="218" t="s">
        <v>1153</v>
      </c>
      <c r="BR8" s="218" t="s">
        <v>1154</v>
      </c>
      <c r="BT8" t="s">
        <v>1563</v>
      </c>
      <c r="BV8" s="218" t="s">
        <v>1155</v>
      </c>
      <c r="BW8" s="218" t="s">
        <v>1156</v>
      </c>
      <c r="CB8" s="320" t="s">
        <v>1157</v>
      </c>
      <c r="CC8" s="218" t="s">
        <v>1158</v>
      </c>
      <c r="CD8" s="218" t="s">
        <v>1159</v>
      </c>
      <c r="CF8" s="76" t="s">
        <v>1160</v>
      </c>
      <c r="CG8" s="76" t="s">
        <v>1161</v>
      </c>
      <c r="CH8" s="76" t="s">
        <v>1162</v>
      </c>
      <c r="CI8" s="76" t="s">
        <v>1163</v>
      </c>
      <c r="CJ8" s="76" t="s">
        <v>1164</v>
      </c>
      <c r="CK8" s="76" t="s">
        <v>1165</v>
      </c>
      <c r="CL8" s="76" t="s">
        <v>1166</v>
      </c>
      <c r="CM8" s="218">
        <f>IF($CM$5="","",SIGN(INDEX($BC$9:$BC$55,MATCH($CM$5,$AA$9:$AA$55,0))))</f>
        <v>-1</v>
      </c>
      <c r="CN8" s="218">
        <f>IF($CN$5="","",SIGN(INDEX($BC$9:$BC$55,MATCH($CN$5,$AA$9:$AA$55,0))))</f>
        <v>-1</v>
      </c>
      <c r="CO8" s="394" t="s">
        <v>1167</v>
      </c>
      <c r="CR8" s="394" t="s">
        <v>1168</v>
      </c>
      <c r="CS8" s="218">
        <f>SUMPRODUCT(MAX(($CL$9:$CL$55=1)*ABS(IFERROR($BC$9:$BC$55*1,0))))</f>
        <v>0</v>
      </c>
      <c r="CU8" s="218" t="s">
        <v>1169</v>
      </c>
      <c r="CV8" s="218" t="s">
        <v>1170</v>
      </c>
      <c r="CX8" s="218" t="s">
        <v>1171</v>
      </c>
      <c r="CY8" s="218" t="s">
        <v>1172</v>
      </c>
      <c r="CZ8" s="218" t="s">
        <v>1173</v>
      </c>
      <c r="DA8" s="218" t="s">
        <v>1174</v>
      </c>
      <c r="DB8" s="218" t="s">
        <v>1175</v>
      </c>
      <c r="DC8" s="218" t="s">
        <v>1176</v>
      </c>
      <c r="DD8" s="218" t="s">
        <v>1177</v>
      </c>
      <c r="DE8" s="218" t="s">
        <v>1178</v>
      </c>
      <c r="DF8" s="218" t="s">
        <v>1179</v>
      </c>
      <c r="DG8" s="218" t="s">
        <v>1180</v>
      </c>
      <c r="DH8" s="218" t="s">
        <v>1147</v>
      </c>
      <c r="DI8" s="218" t="s">
        <v>1181</v>
      </c>
      <c r="DJ8" s="218" t="s">
        <v>1182</v>
      </c>
      <c r="DK8" s="218" t="s">
        <v>1183</v>
      </c>
      <c r="DL8" s="218" t="s">
        <v>1184</v>
      </c>
      <c r="DM8" s="218" t="s">
        <v>1555</v>
      </c>
      <c r="DN8" s="218" t="s">
        <v>1556</v>
      </c>
      <c r="DO8" s="218" t="s">
        <v>1185</v>
      </c>
      <c r="DP8" s="218" t="s">
        <v>1557</v>
      </c>
      <c r="DS8" s="218" t="s">
        <v>1186</v>
      </c>
      <c r="DT8" s="218" t="s">
        <v>1187</v>
      </c>
      <c r="DU8" s="218" t="s">
        <v>1188</v>
      </c>
      <c r="DV8" s="218" t="s">
        <v>1189</v>
      </c>
      <c r="DW8" s="218" t="s">
        <v>1190</v>
      </c>
      <c r="DX8" s="218" t="s">
        <v>1191</v>
      </c>
      <c r="EB8" s="218" t="s">
        <v>1521</v>
      </c>
      <c r="EC8" s="218" t="s">
        <v>1522</v>
      </c>
      <c r="ED8" s="218" t="s">
        <v>1523</v>
      </c>
      <c r="EE8" s="218" t="s">
        <v>1524</v>
      </c>
      <c r="EF8" s="218" t="s">
        <v>1525</v>
      </c>
      <c r="EI8" t="s">
        <v>1558</v>
      </c>
      <c r="EJ8" t="s">
        <v>1559</v>
      </c>
      <c r="EK8" t="s">
        <v>1560</v>
      </c>
      <c r="EL8">
        <f>IF(AND($EL$6=1,$EL$3='King Node Model'!$T$22,OR('King Node Model'!$A$8="Neg",N($BG$72)=1)),1,0)</f>
        <v>0</v>
      </c>
      <c r="EM8" t="s">
        <v>1561</v>
      </c>
      <c r="EN8" t="s">
        <v>1562</v>
      </c>
      <c r="EO8" t="s">
        <v>1564</v>
      </c>
      <c r="EP8" t="s">
        <v>1565</v>
      </c>
      <c r="EQ8" t="s">
        <v>1566</v>
      </c>
      <c r="ES8" t="s">
        <v>1567</v>
      </c>
      <c r="ET8" t="s">
        <v>1621</v>
      </c>
      <c r="EU8" t="s">
        <v>1955</v>
      </c>
      <c r="EW8" t="s">
        <v>1957</v>
      </c>
      <c r="EX8" t="s">
        <v>1980</v>
      </c>
      <c r="EY8" t="s">
        <v>1981</v>
      </c>
      <c r="FA8" t="s">
        <v>1959</v>
      </c>
      <c r="FB8" t="s">
        <v>1960</v>
      </c>
      <c r="FC8" t="s">
        <v>1961</v>
      </c>
      <c r="FD8" t="s">
        <v>1962</v>
      </c>
      <c r="FE8" t="s">
        <v>1963</v>
      </c>
      <c r="FF8" t="s">
        <v>1964</v>
      </c>
      <c r="FG8" t="s">
        <v>1965</v>
      </c>
      <c r="FJ8" t="s">
        <v>1966</v>
      </c>
      <c r="FK8" t="s">
        <v>1967</v>
      </c>
      <c r="FL8" t="s">
        <v>1968</v>
      </c>
      <c r="FM8" t="s">
        <v>1969</v>
      </c>
      <c r="FN8" t="s">
        <v>1970</v>
      </c>
      <c r="FO8" t="s">
        <v>1974</v>
      </c>
      <c r="FP8" t="s">
        <v>1975</v>
      </c>
      <c r="FQ8" t="s">
        <v>1976</v>
      </c>
      <c r="FR8" t="s">
        <v>1977</v>
      </c>
      <c r="FS8" t="s">
        <v>1978</v>
      </c>
      <c r="FT8" t="s">
        <v>1979</v>
      </c>
      <c r="FU8" t="s">
        <v>1982</v>
      </c>
      <c r="FV8" t="s">
        <v>1983</v>
      </c>
      <c r="FW8" t="s">
        <v>1984</v>
      </c>
      <c r="FX8" t="s">
        <v>1985</v>
      </c>
      <c r="FY8" t="s">
        <v>1986</v>
      </c>
      <c r="FZ8" t="s">
        <v>1987</v>
      </c>
      <c r="GA8" t="s">
        <v>1988</v>
      </c>
      <c r="GB8" t="s">
        <v>1989</v>
      </c>
      <c r="GC8" t="s">
        <v>1990</v>
      </c>
      <c r="GD8" t="s">
        <v>1991</v>
      </c>
      <c r="GE8" t="s">
        <v>1992</v>
      </c>
      <c r="GF8" t="s">
        <v>1993</v>
      </c>
      <c r="GG8" t="s">
        <v>1994</v>
      </c>
      <c r="GH8" t="s">
        <v>1995</v>
      </c>
      <c r="GI8">
        <f>IFERROR(SUMPRODUCT(($FV$9:$FV$55=INDEX($FV$9:$FV$55,MATCH($GI$2,$AA$9:$AA$55,0)))*($FU$9:$FU$55=INDEX($FX$9:$FX$55,MATCH($GI$2,$AA$9:$AA$55,0)))*$AA$9:$AA$55),"")</f>
        <v>7770</v>
      </c>
      <c r="GJ8" t="s">
        <v>1996</v>
      </c>
      <c r="GK8" t="s">
        <v>1997</v>
      </c>
      <c r="GL8" t="s">
        <v>1998</v>
      </c>
      <c r="GM8" t="s">
        <v>2001</v>
      </c>
      <c r="GO8" t="s">
        <v>1999</v>
      </c>
      <c r="GP8" t="s">
        <v>2000</v>
      </c>
      <c r="GQ8" t="s">
        <v>2002</v>
      </c>
      <c r="GR8" t="s">
        <v>2003</v>
      </c>
      <c r="GS8" t="s">
        <v>2004</v>
      </c>
      <c r="GT8" t="s">
        <v>2005</v>
      </c>
      <c r="GU8" t="s">
        <v>2006</v>
      </c>
      <c r="GV8" t="s">
        <v>2008</v>
      </c>
      <c r="GY8" t="s">
        <v>2011</v>
      </c>
      <c r="GZ8" t="s">
        <v>2012</v>
      </c>
      <c r="HA8" t="s">
        <v>2014</v>
      </c>
      <c r="HF8" t="s">
        <v>2015</v>
      </c>
      <c r="HG8" t="s">
        <v>2017</v>
      </c>
      <c r="HH8" t="s">
        <v>2018</v>
      </c>
      <c r="HI8" t="s">
        <v>2019</v>
      </c>
      <c r="HL8" t="s">
        <v>2021</v>
      </c>
      <c r="HM8" t="s">
        <v>2022</v>
      </c>
      <c r="HN8" t="s">
        <v>2024</v>
      </c>
      <c r="HO8" t="s">
        <v>2025</v>
      </c>
      <c r="HP8" t="s">
        <v>2029</v>
      </c>
      <c r="HQ8" t="s">
        <v>2030</v>
      </c>
      <c r="HR8" t="s">
        <v>2031</v>
      </c>
      <c r="HS8" t="s">
        <v>2032</v>
      </c>
      <c r="HT8" t="s">
        <v>2033</v>
      </c>
      <c r="HU8" t="s">
        <v>2034</v>
      </c>
      <c r="HV8" t="s">
        <v>2035</v>
      </c>
      <c r="HW8" t="s">
        <v>2190</v>
      </c>
      <c r="HX8" t="s">
        <v>2036</v>
      </c>
      <c r="HY8" t="s">
        <v>2037</v>
      </c>
      <c r="HZ8" t="s">
        <v>2038</v>
      </c>
      <c r="IA8" t="s">
        <v>2039</v>
      </c>
      <c r="IB8" t="s">
        <v>2040</v>
      </c>
      <c r="IC8" t="s">
        <v>2048</v>
      </c>
      <c r="ID8" t="s">
        <v>2048</v>
      </c>
      <c r="IF8" t="s">
        <v>2052</v>
      </c>
      <c r="IG8" t="s">
        <v>2053</v>
      </c>
      <c r="IH8" t="s">
        <v>2054</v>
      </c>
      <c r="II8" t="s">
        <v>2055</v>
      </c>
      <c r="IJ8" t="s">
        <v>2056</v>
      </c>
      <c r="IK8" t="s">
        <v>2057</v>
      </c>
      <c r="IL8" t="s">
        <v>2058</v>
      </c>
      <c r="IM8" t="s">
        <v>2059</v>
      </c>
      <c r="IN8" t="s">
        <v>2060</v>
      </c>
      <c r="IO8" t="s">
        <v>2061</v>
      </c>
      <c r="IP8" t="s">
        <v>2062</v>
      </c>
      <c r="IQ8" t="s">
        <v>2074</v>
      </c>
      <c r="IR8" t="s">
        <v>2075</v>
      </c>
      <c r="IS8" t="s">
        <v>2078</v>
      </c>
      <c r="IT8" t="s">
        <v>2083</v>
      </c>
      <c r="IU8" t="s">
        <v>2084</v>
      </c>
      <c r="IV8" t="s">
        <v>2096</v>
      </c>
      <c r="IW8" t="s">
        <v>2137</v>
      </c>
      <c r="IX8" t="s">
        <v>2086</v>
      </c>
      <c r="IY8" t="s">
        <v>2088</v>
      </c>
      <c r="IZ8" t="s">
        <v>2097</v>
      </c>
      <c r="JA8" t="s">
        <v>2098</v>
      </c>
      <c r="JC8" t="s">
        <v>2099</v>
      </c>
      <c r="JD8" t="s">
        <v>2100</v>
      </c>
      <c r="JE8" t="s">
        <v>2101</v>
      </c>
      <c r="JF8" t="s">
        <v>2102</v>
      </c>
      <c r="JG8" t="s">
        <v>2103</v>
      </c>
      <c r="JH8" t="s">
        <v>2104</v>
      </c>
      <c r="JI8" t="s">
        <v>2152</v>
      </c>
      <c r="JJ8" t="s">
        <v>2115</v>
      </c>
      <c r="JK8" t="s">
        <v>2138</v>
      </c>
      <c r="JL8" t="s">
        <v>2116</v>
      </c>
      <c r="JM8" t="s">
        <v>2117</v>
      </c>
      <c r="JN8" t="s">
        <v>2126</v>
      </c>
      <c r="JO8" t="s">
        <v>2128</v>
      </c>
      <c r="JP8" t="s">
        <v>2129</v>
      </c>
      <c r="JQ8" t="s">
        <v>2130</v>
      </c>
      <c r="JR8" t="s">
        <v>2153</v>
      </c>
      <c r="JS8" t="s">
        <v>2154</v>
      </c>
      <c r="JT8" t="s">
        <v>2134</v>
      </c>
      <c r="JU8" t="s">
        <v>2135</v>
      </c>
      <c r="JV8" t="s">
        <v>2155</v>
      </c>
      <c r="JW8" t="s">
        <v>2191</v>
      </c>
      <c r="JX8" t="s">
        <v>2156</v>
      </c>
      <c r="JY8" t="s">
        <v>2157</v>
      </c>
      <c r="JZ8" t="s">
        <v>2158</v>
      </c>
      <c r="KA8" t="s">
        <v>2159</v>
      </c>
      <c r="KB8" t="s">
        <v>2160</v>
      </c>
      <c r="KC8" t="s">
        <v>2161</v>
      </c>
      <c r="KD8" t="s">
        <v>2162</v>
      </c>
      <c r="KE8" t="s">
        <v>2192</v>
      </c>
      <c r="KF8" t="s">
        <v>2163</v>
      </c>
      <c r="KG8" t="s">
        <v>2164</v>
      </c>
      <c r="KH8" t="s">
        <v>2165</v>
      </c>
      <c r="KI8" t="s">
        <v>2166</v>
      </c>
      <c r="KJ8" t="s">
        <v>2167</v>
      </c>
      <c r="KK8" t="s">
        <v>2168</v>
      </c>
      <c r="KL8" t="s">
        <v>2169</v>
      </c>
      <c r="KM8" t="s">
        <v>2170</v>
      </c>
      <c r="KN8" t="s">
        <v>2171</v>
      </c>
      <c r="KO8" t="s">
        <v>2172</v>
      </c>
      <c r="KP8" t="s">
        <v>2173</v>
      </c>
      <c r="KQ8" t="s">
        <v>2174</v>
      </c>
      <c r="KR8" t="s">
        <v>2175</v>
      </c>
      <c r="KS8" t="s">
        <v>2176</v>
      </c>
      <c r="KT8" t="s">
        <v>2177</v>
      </c>
      <c r="KU8" t="s">
        <v>2193</v>
      </c>
      <c r="KV8" t="s">
        <v>2194</v>
      </c>
      <c r="KW8" t="s">
        <v>2195</v>
      </c>
      <c r="KX8" t="s">
        <v>2196</v>
      </c>
      <c r="KY8" t="s">
        <v>2197</v>
      </c>
      <c r="KZ8" t="s">
        <v>2198</v>
      </c>
      <c r="LA8" t="s">
        <v>2199</v>
      </c>
      <c r="LB8" t="s">
        <v>2200</v>
      </c>
      <c r="LC8" t="s">
        <v>2201</v>
      </c>
      <c r="LD8" t="s">
        <v>2202</v>
      </c>
      <c r="LE8" t="s">
        <v>2203</v>
      </c>
      <c r="LF8" t="s">
        <v>2204</v>
      </c>
      <c r="LG8" t="s">
        <v>2205</v>
      </c>
      <c r="LH8" t="s">
        <v>2206</v>
      </c>
      <c r="LI8" t="s">
        <v>2207</v>
      </c>
      <c r="LJ8" t="s">
        <v>2208</v>
      </c>
      <c r="LK8" t="s">
        <v>2209</v>
      </c>
      <c r="LL8" t="s">
        <v>2210</v>
      </c>
      <c r="LM8" t="s">
        <v>2622</v>
      </c>
      <c r="LN8" t="s">
        <v>2623</v>
      </c>
      <c r="LO8" t="s">
        <v>2624</v>
      </c>
      <c r="LP8" t="s">
        <v>2625</v>
      </c>
      <c r="LQ8" t="s">
        <v>2626</v>
      </c>
      <c r="LR8" t="s">
        <v>2729</v>
      </c>
      <c r="LS8" t="s">
        <v>2627</v>
      </c>
      <c r="LT8" t="s">
        <v>2628</v>
      </c>
      <c r="LU8" t="s">
        <v>2629</v>
      </c>
      <c r="LV8" t="s">
        <v>2630</v>
      </c>
      <c r="LW8" t="s">
        <v>2631</v>
      </c>
      <c r="LX8" t="s">
        <v>2632</v>
      </c>
      <c r="LY8" t="s">
        <v>2633</v>
      </c>
      <c r="LZ8" t="s">
        <v>2634</v>
      </c>
      <c r="MA8" t="s">
        <v>2771</v>
      </c>
      <c r="MB8" t="s">
        <v>2745</v>
      </c>
      <c r="MC8" t="s">
        <v>2751</v>
      </c>
      <c r="MD8" t="s">
        <v>2752</v>
      </c>
      <c r="ME8" t="s">
        <v>2753</v>
      </c>
      <c r="MF8" t="s">
        <v>2754</v>
      </c>
      <c r="MG8" t="s">
        <v>2755</v>
      </c>
      <c r="MH8" t="s">
        <v>2756</v>
      </c>
      <c r="MI8" t="s">
        <v>2757</v>
      </c>
      <c r="MJ8" t="s">
        <v>2758</v>
      </c>
      <c r="MK8" t="s">
        <v>2759</v>
      </c>
      <c r="ML8" t="inlineStr">
        <is>
          <t>pocketTPup (2026-10-09, Giggles; NEGATIVE gamma; DISPLAY ONLY): a negative-GEX strike ABOVE spot with a positive-GEX pocket directly above it (1-4 positive strikes, then negative GEX again) = number of pocket strikes, else 0. The nearest one (BG155) is the TAKE PROFIT for longs (LM = 2). UNTESTED -- archive: rallies into the strike below a pocket turned back 52% (n=29) vs 45% for other negative-GEX strikes, not significant</t>
        </is>
      </c>
      <c r="MM8" t="inlineStr">
        <is>
          <t>pocketTPdn (2026-10-09, Giggles; NEGATIVE gamma; DISPLAY ONLY): a negative-GEX strike BELOW spot with a positive-GEX pocket directly below it (1-4 positive strikes, then negative GEX again) = number of pocket strikes, else 0. The nearest one (BG156) is the TAKE PROFIT for shorts (LM = 1). UNTESTED</t>
        </is>
      </c>
      <c r="MN8" t="inlineStr">
        <is>
          <t>pocketTPup strike (ML &gt; 0), else 0</t>
        </is>
      </c>
      <c r="MO8" t="inlineStr">
        <is>
          <t>pocketTPdn strike (MM &gt; 0), else 0</t>
        </is>
      </c>
      <c r="MP8" t="inlineStr">
        <is>
          <t>pocketTP code for LM: 2 = TAKE PROFIT for longs (BG155), 1 = for shorts (BG156), else 0 (NEGATIVE gamma)</t>
        </is>
      </c>
      <c r="MQ8" t="inlineStr">
        <is>
          <t>dexDropRaw (2026-10-09): the original Dex↓ test, unchanged -- support: DEX 5 pts BELOW at least 40% smaller in size; resistance: DEX 5 pts ABOVE at least 40% smaller. AJ (Dex↓) = this unless MR = 1</t>
        </is>
      </c>
      <c r="MR8" t="inlineStr">
        <is>
          <t>dexDropLeanOff (2026-10-09, Giggles; BOTH regimes; switch BG157): 1 = Dex↓ removed because the two-sided DEX lean points the other way -- a SUPPORT whose DEX falls off more sharply ABOVE (KU &gt;= BG114 and &gt;= KV + BG115), or a RESISTANCE whose DEX falls off more sharply BELOW. No exemptions (Giggles 2026-10-09: if a level does not earn Dex↓ it does not get it -- no overfitting). A Min GEX + Max Zomma support that loses Dex↓ drops out if nothing else qualifies it; the Max/Min Zomma rule is unchanged. SIGN CROSSING (2026-10-09): if DEX crosses zero on exactly one side (signed fall-off &gt; 100%) and the other side also falls at least BG114, the lean goes to the crossing side whatever the BG115 margin. Removes the backer, confluence point and reversal flag it gave. Archive (25 sessions, Dex↓ first touches): lean-opposed 42% won (n=26) vs 56% (n=70), p 0.26. UNTESTED</t>
        </is>
      </c>
      <c r="MS8" t="inlineStr">
        <is>
          <t>dexDropLeanOff text for the Neg-γ column (MR = 1)</t>
        </is>
      </c>
      <c r="MT8" t="inlineStr">
        <is>
          <t>mzVbuy (2026-10-09, Giggles; BOTH regimes -- in practice neg/fragile, where the zomma warning lives): 1 = SUPPORT at the Min GEX strike AND the Max Zomma strike (BG105) with dealers BUYING on vanna at the level (JV = BUY) and |VEX| &gt;= BG158. The "Zomma ACCEL building" warning (HQ ZACCEL, dashboard AR) is not applied and the support qualification (CV) passes without the zomma or a reversal flag -- vanna buying outweighs the zomma. Other UNSAFE reasons stand. UNTESTED (archive: 4 support touches with vanna BUY &gt;= 400K, 3 held)</t>
        </is>
      </c>
      <c r="MU8" t="inlineStr">
        <is>
          <t>Min GEX + Max Zomma text for column L (2026-10-09, Giggles): shown when the vanna rule fires (MT = 1) or on any negative-gamma support at the Min GEX + Max Zomma strike. Replaces the separate accelerant-exemption lines</t>
        </is>
      </c>
      <c r="MV8" t="inlineStr">
        <is>
          <t>spdArrive (2026-10-09, Giggles; BOTH regimes; DISPLAY ONLY): on the Max Speed (BG118) or Min Speed (BG119) strike, ✓ when speed makes its GEX more positive as price ARRIVES (level above spot: price rising into it; below: falling into it) -- speed firms the level; ✗ when it makes GEX more negative -- speed weakens the level and helps price through. Shown after S↑ / S↓ on the ladder. Not counted</t>
        </is>
      </c>
      <c r="MW8" t="inlineStr">
        <is>
          <t>dexShoulder (2026-10-09, Giggles; BOTH regimes; setting BG159): 1 = Dex↓ (raw MQ) on a level whose |DEX| is under BG159 x the |DEX| of the strike on the SPOT side of it (below a resistance, above a support) -- the level is only the shoulder of a bigger DEX wall, so Dex↓ is not counted (AJ). Archive (28 sessions, Dex↓ touches): under 50% held 40% (n=20) vs 57%, p 0.17; under 25% 0 of 3. UNTESTED</t>
        </is>
      </c>
      <c r="MX8" t="inlineStr">
        <is>
          <t>dexTP (2026-10-09, Giggles; BOTH regimes; DISPLAY ONLY): 2 = the Min DEX strike (BG121, negative DEX) ABOVE spot while a support is in the support rows and the strike is not itself in the resistance rows -- TAKE PROFIT for longs; 1 = the Max DEX strike (BG120, positive DEX) BELOW spot while a resistance is in the resistance rows and the strike is not in the support rows -- TAKE PROFIT for shorts (corrected 2026-10-09, Giggles). Read by LM after the zigzag and GEX-pocket take profits. Not counted</t>
        </is>
      </c>
      <c r="MY8" t="inlineStr">
        <is>
          <t>dexLeanUnsafe (2026-10-09, Giggles; NEGATIVE gamma): 1 = the two-sided DEX lean points against the level -- a SUPPORT whose DEX falls off more sharply ABOVE, or a RESISTANCE whose DEX falls off more sharply BELOW (BG114 / BG115, a one-sided zero crossing decides), |DEX| &gt;= BG152 (the iDex floor, 100K; was BG113 150K until 2026-10-09). Not applied to a level with iDex (AV = 1, isolated DEX sign) -- column L notes it. UNSAFE (HQ token DEXLEAN); the vanna override, vanna OK, DOM vanna buy and Min VEX exemptions cannot clear it (HP). Archive (25 neg-gamma sessions, vanna backing the level): DEX lean against held 43% (n=28) vs 56%, p 0.36. UNTESTED</t>
        </is>
      </c>
      <c r="MZ8" t="inlineStr">
        <is>
          <t>dexLeanUnsafe text for column L: DEX line, speed line when the level's speed works against it on arrival, and the vanna line when vanna would otherwise have made the level SAFE</t>
        </is>
      </c>
      <c r="NA8" t="inlineStr">
        <is>
          <t>dexLeanRaw (2026-10-09): the DEX lean points against the level, before the Min GEX + Max Zomma exemption (MY reads this)</t>
        </is>
      </c>
      <c r="NB8" t="inlineStr">
        <is>
          <t>dexLean exemption note for column L (NA = 1, exempt): a negative-gamma SUPPORT at the Min GEX + Max Zomma strike with the Max Gamma strike (KNM B23) ABOVE spot keeps its Min GEX + Max Zomma SAFE status (Giggles 2026-10-09; archive: lean made no difference on these supports, 4 of 9 vs 9 of 20)</t>
        </is>
      </c>
      <c r="NC8" t="inlineStr">
        <is>
          <t>tpUpOK (2026-10-09, Giggles): 1 = a take profit ABOVE spot may show at this strike -- heading up (SAFE support below, no SAFE resistance), or boxed and the strike is below the SAFE resistance (BG162)</t>
        </is>
      </c>
      <c r="ND8" t="inlineStr">
        <is>
          <t>tpDownOK (2026-10-09, Giggles): 1 = a take profit BELOW spot may show at this strike -- heading down, or boxed and the strike is above the SAFE support (BG161)</t>
        </is>
      </c>
      <c r="NE8" t="inlineStr">
        <is>
          <t>warnExemptRaw (2026-10-09): the buy-lean max-node exemption test -- neg/fragile gamma, LOW IV, market lean BUY, the king node is a DOM (Max Gamma = Min GEX); the level is the DOM strike (support or resistance) or a RESISTANCE 5 pts above it (never a support above the DOM); and vanna backs the level (support: vanna BUY; resistance: vanna SELL) -- before the DEX lean. EW = this unless the DEX lean is against the level (MY = 1), in which case the exemption is not applied and the border shows</t>
        </is>
      </c>
      <c r="NF8" t="inlineStr">
        <is>
          <t>dexLeanPosRaw (2026-10-09): the positive-gamma DEX lean warning (HW) before the iDex exemption -- read by NB for the column L note</t>
        </is>
      </c>
      <c r="NG8" t="inlineStr">
        <is>
          <t>wzDomRaw (2026-10-09): the wall-zone DOM test (put wall + Max Zomma + DOM) before the DEX lean. KM = this unless the DEX lean is against the level (MY = 1): the DOM override cannot clear the DEX lean</t>
        </is>
      </c>
      <c r="NI8" t="inlineStr">
        <is>
          <t>domFormingNote (2026-10-09, Giggles; DISPLAY ONLY): column L line on a support within 5 pts above, or a resistance within 5 pts below, the DOM-forming strike (BG165). No status change; pre-registered re-test on or after 2026-11-20</t>
        </is>
      </c>
      <c r="NJ8" t="inlineStr">
        <is>
          <t>domFormingRisk (2026-10-09, display only): 1 = this level has the DOM-forming note (NI) -- read by the ladder tag and the double lime border</t>
        </is>
      </c>
    </row>
    <row r="9" spans="1:349" ht="15" customHeight="1" x14ac:dyDescent="0.25">
      <c r="A9" s="183" t="str">
        <f t="shared" ref="A9:A14" si="0">(IFERROR(IF($CQ9="","",TEXT($CQ9,"0")&amp;IF(AND(INDEX($AN$9:$AN$55,MATCH($CQ9,$AA$9:$AA$55,0))=1,INDEX($AT$9:$AT$55,MATCH($CQ9,$AA$9:$AA$55,0))&lt;&gt;INDEX($AU$9:$AU$55,MATCH($CQ9,$AA$9:$AA$55,0)),$CQ9&lt;&gt;'King Node Model'!$AO$70,IFERROR(INDEX($IB$9:$IB$55,MATCH($CQ9,$AA$9:$AA$55,0)),0)&lt;&gt;1),IF(OR('King Node Model'!$A$8="Neg",N($BG$72)=1),""," (box "&amp;TEXT(INDEX($AT$9:$AT$55,MATCH($CQ9,$AA$9:$AA$55,0)),"0")&amp;"-"&amp;TEXT(INDEX($AU$9:$AU$55,MATCH($CQ9,$AA$9:$AA$55,0)),"0")&amp;")"),"")),""))&amp;IF(OR($CQ9=$CP$4,$CQ9=$CP$5,$CQ9=$CP$6,$CQ9=$CP$7)," ☄","")&amp;IF($CQ9=$CP$1," ◆","")&amp;IF(OR($CQ9=$CP$2,$CQ9=$CP$3)," ★","")&amp;IF(AND($EL$7=1,$CQ9='King Node Model'!$D$26)," Ⓕ","")&amp;IF($CQ9='King Node Model'!$F$24," ⟂","")&amp;IF(IFERROR(INDEX($GV$9:$GV$55,MATCH($CQ9,$AA$9:$AA$55,0)),0)=1," Ⓥ"&amp;IF(IFERROR(INDEX($ET$9:$ET$55,MATCH($CQ9,$AA$9:$AA$55,0)),0)=1,"+",""),"")</f>
        <v>7800</v>
      </c>
      <c r="B9" s="184">
        <f>IFERROR(INDEX('King Node Model'!$C$29:$C$75,MATCH(IF($W9="",$V9,$W9),'King Node Model'!$A$29:$A$75,0)),"")</f>
        <v>-80182</v>
      </c>
      <c r="C9" s="185" t="str">
        <f t="shared" ref="C9:C14" si="1">IF(IF($W9="",$V9,$W9)="","",TRIM(SUBSTITUTE(SUBSTITUTE(SUBSTITUTE(SUBSTITUTE(SUBSTITUTE(SUBSTITUTE(SUBSTITUTE(SUBSTITUTE(SUBSTITUTE(SUBSTITUTE(SUBSTITUTE(SUBSTITUTE(" "&amp;(IF(IFERROR(OR(INDEX($GK$9:$GK$55,MATCH(IF($W9="",$V9,$W9),$AA$9:$AA$55,0))=1,AND(INDEX($GK$9:$GK$55,MATCH(IF($W9="",$V9,$W9),$AA$9:$AA$55,0))="",INDEX($AH$9:$AH$55,MATCH(IF($W9="",$V9,$W9),$AA$9:$AA$55,0))&lt;&gt;"",INDEX($AH$9:$AH$55,MATCH(IF($W9="",$V9,$W9),$AA$9:$AA$55,0))&lt;=$GL$2)),FALSE),"Gam ","")&amp;IF(IFERROR(OR(AND(INDEX($AG$9:$AG$55,MATCH(IF($W9="",$V9,$W9),$AA$9:$AA$55,0))="R",INDEX($JV$9:$JV$55,MATCH(IF($W9="",$V9,$W9),$AA$9:$AA$55,0))="SELL"),AND(INDEX($AG$9:$AG$55,MATCH(IF($W9="",$V9,$W9),$AA$9:$AA$55,0))="S",INDEX($JV$9:$JV$55,MATCH(IF($W9="",$V9,$W9),$AA$9:$AA$55,0))="BUY")),FALSE),"Vex ","")&amp;IF(IFERROR(AND(INDEX($AK$9:$AK$55,MATCH(IF($W9="",$V9,$W9),$AA$9:$AA$55,0))=1,OR(AND(INDEX($AG$9:$AG$55,MATCH(IF($W9="",$V9,$W9),$AA$9:$AA$55,0))="R",INDEX($AE$9:$AE$55,MATCH(IF($W9="",$V9,$W9),$AA$9:$AA$55,0))&lt;0),AND(INDEX($AG$9:$AG$55,MATCH(IF($W9="",$V9,$W9),$AA$9:$AA$55,0))="S",INDEX($AE$9:$AE$55,MATCH(IF($W9="",$V9,$W9),$AA$9:$AA$55,0))&gt;0))),FALSE),"Dex ","")&amp;IF(IFERROR(INDEX($LA$9:$LA$55,MATCH(IF($W9="",$V9,$W9),$AA$9:$AA$55,0))=1,FALSE),"Zom ","")&amp;IF(IFERROR(INDEX($BA$9:$BA$55,MATCH(IF($W9="",$V9,$W9),$AA$9:$AA$55,0))=1,FALSE),"Spd ","")&amp;IFERROR(INDEX($LK$9:$LK$55,MATCH(IF($W9="",$V9,$W9),$AA$9:$AA$55,0)),"")&amp;IF(IFERROR(INDEX($LR$9:$LR$55,MATCH(IF($W9="",$V9,$W9),$AA$9:$AA$55,0))=1,FALSE),"SAND ","")&amp;IF(IFERROR(INDEX($AJ$9:$AJ$55,MATCH(IF($W9="",$V9,$W9),$AA$9:$AA$55,0))=1,FALSE),"Dex↓ ","")&amp;IF(IFERROR(AND(INDEX($AV$9:$AV$55,MATCH(IF($W9="",$V9,$W9),$AA$9:$AA$55,0))=1,INDEX($KG$9:$KG$55,MATCH(IF($W9="",$V9,$W9),$AA$9:$AA$55,0))&lt;&gt;1),FALSE),"iDex ","")&amp;IF(IFERROR(INDEX($KG$9:$KG$55,MATCH(IF($W9="",$V9,$W9),$AA$9:$AA$55,0))=1,FALSE),"gDex ","")&amp;IF(IFERROR(OR(INDEX($BD$9:$BD$55,MATCH(IF($W9="",$V9,$W9),$AA$9:$AA$55,0))=1,INDEX($GZ$9:$GZ$55,MATCH(IF($W9="",$V9,$W9),$AA$9:$AA$55,0))=1,AND(INDEX($GY$9:$GY$55,MATCH(IF($W9="",$V9,$W9),$AA$9:$AA$55,0))=1,'King Node Model'!$A$8="Pos")),FALSE),"γSh ","")&amp;IF(IFERROR(OR(INDEX($JX$9:$JX$55,MATCH(IF($W9="",$V9,$W9),$AA$9:$AA$55,0))=1,INDEX($JX$9:$JX$55,MATCH(IF($W9="",$V9,$W9),$AA$9:$AA$55,0))=1),FALSE),"Zsh ","")&amp;IF(IFERROR(INDEX($BI$9:$BI$55,MATCH(IF($W9="",$V9,$W9),$AA$9:$AA$55,0))=1,FALSE),"Vxi ","")&amp;IF(IFERROR(INDEX($BJ$9:$BJ$55,MATCH(IF($W9="",$V9,$W9),$AA$9:$AA$55,0))=1,FALSE),"Spi ","")&amp;IF(IFERROR(INDEX($BO$9:$BO$55,MATCH(IF($W9="",$V9,$W9),$AA$9:$AA$55,0))=1,FALSE),"Vgf ","")&amp;IF(IFERROR(INDEX($BX$9:$BX$55,MATCH(IF($W9="",$V9,$W9),$AA$9:$AA$55,0))=1,FALSE),"Gxp ","")&amp;IF(IFERROR(INDEX($BY$9:$BY$55,MATCH(IF($W9="",$V9,$W9),$AA$9:$AA$55,0))=1,FALSE),"Gfx ","")&amp;IF(IFERROR(INDEX($CB$9:$CB$55,MATCH(IF($W9="",$V9,$W9),$AA$9:$AA$55,0))=1,FALSE),"ZG ","")&amp;IF(IFERROR(INDEX($CZ$9:$CZ$55,MATCH(IF($W9="",$V9,$W9),$AA$9:$AA$55,0))=1,FALSE),"dEdge ","")&amp;IF(IFERROR(INDEX($DS$9:$DS$55,MATCH(IF($W9="",$V9,$W9),$AA$9:$AA$55,0))=1,FALSE),"oEdge ","")&amp;IF(IFERROR(INDEX($JD$9:$JD$55,MATCH(IF($W9="",$V9,$W9),$AA$9:$AA$55,0)),"")="P","P-OI ",IF(IFERROR(INDEX($JD$9:$JD$55,MATCH(IF($W9="",$V9,$W9),$AA$9:$AA$55,0)),"")="C","C-OI ","")))&amp;" ",IF(IFERROR(INDEX($KK$9:$KK$55,MATCH(IF($W9="",$V9,$W9),$AA$9:$AA$55,0)),0)=1," Dex↓ ",CHAR(1))," "),IF(IFERROR(INDEX($KK$9:$KK$55,MATCH(IF($W9="",$V9,$W9),$AA$9:$AA$55,0)),0)=1," γSh ",CHAR(1))," "),IF(IFERROR(INDEX($KK$9:$KK$55,MATCH(IF($W9="",$V9,$W9),$AA$9:$AA$55,0)),0)=1," Zsh ",CHAR(1))," "),IF(IFERROR(INDEX($KK$9:$KK$55,MATCH(IF($W9="",$V9,$W9),$AA$9:$AA$55,0)),0)=1," dEdge ",CHAR(1))," "),IF(IFERROR(INDEX($KK$9:$KK$55,MATCH(IF($W9="",$V9,$W9),$AA$9:$AA$55,0)),0)=1," oEdge ",CHAR(1))," "),IF(IFERROR(INDEX($KK$9:$KK$55,MATCH(IF($W9="",$V9,$W9),$AA$9:$AA$55,0)),0)=1," iDex ",CHAR(1))," "),IF(IFERROR(INDEX($KK$9:$KK$55,MATCH(IF($W9="",$V9,$W9),$AA$9:$AA$55,0)),0)=1," gDex ",CHAR(1))," "),IF(IFERROR(INDEX($KK$9:$KK$55,MATCH(IF($W9="",$V9,$W9),$AA$9:$AA$55,0)),0)=1," Vxi ",CHAR(1))," "),IF(IFERROR(INDEX($KK$9:$KK$55,MATCH(IF($W9="",$V9,$W9),$AA$9:$AA$55,0)),0)=1," Spi ",CHAR(1))," "),IF(IFERROR(INDEX($KJ$9:$KJ$55,MATCH(IF($W9="",$V9,$W9),$AA$9:$AA$55,0)),0)=1," Gxp ",CHAR(1))," "),IF(IFERROR(INDEX($KL$9:$KL$55,MATCH(IF($W9="",$V9,$W9),$AA$9:$AA$55,0)),0)=1," P-OI ",CHAR(1))," "),IF(IFERROR(INDEX($KL$9:$KL$55,MATCH(IF($W9="",$V9,$W9),$AA$9:$AA$55,0)),0)=1," C-OI ",CHAR(1))," ")))</f>
        <v>Vex Dex Dex↓ Spi Gfx</v>
      </c>
      <c r="D9" s="185">
        <f t="shared" ref="D9:D14" si="2">IF(IF($W9="",$V9,$W9)="","",INDEX($AM$9:$AM$55,MATCH(IF($W9="",$V9,$W9),$AA$9:$AA$55,0)))</f>
        <v>5</v>
      </c>
      <c r="E9" s="185" t="str">
        <f t="shared" ref="E9:E14" si="3">IF(IF($W9="",$V9,$W9)="","",IF(OR(INDEX($AN$9:$AN$55,MATCH(IF($W9="",$V9,$W9),$AA$9:$AA$55,0))=1,IF($W9="",$V9,$W9)='King Node Model'!$B$23),"REVERSAL",""))</f>
        <v>REVERSAL</v>
      </c>
      <c r="F9" s="186" t="str">
        <f t="shared" ref="F9:F14" si="4">IF(IF($W9="",$V9,$W9)="","",IF(INDEX($AY$9:$AY$55,MATCH(IF($W9="",$V9,$W9),$AA$9:$AA$55,0))=1,"ACCELERANT",IF(INDEX($AX$9:$AX$55,MATCH(IF($W9="",$V9,$W9),$AA$9:$AA$55,0))=1,IF($D$5="UP","FRAGILE",IF($D$5="DOWN","VOMMA CAP","stable")),"stable")))</f>
        <v>ACCELERANT</v>
      </c>
      <c r="G9" s="411" t="str">
        <f t="shared" ref="G9:G14" si="5">IF(IF($W9="",$V9,$W9)="","",IFERROR(IF(INDEX($CG$9:$CG$55,MATCH(IF($W9="",$V9,$W9),$AA$9:$AA$55,0))="","Dormant",INDEX($CG$9:$CG$55,MATCH(IF($W9="",$V9,$W9),$AA$9:$AA$55,0))),"Dormant"))</f>
        <v>Dormant</v>
      </c>
      <c r="R9" s="181" t="s">
        <v>1192</v>
      </c>
      <c r="S9" s="276">
        <f>IFERROR(MEDIAN(AP9:AP55),IFERROR(MEDIAN(AO9:AO55),1))</f>
        <v>200245</v>
      </c>
      <c r="V9" s="1">
        <f>IFERROR(INDEX($AA$9:$AA$55,MATCH("R1",$BB$9:$BB$55,0)),"")</f>
        <v>7780</v>
      </c>
      <c r="W9">
        <v>7800</v>
      </c>
      <c r="AA9" s="181">
        <f>'King Node Model'!A29</f>
        <v>7885</v>
      </c>
      <c r="AB9" s="276">
        <f>'King Node Model'!C29</f>
        <v>32827</v>
      </c>
      <c r="AC9" s="181">
        <f>ABS('King Node Model'!B29)</f>
        <v>33280</v>
      </c>
      <c r="AD9" s="276">
        <f>'King Node Model'!F29</f>
        <v>163577</v>
      </c>
      <c r="AE9" s="276">
        <f>'King Node Model'!E29</f>
        <v>-1456</v>
      </c>
      <c r="AF9" s="276">
        <f>'King Node Model'!D29</f>
        <v>646908</v>
      </c>
      <c r="AG9" s="181" t="str">
        <f t="shared" ref="AG9:AG55" si="6">IF(OR(AA9="",AC9=0),"",IF(COUNTIF($W$9:$W$14,AA9)&gt;0,"R",IF(COUNTIF($W$18:$W$23,AA9)&gt;0,"S",IF(AA9&gt;$B$4,"R","S"))))</f>
        <v>R</v>
      </c>
      <c r="AH9" s="181">
        <f t="shared" ref="AH9:AH55" si="7">IF(AG9="R",SUMPRODUCT(($AG$9:$AG$55="R")*($AC$9:$AC$55&gt;AC9))+1,IF(AG9="S",SUMPRODUCT(($AG$9:$AG$55="S")*($AC$9:$AC$55&gt;AC9))+1,""))</f>
        <v>22</v>
      </c>
      <c r="AI9" s="181" t="str">
        <f t="shared" ref="AI9:AI55" si="8">IF(AD9&gt;0,IF($D$5="UP","SELL",IF($D$5="DOWN","BUY","-")),IF(AD9&lt;0,IF($D$5="UP","BUY",IF($D$5="DOWN","SELL","-")),"-"))</f>
        <v>SELL</v>
      </c>
      <c r="AJ9" s="181">
        <f t="shared" ref="AJ9:AJ55" si="9">IF(OR(N($MR9)=1,N($MW9)=1),0,N($MQ9))</f>
        <v>0</v>
      </c>
      <c r="AK9" s="181">
        <f>IF(ABS(N($AE9))&gt;=$BG$85,1,0)</f>
      </c>
      <c r="AL9" s="181">
        <f t="shared" ref="AL9:AL55" si="10">IF(ABS(AF9)&gt;=$S$10,1,0)</f>
        <v>0</v>
      </c>
      <c r="AM9" s="181">
        <f t="shared" ref="AM9:AM55" si="11">IF(AG9="",0,IF(OR($GK9=1,AND($GK9="",AH9&lt;&gt;"",AH9&lt;=$GL$2)),1,0)+IF(OR(AND(AG9="R",JV9="SELL"),AND(AG9="S",JV9="BUY")),1,0)+IF(AND(AK9=1,OR(AND(AG9="R",AE9&lt;0),AND(AG9="S",AE9&gt;0))),1,0)+N($LA9)+IF(BA9=1,1,0)+N($KY9)+AJ9*(1-N($KK9))+IF(N($KG9)=1,1,AV9)*(1-N($KK9))+IF(OR($BD9=1,$GZ9=1,AND($GY9=1,'King Node Model'!$A$8="Pos")),1,0)*(1-N($KK9))+(IF($JX9=1,1,0)+BI9+BJ9)*(1-N($KK9))+BO9+BX9*(1-N($KJ9))+BY9+CB9+(CZ9+DS9)*(1-N($KK9))+IF($JD9&lt;&gt;"",1,0)*(1-N($KL9))+IF(N($LR9)=1,1,0)*(1-N($KK9)))</f>
        <v>1</v>
      </c>
      <c r="AN9" s="181">
        <f t="shared" ref="AN9:AN55" si="12">IF(N($KK9)=1,0,IF(N($KM9)=1,1,IF(OR(N($KG9)=1,N($KY9)=1,AND(AJ9=1,ABS(AA9-$B$4)&lt;=60,OR(AH9&lt;=$BG$36,'King Node Model'!$A$8="Neg",$BG$72=1)),AND(CZ9=1,OR(AH9&lt;=$BG$49,'King Node Model'!$A$8="Neg",$BG$72=1)),$DS9=1,AND($AV9=1,OR('King Node Model'!$A$8="Neg",$BG$72=1)),AND(OR('King Node Model'!$A$8="Neg",N($BG$72)=1),ISNUMBER($AA9),$AA9='King Node Model'!$F$24,ABS($AA9-$B$4)&lt;=$BG$7,OR(AND($AG9="S",$F$4="High",IF($BG$80&lt;&gt;"",UPPER($BG$80),$D$5)="DOWN"),AND($AG9="R",$F$4="Low",IF($BG$80&lt;&gt;"",UPPER($BG$80),$D$5)="UP")))),1,0)))</f>
        <v>0</v>
      </c>
      <c r="AO9" s="1">
        <f t="shared" ref="AO9:AO55" si="13">IF(AG9="R",ABS(AE9),"")</f>
        <v>1456</v>
      </c>
      <c r="AP9" s="1" t="str">
        <f t="shared" ref="AP9:AP55" si="14">IF(AG9="S",ABS(AE9),"")</f>
        <v/>
      </c>
      <c r="AQ9" s="1">
        <f t="shared" ref="AQ9:AQ55" si="15">ABS(AF9)</f>
        <v>646908</v>
      </c>
      <c r="AR9" s="181">
        <f t="shared" ref="AR9:AR55" si="16">(AC9/$S$11)*IF($F$4="High",IF($D$5="UP",$F$5,1),$H$5)*MAX(0,1+$BG$21*CF9) + AM9*IF($F$4="High",$E$6,$F$6) + IF('King Node Model'!$A$8="Pos",IF($AY9=1,0,IF($AX9=1,0,IF($AN9=1,$HC$6,$HC$7))),AN9*$B$6)</f>
        <v>0.10595423664601858</v>
      </c>
      <c r="AS9" s="181">
        <f t="shared" ref="AS9:AS55" si="17">IFERROR(IF(BK9=1,"",IF(AG9="R",SUMPRODUCT(($AG$9:$AG$55="R")*($BK$9:$BK$55=0)*($AR$9:$AR$55&gt;AR9))+1,IF(AG9="S",SUMPRODUCT(($AG$9:$AG$55="S")*($BK$9:$BK$55=0)*($AR$9:$AR$55&gt;AR9))+1,""))),"")</f>
        <v>19</v>
      </c>
      <c r="AT9" s="181" t="str">
        <f t="shared" ref="AT9:AT55" si="18">IF(AND(AN9=1,$EY9&lt;&gt;1,OR($CZ9=1,$GA9&lt;&gt;1)),IF(AG9="S",AA9,IF(AA9&lt;=$B$4-$BG$9,AA9-5,MAX(AA9-5,CEILING($B$4-$BG$9,5)))),"")</f>
        <v/>
      </c>
      <c r="AU9" s="181" t="str">
        <f t="shared" ref="AU9:AU55" si="19">IF(AND(AN9=1,$EY9&lt;&gt;1,OR($CZ9=1,$GA9&lt;&gt;1)),IF(AG9="S",IF(AA9&gt;=$B$4+$BG$9,AA9+5,MIN(AA9+5,FLOOR($B$4+$BG$9,5))),AA9),"")</f>
        <v/>
      </c>
      <c r="AV9" s="218">
        <f>IF(AE9=0,0,IF(AND(AG9="S",AE9&gt;0,AE10&lt;0,ABS(AE9)&gt;=$BG$152),1,IF(AND(AG9="R",AE9&lt;0,AE10&gt;0,ABS(AE9)&gt;=$BG$152),1,0)))</f>
        <v>0</v>
      </c>
      <c r="AW9" s="181">
        <f>ABS('King Node Model'!G29)</f>
        <v>82</v>
      </c>
      <c r="AX9" s="181">
        <f t="shared" ref="AX9:AX55" si="20">IF(AND(AW9&gt;=$I$6*$S$12,AW9&gt;=$BG$39),1,0)</f>
        <v>0</v>
      </c>
      <c r="AY9" s="181">
        <f t="shared" ref="AY9:AY55" si="21">IF(AND(AX9=1,AB9&lt;0,$D$5="UP"),1,0)</f>
        <v>0</v>
      </c>
      <c r="AZ9" s="276">
        <f>'King Node Model'!I29</f>
        <v>493</v>
      </c>
      <c r="BA9" s="181">
        <f t="shared" ref="BA9:BA55" si="22">IF($S$15&lt;&gt;"YES",0,IF(AB9&gt;0,IF(AND(AZ9&gt;0,AG9="R"),1,IF(AND(AZ9&lt;0,AG9="S"),1,0)),IF(AND(AB9&lt;0,AZ9&gt;0),2,IF(AND(AB9&lt;0,AZ9&lt;0),-2,0))))</f>
        <v>0</v>
      </c>
      <c r="BB9" s="181" t="str">
        <f t="shared" ref="BB9:BB55" si="23">IF(OR(AG9="",AS9=""),"",AG9&amp;AS9)</f>
        <v>R19</v>
      </c>
      <c r="BC9" s="10">
        <f>'King Node Model'!C29</f>
        <v>32827</v>
      </c>
      <c r="BD9" s="218">
        <f>0</f>
        <v>0</v>
      </c>
      <c r="BE9" s="218">
        <f>0</f>
        <v>0</v>
      </c>
      <c r="BF9" s="218" t="s">
        <v>1193</v>
      </c>
      <c r="BG9">
        <v>3</v>
      </c>
      <c r="BI9" s="218">
        <f>IF(AD9=0,0,IF(IFERROR(AND(ABS(AA9-$B$4)&gt;$BG$56,ABS(AD9)&lt;$BG$55*$BG$57),FALSE),0,IF(AND(OR(AND(AD9&gt;0,AD10&lt;0),AND(AD9&lt;0,AD10&gt;0)),ABS(AD9)&gt;ABS(AD10)*0.1,OR(AND(AG9="R",JV9="SELL"),AND(AG9="S",JV9="BUY"))),1,0)))</f>
        <v>0</v>
      </c>
      <c r="BJ9" s="218">
        <f>IF(AZ9=0,0,IF(AND(AG9="S",AZ9&gt;0,AZ10&lt;0,ABS(AZ9)&gt;ABS(AZ10)*0.1),1,IF(AND(AG9="R",AZ9&lt;0,AZ10&gt;0,ABS(AZ9)&gt;ABS(AZ10)*0.1),1,0)))</f>
        <v>0</v>
      </c>
      <c r="BK9" s="218">
        <f t="shared" ref="BK9:BK55" si="24">IF(OR(AND('King Node Model'!$A$8="Pos",N($BG$72)&lt;&gt;1,COUNTIF('Master Dashboard'!$AN$13:$AN$18,$AA9)+COUNTIF('King Node Model'!$T$25:$T$30,$AA9)&gt;0),$CZ9=1,$AA9='King Node Model'!$T$22,AND(ISNUMBER($AT9),ISNUMBER($AU9),$AU9&lt;&gt;$AT9)),0,IF(AG9="","",IF(SUMPRODUCT(($AG$9:$AG$55=AG9)*($AN$9:$AN$55=1)*($AR$9:$AR$55&gt;AR9)*((($AA$9:$AA$55=AA9-5)*(AG9="R"))+(($AA$9:$AA$55=AA9+5)*(AG9="S")))*((1-N(OR('King Node Model'!$A$8="Neg",N($BG$72)=1)))+N(OR('King Node Model'!$A$8="Neg",N($BG$72)=1))*((($AB$9:$AB$55&gt;0)=($AB9&gt;0))*1)))&gt;0,1,0)))</f>
        <v>0</v>
      </c>
      <c r="BL9" s="10">
        <f>'King Node Model'!H29</f>
        <v>4</v>
      </c>
      <c r="BM9" s="218">
        <f t="shared" ref="BM9:BM55" si="25">IF(AG9="","",SUMPRODUCT(($AG$9:$AG$55&lt;&gt;"")*($BL$9:$BL$55&gt;BL9))+1)</f>
        <v>45</v>
      </c>
      <c r="BN9" s="218">
        <f t="shared" ref="BN9:BN55" si="26">IF(AG9="","",SUMPRODUCT(($AG$9:$AG$55&lt;&gt;"")*(ABS($AD$9:$AD$55)&gt;ABS(AD9)))+1)</f>
        <v>41</v>
      </c>
      <c r="BO9" s="218">
        <f t="shared" ref="BO9:BO55" si="27">IF(AG9="","",IF(AND(ABS(AA9-$B$4)&lt;=40,BM9&lt;=2),1,0))</f>
        <v>0</v>
      </c>
      <c r="BP9" s="218">
        <f t="shared" ref="BP9:BP55" si="28">IF(AG9="","",IF(AND(ABS(AA9-$B$4)&gt;40,BM9&lt;=3,BN9&lt;=5),1,0))</f>
        <v>0</v>
      </c>
      <c r="BQ9" t="str">
        <f t="shared" ref="BQ9:BQ55" si="29">IF(AND(BP9=1,AA9&gt;$B$4),SUMPRODUCT(($BP$9:$BP$55=1)*($AA$9:$AA$55&gt;$B$4)*($BL$9:$BL$55&gt;BL9))+1,"")</f>
        <v/>
      </c>
      <c r="BR9" t="str">
        <f t="shared" ref="BR9:BR55" si="30">IF(AND(BP9=1,AA9&lt;$B$4),SUMPRODUCT(($BP$9:$BP$55=1)*($AA$9:$AA$55&lt;$B$4)*($BL$9:$BL$55&gt;BL9))+1,"")</f>
        <v/>
      </c>
      <c r="BS9" s="218">
        <f t="shared" ref="BS9:BS55" si="31">IF(AND(AG9&lt;&gt;"",AS9&lt;&gt;"",AS9&lt;=6,ABS(AA9-$B$4)&lt;=$BG$7,OR(AX9=0,$D$5&lt;&gt;"UP"),AY9=0),1,0)</f>
        <v>0</v>
      </c>
      <c r="BT9" t="str">
        <f t="shared" ref="BT9:BT55" si="32">IF(OR($AA9=$GM$1,$EN9=1,$IU9=1,AND($CU9=1,$AG9="R",$AA9&gt;=$GJ$3,OR(COUNTIF($W$9:$W$11,$AA9)&gt;0,AND(ISNUMBER($AH9),$AH9&lt;=$BG$51),AND($EL$7=1,$AA9='King Node Model'!$D$26,$EI9=1),AND(OR($AA9='King Node Model'!$T$22,$AA9='King Node Model'!$T$23),$AN9=1,OR($AX9=0,$D$5&lt;&gt;"UP")),OR(AND(OR('King Node Model'!$A$8="Neg",N($BG$72)=1),OR($EE9=1,$DT9=1,$AA9='King Node Model'!$F$24,$AA9=$CP$1),$AN9=1,OR($AX9=0,$D$5&lt;&gt;"UP")),AND(NOT(OR('King Node Model'!$A$8="Neg",N($BG$72)=1)),OR($EE9=1,$DT9=1)))))),SUMPRODUCT(((($CU$9:$CU$55=1)*($AG$9:$AG$55="R")*($AA$9:$AA$55&gt;=$GJ$3)*((($AA$9:$AA$55=$GM$1)+($AA$9:$AA$55=$W$9)+($AA$9:$AA$55=$W$10)+($AA$9:$AA$55=$W$11)+ISNUMBER($AH$9:$AH$55)*($AH$9:$AH$55&lt;=$BG$51)+(($EL$7=1)*($AA$9:$AA$55='King Node Model'!$D$26)*($EI$9:$EI$55=1))+((($AA$9:$AA$55='King Node Model'!$T$22)+($AA$9:$AA$55='King Node Model'!$T$23)&gt;0)*($AN$9:$AN$55=1)*((($AX$9:$AX$55=0)+($D$5&lt;&gt;"UP"))&gt;0))+(OR('King Node Model'!$A$8="Neg",N($BG$72)=1))*(($EE$9:$EE$55=1)+($DT$9:$DT$55=1)+($AA$9:$AA$55='King Node Model'!$F$24)+($AA$9:$AA$55=$CP$1)&gt;0)*($AN$9:$AN$55=1)*((($AX$9:$AX$55=0)+($D$5&lt;&gt;"UP"))&gt;0)+(NOT(OR('King Node Model'!$A$8="Neg",N($BG$72)=1)))*((($EE$9:$EE$55=1)+($DT$9:$DT$55=1))&gt;0))&gt;0))+($EN$9:$EN$55=1)+($IU$9:$IU$55=1)&gt;0)*(ABS($AA$9:$AA$55-$GJ$3)&lt;ABS($AA9-$GJ$3)))+1,"")</f>
        <v/>
      </c>
      <c r="BU9" t="str">
        <f t="shared" ref="BU9:BU55" si="33">IF(AND($CV9=1,$AG9="S"),SUMPRODUCT(($CV$9:$CV$55=1)*($AG$9:$AG$55="S")*(ABS($AA$9:$AA$55-$B$4)&lt;ABS($AA9-$B$4)))+1,"")</f>
        <v/>
      </c>
      <c r="BV9" s="218">
        <f t="shared" ref="BV9:BV55" si="34">ABS(AD9)</f>
        <v>163577</v>
      </c>
      <c r="BW9" s="218">
        <f t="shared" ref="BW9:BW55" si="35">ABS(AE9)</f>
        <v>1456</v>
      </c>
      <c r="BX9" s="218">
        <f>IF(AND(ISNUMBER(BC9),BC9&gt;=$BG$160,OR('King Node Model'!$A$8="Neg",N($BG$72)=1)),1,0)</f>
        <v>1</v>
      </c>
      <c r="BY9" s="218">
        <f t="shared" ref="BY9:BY54" si="36">IF(AND(ISNUMBER(BC9),ISNUMBER(BC10),BC9&lt;&gt;0,BC10&lt;&gt;0,SIGN(BC9)&lt;&gt;SIGN(BC10)),1,0)</f>
        <v>0</v>
      </c>
      <c r="BZ9" s="218">
        <f t="shared" ref="BZ9:BZ55" si="37">IF(AND(AG9&lt;&gt;"",ABS(AA9-$B$4)&lt;=$BG$7,DT9&lt;&gt;1,OR(AND(AS9&lt;&gt;"",$D$5="UP",OR(AX9=1,AY9=1)),CI9=1)),1,0)</f>
        <v>0</v>
      </c>
      <c r="CA9" t="str">
        <f t="shared" ref="CA9:CA55" si="38">IF(BZ9=1,SUMPRODUCT(($BZ$9:$BZ$55=1)*($AC$9:$AC$55&gt;AC9))+1,"")</f>
        <v/>
      </c>
      <c r="CB9" s="218">
        <f>IF(AND(ISNUMBER('King Node Model'!$D$27),AG9&lt;&gt;"",AA9='King Node Model'!$D$27),1,0)</f>
        <v>0</v>
      </c>
      <c r="CC9" s="218">
        <f>IF(OR('King Node Model'!$A$8="Neg",N($BG$72)=1),$BG$14*IF(ISNUMBER('King Node Model'!$D$26),MAX(0,1-ABS(AA9-'King Node Model'!$D$26)/$BG$18),0)+$BG$15*IFERROR(BV9/MAX($BV$9:$BV$55),0)+$BG$16*IFERROR(BW9/MAX($BW$9:$BW$55),0)+$BG$17*IFERROR(AC9/$S$11,0)*MAX(0,1+$BG$21*CF9),AR9)</f>
        <v>4.7256941071454096E-2</v>
      </c>
      <c r="CD9" s="218">
        <f>IF(OR('King Node Model'!$A$8="Neg",N($BG$72)=1),IF(AND(AG9&lt;&gt;"",ABS(AA9-$B$4)&lt;=$BG$7,OR(AX9=0,$D$5&lt;&gt;"UP"),AY9=0,BK9&lt;&gt;1,CI9=0,AM9&gt;=$BG$20,AC9&gt;$BG$19),1,0),IF(AND(BS9=1,(COUNTIF($W$9:$W$14,AA9)+COUNTIF($W$18:$W$23,AA9))&gt;0,CI9=0,AM9&gt;=$BG$20,AC9&gt;$BG$19),1,0))</f>
        <v>0</v>
      </c>
      <c r="CE9" t="str">
        <f t="shared" ref="CE9:CE55" si="39">IF(AND(AA9&lt;&gt;"",AA9&lt;$B$4,BC9&gt;0),BC9,"")</f>
        <v/>
      </c>
      <c r="CF9" s="218">
        <f t="shared" ref="CF9:CF55" si="40">IF(AL9&lt;&gt;1,0,IF($KC9="UP",SIGN(AF9),IF($KC9="DOWN",-SIGN(AF9),0)))</f>
        <v>0</v>
      </c>
      <c r="CG9" t="str">
        <f t="shared" ref="CG9:CG55" si="41">IF(CF9=0,"",IF(BC9&gt;=0,IF(CF9=1,"STRENGTHENING · Pos gamma ↑ · thickening the "&amp;IF($AG9="S","floor","ceiling"),"WEAKENING · Pos gamma ↓ · thinning the "&amp;IF($AG9="S","floor","ceiling")),IF(CF9=1,"ACCEL fading · Neg gamma ↓ (firmer "&amp;IF($AG9="S","support","resistance")&amp;")","ACCEL building · Neg gamma ↑ (weaker "&amp;IF($AG9="S","support","resistance")&amp;")")))</f>
        <v/>
      </c>
      <c r="CH9" t="str">
        <f t="shared" ref="CH9:CH55" si="42">IF(CF9=1,"Strengthening",IF(CF9=-1,"Weakening","Dormant"))</f>
        <v>Dormant</v>
      </c>
      <c r="CI9" s="218">
        <f t="shared" ref="CI9:CI55" si="43">IF(AND(BC9&lt;0,CF9=-1),1,0)</f>
        <v>0</v>
      </c>
      <c r="CJ9" s="218">
        <f t="shared" ref="CJ9:CJ55" si="44">IF(AND(CD9=1,ISNUMBER(AA9)),ABS(AA9-$B$4),9^9)</f>
        <v>387420489</v>
      </c>
      <c r="CK9" s="218">
        <f t="shared" ref="CK9:CK55" si="45">IF(AND(ISNUMBER(AA9),AA9&gt;=$B$4,OR($EY9&lt;&gt;1,AA9=$CM$7),ABS(IFERROR(BC9*1,0))&gt;$BG$23,SIGN(IFERROR(BC9*1,0))=$CM$8,OR($CM$8&lt;=0,$AC9&gt;=$BG$40),OR(AA9=$CM$7,AND(CK10=1,ABS(IFERROR(BC9*1,0))&gt;=ABS(IFERROR(BC10*1,0))*(1-$BG$35)))),1,0)</f>
        <v>0</v>
      </c>
      <c r="CL9" s="218">
        <f t="shared" ref="CL9:CL55" si="46">IF(AND(ISNUMBER(AA9),AA9&lt;=$B$4,OR($EY9&lt;&gt;1,AA9=$CN$7),ABS(IFERROR(BC9*1,0))&gt;$BG$23,SIGN(IFERROR(BC9*1,0))=$CN$8,OR($CN$8&lt;=0,$AC9&gt;=$BG$40),OR(AA9=$CN$7,AND(CL8=1,ABS(IFERROR(BC9*1,0))&gt;=ABS(IFERROR(BC8*1,0))*(1-$BG$35)))),1,0)</f>
        <v>0</v>
      </c>
      <c r="CM9" t="str">
        <f>IF(CM2=1,IF($CM$8&gt;0,"cluster","wall"),"")</f>
        <v>wall</v>
      </c>
      <c r="CN9" t="str">
        <f>IF(CN2=1,IF($CN$8&gt;0,"cluster","wall"),"")</f>
        <v>wall</v>
      </c>
      <c r="CQ9" s="218">
        <f t="shared" ref="CQ9:CQ14" si="47">IF($W9="",$V9,$W9)</f>
        <v>7800</v>
      </c>
      <c r="CR9" s="394" t="s">
        <v>1194</v>
      </c>
      <c r="CS9" s="218">
        <f>BG22</f>
        <v>150000</v>
      </c>
      <c r="CT9" s="218" t="s">
        <v>2720</v>
      </c>
      <c r="CU9" s="218">
        <f>IF(AND(AND('King Node Model'!$A$8&lt;&gt;"Neg",N($BG$72)&lt;&gt;1),SUMPRODUCT(($AG$9:$AG$55="S")*ISNUMBER($AT$9:$AT$55)*ISNUMBER($AU$9:$AU$55)*($AT$9:$AT$55&lt;&gt;$AU$9:$AU$55)*($AT$9:$AT$55&lt;=$AA9)*($AU$9:$AU$55&gt;=$AA9))&gt;0),0,IF(AND(OR($AA9='King Node Model'!$T$22,$AA9='King Node Model'!$F$24),$AG9="R",COUNTIF($W$9:$W$14,$AA9)&gt;0),1,IF(AND($FN9=1,$EU9&lt;&gt;1,$EM9&lt;&gt;1,$BK9&lt;&gt;1,$DH9&lt;&gt;1,$AG9="R",COUNTIF($W$9:$W$14,$AA9)&gt;0),1,IF($EU9=1,0,IF($EM9=1,0,IF(AND(OR($EE9=1,$GV9=1,AND($EL$7=1,$AA9='King Node Model'!$D$26,$EI9=1),AND(OR($AA9='King Node Model'!$T$22,$AA9='King Node Model'!$T$23),$AN9=1,OR($AX9=0,$D$5&lt;&gt;"UP"))),OR(NOT(OR('King Node Model'!$A$8="Neg",N($BG$72)=1)),$GV9=1,AND(OR($AA9='King Node Model'!$T$22,$AA9='King Node Model'!$T$23),$AN9=1,OR($AX9=0,$D$5&lt;&gt;"UP")),AND($AM9&gt;=$BG$20,$AC9&gt;IF($CZ9=1,$BG$48,$BG$19)))),1,IF($DH9=1,0,IF(AND($DC9=1,$GS9&lt;&gt;1,AND('King Node Model'!$A$8&lt;&gt;"Neg",N($BG$72)&lt;&gt;1)),0,IF(AND($EY9=1,NOT(OR('King Node Model'!$A$8="Neg",$BG$72=1)),$AA9&lt;&gt;'King Node Model'!$B$23),0,IF(AND($GS9=1,$AG9="R",OR($CI9=0,$EE9=1,$EX9=1,$GV9=1),COUNTIF($W$9:$W$14,$AA9)&gt;0,ABS($AA9-$B$4)&lt;=$BG$7,$BK9&lt;&gt;1,$AM9&gt;=$BG$20,$AC9&gt;IF($CZ9=1,$BG$48,$BG$19)),1,IF(OR('King Node Model'!$A$8="Neg",N($BG$72)=1),IF(AND(OR($AM9&gt;=$BG$20,$AA9='King Node Model'!$D$26,$GV9=1),$AG9="R",COUNTIF($W$9:$W$14,$AA9)&gt;0,ABS($AA9-$B$4)&lt;=$BG$7,$BK9&lt;&gt;1,OR(OR($CI9=0,$AJ9=1),AND($EI9=1,$LA9=1,COUNTIF($W$9:$W$11,$AA9)&gt;0,$AN9=1,OR($AX9=0,$D$5&lt;&gt;"UP"))),$AM9&gt;=$BG$20,$AC9&gt;IF($CZ9=1,$BG$48,$BG$19),OR($AN9=1,N($LR9)=1,$AA9='King Node Model'!$D$26,AND($BY9=1,$AA9&gt;$B$4),$BX9=1,$CF9=1,$CF9=1,AND(OR($AA9=$CP$4,$AA9=$CP$5,$AA9=$CP$6,$AA9=$CP$7),ABS($AA9-$B$4)&lt;=30),AND($AX9=1,$D$5="DOWN"))),1,0),IF(AND(OR($AM9&gt;=3,$AA9='King Node Model'!$D$26,$GV9=1),$AG9="R",COUNTIF($W$9:$W$14,$AA9)&gt;0,ABS($AA9-$B$4)&lt;=$BG$7,$BK9&lt;&gt;1,OR($CI9=0,$AJ9=1),$AM9&gt;=$BG$20,$AC9&gt;IF($CZ9=1,$BG$48,$BG$19),OR($AC9&gt;=MAX($AC$9:$AC$55),$BC9&gt;0,$AA9='King Node Model'!$D$26,AND(OR($AA9=$CP$4,$AA9=$CP$5,$AA9=$CP$6,$AA9=$CP$7),ABS($AA9-$B$4)&lt;=30),$CF9=1,$AN9=1,AND($AX9=1,$D$5="DOWN"))),1,0))))))))))))</f>
        <v>0</v>
      </c>
      <c r="CV9" s="218">
        <f>IF(AND(OR('King Node Model'!$A$8="Neg",N($BG$72)=1),$AG9="S",N($LR9)=1,N($MB9)=1),1,IF(AND(AND('King Node Model'!$A$8&lt;&gt;"Neg",N($BG$72)&lt;&gt;1),SUMPRODUCT(($AG$9:$AG$55="R")*ISNUMBER($AT$9:$AT$55)*ISNUMBER($AU$9:$AU$55)*($AT$9:$AT$55&lt;&gt;$AU$9:$AU$55)*($AT$9:$AT$55&lt;=$AA9)*($AU$9:$AU$55&gt;=$AA9))&gt;0,NOT(AND(N($LC9)=1,$AA9='King Node Model'!$B$23))),0,IF(AND($AA9='King Node Model'!$F$24,$AG9="S",COUNTIF($W$18:$W$23,$AA9)&gt;0),1,IF(AND($FN9=1,$EU9&lt;&gt;1,$EM9&lt;&gt;1,$DH9&lt;&gt;1,$AG9="S",COUNTIF($W$18:$W$23,$AA9)&gt;0),1,IF($EU9=1,0,IF(AND(OR($EF9=1,$GV9=1,AND(OR($AA9='King Node Model'!$T$22,$AA9='King Node Model'!$T$23,AND($AG9="S",COUNTIF('Master Dashboard'!$AN$16:$AN$18,$AA9)&gt;0)),$AN9=1,OR($AX9=0,$D$5&lt;&gt;"UP"))),OR(NOT(OR('King Node Model'!$A$8="Neg",N($BG$72)=1)),$GV9=1,AND(OR($AA9='King Node Model'!$T$22,$AA9='King Node Model'!$T$23,AND($AG9="S",COUNTIF('Master Dashboard'!$AN$16:$AN$18,$AA9)&gt;0)),$AN9=1,OR($AX9=0,$D$5&lt;&gt;"UP")),AND($AM9&gt;=$BG$20,$AC9&gt;IF($CZ9=1,$BG$48,$BG$19)))),1,IF($DH9=1,0,IF(AND($DC9=1,$GS9&lt;&gt;1,AND('King Node Model'!$A$8&lt;&gt;"Neg",N($BG$72)&lt;&gt;1)),0,IF(AND($EY9=1,NOT(OR('King Node Model'!$A$8="Neg",$BG$72=1)),$AA9&lt;&gt;'King Node Model'!$B$23,COUNTIF('Master Dashboard'!$AN$16:$AN$18,$AA9)=0),0,IF(AND($GS9=1,$AG9="S",OR($CI9=0,$EF9=1,$EX9=1,$GV9=1),COUNTIF($W$18:$W$23,$AA9)&gt;0,ABS($AA9-$B$4)&lt;=$BG$7,$BK9&lt;&gt;1,$AM9&gt;=$BG$20,$AC9&gt;IF($CZ9=1,$BG$48,$BG$19)),1,IF(OR('King Node Model'!$A$8="Neg",N($BG$72)=1),IF(AND(OR(OR($AM9&gt;=$BG$20,N($LR9)=1),$AA9='King Node Model'!$D$26,$GV9=1),$AG9="S",COUNTIF($W$18:$W$23,$AA9)&gt;0,ABS($AA9-$B$4)&lt;=$BG$7,$BK9&lt;&gt;1,OR($CI9=0,$AJ9=1,AND(N($LR9)=1,N($MB9)=1),N($MT9)=1),OR($AM9&gt;=$BG$20,N($LR9)=1),$AC9&gt;IF($CZ9=1,$BG$48,$BG$19),OR($AB9&gt;0,$AN9=1,N($MT9)=1,N($LR9)=1,$AA9='King Node Model'!$D$26,AND($BY9=1,$AA9&lt;$B$4),$BX9=1,$CF9=1,$CF9=1,AND(OR($AA9=$CP$4,$AA9=$CP$5,$AA9=$CP$6,$AA9=$CP$7),ABS($AA9-$B$4)&lt;=30),AND($AX9=1,$D$5="DOWN"))),1,0),IF(AND(OR($AM9&gt;=3,$AA9='King Node Model'!$D$26,$GV9=1),$AG9="S",COUNTIF($W$18:$W$23,$AA9)&gt;0,ABS($AA9-$B$4)&lt;=$BG$7,$BK9&lt;&gt;1,OR($CI9=0,$AJ9=1,AND(N($LR9)=1,N($MB9)=1),N($MT9)=1),$AM9&gt;=$BG$20,$AC9&gt;IF($CZ9=1,$BG$48,$BG$19),OR($AC9&gt;=MAX($AC$9:$AC$55),$BC9&gt;0,N($MT9)=1,$AA9='King Node Model'!$D$26,AND(OR($AA9=$CP$4,$AA9=$CP$5,$AA9=$CP$6,$AA9=$CP$7),ABS($AA9-$B$4)&lt;=30),$CF9=1,$AN9=1,AND($AX9=1,$D$5="DOWN"))),1,0))))))))))))</f>
        <v>0</v>
      </c>
      <c r="CW9" t="s">
        <v>2720</v>
      </c>
      <c r="CX9" s="218">
        <f t="shared" ref="CX9:CX55" si="48">IF(OR(AND($AG9="R",$BC9&lt;0,COUNTIF($W$9:$W$14,$AA9)&gt;0,ABS($AA9-$B$4)&lt;=$BG$7,$BK9&lt;&gt;1,$CI9=0,$AM9&gt;=$BG$20,$AC9&gt;$BG$19,$CU9=0,$BZ9=0),AND($AG9="S",$BC9&lt;0,COUNTIF($W$18:$W$23,$AA9)&gt;0,ABS($AA9-$B$4)&lt;=$BG$7,$BK9&lt;&gt;1,$CI9=0,$AM9&gt;=$BG$20,$AC9&gt;$BG$19,$CV9=0,$BZ9=0)),1,0)</f>
        <v>0</v>
      </c>
      <c r="CY9" t="str">
        <f t="shared" ref="CY9:CY55" si="49">IF($CX9=1,SUMPRODUCT(($CX$9:$CX$55=1)*(ABS($AA$9:$AA$55-$B$4)&lt;ABS($AA9-$B$4)))+1,"")</f>
        <v/>
      </c>
      <c r="CZ9" s="218">
        <f t="shared" ref="CZ9:CZ55" si="50">IF(AND(N($IA9)=1,SUMPRODUCT(($IA$9:$IA$55=1)*((($AA$9:$AA$55-$BG$28)*($AA9-$BG$28))&gt;0)*(ABS($AA$9:$AA$55-$BG$28)&lt;ABS($AA9-$BG$28)))=0),1,0)</f>
        <v>0</v>
      </c>
      <c r="DA9" t="str">
        <f t="shared" ref="DA9:DA55" si="51">IF(AND($DC9=1,$AA9&gt;$B$4),$AC9,"")</f>
        <v/>
      </c>
      <c r="DB9" t="str">
        <f t="shared" ref="DB9:DB55" si="52">IF(AND($DC9=1,$AA9&lt;$B$4),$AC9,"")</f>
        <v/>
      </c>
      <c r="DC9" s="218">
        <f t="shared" ref="DC9:DC55" si="53">IFERROR(IF(AND(NOT($GY9=1),OR($BD9=1,$GO9=1,AND(ISNUMBER($AC9),$AC9&gt;=$BG$41,ABS($AA9-$B$4)&lt;=$BG$24,OR(AND(ISNUMBER($AC8),$AC8&gt;=$BG$41),AND(ISNUMBER($AC10),$AC10&gt;=$BG$41))))),1,0),0)</f>
        <v>0</v>
      </c>
      <c r="DD9" s="218">
        <f t="shared" ref="DD9:DD55" si="54">IF($DC9=1,IF($DC8=1,1+$DD8,1),0)</f>
        <v>0</v>
      </c>
      <c r="DE9" s="218">
        <f t="shared" ref="DE9:DE55" si="55">IF($DC9=1,IF($DC10=1,1+$DE10,1),0)</f>
        <v>0</v>
      </c>
      <c r="DF9" t="str">
        <f t="shared" ref="DF9:DF55" si="56">IF($DC9=1,$AA9-5*($DE9-1),"")</f>
        <v/>
      </c>
      <c r="DG9" t="str">
        <f t="shared" ref="DG9:DG55" si="57">IF($DC9=1,$AA9+5*($DD9-1),"")</f>
        <v/>
      </c>
      <c r="DH9" s="218">
        <f t="shared" ref="DH9:DH55" si="58">IF(AND(NOT(AND('King Node Model'!$A$8="Pos",N($BG$72)&lt;&gt;1,N($AJ9)=1)),NOT(AND('King Node Model'!$A$8="Pos",N($BG$72)&lt;&gt;1,COUNTIF('Master Dashboard'!$AN$13:$AN$18,$AA9)+COUNTIF('King Node Model'!$T$25:$T$30,$AA9)&gt;0)),$DC9=1,$CZ9=0,N($GZ9)&lt;&gt;1,$AA9&lt;&gt;'King Node Model'!$T$22,SUMPRODUCT(($CZ$9:$CZ$55=1)*($AG$9:$AG$55=$AG9)*($DF$9:$DF$55&lt;$AA9)*($DG$9:$DG$55&gt;$AA9))&gt;0),1,0)</f>
        <v>0</v>
      </c>
      <c r="DI9">
        <v>1</v>
      </c>
      <c r="DJ9">
        <v>1</v>
      </c>
      <c r="DK9">
        <v>92632</v>
      </c>
      <c r="DL9">
        <v>0</v>
      </c>
      <c r="DM9" t="str">
        <f>IF(AND($CV9=1,$AG9="S"),IF(AND(OR('King Node Model'!$A$8="Neg",N($BG$72)=1),'King Node Model'!$S$52=""),IF(OR(N($AN9)=1,N($LR9)=1,$AB9&gt;0,$AJ9=1,N($JO9)=1,AND(NOT($AE9&gt;0),NOT(IFERROR(AND(ISNUMBER($BC9),ISNUMBER($BC8),($BC9&gt;=0)&lt;&gt;($BC8&gt;=0)),FALSE())),OR(AND($BM9&lt;=6,$BN9&lt;=6),ABS($AA9-'King Node Model'!$T$23)&lt;=5,$LA9=1))),1,0),1),"")</f>
        <v/>
      </c>
      <c r="DN9" t="str">
        <f t="shared" ref="DN9:DN55" si="59">IF(AND($AA9&lt;=$GJ$3,OR(AND($DM9=1,OR(COUNTIF($W$18:$W$20,$AA9)&gt;0,AND(N($LR9)=1,N($MB9)=1),AND(ISNUMBER($AH9),$AH9&lt;=$BG$51),AND(OR($AA9='King Node Model'!$T$22,$AA9='King Node Model'!$T$23),$AN9=1,OR($AX9=0,$D$5&lt;&gt;"UP")),OR(AND(OR('King Node Model'!$A$8="Neg",N($BG$72)=1),OR($EF9=1,$AA9='King Node Model'!$F$24,$AA9=$CP$1),$AN9=1,OR($AX9=0,$D$5&lt;&gt;"UP")),AND(NOT(OR('King Node Model'!$A$8="Neg",N($BG$72)=1)),OR($EF9=1))))),AND($DT9=1,$AG9="S"),$DP9=1)),SUMPRODUCT((((($DM$9:$DM$55=1)*((($AA$9:$AA$55=$GM$2)+($AA$9:$AA$55=$W$18)+($AA$9:$AA$55=$W$19)+($AA$9:$AA$55=$W$20)+ISNUMBER($AH$9:$AH$55)*($AH$9:$AH$55&lt;=$BG$51)+((($AA$9:$AA$55='King Node Model'!$T$22)+($AA$9:$AA$55='King Node Model'!$T$23)&gt;0)*($AN$9:$AN$55=1)*((($AX$9:$AX$55=0)+($D$5&lt;&gt;"UP"))&gt;0))+(OR('King Node Model'!$A$8="Neg",N($BG$72)=1))*((($EF$9:$EF$55=1)+($AA$9:$AA$55='King Node Model'!$F$24)+($AA$9:$AA$55=$CP$1)&gt;0)*($AN$9:$AN$55=1)*((($AX$9:$AX$55=0)+($D$5&lt;&gt;"UP"))&gt;0))+(NOT(OR('King Node Model'!$A$8="Neg",N($BG$72)=1)))*(($EF$9:$EF$55=1)&gt;0)+($LR$9:$LR$55=1)*($MB$9:$MB$55=1))&gt;0))+(($DT$9:$DT$55=1)*($AG$9:$AG$55="S"))+($DP$9:$DP$55=1))&gt;0)*($AA$9:$AA$55&lt;=$GJ$3)*(ABS($AA$9:$AA$55-$GJ$3)&lt;ABS($AA9-$GJ$3)))+1,"")</f>
        <v/>
      </c>
      <c r="DO9" t="str">
        <f t="shared" ref="DO9:DO55" si="60">IF($AG9="","",IF(OR($CU9=1,$CV9=1),"",IF($DH9=1,"shelfAbs",IF(IF($AG9="R",COUNTIF($W$9:$W$14,$AA9),COUNTIF($W$18:$W$23,$AA9))=0,"W-list",IF(AND($AX9=1,$D$5="UP"),"vommaIVup",IF($BK9=1,"boxAbs",IF($CI9=1,"accel",IF($AM9&lt;$BG$20,"conf"&amp;TEXT($BG$20,"0"),IF($AC9&lt;=$BG$19,"γfloor","noTag")))))))))</f>
        <v>W-list</v>
      </c>
      <c r="DP9" t="str">
        <f>IF(AND(OR('King Node Model'!$A$8="Neg",N($BG$72)=1),$AG9="S",ISNUMBER($AT9),ISNUMBER($AU9),$AT9&lt;&gt;$AU9,$AA9=$AT9),IF(AND(SUMPRODUCT(($AA$9:$AA$55&gt;=$AT9)*($AA$9:$AA$55&lt;=$AU9)*($AB$9:$AB$55&gt;0))&gt;0,SUMPRODUCT(($AA$9:$AA$55&gt;=$AT9)*($AA$9:$AA$55&lt;=$AU9)*($DM$9:$DM$55=1))&gt;0,SUMPRODUCT(($AA$9:$AA$55&gt;=$AT9)*($AA$9:$AA$55&lt;=$AU9)*(COUNTIF($W$18:$W$20,$AA$9:$AA$55)&gt;0))&gt;0),1,0),"")</f>
        <v/>
      </c>
      <c r="DS9">
        <v>0</v>
      </c>
      <c r="DT9">
        <v>0</v>
      </c>
      <c r="DU9" t="str">
        <f>IF('King Node Model'!$A$8&lt;&gt;"Pos","",IF(OR($AA9="",NOT(ISNUMBER($AA9)),ABS($AA9-$B$4)&gt;$BG$7),"",TEXT($AA9,"0")&amp;" | "&amp;IF($AG9="","unclassified",IF($AG9&lt;&gt;IF($AA9&gt;$B$4,"R","S"),"orphan: in "&amp;$AG9&amp;"-list, "&amp;IF($AA9&lt;$B$4,"below","above")&amp;" spot",IF(IF($AG9="R",COUNTIF($W$9:$W$14,$AA9),COUNTIF($W$18:$W$23,$AA9))=0,"not in "&amp;$AG9&amp;"-list",IF($DH9=1,"absorbed into shelf box",IF($BK9=1,"absorbed: adjacent reversal",IF($CI9=1,"accel-accelerant",IF($AC9&lt;=$BG$19,"below gamma-floor",IF($AM9&lt;$BG$20,"confluence "&amp;TEXT($AM9,"0")&amp;" &lt; "&amp;TEXT($BG$20,"0"),IF(AND($AX9=1,$D$5="UP"),"accelerant in up-move",IF(NOT(OR($AC9&gt;=MAX($AC$9:$AC$55),$BC9&gt;0,$AA9='King Node Model'!$D$26,AND(OR($AA9=$CP$4,$AA9=$CP$5,$AA9=$CP$6,$AA9=$CP$7),ABS($AA9-$B$4)&lt;=30),ISNUMBER(SEARCH("STRENGTHENING",$CG9)),$AN9=1,AND($AX9=1,$D$5="DOWN"))),"no surface flag","-&gt; qualifies"))))))))))))</f>
        <v/>
      </c>
      <c r="DV9" s="218">
        <f t="shared" ref="DV9:DV55" si="61">IF(AND($DC9=1,COUNTIF($W$9:$W$14,$AA9)&gt;0,$AA9&gt;=$B$4),$AA9-$B$4,99999)</f>
        <v>99999</v>
      </c>
      <c r="DW9" s="218">
        <f t="shared" ref="DW9:DW55" si="62">IF(AND($DC9=1,COUNTIF($W$18:$W$23,$AA9)&gt;0,$AA9&lt;$B$4),$B$4-$AA9,99999)</f>
        <v>99999</v>
      </c>
      <c r="DX9" t="str">
        <f>IF('King Node Model'!$A$8&lt;&gt;"Pos","",IF(AND($DV9&lt;99999,$DV9=MIN($DV$9:$DV$55),$DG9&gt;$AA9),"R-box: "&amp;TEXT($AA9,"0")&amp;"-"&amp;TEXT($DG9,"0"),IF(AND($DW9&lt;99999,$DW9=MIN($DW$9:$DW$55),$DF9&lt;$AA9),"S-box: "&amp;TEXT($DF9,"0")&amp;"-"&amp;TEXT($AA9,"0"),"")))</f>
        <v/>
      </c>
      <c r="EB9">
        <f t="shared" ref="EB9:EB55" si="63">IF($AG9="","",ABS($AA9-$B$4))</f>
        <v>109.60999999999967</v>
      </c>
      <c r="EC9">
        <f t="shared" ref="EC9:EC55" si="64">SUMPRODUCT(MAX(($AG$9:$AG$55="R")*($AB$9:$AB$55&gt;0)*($EB$9:$EB$55&lt;=$BG$7)*$AB$9:$AB$55))</f>
        <v>538591</v>
      </c>
      <c r="ED9">
        <f t="shared" ref="ED9:ED55" si="65">SUMPRODUCT(MAX(($AG$9:$AG$55="S")*($AB$9:$AB$55&gt;0)*($EB$9:$EB$55&lt;=$BG$7)*$AB$9:$AB$55))</f>
        <v>0</v>
      </c>
      <c r="EE9">
        <f>IF(AND(OR('King Node Model'!$A$8="Neg",N($BG$72)=1),$AG9="R",ISNUMBER($EB9),$EB9&lt;=$BG$7,$AB9&gt;0,$EC9&gt;0,$AB9=$EC9),1,0)</f>
        <v>0</v>
      </c>
      <c r="EF9">
        <f>IF(AND(OR('King Node Model'!$A$8="Neg",N($BG$72)=1),$AG9="S",ISNUMBER($EB9),$EB9&lt;=$BG$7,$AB9&gt;0,$ED9&gt;0,$AB9=$ED9),1,0)</f>
        <v>0</v>
      </c>
      <c r="EI9">
        <v>1</v>
      </c>
      <c r="EJ9">
        <f>IF($AA9="",0,IF(SUMPRODUCT(($AA$9:$AA$55&gt;=$AT9)*($AA$9:$AA$55&lt;=$AU9)*($DT$9:$DT$55=1))+SUMPRODUCT(($DT$9:$DT$55=1)*($AT$9:$AT$55&lt;=$AA9)*($AU$9:$AU$55&gt;=$AA9))+($DT9=1)+AND(OR('King Node Model'!$A$8="Neg",N($BG$72)=1),ISNUMBER(SEARCH("LOW",'Master Dashboard'!$M$5)),ISNUMBER(SEARCH("BUY",'Master Dashboard'!$G$8)),'King Node Model'!$T$23='King Node Model'!$B$23,$AA9&gt;='King Node Model'!$T$23,$AA9&lt;='King Node Model'!$T$23+5)*1&gt;0,1,0))</f>
        <v>0</v>
      </c>
      <c r="EM9">
        <f t="shared" ref="EM9:EM55" si="66">IF(AND($EL$7=1,ISNUMBER($AA9),$AA9&gt;$EL$1,$AA9&lt;$EL$3),1,0)</f>
        <v>0</v>
      </c>
      <c r="EN9">
        <v>0</v>
      </c>
      <c r="EO9">
        <f t="shared" ref="EO9:EO55" si="67">IF(AND(ISNUMBER($AA9),ISNUMBER($B$4),$AA9&lt;$B$4,$AB9&lt;0,COUNTIF($W$18:$W$20,$AA9)&gt;0,$DM9=1),$AC9,0)</f>
        <v>0</v>
      </c>
      <c r="EP9">
        <f t="shared" ref="EP9:EP55" si="68">IF(AND(ISNUMBER($AA9),ISNUMBER($EO$3),$AA9&gt;=$EO$3,$AA9&lt;=$EO$4),1,0)</f>
        <v>0</v>
      </c>
      <c r="EQ9" t="str">
        <f t="shared" ref="EQ9:EQ55" si="69">IF(NOT(ISNUMBER(AA9)),"",IF(NOT(ISNUMBER(AF9)),"",IF(AF9=0,"Zomma Dormant",IF(ABS(AF9)&gt;=$S$10,IF(IF($KC9="UP",SIGN(AF9),IF($KC9="DOWN",-SIGN(AF9),0))=1,IF(BC9&gt;=0,"STRENGTHENING · Pos gamma ↑ · thickening the "&amp;IF(AA9&lt;$B$4,"floor","ceiling"),"ACCEL fading · Neg gamma ↓ (firmer "&amp;IF(AA9&lt;$B$4,"support","resistance")&amp;")"),IF(BC9&gt;=0,"WEAKENING · Pos gamma ↓ · thinning the "&amp;IF(AA9&lt;$B$4,"floor","ceiling"),"ACCEL building · Neg gamma ↑ (weaker "&amp;IF(AA9&lt;$B$4,"support","resistance")&amp;")")),IF(ABS(AF9)&gt;=$S$16,IF(IF($KC9="UP",SIGN(AF9),IF($KC9="DOWN",-SIGN(AF9),0))=1,IF(BC9&gt;=0,"STRENGTHENING · Pos gamma ↑ · thickening the "&amp;IF(AA9&lt;$B$4,"floor","ceiling"),"ACCEL fading · Neg gamma ↓ (firmer "&amp;IF(AA9&lt;$B$4,"support","resistance")&amp;")"),IF(BC9&gt;=0,"WEAKENING · Pos gamma ↓ · thinning the "&amp;IF(AA9&lt;$B$4,"floor","ceiling"),"ACCEL building · Neg gamma ↑ (weaker "&amp;IF(AA9&lt;$B$4,"support","resistance")&amp;")"))&amp;" (sub-threshold)",IF(IF($KC9="UP",SIGN(AF9),IF($KC9="DOWN",-SIGN(AF9),0))=1,"firming the ","thinning the ")&amp;IF(AA9&lt;$B$4,"floor","ceiling")&amp;" (magnitude weak)")))))</f>
        <v>thinning the ceiling (magnitude weak)</v>
      </c>
      <c r="ES9" t="str">
        <f>IF(AND(ISNUMBER(AA9),ISNUMBER(AF9),ABS(AA9-'King Node Model'!$B$4)&lt;=$BG$7),ABS(AF9),"")</f>
        <v/>
      </c>
      <c r="ET9">
        <v>0</v>
      </c>
      <c r="EU9" s="218">
        <f>0</f>
        <v>0</v>
      </c>
      <c r="EW9">
        <f>IF(OR(N($MY9)=1,N($JM9)=1),0,N($NE9))</f>
        <v>0</v>
      </c>
      <c r="EX9">
        <f>IF(AND(OR('King Node Model'!$A$8="Neg",N($BG$72)=1),ISNUMBER($AA9),OR(AND($AA9='King Node Model'!$F$24,OR(AND($AG9="S",$F$4="High",IF($BG$80&lt;&gt;"",UPPER($BG$80),$D$5)="DOWN"),AND($AG9="R",$F$4="Low",IF($BG$80&lt;&gt;"",UPPER($BG$80),$D$5)="UP"))),$GV9=1)),1,0)</f>
        <v>0</v>
      </c>
      <c r="EY9">
        <f>IFERROR(IF(AND($DC9=1,$AB9&lt;0,$AC9&gt;=(1+$FA$6)*INDEX($AC$9:$AC$55,1-1),$AC9&gt;=(1+$FA$6)*INDEX($AC$9:$AC$55,1+1),$AC9&gt;=IFERROR(INDEX($AC$9:$AC$55,1-2),0),$AC9&gt;=IFERROR(INDEX($AC$9:$AC$55,1+2),0)),1,0),0)</f>
        <v>0</v>
      </c>
      <c r="FA9" t="str">
        <f>IF(NOT(ISNUMBER($AA9)),"",IFERROR(IF(AND($AC9=MAX($AC$9:$AC$55),$AB9=MIN($AB$9:$AB$55)),"DOM",IF(FALSE,"GAP↑",IF(FALSE,"GAP↓",IF($CZ9=1,"dEdge Cliff",IF($GY9=1,"γWall",IF(FALSE,"PEAK-",IF($GZ9=1,"γSh Edge",IF($HL9=1,"Trough",IF($HN9=1,"PEAK+",IF($GF9=1,"Cluster","")))))))))),""))</f>
        <v/>
      </c>
      <c r="FB9" t="str">
        <f t="shared" ref="FB9:FB55" si="70">IF($HG9=1,"",$HH9)</f>
        <v/>
      </c>
      <c r="FC9" t="str">
        <f t="shared" ref="FC9:FC55" si="71">IF($HG9=1,"",$HI9)</f>
        <v/>
      </c>
      <c r="FD9">
        <f>IF(AND(ISNUMBER($AA9),ISNUMBER('King Node Model'!$AP$17),ISNUMBER('King Node Model'!$AQ$17),$AA9&gt;=MIN('King Node Model'!$AP$17,'King Node Model'!$AQ$17),$AA9&lt;=MAX('King Node Model'!$AP$17,'King Node Model'!$AQ$17),IFERROR(INDEX($AC$9:$AC$55,MATCH('King Node Model'!$AL$42,$AA$9:$AA$55,0)),0)&gt;0,$AC9&gt;=(1-$FA$6)*IFERROR(INDEX($AC$9:$AC$55,MATCH('King Node Model'!$AL$42,$AA$9:$AA$55,0)),0),$AC9&lt;=(1+$FA$6)*IFERROR(INDEX($AC$9:$AC$55,MATCH('King Node Model'!$AL$42,$AA$9:$AA$55,0)),0)),1,0)</f>
        <v>0</v>
      </c>
      <c r="FE9">
        <f>IF($AA9='King Node Model'!$AL$42,1,IF(AND($FD9=1,0=1),1,0))</f>
        <v>0</v>
      </c>
      <c r="FF9">
        <f>IF($AA9='King Node Model'!$AL$42,1,IF(AND($FD9=1,$FF10=1),1,0))</f>
        <v>0</v>
      </c>
      <c r="FG9" t="str">
        <f>IF(OR($FE9=1,$FF9=1),1,"")</f>
        <v/>
      </c>
      <c r="FJ9">
        <f>IF(AND($CW$2=1,ISNUMBER($AA9),ISNUMBER($CW$3),ISNUMBER($CW$4),$AA9&gt;=MIN($CW$3,$CW$4),$AA9&lt;=MAX($CW$3,$CW$4),IFERROR(INDEX($AC$9:$AC$55,MATCH('King Node Model'!$AP$67,$AA$9:$AA$55,0)),0)&gt;0,$AC9&gt;=(1-$FA$6)*IFERROR(INDEX($AC$9:$AC$55,MATCH('King Node Model'!$AP$67,$AA$9:$AA$55,0)),0),$AC9&lt;=(1+$FA$6)*IFERROR(INDEX($AC$9:$AC$55,MATCH('King Node Model'!$AP$67,$AA$9:$AA$55,0)),0)),1,0)</f>
        <v>0</v>
      </c>
      <c r="FK9">
        <f>IF(AND($CW$2=1,$AA9='King Node Model'!$AP$67),1,IF(AND($FJ9=1,0=1),1,0))</f>
        <v>0</v>
      </c>
      <c r="FL9">
        <f>IF(AND($CW$2=1,$AA9='King Node Model'!$AP$67),1,IF(AND($FJ9=1,$FL10=1),1,0))</f>
        <v>0</v>
      </c>
      <c r="FM9" t="str">
        <f>IF(OR($FK9=1,$FL9=1),1,"")</f>
        <v/>
      </c>
      <c r="FN9">
        <v>0</v>
      </c>
      <c r="FR9" t="str">
        <f t="shared" ref="FR9:FR55" si="72">IF(OR(NOT(ISNUMBER($FO9)),NOT(ISNUMBER($FP9)),MAX($FO9,$FP9)&lt;=0),"",MIN($FO9,$FP9)/MAX($FO9,$FP9))</f>
        <v/>
      </c>
      <c r="FS9">
        <f>0</f>
        <v>0</v>
      </c>
      <c r="FT9">
        <f t="shared" ref="FT9:FT55" si="73">IF(OR(NOT(ISNUMBER($AB9)),NOT(ISNUMBER($AC9)),$AC9=0),"",$AB9/$AC9)</f>
        <v>0.98638822115384617</v>
      </c>
      <c r="FU9">
        <f t="shared" ref="FU9:FU55" si="74">ABS(IFERROR($AC9*1,0))</f>
        <v>33280</v>
      </c>
      <c r="FV9" t="str">
        <f>IF($FW9=0,"",1)</f>
        <v/>
      </c>
      <c r="FW9">
        <f t="shared" ref="FW9:FW55" si="75">IF(AND(ISNUMBER($AA9),IF($HA9="",$FU9&gt;=IF('King Node Model'!$A$8="Pos",$BG$41,$GG$2),$HA9=1)),1,0)</f>
        <v>0</v>
      </c>
      <c r="FX9" t="str">
        <f t="shared" ref="FX9:FX55" si="76">IF($FV9="","",SUMPRODUCT(MAX(($FV$9:$FV$55=$FV9)*$FU$9:$FU$55)))</f>
        <v/>
      </c>
      <c r="FY9">
        <f t="shared" ref="FY9:FY54" si="77">IF($FV9="",0,IF($FU9=$FX9,1,IF(AND($FV10=$FV9,$FY10=1,$FU9&gt;=(1-$GG$3)*$FX9),1,0)))</f>
        <v>0</v>
      </c>
      <c r="FZ9">
        <f>IF($FV9="",0,IF($FU9=$FX9,1,0))</f>
        <v>0</v>
      </c>
      <c r="GA9">
        <f t="shared" ref="GA9:GA55" si="78">IF($FV9="",0,IF(OR($FY9=1,$FZ9=1),1,0))</f>
        <v>0</v>
      </c>
      <c r="GB9" t="str">
        <f t="shared" ref="GB9:GB55" si="79">IF($FV9="","",SUMPRODUCT(($FV$9:$FV$55=$FV9)*($GA$9:$GA$55=1)))</f>
        <v/>
      </c>
      <c r="GC9" t="str">
        <f t="shared" ref="GC9:GC55" si="80">IF($FV9="","",SUMPRODUCT(($FV$9:$FV$55=$FV9)*($GA$9:$GA$55=1)*$FU$9:$FU$55))</f>
        <v/>
      </c>
      <c r="GD9" t="str">
        <f t="shared" ref="GD9:GD55" si="81">IF(OR($FV9="",$GA9=0),"",SUMPRODUCT(MIN(($FV$9:$FV$55=$FV9)*($GA$9:$GA$55=1)*$AA$9:$AA$55+(1-($FV$9:$FV$55=$FV9)*($GA$9:$GA$55=1))*99999)))</f>
        <v/>
      </c>
      <c r="GE9" t="str">
        <f t="shared" ref="GE9:GE55" si="82">IF(OR($FV9="",$GA9=0),"",SUMPRODUCT(MAX(($FV$9:$FV$55=$FV9)*($GA$9:$GA$55=1)*$AA$9:$AA$55)))</f>
        <v/>
      </c>
      <c r="GF9">
        <f t="shared" ref="GF9:GF55" si="83">IF(OR($GA9=0,$GB9="",$GB9&lt;$GG$4),0,1)</f>
        <v>0</v>
      </c>
      <c r="GH9">
        <f>IFERROR(IF(AND($AC9&gt;=(1+$FA$6)*INDEX($AC$9:$AC$55,1-1),$AC9&gt;=(1+$FA$6)*INDEX($AC$9:$AC$55,1+1)),1,0),0)</f>
        <v>0</v>
      </c>
      <c r="GK9">
        <v>0</v>
      </c>
      <c r="GO9">
        <v>0</v>
      </c>
      <c r="GP9">
        <v>0</v>
      </c>
      <c r="GQ9">
        <f t="shared" ref="GQ9:GQ55" si="84">IFERROR(IF(OR(AND($DC8=1,$DC9=1,$DC10=1,INDEX($AC$9:$AC$55,ROW()-9)&lt;=(1-$FA$6)*$AC9,INDEX($AC$9:$AC$55,ROW()-9)&lt;=(1-$FA$6)*INDEX($AC$9:$AC$55,ROW()-10)),AND($DC10=1,$DC9=1,INDEX($AC$9:$AC$55,ROW()-7)&lt;=(1-$FA$6)*$AC9,INDEX($AC$9:$AC$55,ROW()-7)&lt;=(1-$FA$6)*INDEX($AC$9:$AC$55,ROW()-6))),1,0),0)</f>
        <v>0</v>
      </c>
      <c r="GR9">
        <f t="shared" ref="GR9:GR55" si="85">IFERROR(IF(AND($DC9=1,OR(INDEX($DC$9:$DC$55,ROW()-9)=0,INDEX($DC$9:$DC$55,ROW()-7)=0),OR(AND($AG9="R",$AA9=$DG9),AND($AG9="S",$AA9=$DF9))),1,0),0)</f>
        <v>0</v>
      </c>
      <c r="GS9">
        <f>IF(AND($EY9=1,$AA9&lt;&gt;'King Node Model'!$B$23),0,IF(OR($GQ9=1,$GR9=1),1,IF($DC9=1,IF(OR('King Node Model'!$A$8="Neg",N($BG$72)=1),IF(OR(AND($AC9=MAX($AC$9:$AC$55),$AB9=MIN($AB$9:$AB$55)),$AN9=1,$EE9=1,$EF9=1,$EX9=1,$GV9=1),1,0),1),0)))</f>
        <v>0</v>
      </c>
      <c r="GT9">
        <f>IFERROR(IF(AND(OR('King Node Model'!$A$8="Neg",N($BG$72)=1),$EU8=1,$AG9="R",ISNUMBER($AA9),ISNUMBER($AF9),$AF9&lt;&gt;0,$AA9&gt;$B$4-$BG$9,$AA9-$B$4&lt;=$BG$47,IF($KC9="UP",SIGN($AF9),IF($KC9="DOWN",-SIGN($AF9),0))&lt;&gt;1),1,0),0)</f>
        <v>0</v>
      </c>
      <c r="GU9" t="str">
        <f t="shared" ref="GU9:GU55" si="86">IF($GT9=1,IFERROR($AA7,""),"")</f>
        <v/>
      </c>
      <c r="GV9">
        <f t="shared" ref="GV9:GV55" si="87">IF(AND($DT9=1,OR(AND($AG9="S",$F$4="High",IF($BG$80&lt;&gt;"",UPPER($BG$80),$D$5)="DOWN"),AND($AG9="R",NOT(AND(OR('King Node Model'!$A$8="Neg",N($BG$72)=1),N($BG$99)=1)),$F$4="Low",IF($BG$80&lt;&gt;"",UPPER($BG$80),$D$5)="UP"))),1,0)</f>
        <v>0</v>
      </c>
      <c r="GW9">
        <f t="shared" ref="GW9:GW55" si="88">IF($AA9&gt;=$B$4,$AA9-$B$4,"")</f>
        <v>109.60999999999967</v>
      </c>
      <c r="GX9" t="str">
        <f t="shared" ref="GX9:GX55" si="89">IF($AA9&lt;=$B$4,$B$4-$AA9,"")</f>
        <v/>
      </c>
      <c r="GY9">
        <f t="shared" ref="GY9:GY55" si="90">IF(ISNUMBER($IT9),$IT9,IFERROR(IF(AND(ISNUMBER($AC9),ISNUMBER($AC8),ISNUMBER($AC10),$AC9&gt;=$FA$7*$AC8,$AC9&gt;=$FA$7*$AC10),1,0),0))</f>
        <v>0</v>
      </c>
      <c r="GZ9">
        <f t="shared" ref="GZ9:GZ55" si="91">IF(ISNUMBER($HU9),$HU9,$HS9)</f>
        <v>0</v>
      </c>
      <c r="HA9">
        <v>0</v>
      </c>
      <c r="HB9" t="s">
        <v>2016</v>
      </c>
      <c r="HC9">
        <v>429032.69574423914</v>
      </c>
      <c r="HF9">
        <f>IFERROR(IF(AND($GZ9=1,'King Node Model'!$A$8="Pos",$D$5="UP",$CF9=-1,$AJ9&lt;&gt;1),1,0),0)</f>
        <v>0</v>
      </c>
      <c r="HG9">
        <f t="shared" ref="HG9:HG55" si="92">IFERROR(IF(OR(NOT(ISNUMBER($HH9)),NOT(ISNUMBER($HI9))),0,IF(OR(SUMPRODUCT(($AA$9:$AA$55&gt;=$HH9)*($AA$9:$AA$55&lt;=$HI9)*($GZ$9:$GZ$55=1))&gt;0,SUMPRODUCT(($AA$9:$AA$55&gt;=MIN($DF9,$DG9))*($AA$9:$AA$55&lt;=MAX($DF9,$DG9))*1)&lt;$HK$6),1,0)),0)</f>
        <v>0</v>
      </c>
      <c r="HH9" t="str">
        <f>IF($GZ9=1,"",IFERROR(IF(NOT(ISNUMBER($AA9)),"",IF($EY9=1,"",IF($GF9=1,IF($GD9=$GE9,"",$GD9),IF(OR(FALSE,FALSE,AND($DC9=1,OR(1=0,INDEX($DC$9:$DC$55,1+1)=0))),IF(MIN($AA9,IF(AND(OR('King Node Model'!$A$8="Neg",N($BG$72)=1),IF(FALSE,$EY9,IF(FALSE,INDEX($EY$9:$EY$55,1+2),IF(0=1,$EY9,INDEX($EY$9:$EY$55,1+1))))=1),$AA9,IF(FALSE,$AA9,IF(FALSE,INDEX($AA$9:$AA$55,1+2),IF(0=1,$AA9,INDEX($AA$9:$AA$55,1+1))))))=MAX($AA9,IF(AND(OR('King Node Model'!$A$8="Neg",N($BG$72)=1),IF(FALSE,$EY9,IF(FALSE,INDEX($EY$9:$EY$55,1+2),IF(0=1,$EY9,INDEX($EY$9:$EY$55,1+1))))=1),$AA9,IF(FALSE,$AA9,IF(FALSE,INDEX($AA$9:$AA$55,1+2),IF(0=1,$AA9,INDEX($AA$9:$AA$55,1+1)))))),"",MIN($AA9,IF(AND(OR('King Node Model'!$A$8="Neg",N($BG$72)=1),IF(FALSE,$EY9,IF(FALSE,INDEX($EY$9:$EY$55,1+2),IF(0=1,$EY9,INDEX($EY$9:$EY$55,1+1))))=1),$AA9,IF(FALSE,$AA9,IF(FALSE,INDEX($AA$9:$AA$55,1+2),IF(0=1,$AA9,INDEX($AA$9:$AA$55,1+1))))))),"")))),""))</f>
        <v/>
      </c>
      <c r="HI9" t="str">
        <f>IF($GZ9=1,"",IFERROR(IF(NOT(ISNUMBER($AA9)),"",IF($EY9=1,"",IF($GF9=1,IF($GD9=$GE9,"",$GE9),IF(OR(FALSE,FALSE,AND($DC9=1,OR(1=0,INDEX($DC$9:$DC$55,1+1)=0))),IF(MIN($AA9,IF(AND(OR('King Node Model'!$A$8="Neg",N($BG$72)=1),IF(FALSE,$EY9,IF(FALSE,INDEX($EY$9:$EY$55,1+2),IF(0=1,$EY9,INDEX($EY$9:$EY$55,1+1))))=1),$AA9,IF(FALSE,$AA9,IF(FALSE,INDEX($AA$9:$AA$55,1+2),IF(0=1,$AA9,INDEX($AA$9:$AA$55,1+1))))))=MAX($AA9,IF(AND(OR('King Node Model'!$A$8="Neg",N($BG$72)=1),IF(FALSE,$EY9,IF(FALSE,INDEX($EY$9:$EY$55,1+2),IF(0=1,$EY9,INDEX($EY$9:$EY$55,1+1))))=1),$AA9,IF(FALSE,$AA9,IF(FALSE,INDEX($AA$9:$AA$55,1+2),IF(0=1,$AA9,INDEX($AA$9:$AA$55,1+1)))))),"",MAX($AA9,IF(AND(OR('King Node Model'!$A$8="Neg",N($BG$72)=1),IF(FALSE,$EY9,IF(FALSE,INDEX($EY$9:$EY$55,1+2),IF(0=1,$EY9,INDEX($EY$9:$EY$55,1+1))))=1),$AA9,IF(FALSE,$AA9,IF(FALSE,INDEX($AA$9:$AA$55,1+2),IF(0=1,$AA9,INDEX($AA$9:$AA$55,1+1))))))),"")))),""))</f>
        <v/>
      </c>
      <c r="HL9">
        <f t="shared" ref="HL9:HL55" si="93">IF(ISNUMBER($HV9),$HV9,$HT9)</f>
        <v>0</v>
      </c>
      <c r="HM9">
        <f>IFERROR(IF(AND($HL9=1,NOT(OR($AA9='King Node Model'!$T$22,$AA9='King Node Model'!$T$23,$AA9='King Node Model'!$F$24,AND($AG9="S",COUNTIF('Master Dashboard'!$AN$16:$AN$18,$AA9)&gt;0),AND($AG9="R",COUNTIF('Master Dashboard'!$AN$13:$AN$15,$AA9)&gt;0)))),1,0),0)</f>
        <v>0</v>
      </c>
      <c r="HN9">
        <f t="shared" ref="HN9:HN55" si="94">IFERROR(IF(AND($DC9=1,$GZ9&lt;&gt;1,$AB9&gt;0,ISNUMBER($AC8),ISNUMBER($AC10),$AC9&gt;=(1+$FA$6)*$AC8,$AC9&gt;=(1+$FA$6)*$AC10),1,0),0)</f>
        <v>0</v>
      </c>
      <c r="HO9">
        <f t="shared" ref="HO9:HO55" si="95">IFERROR(IF(AND($HL9=1,$AC9&lt;=(1-$FA$6)*$AC8,$AC9&lt;=(1-$FA$6)*$AC10),1,0),0)</f>
        <v>0</v>
      </c>
      <c r="HP9">
        <f t="shared" ref="HP9:HP55" si="96">IF(AND(N($KM9)=1,N($KK9)=0,N($EU9)&lt;&gt;1),0,IF(AND(N($EU9)&lt;&gt;1,N($JY9)&lt;&gt;1,N($KA9)=0,N($KK9)=0,N($KR9)=0,N($LD9)=0,N($LE9)=0,N($MH9)=0,N($MY9)=0,OR(AND(N($GV9)=1,N($JK9)&lt;&gt;1,N($IW9)&lt;&gt;1),N($JC9)=1,AND(ISNUMBER($AA9),$AA9='King Node Model'!$F$24,N($JN9)&lt;&gt;1,OR($AG9="R",AND($AG9="S",$F$4="High",IF($BG$80&lt;&gt;"",UPPER($BG$80),$D$5)="UP"))))),0,IF(OR(N($KK9)&lt;&gt;0,N($KR9)&lt;&gt;0,N($LD9)&lt;&gt;0,N($LE9)&lt;&gt;0,N($MH9)&lt;&gt;0,N($KA9)&lt;&gt;0,N($JY9)&lt;&gt;0,N($JU9)&lt;&gt;0,N($KT9)&lt;&gt;0,N($HW9)&lt;&gt;0,N($IS9)&lt;&gt;0,AND(N($HM9)&lt;&gt;0,'King Node Model'!$A$8="Pos",N($BG$72)&lt;&gt;1,N($JI9)&lt;&gt;1,N($JO9)&lt;&gt;1),AND(TRIM(IF(N($JO9)=1,SUBSTITUTE(SUBSTITUTE(SUBSTITUTE(SUBSTITUTE(SUBSTITUTE(SUBSTITUTE(SUBSTITUTE(" "&amp;SUBSTITUTE(SUBSTITUTE(IF(N($JI9)=1,TRIM(SUBSTITUTE(SUBSTITUTE(SUBSTITUTE(SUBSTITUTE(SUBSTITUTE(SUBSTITUTE(SUBSTITUTE(SUBSTITUTE(SUBSTITUTE(" "&amp;$HQ9&amp;" "," SANDWICH "," ")," LOWIVFALL "," ")," HIGHIVFALL "," ")," TROUGH "," ")," CHOPEDGEIV "," ")," ZACCEL "," ")," AMPLIFY "," ")," BUMP "," ")," EDGE "," ")),$HQ9),"KINGACC",""),"KINGNODE","")&amp;" "," ACCEL "," ")," AMPLIFY "," ")," TROUGH "," ")," SANDWICH "," ")," BUMP "," ")," EDGE "," ")," PEAK+ "," "),IF(N($JI9)=1,TRIM(SUBSTITUTE(SUBSTITUTE(SUBSTITUTE(SUBSTITUTE(SUBSTITUTE(SUBSTITUTE(SUBSTITUTE(SUBSTITUTE(SUBSTITUTE(" "&amp;$HQ9&amp;" "," SANDWICH "," ")," LOWIVFALL "," ")," HIGHIVFALL "," ")," TROUGH "," ")," CHOPEDGEIV "," ")," ZACCEL "," ")," AMPLIFY "," ")," BUMP "," ")," EDGE "," ")),$HQ9)))&lt;&gt;"",NOT(AND(N($EW9)=1,N($CI9)=0)))),1,0)))</f>
        <v>1</v>
      </c>
      <c r="HQ9" t="str">
        <f>IF(NOT(ISNUMBER($AA9)),"",IFERROR(TRIM(IF(N($MY9)=1,"DEXLEAN ","")&amp;IF(N($IZ9)=1,"DEXCAP ","")&amp;IF(AND($AG9="S",UPPER('King Node Model'!$L$5)="HIGH",$KC9="DOWN",N($AF9)&gt;0,$AA9='King Node Model'!$AN$70,$IY9="SELL"),"CHOPEDGEIV ","")&amp;IF(N($IS9)=1,"NOREV ","")&amp;IF(N($JY9)=1,"VFLAT ","")&amp;IF(N($KR9)=1,"GDEXVANNA ","")&amp;IF(N($LD9)=1,"KGSUPFAIL ","")&amp;IF(N($LE9)=1,"KGRESLEAK ","")&amp;IF(N($MH9)=1,"ZIGZAG ","")&amp;IF(N($KK9)=1,"DATAGAP ","")&amp;IF(N($KA9)&lt;&gt;0,"ACCUNDERCW ","")&amp;IF(AND($AG9="S",$HF9=1),"EDGE ","")&amp;IF(AND($HM9=1,'King Node Model'!$A$8="Pos",N($BG$72)&lt;&gt;1),"TROUGH ","")&amp;IF(AND($EU9=1,N($JZ9)&lt;&gt;1),"BUMP ","")&amp;IF(AND($GT9=1,N($JZ9)&lt;&gt;1),"SANDWICH ","")&amp;IF(AND($EX9&lt;&gt;1,OR('King Node Model'!$A$8="Neg",N($BG$72)=1),OR(AND(ISNUMBER($AC9),$AC9=MAX($AC$9:$AC$55)),AND(ISNUMBER($AB9),$AB9=MIN($AB$9:$AB$55))),NOT(AND(AND(ISNUMBER($AC9),$AC9=MAX($AC$9:$AC$55)),AND(ISNUMBER($AB9),$AB9=MIN($AB$9:$AB$55)))),$AG9="S",N($AB9)&lt;0,NOT(COUNTIF('Master Dashboard'!$AN$16:$AN$18,$AA9)&gt;0),NOT(AND(OR('King Node Model'!$A$8="Neg",N($BG$72)=1),ISNUMBER($AB9),$AB9=MIN($AB$9:$AB$55),$AA9=$BG$105))),"ACCEL ","")&amp;IF(AND($EX9&lt;&gt;1,ISNUMBER($AA9),OR('King Node Model'!$A$8="Neg",N($BG$72)=1),$EY9=1,NOT(AND($AG9="S",COUNTIF('Master Dashboard'!$AN$16:$AN$18,$AA9)&gt;0)),NOT(AND($AA9='King Node Model'!$B$23,IF($AG9="S",OR($AA9='King Node Model'!$C$24,COUNTIF('Master Dashboard'!$AN$16:$AN$18,$AA9)&gt;0),OR($AA9='King Node Model'!$C$23,COUNTIF('Master Dashboard'!$AN$13:$AN$15,$AA9)&gt;0)))),NOT(AND($EX9&lt;&gt;1,OR('King Node Model'!$A$8="Neg",N($BG$72)=1),OR(AND(ISNUMBER($AC9),$AC9=MAX($AC$9:$AC$55)),AND(ISNUMBER($AB9),$AB9=MIN($AB$9:$AB$55))),NOT(AND(AND(ISNUMBER($AC9),$AC9=MAX($AC$9:$AC$55)),AND(ISNUMBER($AB9),$AB9=MIN($AB$9:$AB$55)))),$AG9="S",N($AB9)&lt;0,NOT(COUNTIF('Master Dashboard'!$AN$16:$AN$18,$AA9)&gt;0)))),"AMPLIFY ","")&amp;IF(AND($AG9="S",OR('King Node Model'!$A$8="Neg",N($BG$72)=1),$AJ9&lt;&gt;1,N($MT9)&lt;&gt;1,NOT(AND(N($LR9)=1,N($MB9)=1)),ISNUMBER(SEARCH("ACCEL building",$CG9))),"ZACCEL ","")&amp;IF(AND($AG9="S",OR('King Node Model'!$A$8="Neg",N($BG$72)=1),$AA9='King Node Model'!$B$23,NOT(AND(AND(ISNUMBER($AC9),$AC9=MAX($AC$9:$AC$55)),AND(ISNUMBER($AB9),$AB9=MIN($AB$9:$AB$55)))),$EJ9&lt;&gt;1),"KINGACC ","")&amp;IF(AND($AG9="S",OR('King Node Model'!$A$8="Neg",N($BG$72)=1),ABS(N($AA9)-N('King Node Model'!$B$23))&lt;=$BG$107,NOT(AND(SUMPRODUCT((ABS($AF$9:$AF$55)&lt;=ABS(N($AF9)))*1)/COUNT($AF$9:$AF$55)&gt;=0.66,OR(ISNUMBER(SEARCH("firmer resistance",$CG9)),ISNUMBER(SEARCH("STRENGTHENING",$CG9)),ISNUMBER(SEARCH("firmer support",$CG9))))),NOT(AND(N($AB9)&gt;0,SUMPRODUCT((ABS($AB$9:$AB$55)&lt;=ABS(N($AB9)))*1)/COUNT($AB$9:$AB$55)&gt;=0.66)),$EJ9&lt;&gt;1,$AJ9&lt;&gt;1,COUNTIF('Master Dashboard'!$AN$16:$AN$18,$AA9)=0,NOT(AND($AG9="S",OR('King Node Model'!$A$8="Neg",N($BG$72)=1),$AA9='King Node Model'!$B$23,NOT(AND(AND(ISNUMBER($AC9),$AC9=MAX($AC$9:$AC$55)),AND(ISNUMBER($AB9),$AB9=MIN($AB$9:$AB$55)))),$EJ9&lt;&gt;1))),"KINGNODE ","")&amp;IF(AND($AG9="R",NOT(AND(AND(ISNUMBER($AC9),$AC9=MAX($AC$9:$AC$55)),AND(ISNUMBER($AB9),$AB9=MIN($AB$9:$AB$55)))),UPPER('King Node Model'!$L$5)="LOW",$KC9="DOWN",N($AF9)&gt;0),"LOWIVFALL ","")&amp;IF(AND($AG9="R",NOT(AND(AND(ISNUMBER($AC9),$AC9=MAX($AC$9:$AC$55)),AND(ISNUMBER($AB9),$AB9=MIN($AB$9:$AB$55)))),UPPER('King Node Model'!$L$5)="HIGH",$KC9="DOWN",N($AF9)&gt;0,IFERROR(MATCH($AA9,$W$9:$W$14,0)&gt;=4,FALSE)),"HIGHIVFALL ","")&amp;IF(AND($AG9="R",N($BG$99)=1),"SPOTUPVOLUP ","")&amp;IF(AND($AG9="R",ISNUMBER(SEARCH("5/5",'Master Dashboard'!$E$29)),OR(ISNUMBER(SEARCH("WEAKENING",$EQ9)),ISNUMBER(SEARCH("Pos gamma ↓",$EQ9)),ISNUMBER(SEARCH("thinning the ceiling",$EQ9)))),"SQUEEZE ","")&amp;IF(N($JU9)=1,"DEDGECLIFF ","")&amp;IF(N($KT9)=1,"DEXDRAIN ","")&amp;IF(N($HW9)&lt;&gt;0,"DEXDROP ","")&amp;IF(N($HX9)&lt;&gt;0,"PEAK+ ","")&amp;IF(N($IF9)=1,"CHOP ","")&amp;IF(N($IQ9)=1,"CONTESTED ","")&amp;IF(N($IW9)=1,"VSELL ","")&amp;IF(N($JK9)=1,"VBUYRES ","")&amp;IF(N($JL9)=1,"DOMFLAT ","")&amp;IF(N($JM9)=1,"DOMPULL ","")&amp;IF(N($JP9)=1,"OIZOMMA ","")&amp;IF(AND(N($JQ9)=1,N($JZ9)&lt;&gt;1),"OIDEX ","")),""))</f>
        <v>NOREV LOWIVFALL VBUYRES</v>
      </c>
      <c r="HR9" t="str">
        <f>IF(AND(ISNUMBER($W9),OR('King Node Model'!$A$8&lt;&gt;"Pos",N($BG$72)=1,IFERROR(INDEX($AM$9:$AM$55,MATCH($W9,$AA$9:$AA$55,0)),0)&gt;=$BG$20),$E9="REVERSAL",OR($F9="stable",$F9="VOMMA CAP"),$W9&lt;&gt;'King Node Model'!$AL$42,$W9&lt;&gt;'King Node Model'!$AL$43,IFERROR(INDEX($HP$9:$HP$55,MATCH($W9,$AA$9:$AA$55,0)),1)=0),ABS($W9-'King Node Model'!$B$4),"")</f>
        <v/>
      </c>
      <c r="HS9">
        <f>IFERROR(IF(AND($DC9=1,OR(AND($AG9="R",1=0,INDEX($DC$9:$DC$55,2)=1,INDEX($DC$9:$DC$55,3)=1),AND($AG9="S",INDEX($DC$9:$DC$55,2)=0,1=0,1=0))),1,0),0)</f>
        <v>0</v>
      </c>
      <c r="HT9">
        <f t="shared" ref="HT9:HT55" si="97">IFERROR(IF(AND($DC9=1,$HS9&lt;&gt;1,ISNUMBER($AC8),ISNUMBER($AC10),$AC9&lt;$AC8,$AC9&lt;$AC10),1,0),0)</f>
        <v>0</v>
      </c>
      <c r="HU9">
        <v>0</v>
      </c>
      <c r="HV9">
        <v>0</v>
      </c>
      <c r="HW9">
        <f>IFERROR(IF(OR(NOT(ISNUMBER($AA9)),'King Node Model'!$A$8&lt;&gt;"Pos",N($BG$72)=1,ABS(N($AE9))&lt;$BG$113,N($AV9)=1,$FA9="DOM",$AA9='King Node Model'!$T$23,AND(N($BG$116)=1,$AA9='King Node Model'!$F$24),NOT(ISNUMBER($KU9)),NOT(ISNUMBER($KV9))),0,IF(AND($AG9="S",COUNTIF('Master Dashboard'!$AN$16:$AN$18,$AA9)=0,$KU9&gt;=$BG$114,$KU9&gt;=$KV9+$BG$115,NOT(AND(N($AN10)=1,N($KV9)&lt;0)),N($AE9)&lt;=0),1,IF(AND($AG9="R",COUNTIF('Master Dashboard'!$AN$13:$AN$15,$AA9)=0,$KV9&gt;=$BG$114,$KV9&gt;=$KU9+$BG$115,NOT(AND(N($AN8)=1,N($KU9)&lt;0))),-1,0))),0)</f>
        <v>0</v>
      </c>
      <c r="HX9">
        <f>IFERROR(IF(AND(ISNUMBER($AA9),$FA9="PEAK+",N($AN9)&lt;&gt;1,NOT(AND('King Node Model'!$A$8="Pos",OR($AA9='King Node Model'!$T$22,$AA9='King Node Model'!$T$23,$AA9='King Node Model'!$F$24))),IF($AG9="S",COUNTIF('Master Dashboard'!$AN$16:$AN$18,$AA9)=0,IF($AG9="R",COUNTIF('Master Dashboard'!$AN$13:$AN$15,$AA9)=0,FALSE))),1,0),0)</f>
        <v>0</v>
      </c>
      <c r="HY9">
        <f t="shared" ref="HY9:HY55" si="98">IFERROR((ABS(IF($AA9&gt;$BG$28,$AE10,$AE8))-ABS($AE9))/ABS(IF($AA9&gt;$BG$28,$AE10,$AE8)),"")</f>
        <v>-0.15831344470962611</v>
      </c>
      <c r="HZ9">
        <v>0</v>
      </c>
      <c r="IA9">
        <f>IFERROR(IF(AND(IF($BG$44=1,OR(ISNUMBER(SEARCH("Choppy",'King Node Model'!$S$38)),'King Node Model'!$S$52&lt;&gt;"",'King Node Model'!$A$8="Pos"),TRUE()),OR($DC9=1,$DC8=1,$DC10=1),ABS($AA9-$B$4)&lt;=$BG$7,ABS($AA9-$BG$28)&gt;=$BG$45,OR(AND($AA9&gt;$BG$28,$AG9="R"),AND($AA9&lt;$BG$28,$AG9="S",N($BG$154)=1)),ABS(IF($AA9&gt;$BG$28,$AE10,$AE8))&gt;=$BG$43,ABS(N(IF($AA9&gt;$BG$28,$AE8,$AE10)))&lt;=$BG$153*ABS(IF($AA9&gt;$BG$28,$AE10,$AE8)),IF(ISNUMBER($HZ9),$HZ9=1,AND(ISNUMBER($HY9),$HY9&gt;=$BG$42))),1,0),0)</f>
        <v>0</v>
      </c>
      <c r="IB9">
        <f t="shared" ref="IB9:IB55" si="99">IFERROR(IF(OR(AND($AG9="R",ISNUMBER($AC8),ISNUMBER($AC7),$AC8&lt;=(1-$FA$6)*$AC9,$AC8&lt;=(1-$FA$6)*$AC7),AND($AG9="S",ISNUMBER($AC10),ISNUMBER($AC11),$AC10&lt;=(1-$FA$6)*$AC9,$AC10&lt;=(1-$FA$6)*$AC11)),1,0),0)</f>
        <v>0</v>
      </c>
      <c r="IC9" t="str">
        <f>IF(NOT(ISNUMBER($AA9)),"",IFERROR(MID(IF(AND($AC9=MAX($AC$9:$AC$55),$AB9=MIN($AB$9:$AB$55))," · DOM","")&amp;IF(FALSE," · GAP↑ → "&amp;INDEX($AA$9:$AA$55,1-2),"")&amp;IF(FALSE," · GAP↓ → "&amp;INDEX($AA$9:$AA$55,1+2),"")&amp;IF($CZ9=1," · dEdge Cliff","")&amp;IF($GY9=1," · γWall","")&amp;IF(FALSE," · PEAK-","")&amp;IF($GZ9=1," · γSh Edge","")&amp;IF($HL9=1," · Trough","")&amp;IF($HN9=1," · PEAK+","")&amp;IF($GF9=1," · Cluster",""),FIND(" · ",IF(AND($AC9=MAX($AC$9:$AC$55),$AB9=MIN($AB$9:$AB$55))," · DOM","")&amp;IF(FALSE," · GAP↑ → "&amp;INDEX($AA$9:$AA$55,1-2),"")&amp;IF(FALSE," · GAP↓ → "&amp;INDEX($AA$9:$AA$55,1+2),"")&amp;IF($CZ9=1," · dEdge Cliff","")&amp;IF($GY9=1," · γWall","")&amp;IF(FALSE," · PEAK-","")&amp;IF($GZ9=1," · γSh Edge","")&amp;IF($HL9=1," · Trough","")&amp;IF($HN9=1," · PEAK+","")&amp;IF($GF9=1," · Cluster",""),2),999),""))</f>
        <v/>
      </c>
      <c r="ID9" t="str">
        <f>IF(NOT(ISNUMBER($AA9)),"",IFERROR(MID(IF(AND($AC9=MAX($AC$9:$AC$55),$AB9=MIN($AB$9:$AB$55))," · DOM","")&amp;IF(FALSE," · GAP↑ → "&amp;INDEX($AA$9:$AA$55,1-2),"")&amp;IF(FALSE," · GAP↓ → "&amp;INDEX($AA$9:$AA$55,1+2),"")&amp;IF($CZ9=1," · dEdge Cliff","")&amp;IF($GY9=1," · γWall","")&amp;IF(FALSE," · PEAK-","")&amp;IF($GZ9=1," · γSh Edge","")&amp;IF($HL9=1," · Trough","")&amp;IF($HN9=1," · PEAK+","")&amp;IF($GF9=1," · Cluster",""),4,999),""))</f>
        <v/>
      </c>
      <c r="IF9">
        <f t="shared" ref="IF9:IF55" si="100">IFERROR(IF(OR(N($IG9)=1,AND($AG9="S",ISNUMBER($AT9),ISNUMBER($AU9),COUNTIFS($AA$9:$AA$55,"&gt;="&amp;$AT9,$AA$9:$AA$55,"&lt;="&amp;$AU9,$IG$9:$IG$55,1)&gt;0)),1,0),0)</f>
        <v>0</v>
      </c>
      <c r="IG9">
        <f>IFERROR(IF(AND(ISNUMBER($AA9),'King Node Model'!$A$8="Pos",OR($AG9="S",$AG9="R"),$IN9="interior",COUNTIF(IF($AG9="S",'Master Dashboard'!$AN$16:$AN$18,'Master Dashboard'!$AN$13:$AN$15),$AA9)=0,$AA9&lt;&gt;'King Node Model'!$T$22,$AA9&lt;&gt;'King Node Model'!$T$23,$AA9&lt;&gt;'King Node Model'!$F$24),1,0),0)</f>
        <v>0</v>
      </c>
      <c r="IH9">
        <f t="shared" ref="IH9:IH55" si="101">IF(ISNUMBER($IO9),$IO9,IFERROR(IF(AND(ISNUMBER($AA9),ISNUMBER($AC9),$AA9&gt;=$BG$63,$AA9&lt;=$BG$64,$BG$61&gt;0,ABS($AC9)&gt;=$BG$59*$BG$61),1,0),0))</f>
        <v>0</v>
      </c>
      <c r="II9">
        <f>IF(N($IH9)=1,1,0)</f>
        <v>0</v>
      </c>
      <c r="IJ9">
        <f t="shared" ref="IJ9:IJ54" si="102">IF(N($IH9)=1,1+N($IJ10),0)</f>
        <v>0</v>
      </c>
      <c r="IK9">
        <f t="shared" ref="IK9:IK55" si="103">IF(ISNUMBER($IP9),$IP9,IFERROR(IF(AND(ISNUMBER($AA9),ISNUMBER($AF9),$AA9&gt;=$BG$63,$AA9&lt;=$BG$64,$BG$62&gt;0,ABS($AF9)&gt;=$BG$59*$BG$62),1,0),0))</f>
        <v>0</v>
      </c>
      <c r="IL9">
        <f>IF(N($IK9)=1,1,0)</f>
        <v>0</v>
      </c>
      <c r="IM9">
        <f t="shared" ref="IM9:IM54" si="104">IF(N($IK9)=1,1+N($IM10),0)</f>
        <v>0</v>
      </c>
      <c r="IN9" t="str">
        <f t="shared" ref="IN9:IN55" si="105">IF(OR(AND(N($IH9)=1,N($II9)&gt;=2,N($IJ9)&gt;=2,N($II9)+N($IJ9)-1&gt;=$BG$60),AND(N($IK9)=1,N($IL9)&gt;=2,N($IM9)&gt;=2,N($IL9)+N($IM9)-1&gt;=$BG$60)),"interior",IF(OR(AND(N($IH9)=1,N($II9)+N($IJ9)-1&gt;=$BG$60),AND(N($IK9)=1,N($IL9)+N($IM9)-1&gt;=$BG$60)),"edge",""))</f>
        <v/>
      </c>
      <c r="IO9">
        <v>0</v>
      </c>
      <c r="IP9">
        <v>0</v>
      </c>
      <c r="IQ9">
        <f>IFERROR(IF($AG9="S",IF(OR(COUNTIF($W$9:$W$14,$AA9)&gt;0,COUNTIF('King Node Model'!$AL$42:'King Node Model'!$AL$43,$AA9)&gt;0),1,0),IF($AG9="R",IF(OR(COUNTIF($W$18:$W$23,$AA9)&gt;0,COUNTIF('King Node Model'!$AL$49:'King Node Model'!$AL$50,$AA9)&gt;0),1,0),0)),0)</f>
        <v>0</v>
      </c>
      <c r="IR9">
        <f>IFERROR(IF(AND(ISNUMBER($W9),OR('King Node Model'!$A$8&lt;&gt;"Pos",N($BG$72)=1,IFERROR(INDEX($AM$9:$AM$55,MATCH($W9,$AA$9:$AA$55,0)),0)&gt;=$BG$20),COUNTIF('King Node Model'!$AL$42:'King Node Model'!$AL$43,$W9)=0),ABS($W9-$B$4),""),"")</f>
        <v>24.609999999999673</v>
      </c>
      <c r="IS9">
        <f>IF(AND(ISNUMBER($AA9),N($AN9)&lt;&gt;1,N($LR9)&lt;&gt;1,OR(N($EN9)&lt;&gt;1,AND('King Node Model'!$A$8&lt;&gt;"Neg",N($BG$72)&lt;&gt;1)),$AA9&lt;&gt;'King Node Model'!$T$22,$AA9&lt;&gt;'King Node Model'!$T$23,$AA9&lt;&gt;'King Node Model'!$F$24,NOT(AND($AG9="S",COUNTIF('Master Dashboard'!$AN$16:$AN$18,$AA9)&gt;0)),NOT(AND($AG9="R",COUNTIF('Master Dashboard'!$AN$13:$AN$15,$AA9)&gt;0)),NOT(AND('King Node Model'!$A$8&lt;&gt;"Neg",N($BG$72)&lt;&gt;1,COUNTIF('Master Dashboard'!$AN$13:$AN$18,$AA9)&gt;0))),1,0)</f>
        <v>1</v>
      </c>
      <c r="IT9">
        <v>0</v>
      </c>
      <c r="IU9">
        <f>IF(AND(ISNUMBER($AA9),$AA9='King Node Model'!$F$24,$AA9&gt;$GJ$3,N($AD9)&lt;0,$F$4="High"),1,0)</f>
        <v>0</v>
      </c>
      <c r="IV9" t="str">
        <f>""</f>
        <v/>
      </c>
      <c r="IW9">
        <f>IFERROR(IF(AND(ISNUMBER($AA9),NOT(AND(N($LR9)=1,N($MB9)=1)),$AG9="S",OR('King Node Model'!$A$8="Neg",N($BG$72)=1),$JV9="SELL",ABS(N($AD9))&gt;=$BG$94,NOT(AND(N($AD9)&gt;0,N($BG$78)=1,MEDIAN($AA9-$BG$82,$B$4,$AA9+$BG$83)=$B$4))),1,0),0)</f>
        <v>0</v>
      </c>
      <c r="IX9">
        <f>IFERROR(IF(AND(ISNUMBER($AA9),$AG9="S",OR('King Node Model'!$A$8="Neg",N($BG$72)=1),N($AD9)&gt;0,N($BG$78)=1,MEDIAN($AA9-$BG$82,$B$4,$AA9+$BG$83)=$B$4),1,0),0)</f>
        <v>0</v>
      </c>
      <c r="IY9" t="str">
        <f t="shared" ref="IY9:IY55" si="106">IF(N($AD9)&gt;0,IF(IF($BG$80&lt;&gt;"",UPPER($BG$80),$D$5)="UP","SELL",IF(IF($BG$80&lt;&gt;"",UPPER($BG$80),$D$5)="DOWN","BUY","-")),IF(N($AD9)&lt;0,IF(IF($BG$80&lt;&gt;"",UPPER($BG$80),$D$5)="UP","BUY",IF(IF($BG$80&lt;&gt;"",UPPER($BG$80),$D$5)="DOWN","SELL","-")),"-"))</f>
        <v>SELL</v>
      </c>
      <c r="IZ9">
        <f>IFERROR(IF(AND(ISNUMBER($AA9),$FA9&lt;&gt;"DOM",$AA9&lt;&gt;'King Node Model'!$F$24,OR(AND($AG9="S",COUNTIF('Master Dashboard'!$AN$16:$AN$18,$AA9)=0,N(INDEX($AE$9:$AE$55,MATCH($AA9+$BG$84,$AA$9:$AA$55,0)))&lt;=-$BG$85),AND($AG9="R",COUNTIF('Master Dashboard'!$AN$13:$AN$15,$AA9)=0,N(INDEX($AE$9:$AE$55,MATCH($AA9-$BG$84,$AA$9:$AA$55,0)))&gt;=$BG$85))),1,0),0)</f>
        <v>0</v>
      </c>
      <c r="JA9" t="str">
        <f t="shared" ref="JA9:JA14" si="107">IF(AND(ISNUMBER($IR9),IFERROR(INDEX($HP$9:$HP$55,MATCH($W9,$AA$9:$AA$55,0)),1)=0),$IR9,"")</f>
        <v/>
      </c>
      <c r="JC9">
        <f t="shared" ref="JC9:JC55" si="108">IF(AND(ISNUMBER($AA9),$AG9="S",$FA9="DOM",$JV9="BUY",ABS(N($AD9))&gt;=$BG$92),1,0)</f>
        <v>0</v>
      </c>
      <c r="JD9" t="str">
        <f>IFERROR(IF(NOT(ISNUMBER($AA9)),"",IF(AND(N($JE9)&gt;=$BG$89,N($JE9)&gt;=$BG$151*N($JF9),N($JG9)&gt;=$BG$90*MEDIAN($JG10,$JG11)),"P",IF(AND(N($JF9)&gt;=$BG$89,N($JF9)&gt;=$BG$151*N($JE9),N($JH9)&gt;=$BG$90*MEDIAN($JH10,$JH11)),"C",""))),"")</f>
        <v/>
      </c>
      <c r="JE9">
        <f>IF(ISNUMBER($AA9),N(IFERROR(INDEX('King Node Model'!$L$29:$L$75,MATCH($AA9,'King Node Model'!$A$29:$A$75,0)),0)),"")</f>
        <v>10</v>
      </c>
      <c r="JF9">
        <f>IF(ISNUMBER($AA9),N(IFERROR(INDEX('King Node Model'!$K$29:$K$75,MATCH($AA9,'King Node Model'!$A$29:$A$75,0)),0)),"")</f>
        <v>1459</v>
      </c>
      <c r="JG9">
        <f t="shared" ref="JG9:JG55" si="109">IF(ISNUMBER($JE9),$JE9/IF(N($JF9)&lt;1,1,$JF9),"")</f>
        <v>6.8540095956134339E-3</v>
      </c>
      <c r="JH9">
        <f t="shared" ref="JH9:JH55" si="110">IF(ISNUMBER($JF9),$JF9/IF(N($JE9)&lt;1,1,$JE9),"")</f>
        <v>145.9</v>
      </c>
      <c r="JI9">
        <f t="shared" ref="JI9:JI55" si="111">IF(AND(ISNUMBER($AA9),N($EU9)&lt;&gt;1,OR('King Node Model'!$A$8="Neg",N($BG$72)=1),N($AN9)=1,N($JK9)&lt;&gt;1,N($IW9)&lt;&gt;1,IF(ISNUMBER($JR9),N($JR9)=1,AND(OR(AND($AG9="R",$JV9="SELL"),AND($AG9="S",$JV9="BUY")),ABS(N($AD9))&gt;=$BG$94,OR(AND($AG9="R",N($AE9)&lt;=-$BG$100),AND($AG9="R",N($JZ9)=1,N($AE9)&gt;=$BG$100),AND($AG9="S",N($AE9)&gt;=$BG$100))))),1,0)</f>
        <v>0</v>
      </c>
      <c r="JJ9" t="str">
        <f t="shared" ref="JJ9:JJ55" si="112">IF(OR(NOT(ISNUMBER($AA9)),$ID9&lt;&gt;""),"",IF(AND(ISNUMBER($AC8),ISNUMBER($AC10),ISNUMBER($AC9)),IF(AND($AC9&lt;$AC8,$AC9&lt;$AC10),"Hollow",IF(AND($AC9&gt;$AC8,$AC9&gt;$AC10),"Crest","Ramp")),"Ramp"))</f>
        <v>Ramp</v>
      </c>
      <c r="JK9">
        <f t="shared" ref="JK9:JK55" si="113">IF(AND(ISNUMBER($AA9),$AG9="R",OR('King Node Model'!$A$8="Neg",N($BG$72)=1),$JV9="BUY",ABS(N($AD9))&gt;=$BG$94),1,0)</f>
        <v>1</v>
      </c>
      <c r="JL9">
        <f t="shared" ref="JL9:JL55" si="114">IF(AND(ISNUMBER($AA9),OR('King Node Model'!$A$8="Neg",N($BG$72)=1),$FA9="DOM",N($GY9)=1,NOT(AND(OR(AND($AG9="R",$JV9="SELL"),AND($AG9="S",$JV9="BUY")),ABS(N($AD9))&gt;=$BG$92)),NOT(AND(OR(AND($AG9="R",$JV9="BUY"),AND($AG9="S",$JV9="SELL")),ABS(N($AD9))&gt;=$BG$91))),1,0)</f>
        <v>0</v>
      </c>
      <c r="JM9">
        <f t="shared" ref="JM9:JM55" si="115">IFERROR(IF(AND(ISNUMBER($AA9),OR('King Node Model'!$A$8="Neg",N($BG$72)=1),$FA9&lt;&gt;"DOM",ABS($AA9-INDEX($AA$9:$AA$55,MATCH("DOM",$FA$9:$FA$55,0)))&lt;=$BG$93,($AA9-$B$4)*(INDEX($AA$9:$AA$55,MATCH("DOM",$FA$9:$FA$55,0))-$AA9)&gt;0),1,0),0)</f>
        <v>0</v>
      </c>
      <c r="JN9">
        <f t="shared" ref="JN9:JN55" si="116">IF(AND(ISNUMBER($AA9),$AA9='King Node Model'!$F$24,OR(N($JK9)=1,N($IW9)=1,AND($AG9="R",OR('King Node Model'!$A$8="Neg",N($BG$72)=1),N($BG$99)=1))),1,0)</f>
        <v>0</v>
      </c>
      <c r="JO9">
        <f t="shared" ref="JO9:JO55" si="117">IF(AND(ISNUMBER($AA9),N($EU9)&lt;&gt;1,N($AN9)=1,OR(AND($AG9="S",$JD9="C"),AND($AG9="R",OR($JD9="P",$JD9="C")))),1,0)</f>
        <v>0</v>
      </c>
      <c r="JP9">
        <f t="shared" ref="JP9:JP55" si="118">IF(AND(N($JO9)=1,NOT(AND('King Node Model'!$A$8="Pos",N($BG$72)&lt;&gt;1,N($AJ9)=1)),NOT(AND(ISNUMBER($AF9),N($AF9)&lt;&gt;0,IF($KC9="UP",SIGN($AF9),IF($KC9="DOWN",-SIGN($AF9),0))=1))),1,0)</f>
        <v>0</v>
      </c>
      <c r="JQ9">
        <f t="shared" ref="JQ9:JQ55" si="119">IF(AND(N($JO9)=1,NOT(AND('King Node Model'!$A$8="Pos",N($BG$72)&lt;&gt;1,N($AJ9)=1)),ISNUMBER($AE9),OR(AND($AG9="S",$AE9&lt;$BG$95),AND($AG9="R",$AE9&gt;-$BG$95))),1,0)</f>
        <v>0</v>
      </c>
      <c r="JR9">
        <v>0</v>
      </c>
      <c r="JS9">
        <f>IFERROR(IF(AND(ISNUMBER($AA9),'King Node Model'!$A$8="Pos",OR($AG9="S",$AG9="R"),N($AB9)&gt;0,N($HP9)&lt;&gt;1,OR(AND($KC9="DOWN",N($AF9)&lt;0,N($AF9)=MIN($AF$9:$AF$55),-N($AF9)&gt;=MAX($AF$9:$AF$55)),AND($KC9="UP",N($AF9)&gt;0,N($AF9)=MAX($AF$9:$AF$55),N($AF9)&gt;=-MIN($AF$9:$AF$55)))),1,0),0)</f>
        <v>0</v>
      </c>
      <c r="JT9">
        <v>0</v>
      </c>
      <c r="JU9">
        <f>IFERROR(IF(AND(N($BG$109)=1,ISNUMBER($AA9),'King Node Model'!$A$8="Pos",N($CZ9)=1,N($AB9)&gt;0),1,0),0)</f>
        <v>0</v>
      </c>
      <c r="JV9" t="str">
        <f t="shared" ref="JV9:JV55" si="120">IF(AND(ISNUMBER($AA9),N($BG$78)&lt;&gt;1,OR($AG9="R",$AG9="S"),N($AD9)&lt;&gt;0,SIGN(ABS($AA9-$B$4)-$BG$98)=1,NOT(AND($AG9="R",N($BG$99)=1))),IF($AG9="R",IF(N($AD9)&gt;0,"BUY","SELL"),IF(N($AD9)&gt;0,"SELL","BUY")),$IY9)</f>
        <v>BUY</v>
      </c>
      <c r="JW9">
        <f t="shared" ref="JW9:JW55" si="121">IF(AND(ISNUMBER($AF9),N($AL9)=1,SIGN($AF9)*IF($KC9="UP",1,IF($KC9="DOWN",-1,0))=1),1,0)</f>
        <v>0</v>
      </c>
      <c r="JX9">
        <f t="shared" ref="JX9:JX55" si="122">IF(AND(OR(N($BE9)=1,N($GP9)=1),ISNUMBER($AF9),SIGN($AF9)*IF($KC9="UP",1,IF($KC9="DOWN",-1,0))=1),1,0)</f>
        <v>0</v>
      </c>
      <c r="JY9">
        <f t="shared" ref="JY9:JY55" si="123">IF(AND(ISNUMBER($AA9),NOT(AND(N($LR9)=1,N($MB9)=1)),OR('King Node Model'!$A$8="Neg",N($BG$72)=1),SIGN(ABS($AA9-$B$4)-$BG$98)&lt;1,NOT(OR(IF($BG$80&lt;&gt;"",UPPER($BG$80),UPPER($D$5))="UP",IF($BG$80&lt;&gt;"",UPPER($BG$80),UPPER($D$5))="DOWN"))),1,0)</f>
        <v>0</v>
      </c>
      <c r="JZ9">
        <f t="shared" ref="JZ9:JZ55" si="124">IF(AND(ISNUMBER($AA9),OR('King Node Model'!$A$8="Neg",N($BG$72)=1),$AG9="R",N($AB9)&gt;0,COUNTIF($AB$9:$AB$55,"&gt;"&amp;N($AB9))&lt;$BG$102,N($JF9)&gt;=$BG$103,N($JF9)&gt;N($JE9)),1,0)</f>
        <v>0</v>
      </c>
      <c r="KA9">
        <f t="shared" ref="KA9:KA55" si="125">IF(AND(ISNUMBER($AA9),OR('King Node Model'!$A$8="Neg",N($BG$72)=1),$AG9="R",N($AB9)&lt;0,SUMPRODUCT(--($JZ$9:$JZ$55=1),--ISNUMBER($AA$9:$AA$55),--($AA$9:$AA$55&gt;$AA9),--($AA$9:$AA$55&lt;=$AA9+$BG$104))&gt;0),SUMPRODUCT(--($JZ$9:$JZ$55=1),--ISNUMBER($AA$9:$AA$55),--($AA$9:$AA$55&gt;$AA9),--($AA$9:$AA$55&lt;=$AA9+$BG$104),$AA$9:$AA$55)/SUMPRODUCT(--($JZ$9:$JZ$55=1),--ISNUMBER($AA$9:$AA$55),--($AA$9:$AA$55&gt;$AA9),--($AA$9:$AA$55&lt;=$AA9+$BG$104)),0)</f>
        <v>0</v>
      </c>
      <c r="KB9">
        <f t="shared" ref="KB9:KB55" si="126">IF(N($JZ9)=1,IFERROR(SUMPRODUCT(--($KA$9:$KA$55=$AA9),--ISNUMBER($AA$9:$AA$55),$AA$9:$AA$55)/SUMPRODUCT(--($KA$9:$KA$55=$AA9),--ISNUMBER($AA$9:$AA$55)),0),0)</f>
        <v>0</v>
      </c>
      <c r="KC9" t="str">
        <f t="shared" ref="KC9:KC55" si="127">IF(AND(ISNUMBER($AA9),OR('King Node Model'!$A$8="Neg",N($BG$72)=1),SIGN(ABS($AA9-$B$4)-$BG$98)=1,ISNUMBER($BG$105),$AA9=$BG$105),"UP",IF(AND(ISNUMBER($AA9),OR('King Node Model'!$A$8="Neg",N($BG$72)=1),SIGN(ABS($AA9-$B$4)-$BG$98)=1,ISNUMBER($BG$87),$AA9=$BG$87),"DOWN",IF(AND(ISNUMBER($AA9),OR($AG9="R",$AG9="S"),SIGN(ABS($AA9-$B$4)-$BG$98)=1,NOT(AND($AG9="R",N($BG$99)=1))),IF($AG9="R","DOWN","UP"),IF($BG$80&lt;&gt;"",UPPER($BG$80),UPPER($D$5)))))</f>
        <v>DOWN</v>
      </c>
      <c r="KE9" t="str">
        <f t="shared" ref="KE9:KE55" si="128">IF(OR(NOT(ISNUMBER($AA9)),N($AF9)=0),"","Now: "&amp;IF(IF($BG$80&lt;&gt;"",UPPER($BG$80),UPPER($D$5))="UP",IF($AF9&gt;0,"strengthening","weakening")&amp;" the "&amp;IF($AG9="R","ceiling","floor")&amp;" (IV rising)",IF(IF($BG$80&lt;&gt;"",UPPER($BG$80),UPPER($D$5))="DOWN",IF($AF9&gt;0,"weakening","strengthening")&amp;" the "&amp;IF($AG9="R","ceiling","floor")&amp;" (IV falling)","no change (IV flat)"))&amp;" · if IV "&amp;IF(IF($BG$80&lt;&gt;"",UPPER($BG$80),UPPER($D$5))="UP","falls","rises")&amp;": "&amp;IF(IF($BG$80&lt;&gt;"",UPPER($BG$80),UPPER($D$5))="UP",IF("DOWN"="UP",IF($AF9&gt;0,"strengthens","weakens"),IF("DOWN"="DOWN",IF($AF9&gt;0,"weakens","strengthens"),"no change")),IF("UP"="UP",IF($AF9&gt;0,"strengthens","weakens"),IF("UP"="DOWN",IF($AF9&gt;0,"weakens","strengthens"),"no change")))&amp;" the "&amp;IF($AG9="R","ceiling","floor")&amp;" · expected on arrival: "&amp;IF($KC9="UP",IF($AF9&gt;0,"STRENGTHENS","WEAKENS"),IF($KC9="DOWN",IF($AF9&gt;0,"WEAKENS","STRENGTHENS"),"FLAT"))&amp;IF(IF($KC9="UP",IF($AF9&gt;0,"STRENGTHENS","WEAKENS"),IF($KC9="DOWN",IF($AF9&gt;0,"WEAKENS","STRENGTHENS"),"FLAT"))="STRENGTHENS"," ✓",IF(IF($KC9="UP",IF($AF9&gt;0,"STRENGTHENS","WEAKENS"),IF($KC9="DOWN",IF($AF9&gt;0,"WEAKENS","STRENGTHENS"),"FLAT"))="WEAKENS"," ✗","")))</f>
        <v>Now: strengthening the ceiling (IV rising) · if IV falls: weakens the ceiling · expected on arrival: WEAKENS ✗</v>
      </c>
      <c r="KF9" t="str">
        <f t="shared" ref="KF9:KF55" si="129">IF(AND(ISNUMBER($AA9),N($BG$78)&lt;&gt;1,OR($AG9="R",$AG9="S"),N($AD9)&lt;&gt;0,SIGN(ABS($AA9-$B$4)-$BG$98)=1,NOT(AND($AG9="R",N($BG$99)=1))),IF($AG9="R",IF(N($AD9)&gt;0,"BUY","SELL"),IF(N($AD9)&gt;0,"SELL","BUY")),$IY9)</f>
        <v>BUY</v>
      </c>
      <c r="KG9">
        <v>0</v>
      </c>
      <c r="KH9" t="str">
        <f t="shared" ref="KH9:KH55" si="130">IF(OR(NOT(ISNUMBER($AA9)),N($HP9)=1),"",IF(AND(N($KM9)=1,N($KK9)=0),"WZDOM",IF(N($JI9)=1,"VLATCH",IF(N($JS9)=1,"ZOMSAFE",IF(N($JC9)=1,"DOMBUY",IF(N($JO9)=1,"OIRULE",IF(AND(N($GV9)=1,N($JK9)&lt;&gt;1,N($IW9)&lt;&gt;1),"VOLBOUNCE",IF(AND($AA9='King Node Model'!$F$24,N($JN9)&lt;&gt;1),"MINVEX",IF(N($JZ9)=1,"CALLWALL",IF(AND(OR('King Node Model'!$A$8&lt;&gt;"Pos",N($BG$72)=1),N($HM9)=1),"TROUGHNEG",IF(N($KX9)=1,"DEXLEANWALL",IF(N($KZ9)=1,"DEXPOSSAFE",""))))))))))))</f>
        <v/>
      </c>
      <c r="KI9" t="str">
        <f t="shared" ref="KI9:KI55" si="131">IF(AND(N($KM9)=1,N($KK9)=0),TRIM(SUBSTITUTE(" "&amp;$HQ9&amp;" "," DATAGAP "," ")),IF(N($JI9)&lt;&gt;1,"",TRIM(IF(ISNUMBER(SEARCH(" AMPLIFY "," "&amp;$HQ9&amp;" ")),"AMPLIFY ","")&amp;IF(ISNUMBER(SEARCH(" HIGHIVFALL "," "&amp;$HQ9&amp;" ")),"HIGHIVFALL ","")&amp;IF(ISNUMBER(SEARCH(" LOWIVFALL "," "&amp;$HQ9&amp;" ")),"LOWIVFALL ","")&amp;IF(ISNUMBER(SEARCH(" CHOPEDGEIV "," "&amp;$HQ9&amp;" ")),"CHOPEDGEIV ","")&amp;IF(ISNUMBER(SEARCH(" TROUGH "," "&amp;$HQ9&amp;" ")),"TROUGH ","")&amp;IF(ISNUMBER(SEARCH(" SANDWICH "," "&amp;$HQ9&amp;" ")),"SANDWICH ","")&amp;IF(ISNUMBER(SEARCH(" BUMP "," "&amp;$HQ9&amp;" ")),"BUMP ","")&amp;IF(ISNUMBER(SEARCH(" EDGE "," "&amp;$HQ9&amp;" ")),"EDGE ","")&amp;IF(ISNUMBER(SEARCH(" ZACCEL "," "&amp;$HQ9&amp;" ")),"ZACCEL ","")&amp;IF(AND($AG9="R",UPPER('King Node Model'!$L$5)="HIGH",$KC9="DOWN",N($AF9)&gt;0,NOT(ISNUMBER(SEARCH(" HIGHIVFALL "," "&amp;$HQ9&amp;" ")))),"HIGHIVFALL ",""))))</f>
        <v/>
      </c>
      <c r="KJ9">
        <f t="shared" ref="KJ9:KJ55" si="132">IF(NOT(ISNUMBER($AA9)),0,IF(OR(AND(N($JE9)=0,N($JF9)=0),AND(SIGN(ABS($AA9-$B$4)-$BG$106)&lt;1,(N($JE9)=0)&lt;&gt;(N($JF9)=0))),1,0))</f>
        <v>0</v>
      </c>
      <c r="KK9">
        <f t="shared" ref="KK9:KK55" si="133">IF(NOT(ISNUMBER($AA9)),0,IF(N($KJ8)+N($KJ9)+N($KJ10)&gt;0,1,0))</f>
        <v>0</v>
      </c>
      <c r="KL9">
        <f t="shared" ref="KL9:KL55" si="134">IF(NOT(ISNUMBER($AA9)),0,IF(N($KJ7)+N($KJ8)+N($KJ9)+N($KJ10)+N($KJ11)&gt;0,1,0))</f>
        <v>0</v>
      </c>
      <c r="KM9">
        <f t="shared" ref="KM9:KM55" si="135">IF(N($MY9)=1,0,N($NG9))</f>
        <v>0</v>
      </c>
      <c r="KN9">
        <f t="shared" ref="KN9:KN55" si="136">IF(AND(ISNUMBER($AA9),'King Node Model'!$A$8="Pos",N($BG$72)&lt;&gt;1,OR($AG9="R",$AG9="S"),N($AN9)=1,N($KG9)=1,N($KK9)=0,NOT(OR(AND($AG9="R",$JV9="SELL"),AND($AG9="S",$JV9="BUY")))),1,0)</f>
        <v>0</v>
      </c>
      <c r="KO9">
        <v>0</v>
      </c>
      <c r="KP9">
        <f t="shared" ref="KP9:KP55" si="137">IF(ISNUMBER($KO9),IF(AND(N($KO9)=1,'King Node Model'!$A$8="Pos",N($BG$72)&lt;&gt;1,N($KK9)=0),1,0),$KN9)</f>
        <v>0</v>
      </c>
      <c r="KQ9">
        <f t="shared" ref="KQ9:KQ55" si="138">IF(AND(ISNUMBER($AA9),N($KG9)=1,NOT(OR(N($KY9)=1,AND(N($AJ9)=1,ABS($AA9-$B$4)&lt;=60,OR($AH9&lt;=$BG$36,'King Node Model'!$A$8="Neg",N($BG$72)=1)),AND(N($CZ9)=1,OR($AH9&lt;=$BG$49,'King Node Model'!$A$8="Neg",N($BG$72)=1)),N($DS9)=1,AND(N($AV9)=1,OR('King Node Model'!$A$8="Neg",N($BG$72)=1))))),1,0)</f>
        <v>0</v>
      </c>
      <c r="KR9">
        <f t="shared" ref="KR9:KR55" si="139">IF(AND(N($KP9)=1,N($KQ9)=1),1,0)</f>
        <v>0</v>
      </c>
      <c r="KS9">
        <f t="shared" ref="KS9:KS55" si="140">IF(AND(N($KP9)=1,N($KQ9)&lt;&gt;1,N($HP9)=1),1,0)</f>
        <v>0</v>
      </c>
      <c r="KT9">
        <f t="shared" ref="KT9:KT55" si="141">IF(AND(N($JT9)=1,ABS(N($AE9))&lt;$BG$108),1,0)</f>
        <v>0</v>
      </c>
      <c r="KU9">
        <f>IF(AND(ISNUMBER($AA9),ISNUMBER($AE9),ISNUMBER($AE8),N($AE9)&lt;&gt;0),($AE9-$AE8)/$AE9,"")</f>
      </c>
      <c r="KV9">
        <f>IF(AND(ISNUMBER($AA9),ISNUMBER($AE9),ISNUMBER($AE10),N($AE9)&lt;&gt;0),($AE9-$AE10)/$AE9,"")</f>
      </c>
      <c r="KW9">
        <f>IFERROR(IF(OR(NOT(ISNUMBER($AA9)),'King Node Model'!$A$8&lt;&gt;"Pos",N($BG$72)=1,ABS(N($AE9))&lt;$BG$113,$FA9="DOM",$AA9='King Node Model'!$T$23,AND(N($BG$116)=1,$AA9='King Node Model'!$F$24),NOT(ISNUMBER($KU9)),NOT(ISNUMBER($KV9))),0,IF(AND($AG9="S",COUNTIF('Master Dashboard'!$AN$16:$AN$18,$AA9)=0,$KU9&gt;=$BG$114,$KU9&gt;=$KV9+$BG$115),1,IF(AND($AG9="R",COUNTIF('Master Dashboard'!$AN$13:$AN$15,$AA9)=0,$KV9&gt;=$BG$114,$KV9&gt;=$KU9+$BG$115),-1,0))),0)</f>
        <v>0</v>
      </c>
      <c r="KX9">
        <f t="shared" ref="KX9:KX55" si="144">IF(OR(AND(N($KW9)=1,N($AN10)=1,N($KV9)&lt;0),AND(N($KW9)=-1,N($AN8)=1,N($KU9)&lt;0)),1,0)</f>
        <v>0</v>
      </c>
      <c r="KY9">
        <f t="shared" ref="KY9:KY55" si="145">IF(NOT(ISNUMBER($AA9)),0,IF(OR(AND($AG9="S",$AA9=$BG$119),AND($AG9="R",$AA9=$BG$118),AND(N($BG$127)=1,'King Node Model'!$A$8="Pos",N($BG$72)&lt;&gt;1,OR(AND($AG9="S",N($AZ9)&lt;0,ISNUMBER($BG$125),$AA9=$BG$125),AND($AG9="S",N($AZ9)&lt;0,ISNUMBER($BG$126),$AA9=$BG$126),AND($AG9="R",N($AZ9)&gt;0,ISNUMBER($BG$123),$AA9=$BG$123),AND($AG9="R",N($AZ9)&gt;0,ISNUMBER($BG$124),$AA9=$BG$124)))),1,0))</f>
        <v>0</v>
      </c>
      <c r="KZ9">
        <f t="shared" ref="KZ9:KZ55" si="146">IF(AND(N($KW9)=1,N($KX9)&lt;&gt;1,N($AE9)&gt;0),1,0)</f>
        <v>0</v>
      </c>
      <c r="LA9">
        <f t="shared" ref="LA9:LA55" si="147">IF(AND(ISNUMBER($AF9),N($AL9)=1,SIGN($AF9)*IF(IF($BG$80&lt;&gt;"",UPPER($BG$80),UPPER($D$5))="UP",1,IF(IF($BG$80&lt;&gt;"",UPPER($BG$80),UPPER($D$5))="DOWN",-1,0))=1),1,0)</f>
        <v>0</v>
      </c>
      <c r="LB9">
        <f t="shared" ref="LB9:LB55" si="148">IF(AND(ISNUMBER($AA9),SUMPRODUCT(($AG$9:$AG$55="R")*ISNUMBER($AT$9:$AT$55)*ISNUMBER($AU$9:$AU$55)*($AT$9:$AT$55&lt;&gt;$AU$9:$AU$55)*($AT$9:$AT$55&lt;=$AA9)*($AU$9:$AU$55&gt;=$AA9))&gt;0),1,0)</f>
        <v>0</v>
      </c>
      <c r="LC9">
        <f t="shared" ref="LC9:LC55" si="149">IF(AND(ISNUMBER($AA9),N($CT$26)=1,ABS($AA9-$B$4)&lt;=$BG$9,OR($AG9="S",AND($AG9="R",$AA9='King Node Model'!$B$23,$B$4&gt;=$AA9,'King Node Model'!$A$8="Pos",N($BG$72)&lt;&gt;1))),1,0)</f>
        <v>0</v>
      </c>
      <c r="LD9">
        <f t="shared" ref="LD9:LD55" si="150">IF(AND(ISNUMBER($AA9),'King Node Model'!$A$8="Pos",N($BG$72)&lt;&gt;1,$AG9="S",$AA9='King Node Model'!$B$23,$AA9&lt;&gt;'King Node Model'!$T$22,$AA9&lt;&gt;'King Node Model'!$T$23,N($LC9)&lt;&gt;1),1,0)</f>
        <v>0</v>
      </c>
      <c r="LE9">
        <f t="shared" ref="LE9:LE55" si="151">IF(AND(ISNUMBER($AA9),'King Node Model'!$A$8="Pos",N($BG$72)&lt;&gt;1,$AG9="R",$AA9='King Node Model'!$B$23,$AA9&lt;&gt;'King Node Model'!$T$22,$AA9&lt;&gt;'King Node Model'!$T$23,ISNUMBER(SEARCH("resistance leaks",'King Node Model'!$AB$17)),N($LC9)&lt;&gt;1),1,0)</f>
        <v>0</v>
      </c>
      <c r="LF9">
        <f t="shared" ref="LF9:LF55" si="152">IF(AND(N($KY9)=1,NOT(OR(AND($AG9="S",$AA9=$BG$119),AND($AG9="R",$AA9=$BG$118)))),1,0)</f>
        <v>0</v>
      </c>
      <c r="LG9" t="str">
        <f t="shared" ref="LG9:LG55" si="153">$LH9&amp;$LI9&amp;$LJ9</f>
        <v/>
      </c>
      <c r="LH9" t="str">
        <f t="shared" ref="LH9:LH55" si="154">IF(NOT(ISNUMBER($AA9)),"",IF(AND(N($BG$129)&lt;&gt;0,ISNUMBER($BG$118),ABS($AA9-$BG$118)&gt;0,ABS($AA9-$BG$118)&lt;=$BG$136,N($AZ9)/$BG$129&gt;=1-$BG$128,N($AZ9)/$BG$129&lt;=1)," ≈S↑"&amp;TEXT(1-N($AZ9)/$BG$129,"0%"),"")&amp;IF(AND(N($BG$130)&lt;&gt;0,ISNUMBER($BG$119),ABS($AA9-$BG$119)&gt;0,ABS($AA9-$BG$119)&lt;=$BG$136,N($AZ9)/$BG$130&gt;=1-$BG$128,N($AZ9)/$BG$130&lt;=1)," ≈S↓"&amp;TEXT(1-N($AZ9)/$BG$130,"0%"),""))</f>
        <v/>
      </c>
      <c r="LI9" t="str">
        <f t="shared" ref="LI9:LI55" si="155">IF(NOT(ISNUMBER($AA9)),"",IF(AND(N($BG$131)&lt;&gt;0,ISNUMBER($BG$122),ABS($AA9-$BG$122)&gt;0,ABS($AA9-$BG$122)&lt;=$BG$136,ABS(N($AD9))&gt;=$BG$135,N($AD9)/$BG$131&gt;=1-$BG$128,N($AD9)/$BG$131&lt;=1)," ≈⫪"&amp;TEXT(1-N($AD9)/$BG$131,"0%"),"")&amp;IF(AND(N($BG$132)&lt;&gt;0,ISNUMBER('King Node Model'!$F$24),ABS($AA9-'King Node Model'!$F$24)&gt;0,ABS($AA9-'King Node Model'!$F$24)&lt;=$BG$136,ABS(N($AD9))&gt;=$BG$135,N($AD9)/$BG$132&gt;=1-$BG$128,N($AD9)/$BG$132&lt;=1)," ≈⟂"&amp;TEXT(1-N($AD9)/$BG$132,"0%"),""))</f>
        <v/>
      </c>
      <c r="LJ9" t="str">
        <f t="shared" ref="LJ9:LJ55" si="156">IF(NOT(ISNUMBER($AA9)),"",IF(AND(N($BG$133)&lt;&gt;0,ISNUMBER($BG$105),ABS($AA9-$BG$105)&gt;0,ABS($AA9-$BG$105)&lt;=$BG$136,N($AF9)/$BG$133&gt;=1-$BG$128,N($AF9)/$BG$133&lt;=1)," ≈ζ"&amp;TEXT(1-N($AF9)/$BG$133,"0%"),"")&amp;IF(AND(N($BG$134)&lt;&gt;0,ISNUMBER($BG$87),ABS($AA9-$BG$87)&gt;0,ABS($AA9-$BG$87)&lt;=$BG$136,N($AF9)/$BG$134&gt;=1-$BG$128,N($AF9)/$BG$134&lt;=1)," ≈ζ"&amp;TEXT(1-N($AF9)/$BG$134,"0%"),""))</f>
        <v/>
      </c>
      <c r="LK9" t="str">
        <f t="shared" ref="LK9:LK55" si="157">IF(N($KY9)&lt;&gt;1,"",IF(N($LF9)=1,"Spd★(held) ","Spd★ "))</f>
        <v/>
      </c>
      <c r="LL9">
        <f t="shared" ref="LL9:LL55" si="158">IF($LG9="",0,MAX(IF(ISNUMBER(SEARCH("S↑",$LH9)),$BG$137,0),IF(ISNUMBER(SEARCH("S↓",$LH9)),$BG$138,0),IF(ISNUMBER(SEARCH("⫪",$LI9)),$BG$139,0),IF(ISNUMBER(SEARCH("⟂",$LI9)),$BG$140,0)))</f>
        <v>0</v>
      </c>
      <c r="LM9">
        <f t="shared" ref="LM9:LM55" si="159">IF(AND(OR('King Node Model'!$A$8="Neg",N($BG$72)=1),ISNUMBER($BG$149),$AA9=$BG$149,N($NC9)=1),2,IF(AND(OR('King Node Model'!$A$8="Neg",N($BG$72)=1),ISNUMBER($BG$150),$AA9=$BG$150,N($ND9)=1),1,IF(N($MP9)&gt;0,$MP9,IF(N($MX9)&gt;0,$MX9,IF(AND(ISNUMBER($AA9),'King Node Model'!$A$8="Pos",N($BG$72)&lt;&gt;1,OR(AND(N($HP9)=1,N($IZ9)=1),N($LP9)=1),N($LC9)&lt;&gt;1,OR(AND($AG9="R",$AA9&gt;$B$4,COUNTIF($W$9:$W$14,$AA9)&gt;0,COUNTIFS($W$9:$W$14,"&gt;"&amp;$B$4,$W$9:$W$14,"&lt;"&amp;$AA9)=0),AND($AG9="S",N($BG$141)=1,$AA9&lt;$B$4,COUNTIF($W$18:$W$23,$AA9)&gt;0,COUNTIFS($W$18:$W$23,"&lt;"&amp;$B$4,$W$18:$W$23,"&gt;"&amp;$AA9)=0))),IF($AG9="R",2,1),0)))))</f>
        <v>0</v>
      </c>
      <c r="LN9">
        <f t="shared" ref="LN9:LN55" si="160">IF(AND(ISNUMBER($AA9),'King Node Model'!$A$8="Pos",N($BG$72)&lt;&gt;1,ABS(N($AD9))&gt;=$BG$142,OR(AND($AG9="R",OR(AND(UPPER($BG$80)="DOWN",N($AD9)&gt;0),AND(UPPER($BG$80)="UP",N($AD9)&lt;0))),AND($AG9="S",OR(AND(UPPER($BG$80)="UP",N($AD9)&gt;0),AND(UPPER($BG$80)="DOWN",N($AD9)&lt;0))))),1,0)</f>
        <v>0</v>
      </c>
      <c r="LO9">
        <v>0</v>
      </c>
      <c r="LP9">
        <f t="shared" ref="LP9:LP55" si="161">IF(AND('King Node Model'!$A$8="Pos",N($BG$72)&lt;&gt;1),IF(ISNUMBER($LO9),N($LO9),N($LN9)),0)</f>
        <v>0</v>
      </c>
      <c r="LQ9" t="str">
        <f t="shared" ref="LQ9:LQ55" si="162">IF(AND(OR('King Node Model'!$A$8="Neg",N($BG$72)=1),ISNUMBER($BG$149),$AA9=$BG$149)," · zigzag chop "&amp;($AA9+5)&amp;"–"&amp;($AA9+5*(N($MC9)-2))&amp;" above",IF(AND(OR('King Node Model'!$A$8="Neg",N($BG$72)=1),ISNUMBER($BG$150),$AA9=$BG$150)," · zigzag chop "&amp;($AA9-5*(N($MD9)-2))&amp;"–"&amp;($AA9-5)&amp;" below",IF(AND(OR('King Node Model'!$A$8="Neg",N($BG$72)=1),ISNUMBER($BG$155),$AA9=$BG$155),IF(N($ML9)=1," · GEX pocket "&amp;($AA9+5)&amp;" above"," · GEX pocket "&amp;($AA9+5)&amp;"–"&amp;($AA9+5*N($ML9))&amp;" above"),IF(AND(OR('King Node Model'!$A$8="Neg",N($BG$72)=1),ISNUMBER($BG$156),$AA9=$BG$156),IF(N($MM9)=1," · GEX pocket "&amp;($AA9-5)&amp;" below"," · GEX pocket "&amp;($AA9-5*N($MM9))&amp;"–"&amp;($AA9-5)&amp;" below"),IF(N($MX9)=2," · Min DEX "&amp;TEXT($AE9/1000000,"+0.0;-0.0")&amp;"M",IF(N($MX9)=1," · Max DEX "&amp;TEXT($AE9/1000000,"+0.0;-0.0")&amp;"M",IF(N($LP9)&lt;&gt;1,""," · "&amp;IF($AG9="R","breakout","breakdown")&amp;" risk — VEX "&amp;TEXT($AD9/1000000,"+0.0;-0.0")&amp;"M, dealers "&amp;IF($AG9="R","buy","sell")&amp;" as IV "&amp;IF(($AG9="R")=(N($AD9)&gt;0),"falls","rises"))))))))</f>
        <v/>
      </c>
      <c r="LR9">
        <f t="shared" ref="LR9:LR55" si="163">IF(AND(ISNUMBER($AA9),OR('King Node Model'!$A$8="Neg",N($BG$72)=1),N($EU9)&lt;&gt;1,ISNUMBER($AF9),$AF9&gt;$BG$144,$AG9="S",ISNUMBER($AA8),$AA8=$AA9+5,N($EU8)=1),1,0)</f>
        <v>0</v>
      </c>
      <c r="LS9">
        <f t="shared" ref="LS9:LS55" si="164">IF(AND(ISNUMBER($AA9),OR('King Node Model'!$A$8="Neg",N($BG$72)=1),N($EU9)&lt;&gt;1,N($LR9)&lt;&gt;1,$AG9="S",ISNUMBER($AA8),$AA8=$AA9+5,N($EU8)=1),1,0)</f>
        <v>0</v>
      </c>
      <c r="LT9">
        <f t="shared" ref="LT9:LT55" si="165">IF(AND(ISNUMBER($AA9),N($AE9)&lt;=-$BG$145),1+IF(AND(ISNUMBER($AA8),$AA8=$AA9+5),N($LT8),0),0)</f>
        <v>0</v>
      </c>
      <c r="LU9">
        <f t="shared" ref="LU9:LU55" si="166">IF(AND(ISNUMBER($AA9),N($AE9)&lt;=-$BG$145),N($AE9)+IF(AND(ISNUMBER($AA8),$AA8=$AA9+5),N($LU8),0),0)</f>
        <v>0</v>
      </c>
      <c r="LV9">
        <f t="shared" ref="LV9:LV55" si="167">IF(AND(ISNUMBER($AA9),N($AE9)&gt;=$BG$145),1+IF(AND(ISNUMBER($AA10),$AA10=$AA9-5),N($LV10),0),0)</f>
        <v>0</v>
      </c>
      <c r="LW9">
        <f t="shared" ref="LW9:LW55" si="168">IF(AND(ISNUMBER($AA9),N($AE9)&gt;=$BG$145),N($AE9)+IF(AND(ISNUMBER($AA10),$AA10=$AA9-5),N($LW10),0),0)</f>
        <v>0</v>
      </c>
      <c r="LX9">
        <f t="shared" ref="LX9:LX55" si="169">0</f>
        <v>0</v>
      </c>
      <c r="LY9">
        <f t="shared" ref="LY9:LY55" si="170">IF(AND(ISNUMBER($AA9),$AA9&gt;$B$4,N($LT9)&gt;=$BG$148,NOT(AND(ISNUMBER($AA10),$AA10&gt;$B$4,N($LT10)&gt;0))),$AA9,0)</f>
        <v>0</v>
      </c>
      <c r="LZ9">
        <f t="shared" ref="LZ9:LZ55" si="171">IF(AND(ISNUMBER($AA9),$AA9&lt;$B$4,N($LV9)&gt;=$BG$148,NOT(AND(ISNUMBER($AA8),$AA8&lt;$B$4,N($LV8)&gt;0))),$AA9,0)</f>
        <v>0</v>
      </c>
      <c r="MA9">
        <f t="shared" ref="MA9:MA55" si="172">IF(AND(ISNUMBER($AA9),OR('King Node Model'!$A$8="Neg",N($BG$72)=1),N($EU9)&lt;&gt;1,ISNUMBER($AF9),N($MH9)&lt;&gt;1,$AF9&gt;=$BG$144,OR(AND($AG9="S",ISNUMBER($AA8),$AA8=$AA9+5,N($EU8)=1),AND($AG9="R",ISNUMBER($AA10),$AA10=$AA9-5,N($EU10)=1))),1,0)</f>
        <v>0</v>
      </c>
      <c r="MB9">
        <v>0</v>
      </c>
      <c r="MC9">
        <f t="shared" ref="MC9:MC55" si="173">IF(AND(ISNUMBER($AA9),N($AB9)&lt;&gt;0),1+IF(AND(ISNUMBER($AA8),$AA8=$AA9+5,N($AB8)&lt;&gt;0,SIGN(N($AB8))=-SIGN(N($AB9))),N($MC8),0),0)</f>
        <v>1</v>
      </c>
      <c r="MD9">
        <f t="shared" ref="MD9:MD55" si="174">IF(AND(ISNUMBER($AA9),N($AB9)&lt;&gt;0),1+IF(AND(ISNUMBER($AA10),$AA10=$AA9-5,N($AB10)&lt;&gt;0,SIGN(N($AB10))=-SIGN(N($AB9))),N($MD10),0),0)</f>
        <v>1</v>
      </c>
      <c r="ME9">
        <f t="shared" ref="ME9:ME55" si="175">IF(AND(OR('King Node Model'!$A$8="Neg",N($BG$72)=1),N($MC9)&gt;=2,N($MD9)&gt;=2,N($MC9)+N($MD9)-1&gt;=4),1,0)</f>
        <v>0</v>
      </c>
      <c r="MF9">
        <f t="shared" ref="MF9:MF55" si="176">IF(AND(OR('King Node Model'!$A$8="Neg",N($BG$72)=1),N($MD9)=1,N($MC9)&gt;=4),1,0)</f>
        <v>0</v>
      </c>
      <c r="MG9">
        <f t="shared" ref="MG9:MG55" si="177">IF(AND(OR('King Node Model'!$A$8="Neg",N($BG$72)=1),N($MC9)=1,N($MD9)&gt;=4),1,0)</f>
        <v>0</v>
      </c>
      <c r="MH9">
        <f t="shared" ref="MH9:MH55" si="178">IF(OR(N($ME9)=1,AND(N($MF9)=1,$AG9="R"),AND(N($MG9)=1,$AG9="S")),1,0)</f>
        <v>0</v>
      </c>
      <c r="MI9" t="str">
        <f t="shared" ref="MI9:MI55" si="179">IF(N($ME9)=1,"• Zigzag GEX — inside the "&amp;($AA9-5*(N($MD9)-2))&amp;"–"&amp;($AA9+5*(N($MC9)-2))&amp;" chop, don't trade",IF(AND(N($MF9)=1,$AG9="R"),"• Zigzag GEX — bottom edge, chop "&amp;($AA9+5)&amp;"–"&amp;($AA9+5*(N($MC9)-2))&amp;" above: don't short",IF(AND(N($MG9)=1,$AG9="S"),"• Zigzag GEX — top edge, chop "&amp;($AA9-5*(N($MD9)-2))&amp;"–"&amp;($AA9-5)&amp;" below: don't buy","")))</f>
        <v/>
      </c>
      <c r="MJ9">
        <f t="shared" ref="MJ9:MJ55" si="180">IF(AND(N($MF9)=1,ISNUMBER($AA9),$AA9&gt;$B$4),$AA9,0)</f>
        <v>0</v>
      </c>
      <c r="MK9">
        <f t="shared" ref="MK9:MK55" si="181">IF(AND(N($MG9)=1,ISNUMBER($AA9),$AA9&lt;$B$4),$AA9,0)</f>
        <v>0</v>
      </c>
      <c r="ML9">
        <f>IF(AND(OR('King Node Model'!$A$8="Neg",N($BG$72)=1),ISNUMBER($AA9),$AG9="R",N($AB9)&lt;0),IF(AND($AA8=$AA9+5,N($AB8)&gt;0,$AA7=$AA9+10,N($AB7)&lt;0),1,IF(AND($AA8=$AA9+5,N($AB8)&gt;0,$AA7=$AA9+10,N($AB7)&gt;0,$AA6=$AA9+15,N($AB6)&lt;0),2,IF(AND($AA8=$AA9+5,N($AB8)&gt;0,$AA7=$AA9+10,N($AB7)&gt;0,$AA6=$AA9+15,N($AB6)&gt;0,$AA5=$AA9+20,N($AB5)&lt;0),3,IF(AND($AA8=$AA9+5,N($AB8)&gt;0,$AA7=$AA9+10,N($AB7)&gt;0,$AA6=$AA9+15,N($AB6)&gt;0,$AA5=$AA9+20,N($AB5)&gt;0,$AA4=$AA9+25,N($AB4)&lt;0),4,0)))),0)</f>
      </c>
      <c r="MM9">
        <f>IF(AND(OR('King Node Model'!$A$8="Neg",N($BG$72)=1),ISNUMBER($AA9),$AG9="S",N($AB9)&lt;0),IF(AND($AA10=$AA9-5,N($AB10)&gt;0,$AA11=$AA9-10,N($AB11)&lt;0),1,IF(AND($AA10=$AA9-5,N($AB10)&gt;0,$AA11=$AA9-10,N($AB11)&gt;0,$AA12=$AA9-15,N($AB12)&lt;0),2,IF(AND($AA10=$AA9-5,N($AB10)&gt;0,$AA11=$AA9-10,N($AB11)&gt;0,$AA12=$AA9-15,N($AB12)&gt;0,$AA13=$AA9-20,N($AB13)&lt;0),3,IF(AND($AA10=$AA9-5,N($AB10)&gt;0,$AA11=$AA9-10,N($AB11)&gt;0,$AA12=$AA9-15,N($AB12)&gt;0,$AA13=$AA9-20,N($AB13)&gt;0,$AA14=$AA9-25,N($AB14)&lt;0),4,0)))),0)</f>
      </c>
      <c r="MN9">
        <f>IF(N($ML9)&gt;0,$AA9,0)</f>
      </c>
      <c r="MO9">
        <f>IF(N($MM9)&gt;0,$AA9,0)</f>
      </c>
      <c r="MP9">
        <f>IF(AND(OR('King Node Model'!$A$8="Neg",N($BG$72)=1),ISNUMBER($BG$155),$AA9=$BG$155,N($NC9)=1),2,IF(AND(OR('King Node Model'!$A$8="Neg",N($BG$72)=1),ISNUMBER($BG$156),$AA9=$BG$156,N($ND9)=1),1,0))</f>
      </c>
      <c r="MQ9">
        <f>IF(ABS(AE9)&lt;=0,0,IF($AG9="R",IF(ISNUMBER(AE8),IF((ABS(AE8)-ABS(AE9))/ABS(AE9)&lt;-0.4,1,0),0),IF(ISNUMBER(AE10),IF((ABS(AE10)-ABS(AE9))/ABS(AE9)&lt;-0.4,1,0),0)))</f>
      </c>
      <c r="MR9">
        <f>IF(OR(N($MQ9)&lt;&gt;1,N($BG$157)&lt;&gt;1,NOT(ISNUMBER($KU9)),NOT(ISNUMBER($KV9))),0,IF(OR(AND($AG9="S",OR(AND($KU9&gt;=$BG$114,$KU9&gt;=$KV9+$BG$115),AND($KU9&gt;1,$KV9&lt;=1,$KV9&gt;=$BG$114))),AND($AG9="R",OR(AND($KV9&gt;=$BG$114,$KV9&gt;=$KU9+$BG$115),AND($KV9&gt;1,$KU9&lt;=1,$KU9&gt;=$BG$114)))),1,0))</f>
      </c>
      <c r="MS9" t="str">
        <f>IF(AND(N($MR9)=1,N($NA9)&lt;&gt;1),"• DEX falls off more sharply "&amp;IF($AG9="S","above (","below (")&amp;TEXT(IF($AG9="S",$KU9,$KV9),"0%")&amp;") than "&amp;IF($AG9="S","below (","above (")&amp;TEXT(IF($AG9="S",$KV9,$KU9),"0%")&amp;") — Dex↓ not counted",IF(N($MW9)=1,"• Shoulder of the "&amp;IF($AG9="R",$AA10,$AA8)&amp;" wall — own DEX "&amp;TEXT($AE9/1000,"+#,##0;-#,##0")&amp;"K is "&amp;TEXT(ABS($AE9)/ABS(IF($AG9="R",$AE10,$AE8)),"0%")&amp;" of "&amp;TEXT(IF($AG9="R",$AE10,$AE8)/1000,"+#,##0;-#,##0")&amp;"K, Dex↓ not counted",""))</f>
      </c>
      <c r="MT9">
        <f>IF(AND(ISNUMBER($AA9),$AG9="S",ISNUMBER($AB9),$AB9=MIN($AB$9:$AB$55),$AA9=$BG$105,$JV9="BUY",ABS(N($AD9))&gt;=$BG$158),1,0)</f>
      </c>
      <c r="MU9" t="str">
        <f>IF(N($MY9)=1,"",IF(OR(N($MT9)=1,AND(OR('King Node Model'!$A$8="Neg",N($BG$72)=1),$AG9="S",ISNUMBER($AB9),$AB9=MIN($AB$9:$AB$55),$AA9=$BG$105)),"• Min GEX + Max Zomma (no reversal flag required) — accelerant warning not applied; zomma acceleration warning only within "&amp;$BG$98&amp;" pts of the level, and not when vanna buying is "&amp;TEXT($BG$158/1000,"0")&amp;"K or more"&amp;CHAR(10)&amp;IF(N($MT9)=1,"• Max Zomma and vanna buying ("&amp;TEXT(N($AD9)/1000,"+#,##0;-#,##0")&amp;"K) make this level safe","• Max Zomma is what makes this level safe"),"")&amp;$NB9&amp;$NI9)</f>
      </c>
      <c r="MV9" t="str">
        <f>IF(AND(ISNUMBER($AA9),OR($AA9=$BG$118,$AA9=$BG$119)),IF(N($AZ9)*IF($AG9="R",1,-1)&gt;0,"✓",IF(N($AZ9)*IF($AG9="R",1,-1)&lt;0,"✗","")),"")</f>
      </c>
      <c r="MW9">
        <f>IF(AND(N($MQ9)=1,N($BG$159)&gt;0,ISNUMBER(IF($AG9="R",$AE10,$AE8)),N(IF($AG9="R",$AE10,$AE8))&lt;&gt;0),IF(ABS(N($AE9))&lt;$BG$159*ABS(IF($AG9="R",$AE10,$AE8)),1,0),0)</f>
      </c>
      <c r="MX9">
        <f>IF(AND(ISNUMBER($AA9),$AA9=$BG$121,$AG9="R",N($AE9)&lt;0,OR(COUNTIF('King Node Model'!$AL$42:$AL$44,$AA9)=0,N($HP9)=1),N($NC9)=1),2,IF(AND(ISNUMBER($AA9),$AA9=$BG$120,$AG9="S",N($AE9)&gt;0,OR(COUNTIF('King Node Model'!$AL$49:$AL$51,$AA9)=0,N($HP9)=1),N($ND9)=1),1,0))</f>
      </c>
      <c r="MY9">
        <f>IF(AND(N($NA9)=1,NOT(AND(AND($AG9="S",ISNUMBER($AB9),$AB9=MIN($AB$9:$AB$55),$AA9=$BG$105),IFERROR(INDEX($AG$9:$AG$55,MATCH('King Node Model'!$B$23,$AA$9:$AA$55,0)),"")="R")),N($AV9)&lt;&gt;1),1,0)</f>
      </c>
      <c r="MZ9" t="str">
        <f>IF(N($MY9)&lt;&gt;1,"","• DEX falls off more sharply "&amp;IF($AG9="S","above (","below (")&amp;TEXT(IF($AG9="S",$KU9,$KV9),"0%")&amp;") than "&amp;IF($AG9="S","below (","above (")&amp;TEXT(IF($AG9="S",$KV9,$KU9),"0%")&amp;") — path of least resistance "&amp;IF($AG9="S","down","up")&amp;IF(N($AZ9)*IF($AG9="R",1,-1)&lt;0,CHAR(10)&amp;"• Speed against — GEX gets more negative as price "&amp;IF($AG9="R","rises","falls")&amp;" into it (speed "&amp;TEXT(N($AZ9),"#,##0;−#,##0")&amp;")","")&amp;IF(OR(N($NG9)=1,N($JC9)=1),CHAR(10)&amp;"• "&amp;IF(N($JC9)=1,"DOM with vanna BUY "&amp;TEXT(N($AD9)/1000,"+#,##0;−#,##0")&amp;"K","Put wall + Max Zomma + DOM")&amp;" backs the level, but it does not outweigh DEX"&amp;IF(N($AZ9)*IF($AG9="R",1,-1)&lt;0," and speed",""),IF(AND($AG9="S",ISNUMBER($AB9),$AB9=MIN($AB$9:$AB$55),$AA9=$BG$105),CHAR(10)&amp;"• Min GEX + Max Zomma backs the level, but it does not outweigh DEX"&amp;IF(N($AZ9)*IF($AG9="R",1,-1)&lt;0," and speed",""),IF(OR(N($JI9)=1,AND(N($GV9)=1,N($JK9)&lt;&gt;1,N($IW9)&lt;&gt;1),N($JC9)=1,AND($AA9='King Node Model'!$F$24,N($JN9)&lt;&gt;1,OR($AG9="R",AND($AG9="S",$F$4="High",IF($BG$80&lt;&gt;"",UPPER($BG$80),$D$5)="UP")))),CHAR(10)&amp;"• Vanna "&amp;IF($AG9="S","BUY ","SELL ")&amp;TEXT(N($AD9)/1000,"+#,##0;−#,##0")&amp;"K backs the level, but it does not outweigh DEX"&amp;IF(N($AZ9)*IF($AG9="R",1,-1)&lt;0," and speed",""),"")))&amp;IF(N($NE9)=1,CHAR(10)&amp;"• Buy-lean max-node exemption not applied — DEX leans against the level",""))</f>
      </c>
      <c r="NA9">
        <f>IF(AND(OR('King Node Model'!$A$8="Neg",N($BG$72)=1),ISNUMBER($AA9),ABS(N($AE9))&gt;=$BG$152,ISNUMBER($KU9),ISNUMBER($KV9)),IF(OR(AND($AG9="S",OR(AND($KU9&gt;=$BG$114,$KU9&gt;=$KV9+$BG$115),AND($KU9&gt;1,$KV9&lt;=1,$KV9&gt;=$BG$114))),AND($AG9="R",OR(AND($KV9&gt;=$BG$114,$KV9&gt;=$KU9+$BG$115),AND($KV9&gt;1,$KU9&lt;=1,$KU9&gt;=$BG$114)))),1,0),0)</f>
      </c>
      <c r="NB9" t="str">
        <f>IF(AND(N($NA9)=1,AND(AND($AG9="S",ISNUMBER($AB9),$AB9=MIN($AB$9:$AB$55),$AA9=$BG$105),IFERROR(INDEX($AG$9:$AG$55,MATCH('King Node Model'!$B$23,$AA$9:$AA$55,0)),"")="R")),CHAR(10)&amp;"• DEX falls off more sharply above ("&amp;TEXT($KU9,"0%")&amp;") than below ("&amp;TEXT($KV9,"0%")&amp;") — DEX-lean warning not applied: Min GEX + Max Zomma support with Max Gamma "&amp;'King Node Model'!$B$23&amp;" above (Dex↓ not counted)",IF(AND(OR(N($NA9)=1,N($NF9)=1),N($AV9)=1),IF(AND(OR('King Node Model'!$A$8="Neg",N($BG$72)=1),$AG9="S",ISNUMBER($AB9),$AB9=MIN($AB$9:$AB$55),$AA9=$BG$105),CHAR(10),"")&amp;"• DEX falls off more sharply "&amp;IF($AG9="S","above (","below (")&amp;TEXT(IF($AG9="S",$KU9,$KV9),"0%")&amp;") than "&amp;IF($AG9="S","below (","above (")&amp;TEXT(IF($AG9="S",$KV9,$KU9),"0%")&amp;") — DEX lean does not apply to iDex (isolated DEX)",""))</f>
      </c>
      <c r="NC9">
        <f>IF(OR($BG$163=1,AND($BG$161&gt;0,$BG$162&lt;99999,ISNUMBER($AA9),$AA9&lt;$BG$162)),1,0)</f>
      </c>
      <c r="ND9">
        <f>IF(OR($BG$163=-1,AND($BG$161&gt;0,$BG$162&lt;99999,ISNUMBER($AA9),$AA9&gt;$BG$161)),1,0)</f>
      </c>
      <c r="NE9">
        <f>IF(AND(OR('King Node Model'!$A$8="Neg",N($BG$72)=1),ISNUMBER(SEARCH("LOW",'Master Dashboard'!$M$5)),ISNUMBER(SEARCH("BUY",'Master Dashboard'!$G$8)),'King Node Model'!$T$23='King Node Model'!$B$23,OR($AA9='King Node Model'!$T$23,AND($AG9="R",$AA9='King Node Model'!$T$23+5)),OR(AND($AG9="S",$JV9="BUY"),AND($AG9="R",$JV9="SELL"))),1,0)</f>
      </c>
      <c r="NF9">
        <f>IFERROR(IF(OR(NOT(ISNUMBER($AA9)),'King Node Model'!$A$8&lt;&gt;"Pos",N($BG$72)=1,ABS(N($AE9))&lt;$BG$113,$FA9="DOM",$AA9='King Node Model'!$T$23,AND(N($BG$116)=1,$AA9='King Node Model'!$F$24),NOT(ISNUMBER($KU9)),NOT(ISNUMBER($KV9))),0,IF(AND($AG9="S",COUNTIF('Master Dashboard'!$AN$16:$AN$18,$AA9)=0,$KU9&gt;=$BG$114,$KU9&gt;=$KV9+$BG$115,NOT(AND(N($AN10)=1,N($KV9)&lt;0)),N($AE9)&lt;=0),1,IF(AND($AG9="R",COUNTIF('Master Dashboard'!$AN$13:$AN$15,$AA9)=0,$KV9&gt;=$BG$114,$KV9&gt;=$KU9+$BG$115,NOT(AND(N($AN8)=1,N($KU9)&lt;0))),-1,0))),0)</f>
      </c>
      <c r="NG9">
        <f t="shared" ref="NG9:NG55" si="202">IF(AND(ISNUMBER($AA9),OR('King Node Model'!$A$8="Neg",N($BG$72)=1),$FA9="DOM",OR(AND($AG9="S",COUNTIF('Master Dashboard'!$AN$16:$AN$18,$AA9)&gt;0,ISNUMBER($BG$105),$AA9=$BG$105),AND($AG9="R",COUNTIF('Master Dashboard'!$AN$13:$AN$15,$AA9)&gt;0,ISNUMBER($BG$87),$AA9=$BG$87))),1,0)</f>
      </c>
      <c r="NI9" t="str">
        <f>IF(AND(ISNUMBER($BG$165),ISNUMBER($AA9)),IF(OR(AND($AG9="S",$AA9&gt;$BG$165,$AA9-$BG$165&lt;=5),AND($AG9="R",$AA9&lt;$BG$165,$BG$165-$AA9&lt;=5)),IF(OR(AND(OR('King Node Model'!$A$8="Neg",N($BG$72)=1),$AG9="S",ISNUMBER($AB9),$AB9=MIN($AB$9:$AB$55),$AA9=$BG$105),$NB9&lt;&gt;""),CHAR(10),"")&amp;"• DOM forming at "&amp;$BG$165&amp;" (gamma "&amp;TEXT($BG$166,"0%")&amp;" of max) — price may be pulled to the node",""),"")</f>
      </c>
      <c r="NJ9">
        <f>IF(LEN($NI9)&gt;0,1,0)</f>
      </c>
    </row>
    <row r="10" spans="1:349" ht="15" customHeight="1" x14ac:dyDescent="0.25">
      <c r="A10" s="190" t="str">
        <f t="shared" si="0"/>
        <v>7805</v>
      </c>
      <c r="B10" s="191">
        <f>IFERROR(INDEX('King Node Model'!$C$29:$C$75,MATCH(IF($W10="",$V10,$W10),'King Node Model'!$A$29:$A$75,0)),"")</f>
        <v>308525</v>
      </c>
      <c r="C10" s="192" t="str">
        <f t="shared" si="1"/>
        <v>Gxp Gfx oEdge</v>
      </c>
      <c r="D10" s="192">
        <f t="shared" si="2"/>
        <v>3</v>
      </c>
      <c r="E10" s="192" t="str">
        <f t="shared" si="3"/>
        <v>REVERSAL</v>
      </c>
      <c r="F10" s="193" t="str">
        <f t="shared" si="4"/>
        <v>stable</v>
      </c>
      <c r="G10" s="411" t="str">
        <f t="shared" si="5"/>
        <v>Dormant</v>
      </c>
      <c r="R10" s="181" t="s">
        <v>1195</v>
      </c>
      <c r="S10" s="276">
        <f>LARGE(AQ9:AQ55,6)</f>
        <v>7227835</v>
      </c>
      <c r="V10" s="1">
        <f>IFERROR(INDEX($AA$9:$AA$55,MATCH("R2",$BB$9:$BB$55,0)),"")</f>
        <v>7800</v>
      </c>
      <c r="W10">
        <v>7805</v>
      </c>
      <c r="AA10" s="181">
        <f>'King Node Model'!A30</f>
        <v>7880</v>
      </c>
      <c r="AB10" s="276">
        <f>'King Node Model'!C30</f>
        <v>75905</v>
      </c>
      <c r="AC10" s="181">
        <f>ABS('King Node Model'!B30)</f>
        <v>76929</v>
      </c>
      <c r="AD10" s="276">
        <f>'King Node Model'!F30</f>
        <v>372978</v>
      </c>
      <c r="AE10" s="276">
        <f>'King Node Model'!E30</f>
        <v>-1257</v>
      </c>
      <c r="AF10" s="276">
        <f>'King Node Model'!D30</f>
        <v>1495657</v>
      </c>
      <c r="AG10" s="181" t="str">
        <f t="shared" si="6"/>
        <v>R</v>
      </c>
      <c r="AH10" s="181">
        <f t="shared" si="7"/>
        <v>20</v>
      </c>
      <c r="AI10" s="181" t="str">
        <f t="shared" si="8"/>
        <v>SELL</v>
      </c>
      <c r="AJ10" s="181">
        <f t="shared" si="9"/>
        <v>0</v>
      </c>
      <c r="AK10" s="181">
        <f>IF(ABS(N($AE10))&gt;=$BG$85,1,0)</f>
      </c>
      <c r="AL10" s="181">
        <f t="shared" si="10"/>
        <v>0</v>
      </c>
      <c r="AM10" s="181">
        <f t="shared" si="11"/>
        <v>2</v>
      </c>
      <c r="AN10" s="181">
        <f t="shared" si="12"/>
        <v>0</v>
      </c>
      <c r="AO10" s="1">
        <f t="shared" si="13"/>
        <v>1257</v>
      </c>
      <c r="AP10" s="1" t="str">
        <f t="shared" si="14"/>
        <v/>
      </c>
      <c r="AQ10" s="1">
        <f t="shared" si="15"/>
        <v>1495657</v>
      </c>
      <c r="AR10" s="181">
        <f t="shared" si="16"/>
        <v>0.21376362592973447</v>
      </c>
      <c r="AS10" s="181">
        <f t="shared" si="17"/>
        <v>15</v>
      </c>
      <c r="AT10" s="181" t="str">
        <f t="shared" si="18"/>
        <v/>
      </c>
      <c r="AU10" s="181" t="str">
        <f t="shared" si="19"/>
        <v/>
      </c>
      <c r="AV10" s="218">
        <f t="shared" ref="AV10:AV54" si="183">IF(AE10=0,0,IF(AND(AG10="S",AE10&gt;0,AE9&lt;0,AE11&lt;0,ABS(AE10)&gt;=$BG$152),1,IF(AND(AG10="R",AE10&lt;0,AE9&gt;0,AE11&gt;0,ABS(AE10)&gt;=$BG$152),1,0)))</f>
        <v>0</v>
      </c>
      <c r="AW10" s="181">
        <f>ABS('King Node Model'!G30)</f>
        <v>185</v>
      </c>
      <c r="AX10" s="181">
        <f t="shared" si="20"/>
        <v>0</v>
      </c>
      <c r="AY10" s="181">
        <f t="shared" si="21"/>
        <v>0</v>
      </c>
      <c r="AZ10" s="276">
        <f>'King Node Model'!I30</f>
        <v>1161</v>
      </c>
      <c r="BA10" s="181">
        <f t="shared" si="22"/>
        <v>0</v>
      </c>
      <c r="BB10" s="181" t="str">
        <f t="shared" si="23"/>
        <v>R15</v>
      </c>
      <c r="BC10" s="10">
        <f>'King Node Model'!C30</f>
        <v>75905</v>
      </c>
      <c r="BD10" s="218">
        <f t="shared" ref="BD10:BD54" si="184">IF(ABS(BC10)&lt;=$BG$5*0.1,0,IF(AG10="S",IF(AND(ABS(BC9)&gt;=ABS(BC10)*0.6,ABS(BC11)&lt;ABS(BC10)*0.6),1,0),IF(AG10="R",IF(AND(ABS(BC11)&gt;=ABS(BC10)*0.6,ABS(BC9)&lt;ABS(BC10)*0.6),1,0),0)))</f>
        <v>0</v>
      </c>
      <c r="BE10" s="218">
        <f t="shared" ref="BE10:BE54" si="185">IF(ABS(AF10)&lt;=$BG$6*0.1,0,IF(AG10="S",IF(AND(ABS(AF9)&gt;=ABS(AF10)*0.6,ABS(AF11)&lt;ABS(AF10)*0.6),1,0),IF(AG10="R",IF(AND(ABS(AF11)&gt;=ABS(AF10)*0.6,ABS(AF9)&lt;ABS(AF10)*0.6),1,0),0)))</f>
        <v>0</v>
      </c>
      <c r="BF10" s="336" t="s">
        <v>1196</v>
      </c>
      <c r="BG10" s="409">
        <v>1000000</v>
      </c>
      <c r="BI10" s="218">
        <f t="shared" ref="BI10:BI54" si="186">IF(AD10=0,0,IF(IFERROR(AND(ABS(AA10-$B$4)&gt;$BG$56,ABS(AD10)&lt;$BG$55*$BG$57),FALSE),0,IF(AND(OR(AND(AD10&gt;0,AD9&lt;0,AD11&lt;0),AND(AD10&lt;0,AD9&gt;0,AD11&gt;0)),ABS(AD10)&gt;(ABS(AD9)+ABS(AD11))/2*0.1,OR(AND(AG10="R",JV10="SELL"),AND(AG10="S",JV10="BUY"))),1,0)))</f>
        <v>0</v>
      </c>
      <c r="BJ10" s="218">
        <f t="shared" ref="BJ10:BJ54" si="187">IF(AZ10=0,0,IF(AND(AG10="S",AZ10&gt;0,AZ9&lt;0,AZ11&lt;0,ABS(AZ10)&gt;(ABS(AZ9)+ABS(AZ11))/2*0.1),1,IF(AND(AG10="R",AZ10&lt;0,AZ9&gt;0,AZ11&gt;0,ABS(AZ10)&gt;(ABS(AZ9)+ABS(AZ11))/2*0.1),1,0)))</f>
        <v>0</v>
      </c>
      <c r="BK10">
        <f t="shared" si="24"/>
        <v>0</v>
      </c>
      <c r="BL10" s="10">
        <f>'King Node Model'!H30</f>
        <v>8</v>
      </c>
      <c r="BM10">
        <f t="shared" si="25"/>
        <v>34</v>
      </c>
      <c r="BN10">
        <f t="shared" si="26"/>
        <v>29</v>
      </c>
      <c r="BO10">
        <f t="shared" si="27"/>
        <v>0</v>
      </c>
      <c r="BP10">
        <f t="shared" si="28"/>
        <v>0</v>
      </c>
      <c r="BQ10" t="str">
        <f t="shared" si="29"/>
        <v/>
      </c>
      <c r="BR10" t="str">
        <f t="shared" si="30"/>
        <v/>
      </c>
      <c r="BS10" s="218">
        <f t="shared" si="31"/>
        <v>0</v>
      </c>
      <c r="BT10" t="str">
        <f t="shared" si="32"/>
        <v/>
      </c>
      <c r="BU10" t="str">
        <f t="shared" si="33"/>
        <v/>
      </c>
      <c r="BV10" s="218">
        <f t="shared" si="34"/>
        <v>372978</v>
      </c>
      <c r="BW10" s="218">
        <f t="shared" si="35"/>
        <v>1257</v>
      </c>
      <c r="BX10" s="218">
        <f>IF(AND(ISNUMBER(BC10),BC10&gt;=$BG$160,OR('King Node Model'!$A$8="Neg",N($BG$72)=1)),1,0)</f>
        <v>1</v>
      </c>
      <c r="BY10" s="218">
        <f t="shared" si="36"/>
        <v>0</v>
      </c>
      <c r="BZ10" s="218">
        <f t="shared" si="37"/>
        <v>0</v>
      </c>
      <c r="CA10" t="str">
        <f t="shared" si="38"/>
        <v/>
      </c>
      <c r="CB10" s="218">
        <f>IF(AND(ISNUMBER('King Node Model'!$D$27),AG10&lt;&gt;"",AA10='King Node Model'!$D$27),1,0)</f>
        <v>0</v>
      </c>
      <c r="CC10" s="218">
        <f>IF(OR('King Node Model'!$A$8="Neg",N($BG$72)=1),$BG$14*IF(ISNUMBER('King Node Model'!$D$26),MAX(0,1-ABS(AA10-'King Node Model'!$D$26)/$BG$18),0)+$BG$15*IFERROR(BV10/MAX($BV$9:$BV$55),0)+$BG$16*IFERROR(BW10/MAX($BW$9:$BW$55),0)+$BG$17*IFERROR(AC10/$S$11,0)*MAX(0,1+$BG$21*CF10),AR10)</f>
        <v>0.10711806281360049</v>
      </c>
      <c r="CD10" s="218">
        <f>IF(OR('King Node Model'!$A$8="Neg",N($BG$72)=1),IF(AND(AG10&lt;&gt;"",ABS(AA10-$B$4)&lt;=$BG$7,OR(AX10=0,$D$5&lt;&gt;"UP"),AY10=0,BK10&lt;&gt;1,CI10=0,AM10&gt;=$BG$20,AC10&gt;$BG$19),1,0),IF(AND(BS10=1,(COUNTIF($W$9:$W$14,AA10)+COUNTIF($W$18:$W$23,AA10))&gt;0,CI10=0,AM10&gt;=$BG$20,AC10&gt;$BG$19),1,0))</f>
        <v>0</v>
      </c>
      <c r="CE10" t="str">
        <f t="shared" si="39"/>
        <v/>
      </c>
      <c r="CF10" s="218">
        <f t="shared" si="40"/>
        <v>0</v>
      </c>
      <c r="CG10" t="str">
        <f t="shared" si="41"/>
        <v/>
      </c>
      <c r="CH10" t="str">
        <f t="shared" si="42"/>
        <v>Dormant</v>
      </c>
      <c r="CI10" s="218">
        <f t="shared" si="43"/>
        <v>0</v>
      </c>
      <c r="CJ10" s="218">
        <f t="shared" si="44"/>
        <v>387420489</v>
      </c>
      <c r="CK10" s="218">
        <f t="shared" si="45"/>
        <v>0</v>
      </c>
      <c r="CL10" s="218">
        <f t="shared" si="46"/>
        <v>0</v>
      </c>
      <c r="CQ10" s="218">
        <f t="shared" si="47"/>
        <v>7805</v>
      </c>
      <c r="CR10" s="394" t="s">
        <v>1197</v>
      </c>
      <c r="CS10" s="218">
        <f>BG23</f>
        <v>40000</v>
      </c>
      <c r="CU10" s="218">
        <f>IF(AND(AND('King Node Model'!$A$8&lt;&gt;"Neg",N($BG$72)&lt;&gt;1),SUMPRODUCT(($AG$9:$AG$55="S")*ISNUMBER($AT$9:$AT$55)*ISNUMBER($AU$9:$AU$55)*($AT$9:$AT$55&lt;&gt;$AU$9:$AU$55)*($AT$9:$AT$55&lt;=$AA10)*($AU$9:$AU$55&gt;=$AA10))&gt;0),0,IF(AND(OR($AA10='King Node Model'!$T$22,$AA10='King Node Model'!$F$24),$AG10="R",COUNTIF($W$9:$W$14,$AA10)&gt;0),1,IF(AND($FN10=1,$EU10&lt;&gt;1,$EM10&lt;&gt;1,$BK10&lt;&gt;1,$DH10&lt;&gt;1,$AG10="R",COUNTIF($W$9:$W$14,$AA10)&gt;0),1,IF($EU10=1,0,IF($EM10=1,0,IF(AND(OR($EE10=1,$GV10=1,AND($EL$7=1,$AA10='King Node Model'!$D$26,$EI10=1),AND(OR($AA10='King Node Model'!$T$22,$AA10='King Node Model'!$T$23),$AN10=1,OR($AX10=0,$D$5&lt;&gt;"UP"))),OR(NOT(OR('King Node Model'!$A$8="Neg",N($BG$72)=1)),$GV10=1,AND(OR($AA10='King Node Model'!$T$22,$AA10='King Node Model'!$T$23),$AN10=1,OR($AX10=0,$D$5&lt;&gt;"UP")),AND($AM10&gt;=$BG$20,$AC10&gt;IF($CZ10=1,$BG$48,$BG$19)))),1,IF($DH10=1,0,IF(AND($DC10=1,$GS10&lt;&gt;1,AND('King Node Model'!$A$8&lt;&gt;"Neg",N($BG$72)&lt;&gt;1)),0,IF(AND($EY10=1,NOT(OR('King Node Model'!$A$8="Neg",$BG$72=1)),$AA10&lt;&gt;'King Node Model'!$B$23),0,IF(AND($GS10=1,$AG10="R",OR($CI10=0,$EE10=1,$EX10=1,$GV10=1),COUNTIF($W$9:$W$14,$AA10)&gt;0,ABS($AA10-$B$4)&lt;=$BG$7,$BK10&lt;&gt;1,$AM10&gt;=$BG$20,$AC10&gt;IF($CZ10=1,$BG$48,$BG$19)),1,IF(OR('King Node Model'!$A$8="Neg",N($BG$72)=1),IF(AND(OR($AM10&gt;=$BG$20,$AA10='King Node Model'!$D$26,$GV10=1),$AG10="R",COUNTIF($W$9:$W$14,$AA10)&gt;0,ABS($AA10-$B$4)&lt;=$BG$7,OR($AX10=0,$D$5&lt;&gt;"UP"),$BK10&lt;&gt;1,OR(OR($CI10=0,$AJ10=1),AND($EI10=1,$LA10=1,COUNTIF($W$9:$W$11,$AA10)&gt;0,$AN10=1,OR($AX10=0,$D$5&lt;&gt;"UP"))),$AM10&gt;=$BG$20,$AC10&gt;IF($CZ10=1,$BG$48,$BG$19),OR($AN10=1,N($LR10)=1,$AA10='King Node Model'!$D$26,AND($BY10=1,$AA10&gt;$B$4),$BX10=1,$CF10=1,$CF10=1,AND(OR($AA10=$CP$4,$AA10=$CP$5,$AA10=$CP$6,$AA10=$CP$7),ABS($AA10-$B$4)&lt;=30),AND($AX10=1,$D$5="DOWN"))),1,0),IF(AND(OR($AM10&gt;=3,$AA10='King Node Model'!$D$26,$GV10=1),$AG10="R",COUNTIF($W$9:$W$14,$AA10)&gt;0,ABS($AA10-$B$4)&lt;=$BG$7,OR($AX10=0,$D$5&lt;&gt;"UP"),$BK10&lt;&gt;1,OR($CI10=0,$AJ10=1),$AM10&gt;=$BG$20,$AC10&gt;IF($CZ10=1,$BG$48,$BG$19),OR($AC10&gt;=MAX($AC$9:$AC$55),$BC10&gt;0,$AA10='King Node Model'!$D$26,AND(OR($AA10=$CP$4,$AA10=$CP$5,$AA10=$CP$6,$AA10=$CP$7),ABS($AA10-$B$4)&lt;=30),$CF10=1,$AN10=1,AND($AX10=1,$D$5="DOWN"))),1,0))))))))))))</f>
        <v>0</v>
      </c>
      <c r="CV10" s="218">
        <f>IF(AND(OR('King Node Model'!$A$8="Neg",N($BG$72)=1),$AG10="S",N($LR10)=1,N($MB10)=1),1,IF(AND(AND('King Node Model'!$A$8&lt;&gt;"Neg",N($BG$72)&lt;&gt;1),SUMPRODUCT(($AG$9:$AG$55="R")*ISNUMBER($AT$9:$AT$55)*ISNUMBER($AU$9:$AU$55)*($AT$9:$AT$55&lt;&gt;$AU$9:$AU$55)*($AT$9:$AT$55&lt;=$AA10)*($AU$9:$AU$55&gt;=$AA10))&gt;0,NOT(AND(N($LC10)=1,$AA10='King Node Model'!$B$23))),0,IF(AND($AA10='King Node Model'!$F$24,$AG10="S",COUNTIF($W$18:$W$23,$AA10)&gt;0),1,IF(AND($FN10=1,$EU10&lt;&gt;1,$EM10&lt;&gt;1,$DH10&lt;&gt;1,$AG10="S",COUNTIF($W$18:$W$23,$AA10)&gt;0),1,IF($EU10=1,0,IF(AND(OR($EF10=1,$GV10=1,AND(OR($AA10='King Node Model'!$T$22,$AA10='King Node Model'!$T$23,AND($AG10="S",COUNTIF('Master Dashboard'!$AN$16:$AN$18,$AA10)&gt;0)),$AN10=1,OR($AX10=0,$D$5&lt;&gt;"UP"))),OR(NOT(OR('King Node Model'!$A$8="Neg",N($BG$72)=1)),$GV10=1,AND(OR($AA10='King Node Model'!$T$22,$AA10='King Node Model'!$T$23,AND($AG10="S",COUNTIF('Master Dashboard'!$AN$16:$AN$18,$AA10)&gt;0)),$AN10=1,OR($AX10=0,$D$5&lt;&gt;"UP")),AND($AM10&gt;=$BG$20,$AC10&gt;IF($CZ10=1,$BG$48,$BG$19)))),1,IF($DH10=1,0,IF(AND($DC10=1,$GS10&lt;&gt;1,AND('King Node Model'!$A$8&lt;&gt;"Neg",N($BG$72)&lt;&gt;1)),0,IF(AND($EY10=1,NOT(OR('King Node Model'!$A$8="Neg",$BG$72=1)),$AA10&lt;&gt;'King Node Model'!$B$23,COUNTIF('Master Dashboard'!$AN$16:$AN$18,$AA10)=0),0,IF(AND($GS10=1,$AG10="S",OR($CI10=0,$EF10=1,$EX10=1,$GV10=1),COUNTIF($W$18:$W$23,$AA10)&gt;0,ABS($AA10-$B$4)&lt;=$BG$7,$BK10&lt;&gt;1,$AM10&gt;=$BG$20,$AC10&gt;IF($CZ10=1,$BG$48,$BG$19)),1,IF(OR('King Node Model'!$A$8="Neg",N($BG$72)=1),IF(AND(OR(OR($AM10&gt;=$BG$20,N($LR10)=1),$AA10='King Node Model'!$D$26,$GV10=1),$AG10="S",COUNTIF($W$18:$W$23,$AA10)&gt;0,ABS($AA10-$B$4)&lt;=$BG$7,OR($AX10=0,$D$5&lt;&gt;"UP"),$BK10&lt;&gt;1,OR($CI10=0,$AJ10=1,AND(N($LR10)=1,N($MB10)=1),N($MT10)=1),OR($AM10&gt;=$BG$20,N($LR10)=1),$AC10&gt;IF($CZ10=1,$BG$48,$BG$19),OR($AB10&gt;0,$AN10=1,N($MT10)=1,N($LR10)=1,$AA10='King Node Model'!$D$26,AND($BY10=1,$AA10&lt;$B$4),$BX10=1,$CF10=1,$CF10=1,AND(OR($AA10=$CP$4,$AA10=$CP$5,$AA10=$CP$6,$AA10=$CP$7),ABS($AA10-$B$4)&lt;=30),AND($AX10=1,$D$5="DOWN"))),1,0),IF(AND(OR($AM10&gt;=3,$AA10='King Node Model'!$D$26,$GV10=1),$AG10="S",COUNTIF($W$18:$W$23,$AA10)&gt;0,ABS($AA10-$B$4)&lt;=$BG$7,OR($AX10=0,$D$5&lt;&gt;"UP"),$BK10&lt;&gt;1,OR($CI10=0,$AJ10=1,AND(N($LR10)=1,N($MB10)=1),N($MT10)=1),$AM10&gt;=$BG$20,$AC10&gt;IF($CZ10=1,$BG$48,$BG$19),OR($AC10&gt;=MAX($AC$9:$AC$55),$BC10&gt;0,N($MT10)=1,$AA10='King Node Model'!$D$26,AND(OR($AA10=$CP$4,$AA10=$CP$5,$AA10=$CP$6,$AA10=$CP$7),ABS($AA10-$B$4)&lt;=30),$CF10=1,$AN10=1,AND($AX10=1,$D$5="DOWN"))),1,0))))))))))))</f>
        <v>0</v>
      </c>
      <c r="CX10" s="218">
        <f t="shared" si="48"/>
        <v>0</v>
      </c>
      <c r="CY10" t="str">
        <f t="shared" si="49"/>
        <v/>
      </c>
      <c r="CZ10" s="218">
        <f t="shared" si="50"/>
        <v>0</v>
      </c>
      <c r="DA10" t="str">
        <f t="shared" si="51"/>
        <v/>
      </c>
      <c r="DB10" t="str">
        <f t="shared" si="52"/>
        <v/>
      </c>
      <c r="DC10" s="218">
        <f t="shared" si="53"/>
        <v>0</v>
      </c>
      <c r="DD10" s="218">
        <f t="shared" si="54"/>
        <v>0</v>
      </c>
      <c r="DE10" s="218">
        <f t="shared" si="55"/>
        <v>0</v>
      </c>
      <c r="DF10" t="str">
        <f t="shared" si="56"/>
        <v/>
      </c>
      <c r="DG10" t="str">
        <f t="shared" si="57"/>
        <v/>
      </c>
      <c r="DH10" s="218">
        <f t="shared" si="58"/>
        <v>0</v>
      </c>
      <c r="DI10">
        <v>1</v>
      </c>
      <c r="DJ10">
        <v>1</v>
      </c>
      <c r="DK10">
        <v>86803</v>
      </c>
      <c r="DL10">
        <v>0</v>
      </c>
      <c r="DM10" t="str">
        <f>IF(AND($CV10=1,$AG10="S"),IF(AND(OR('King Node Model'!$A$8="Neg",N($BG$72)=1),'King Node Model'!$S$52=""),IF(OR(N($AN10)=1,N($LR10)=1,$AB10&gt;0,$AJ10=1,N($JO10)=1,AND(NOT($AE10&gt;0),NOT(IFERROR(AND(ISNUMBER($BC10),ISNUMBER($BC9),($BC10&gt;=0)&lt;&gt;($BC9&gt;=0)),FALSE())),OR(AND($BM10&lt;=6,$BN10&lt;=6),ABS($AA10-'King Node Model'!$T$23)&lt;=5,$LA10=1))),1,0),1),"")</f>
        <v/>
      </c>
      <c r="DN10" t="str">
        <f t="shared" si="59"/>
        <v/>
      </c>
      <c r="DO10" t="str">
        <f t="shared" si="60"/>
        <v>W-list</v>
      </c>
      <c r="DP10" t="str">
        <f>IF(AND(OR('King Node Model'!$A$8="Neg",N($BG$72)=1),$AG10="S",ISNUMBER($AT10),ISNUMBER($AU10),$AT10&lt;&gt;$AU10,$AA10=$AT10),IF(AND(SUMPRODUCT(($AA$9:$AA$55&gt;=$AT10)*($AA$9:$AA$55&lt;=$AU10)*($AB$9:$AB$55&gt;0))&gt;0,SUMPRODUCT(($AA$9:$AA$55&gt;=$AT10)*($AA$9:$AA$55&lt;=$AU10)*($DM$9:$DM$55=1))&gt;0,SUMPRODUCT(($AA$9:$AA$55&gt;=$AT10)*($AA$9:$AA$55&lt;=$AU10)*(COUNTIF($W$18:$W$20,$AA$9:$AA$55)&gt;0))&gt;0),1,0),"")</f>
        <v/>
      </c>
      <c r="DS10">
        <v>0</v>
      </c>
      <c r="DT10">
        <v>0</v>
      </c>
      <c r="DU10" t="str">
        <f>IF('King Node Model'!$A$8&lt;&gt;"Pos","",IF(OR($AA10="",NOT(ISNUMBER($AA10)),ABS($AA10-$B$4)&gt;$BG$7),"",TEXT($AA10,"0")&amp;" | "&amp;IF($AG10="","unclassified",IF($AG10&lt;&gt;IF($AA10&gt;$B$4,"R","S"),"orphan: in "&amp;$AG10&amp;"-list, "&amp;IF($AA10&lt;$B$4,"below","above")&amp;" spot",IF(IF($AG10="R",COUNTIF($W$9:$W$14,$AA10),COUNTIF($W$18:$W$23,$AA10))=0,"not in "&amp;$AG10&amp;"-list",IF($DH10=1,"absorbed into shelf box",IF($BK10=1,"absorbed: adjacent reversal",IF($CI10=1,"accel-accelerant",IF($AC10&lt;=$BG$19,"below gamma-floor",IF($AM10&lt;$BG$20,"confluence "&amp;TEXT($AM10,"0")&amp;" &lt; "&amp;TEXT($BG$20,"0"),IF(AND($AX10=1,$D$5="UP"),"accelerant in up-move",IF(NOT(OR($AC10&gt;=MAX($AC$9:$AC$55),$BC10&gt;0,$AA10='King Node Model'!$D$26,AND(OR($AA10=$CP$4,$AA10=$CP$5,$AA10=$CP$6,$AA10=$CP$7),ABS($AA10-$B$4)&lt;=30),ISNUMBER(SEARCH("STRENGTHENING",$CG10)),$AN10=1,AND($AX10=1,$D$5="DOWN"))),"no surface flag","-&gt; qualifies"))))))))))))</f>
        <v/>
      </c>
      <c r="DV10" s="218">
        <f t="shared" si="61"/>
        <v>99999</v>
      </c>
      <c r="DW10" s="218">
        <f t="shared" si="62"/>
        <v>99999</v>
      </c>
      <c r="DX10" t="str">
        <f>IF('King Node Model'!$A$8&lt;&gt;"Pos","",IF(AND($DV10&lt;99999,$DV10=MIN($DV$9:$DV$55),$DG10&gt;$AA10),"R-box: "&amp;TEXT($AA10,"0")&amp;"-"&amp;TEXT($DG10,"0"),IF(AND($DW10&lt;99999,$DW10=MIN($DW$9:$DW$55),$DF10&lt;$AA10),"S-box: "&amp;TEXT($DF10,"0")&amp;"-"&amp;TEXT($AA10,"0"),"")))</f>
        <v/>
      </c>
      <c r="EB10">
        <f t="shared" si="63"/>
        <v>104.60999999999967</v>
      </c>
      <c r="EC10">
        <f t="shared" si="64"/>
        <v>538591</v>
      </c>
      <c r="ED10">
        <f t="shared" si="65"/>
        <v>0</v>
      </c>
      <c r="EE10">
        <f>IF(AND(OR('King Node Model'!$A$8="Neg",N($BG$72)=1),$AG10="R",ISNUMBER($EB10),$EB10&lt;=$BG$7,$AB10&gt;0,$EC10&gt;0,$AB10=$EC10),1,0)</f>
        <v>0</v>
      </c>
      <c r="EF10">
        <f>IF(AND(OR('King Node Model'!$A$8="Neg",N($BG$72)=1),$AG10="S",ISNUMBER($EB10),$EB10&lt;=$BG$7,$AB10&gt;0,$ED10&gt;0,$AB10=$ED10),1,0)</f>
        <v>0</v>
      </c>
      <c r="EI10">
        <v>1</v>
      </c>
      <c r="EJ10">
        <f>IF($AA10="",0,IF(SUMPRODUCT(($AA$9:$AA$55&gt;=$AT10)*($AA$9:$AA$55&lt;=$AU10)*($DT$9:$DT$55=1))+SUMPRODUCT(($DT$9:$DT$55=1)*($AT$9:$AT$55&lt;=$AA10)*($AU$9:$AU$55&gt;=$AA10))+($DT10=1)+AND(OR('King Node Model'!$A$8="Neg",N($BG$72)=1),ISNUMBER(SEARCH("LOW",'Master Dashboard'!$M$5)),ISNUMBER(SEARCH("BUY",'Master Dashboard'!$G$8)),'King Node Model'!$T$23='King Node Model'!$B$23,$AA10&gt;='King Node Model'!$T$23,$AA10&lt;='King Node Model'!$T$23+5)*1&gt;0,1,0))</f>
        <v>0</v>
      </c>
      <c r="EM10">
        <f t="shared" si="66"/>
        <v>0</v>
      </c>
      <c r="EN10">
        <v>0</v>
      </c>
      <c r="EO10">
        <f t="shared" si="67"/>
        <v>0</v>
      </c>
      <c r="EP10">
        <f t="shared" si="68"/>
        <v>0</v>
      </c>
      <c r="EQ10" t="str">
        <f t="shared" si="69"/>
        <v>thinning the ceiling (magnitude weak)</v>
      </c>
      <c r="ES10" t="str">
        <f>IF(AND(ISNUMBER(AA10),ISNUMBER(AF10),ABS(AA10-'King Node Model'!$B$4)&lt;=$BG$7),ABS(AF10),"")</f>
        <v/>
      </c>
      <c r="ET10">
        <v>0</v>
      </c>
      <c r="EU10" s="218">
        <f>IF(AND(OR('King Node Model'!$A$8="Neg",N($BG$72)=1),ISNUMBER($AA9),ISNUMBER($AA10),ISNUMBER($AA11),ISNUMBER($AB9),ISNUMBER($AB10),ISNUMBER($AB11),ISNUMBER($AF10),$AB10&gt;0,$AB9&lt;0,$AB11&lt;0,$AF10&lt;0),1,0)</f>
        <v>0</v>
      </c>
      <c r="EW10">
        <f>IF(OR(N($MY10)=1,N($JM10)=1),0,N($NE10))</f>
        <v>0</v>
      </c>
      <c r="EX10">
        <f>IF(AND(OR('King Node Model'!$A$8="Neg",N($BG$72)=1),ISNUMBER($AA10),OR(AND($AA10='King Node Model'!$F$24,OR(AND($AG10="S",$F$4="High",IF($BG$80&lt;&gt;"",UPPER($BG$80),$D$5)="DOWN"),AND($AG10="R",$F$4="Low",IF($BG$80&lt;&gt;"",UPPER($BG$80),$D$5)="UP"))),$GV10=1)),1,0)</f>
        <v>0</v>
      </c>
      <c r="EY10">
        <f>IFERROR(IF(AND($DC10=1,$AB10&lt;0,$AC10&gt;=(1+$FA$6)*INDEX($AC$9:$AC$55,2-1),$AC10&gt;=(1+$FA$6)*INDEX($AC$9:$AC$55,2+1),$AC10&gt;=IFERROR(INDEX($AC$9:$AC$55,2-2),0),$AC10&gt;=IFERROR(INDEX($AC$9:$AC$55,2+2),0)),1,0),0)</f>
        <v>0</v>
      </c>
      <c r="FA10" t="str">
        <f>IF(NOT(ISNUMBER($AA10)),"",IFERROR(IF(AND($AC10=MAX($AC$9:$AC$55),$AB10=MIN($AB$9:$AB$55)),"DOM",IF(FALSE,"GAP↑",IF(AND($DC11=1,$DC10=1,INDEX($AC$9:$AC$55,2+1)&lt;=(1-$FA$6)*$AC10,INDEX($AC$9:$AC$55,2+1)&lt;=(1-$FA$6)*INDEX($AC$9:$AC$55,2+2)),"GAP↓",IF($CZ10=1,"dEdge Cliff",IF($GY10=1,"γWall",IF(AND($DC10=1,$AB10&lt;0,$AC10&gt;=(1+$FA$6)*INDEX($AC$9:$AC$55,2-1),$AC10&gt;=(1+$FA$6)*INDEX($AC$9:$AC$55,2+1)),"PEAK-",IF($GZ10=1,"γSh Edge",IF($HL10=1,"Trough",IF($HN10=1,"PEAK+",IF($GF10=1,"Cluster","")))))))))),""))</f>
        <v/>
      </c>
      <c r="FB10" t="str">
        <f t="shared" si="70"/>
        <v/>
      </c>
      <c r="FC10" t="str">
        <f t="shared" si="71"/>
        <v/>
      </c>
      <c r="FD10">
        <f>IF(AND(ISNUMBER($AA10),ISNUMBER('King Node Model'!$AP$17),ISNUMBER('King Node Model'!$AQ$17),$AA10&gt;=MIN('King Node Model'!$AP$17,'King Node Model'!$AQ$17),$AA10&lt;=MAX('King Node Model'!$AP$17,'King Node Model'!$AQ$17),IFERROR(INDEX($AC$9:$AC$55,MATCH('King Node Model'!$AL$42,$AA$9:$AA$55,0)),0)&gt;0,$AC10&gt;=(1-$FA$6)*IFERROR(INDEX($AC$9:$AC$55,MATCH('King Node Model'!$AL$42,$AA$9:$AA$55,0)),0),$AC10&lt;=(1+$FA$6)*IFERROR(INDEX($AC$9:$AC$55,MATCH('King Node Model'!$AL$42,$AA$9:$AA$55,0)),0)),1,0)</f>
        <v>0</v>
      </c>
      <c r="FE10">
        <f>IF($AA10='King Node Model'!$AL$42,1,IF(AND($FD10=1,$FE9=1),1,0))</f>
        <v>0</v>
      </c>
      <c r="FF10">
        <f>IF($AA10='King Node Model'!$AL$42,1,IF(AND($FD10=1,$FF11=1),1,0))</f>
        <v>0</v>
      </c>
      <c r="FG10" t="str">
        <f>IF(OR($FE10=1,$FF10=1),2,"")</f>
        <v/>
      </c>
      <c r="FJ10">
        <f>IF(AND($CW$2=1,ISNUMBER($AA10),ISNUMBER($CW$3),ISNUMBER($CW$4),$AA10&gt;=MIN($CW$3,$CW$4),$AA10&lt;=MAX($CW$3,$CW$4),IFERROR(INDEX($AC$9:$AC$55,MATCH('King Node Model'!$AP$67,$AA$9:$AA$55,0)),0)&gt;0,$AC10&gt;=(1-$FA$6)*IFERROR(INDEX($AC$9:$AC$55,MATCH('King Node Model'!$AP$67,$AA$9:$AA$55,0)),0),$AC10&lt;=(1+$FA$6)*IFERROR(INDEX($AC$9:$AC$55,MATCH('King Node Model'!$AP$67,$AA$9:$AA$55,0)),0)),1,0)</f>
        <v>0</v>
      </c>
      <c r="FK10">
        <f>IF(AND($CW$2=1,$AA10='King Node Model'!$AP$67),1,IF(AND($FJ10=1,$FK9=1),1,0))</f>
        <v>0</v>
      </c>
      <c r="FL10">
        <f>IF(AND($CW$2=1,$AA10='King Node Model'!$AP$67),1,IF(AND($FJ10=1,$FL11=1),1,0))</f>
        <v>0</v>
      </c>
      <c r="FM10" t="str">
        <f>IF(OR($FK10=1,$FL10=1),2,"")</f>
        <v/>
      </c>
      <c r="FN10">
        <v>0</v>
      </c>
      <c r="FR10" t="str">
        <f t="shared" si="72"/>
        <v/>
      </c>
      <c r="FS10">
        <f t="shared" ref="FS10:FS54" si="188">IFERROR(IF(AND(ISNUMBER($FR10),ISNUMBER($FR9),ISNUMBER($FR11),$FR10&gt;0,$FR10&gt;=$FO$6*N($FR9),$FR10&gt;=$FO$6*N($FR11)),1,0),0)</f>
        <v>0</v>
      </c>
      <c r="FT10">
        <f t="shared" si="73"/>
        <v>0.98668902494507926</v>
      </c>
      <c r="FU10">
        <f t="shared" si="74"/>
        <v>76929</v>
      </c>
      <c r="FV10" t="str">
        <f>IF($FW10=0,"",IF(OR($FW9=0,SIGN(IFERROR($BC10*1,0))&lt;&gt;SIGN(IFERROR($BC9*1,0)),$GH10=1,$GH9=1),MAX($FV$9:$FV9)+1,$FV9))</f>
        <v/>
      </c>
      <c r="FW10">
        <f t="shared" si="75"/>
        <v>0</v>
      </c>
      <c r="FX10" t="str">
        <f t="shared" si="76"/>
        <v/>
      </c>
      <c r="FY10">
        <f t="shared" si="77"/>
        <v>0</v>
      </c>
      <c r="FZ10">
        <f t="shared" ref="FZ10:FZ55" si="189">IF($FV10="",0,IF($FU10=$FX10,1,IF(AND($FV9=$FV10,$FZ9=1,$FU10&gt;=(1-$GG$3)*$FX10),1,0)))</f>
        <v>0</v>
      </c>
      <c r="GA10">
        <f t="shared" si="78"/>
        <v>0</v>
      </c>
      <c r="GB10" t="str">
        <f t="shared" si="79"/>
        <v/>
      </c>
      <c r="GC10" t="str">
        <f t="shared" si="80"/>
        <v/>
      </c>
      <c r="GD10" t="str">
        <f t="shared" si="81"/>
        <v/>
      </c>
      <c r="GE10" t="str">
        <f t="shared" si="82"/>
        <v/>
      </c>
      <c r="GF10">
        <f t="shared" si="83"/>
        <v>0</v>
      </c>
      <c r="GH10">
        <f>IFERROR(IF(AND($AC10&gt;=(1+$FA$6)*INDEX($AC$9:$AC$55,2-1),$AC10&gt;=(1+$FA$6)*INDEX($AC$9:$AC$55,2+1)),1,0),0)</f>
        <v>1</v>
      </c>
      <c r="GK10">
        <v>0</v>
      </c>
      <c r="GO10">
        <v>0</v>
      </c>
      <c r="GP10">
        <v>0</v>
      </c>
      <c r="GQ10">
        <f t="shared" si="84"/>
        <v>0</v>
      </c>
      <c r="GR10">
        <f t="shared" si="85"/>
        <v>0</v>
      </c>
      <c r="GS10">
        <f>IF(AND($EY10=1,$AA10&lt;&gt;'King Node Model'!$B$23),0,IF(OR($GQ10=1,$GR10=1),1,IF($DC10=1,IF(OR('King Node Model'!$A$8="Neg",N($BG$72)=1),IF(OR(AND($AC10=MAX($AC$9:$AC$55),$AB10=MIN($AB$9:$AB$55)),$AN10=1,$EE10=1,$EF10=1,$EX10=1,$GV10=1),1,0),1),0)))</f>
        <v>0</v>
      </c>
      <c r="GT10">
        <f>IFERROR(IF(AND(OR('King Node Model'!$A$8="Neg",N($BG$72)=1),$EU9=1,$AG10="R",ISNUMBER($AA10),ISNUMBER($AF10),$AF10&lt;&gt;0,$AA10&gt;$B$4-$BG$9,$AA10-$B$4&lt;=$BG$47,IF($KC10="UP",SIGN($AF10),IF($KC10="DOWN",-SIGN($AF10),0))&lt;&gt;1),1,0),0)</f>
        <v>0</v>
      </c>
      <c r="GU10" t="str">
        <f t="shared" si="86"/>
        <v/>
      </c>
      <c r="GV10">
        <f t="shared" si="87"/>
        <v>0</v>
      </c>
      <c r="GW10">
        <f t="shared" si="88"/>
        <v>104.60999999999967</v>
      </c>
      <c r="GX10" t="str">
        <f t="shared" si="89"/>
        <v/>
      </c>
      <c r="GY10">
        <f t="shared" si="90"/>
        <v>0</v>
      </c>
      <c r="GZ10">
        <f t="shared" si="91"/>
        <v>0</v>
      </c>
      <c r="HA10">
        <v>0</v>
      </c>
      <c r="HF10">
        <f>IFERROR(IF(AND($GZ10=1,'King Node Model'!$A$8="Pos",$D$5="UP",$CF10=-1,$AJ10&lt;&gt;1),1,0),0)</f>
        <v>0</v>
      </c>
      <c r="HG10">
        <f t="shared" si="92"/>
        <v>0</v>
      </c>
      <c r="HH10" t="str">
        <f>IF($GZ10=1,"",IFERROR(IF(NOT(ISNUMBER($AA10)),"",IF($EY10=1,"",IF($GF10=1,IF($GD10=$GE10,"",$GD10),IF(OR(FALSE,AND($DC11=1,$DC10=1,INDEX($AC$9:$AC$55,2+1)&lt;=(1-$FA$6)*$AC10,INDEX($AC$9:$AC$55,2+1)&lt;=(1-$FA$6)*INDEX($AC$9:$AC$55,2+2)),AND($DC10=1,OR(INDEX($DC$9:$DC$55,2-1)=0,INDEX($DC$9:$DC$55,2+1)=0))),IF(MIN($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MAX($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MIN($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f>
        <v/>
      </c>
      <c r="HI10" t="str">
        <f>IF($GZ10=1,"",IFERROR(IF(NOT(ISNUMBER($AA10)),"",IF($EY10=1,"",IF($GF10=1,IF($GD10=$GE10,"",$GE10),IF(OR(FALSE,AND($DC11=1,$DC10=1,INDEX($AC$9:$AC$55,2+1)&lt;=(1-$FA$6)*$AC10,INDEX($AC$9:$AC$55,2+1)&lt;=(1-$FA$6)*INDEX($AC$9:$AC$55,2+2)),AND($DC10=1,OR(INDEX($DC$9:$DC$55,2-1)=0,INDEX($DC$9:$DC$55,2+1)=0))),IF(MIN($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MAX($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MAX($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f>
        <v/>
      </c>
      <c r="HL10">
        <f t="shared" si="93"/>
        <v>0</v>
      </c>
      <c r="HM10">
        <f>IFERROR(IF(AND($HL10=1,NOT(OR($AA10='King Node Model'!$T$22,$AA10='King Node Model'!$T$23,$AA10='King Node Model'!$F$24,AND($AG10="S",COUNTIF('Master Dashboard'!$AN$16:$AN$18,$AA10)&gt;0),AND($AG10="R",COUNTIF('Master Dashboard'!$AN$13:$AN$15,$AA10)&gt;0)))),1,0),0)</f>
        <v>0</v>
      </c>
      <c r="HN10">
        <f t="shared" si="94"/>
        <v>0</v>
      </c>
      <c r="HO10">
        <f t="shared" si="95"/>
        <v>0</v>
      </c>
      <c r="HP10">
        <f t="shared" si="96"/>
        <v>1</v>
      </c>
      <c r="HQ10" t="str">
        <f>IF(NOT(ISNUMBER($AA10)),"",IFERROR(TRIM(IF(N($MY10)=1,"DEXLEAN ","")&amp;IF(N($IZ10)=1,"DEXCAP ","")&amp;IF(AND($AG10="S",UPPER('King Node Model'!$L$5)="HIGH",$KC10="DOWN",N($AF10)&gt;0,$AA10='King Node Model'!$AN$70,$IY10="SELL"),"CHOPEDGEIV ","")&amp;IF(N($IS10)=1,"NOREV ","")&amp;IF(N($JY10)=1,"VFLAT ","")&amp;IF(N($KR10)=1,"GDEXVANNA ","")&amp;IF(N($LD10)=1,"KGSUPFAIL ","")&amp;IF(N($LE10)=1,"KGRESLEAK ","")&amp;IF(N($MH10)=1,"ZIGZAG ","")&amp;IF(N($KK10)=1,"DATAGAP ","")&amp;IF(N($KA10)&lt;&gt;0,"ACCUNDERCW ","")&amp;IF(AND($AG10="S",$HF10=1),"EDGE ","")&amp;IF(AND($HM10=1,'King Node Model'!$A$8="Pos",N($BG$72)&lt;&gt;1),"TROUGH ","")&amp;IF(AND($EU10=1,N($JZ10)&lt;&gt;1),"BUMP ","")&amp;IF(AND($GT10=1,N($JZ10)&lt;&gt;1),"SANDWICH ","")&amp;IF(AND($EX10&lt;&gt;1,OR('King Node Model'!$A$8="Neg",N($BG$72)=1),OR(AND(ISNUMBER($AC10),$AC10=MAX($AC$9:$AC$55)),AND(ISNUMBER($AB10),$AB10=MIN($AB$9:$AB$55))),NOT(AND(AND(ISNUMBER($AC10),$AC10=MAX($AC$9:$AC$55)),AND(ISNUMBER($AB10),$AB10=MIN($AB$9:$AB$55)))),$AG10="S",N($AB10)&lt;0,NOT(COUNTIF('Master Dashboard'!$AN$16:$AN$18,$AA10)&gt;0),NOT(AND(OR('King Node Model'!$A$8="Neg",N($BG$72)=1),ISNUMBER($AB10),$AB10=MIN($AB$9:$AB$55),$AA10=$BG$105))),"ACCEL ","")&amp;IF(AND($EX10&lt;&gt;1,ISNUMBER($AA10),OR('King Node Model'!$A$8="Neg",N($BG$72)=1),$EY10=1,NOT(AND($AG10="S",COUNTIF('Master Dashboard'!$AN$16:$AN$18,$AA10)&gt;0)),NOT(AND($AA10='King Node Model'!$B$23,IF($AG10="S",OR($AA10='King Node Model'!$C$24,COUNTIF('Master Dashboard'!$AN$16:$AN$18,$AA10)&gt;0),OR($AA10='King Node Model'!$C$23,COUNTIF('Master Dashboard'!$AN$13:$AN$15,$AA10)&gt;0)))),NOT(AND($EX10&lt;&gt;1,OR('King Node Model'!$A$8="Neg",N($BG$72)=1),OR(AND(ISNUMBER($AC10),$AC10=MAX($AC$9:$AC$55)),AND(ISNUMBER($AB10),$AB10=MIN($AB$9:$AB$55))),NOT(AND(AND(ISNUMBER($AC10),$AC10=MAX($AC$9:$AC$55)),AND(ISNUMBER($AB10),$AB10=MIN($AB$9:$AB$55)))),$AG10="S",N($AB10)&lt;0,NOT(COUNTIF('Master Dashboard'!$AN$16:$AN$18,$AA10)&gt;0)))),"AMPLIFY ","")&amp;IF(AND($AG10="S",OR('King Node Model'!$A$8="Neg",N($BG$72)=1),$AJ10&lt;&gt;1,N($MT10)&lt;&gt;1,NOT(AND(N($LR10)=1,N($MB10)=1)),ISNUMBER(SEARCH("ACCEL building",$CG10))),"ZACCEL ","")&amp;IF(AND($AG10="S",OR('King Node Model'!$A$8="Neg",N($BG$72)=1),$AA10='King Node Model'!$B$23,NOT(AND(AND(ISNUMBER($AC10),$AC10=MAX($AC$9:$AC$55)),AND(ISNUMBER($AB10),$AB10=MIN($AB$9:$AB$55)))),$EJ10&lt;&gt;1),"KINGACC ","")&amp;IF(AND($AG10="S",OR('King Node Model'!$A$8="Neg",N($BG$72)=1),ABS(N($AA10)-N('King Node Model'!$B$23))&lt;=$BG$107,NOT(AND(SUMPRODUCT((ABS($AF$9:$AF$55)&lt;=ABS(N($AF10)))*1)/COUNT($AF$9:$AF$55)&gt;=0.66,OR(ISNUMBER(SEARCH("firmer resistance",$CG10)),ISNUMBER(SEARCH("STRENGTHENING",$CG10)),ISNUMBER(SEARCH("firmer support",$CG10))))),NOT(AND(N($AB10)&gt;0,SUMPRODUCT((ABS($AB$9:$AB$55)&lt;=ABS(N($AB10)))*1)/COUNT($AB$9:$AB$55)&gt;=0.66)),$EJ10&lt;&gt;1,$AJ10&lt;&gt;1,COUNTIF('Master Dashboard'!$AN$16:$AN$18,$AA10)=0,NOT(AND($AG10="S",OR('King Node Model'!$A$8="Neg",N($BG$72)=1),$AA10='King Node Model'!$B$23,NOT(AND(AND(ISNUMBER($AC10),$AC10=MAX($AC$9:$AC$55)),AND(ISNUMBER($AB10),$AB10=MIN($AB$9:$AB$55)))),$EJ10&lt;&gt;1))),"KINGNODE ","")&amp;IF(AND($AG10="R",NOT(AND(AND(ISNUMBER($AC10),$AC10=MAX($AC$9:$AC$55)),AND(ISNUMBER($AB10),$AB10=MIN($AB$9:$AB$55)))),UPPER('King Node Model'!$L$5)="LOW",$KC10="DOWN",N($AF10)&gt;0),"LOWIVFALL ","")&amp;IF(AND($AG10="R",NOT(AND(AND(ISNUMBER($AC10),$AC10=MAX($AC$9:$AC$55)),AND(ISNUMBER($AB10),$AB10=MIN($AB$9:$AB$55)))),UPPER('King Node Model'!$L$5)="HIGH",$KC10="DOWN",N($AF10)&gt;0,IFERROR(MATCH($AA10,$W$9:$W$14,0)&gt;=4,FALSE)),"HIGHIVFALL ","")&amp;IF(AND($AG10="R",N($BG$99)=1),"SPOTUPVOLUP ","")&amp;IF(AND($AG10="R",ISNUMBER(SEARCH("5/5",'Master Dashboard'!$E$29)),OR(ISNUMBER(SEARCH("WEAKENING",$EQ10)),ISNUMBER(SEARCH("Pos gamma ↓",$EQ10)),ISNUMBER(SEARCH("thinning the ceiling",$EQ10)))),"SQUEEZE ","")&amp;IF(N($JU10)=1,"DEDGECLIFF ","")&amp;IF(N($KT10)=1,"DEXDRAIN ","")&amp;IF(N($HW10)&lt;&gt;0,"DEXDROP ","")&amp;IF(N($HX10)&lt;&gt;0,"PEAK+ ","")&amp;IF(N($IF10)=1,"CHOP ","")&amp;IF(N($IQ10)=1,"CONTESTED ","")&amp;IF(N($IW10)=1,"VSELL ","")&amp;IF(N($JK10)=1,"VBUYRES ","")&amp;IF(N($JL10)=1,"DOMFLAT ","")&amp;IF(N($JM10)=1,"DOMPULL ","")&amp;IF(N($JP10)=1,"OIZOMMA ","")&amp;IF(AND(N($JQ10)=1,N($JZ10)&lt;&gt;1),"OIDEX ","")),""))</f>
        <v>NOREV LOWIVFALL VBUYRES</v>
      </c>
      <c r="HR10" t="str">
        <f>IF(AND(ISNUMBER($W10),OR('King Node Model'!$A$8&lt;&gt;"Pos",N($BG$72)=1,IFERROR(INDEX($AM$9:$AM$55,MATCH($W10,$AA$9:$AA$55,0)),0)&gt;=$BG$20),$E10="REVERSAL",OR($F10="stable",$F10="VOMMA CAP"),$W10&lt;&gt;'King Node Model'!$AL$42,$W10&lt;&gt;'King Node Model'!$AL$43,IFERROR(INDEX($HP$9:$HP$55,MATCH($W10,$AA$9:$AA$55,0)),1)=0),ABS($W10-'King Node Model'!$B$4),"")</f>
        <v/>
      </c>
      <c r="HS10">
        <f>IFERROR(IF(AND($DC10=1,OR(AND($AG10="R",INDEX($DC$9:$DC$55,1)=0,INDEX($DC$9:$DC$55,3)=1,INDEX($DC$9:$DC$55,4)=1),AND($AG10="S",INDEX($DC$9:$DC$55,3)=0,INDEX($DC$9:$DC$55,1)=1,1=0))),1,0),0)</f>
        <v>0</v>
      </c>
      <c r="HT10">
        <f t="shared" si="97"/>
        <v>0</v>
      </c>
      <c r="HU10">
        <v>0</v>
      </c>
      <c r="HV10">
        <v>0</v>
      </c>
      <c r="HW10">
        <f>IFERROR(IF(OR(NOT(ISNUMBER($AA10)),'King Node Model'!$A$8&lt;&gt;"Pos",N($BG$72)=1,ABS(N($AE10))&lt;$BG$113,N($AV10)=1,$FA10="DOM",$AA10='King Node Model'!$T$23,AND(N($BG$116)=1,$AA10='King Node Model'!$F$24),NOT(ISNUMBER($KU10)),NOT(ISNUMBER($KV10))),0,IF(AND($AG10="S",COUNTIF('Master Dashboard'!$AN$16:$AN$18,$AA10)=0,$KU10&gt;=$BG$114,$KU10&gt;=$KV10+$BG$115,NOT(AND(N($AN11)=1,N($KV10)&lt;0)),N($AE10)&lt;=0),1,IF(AND($AG10="R",COUNTIF('Master Dashboard'!$AN$13:$AN$15,$AA10)=0,$KV10&gt;=$BG$114,$KV10&gt;=$KU10+$BG$115,NOT(AND(N($AN9)=1,N($KU10)&lt;0))),-1,0))),0)</f>
        <v>0</v>
      </c>
      <c r="HX10">
        <f>IFERROR(IF(AND(ISNUMBER($AA10),$FA10="PEAK+",N($AN10)&lt;&gt;1,NOT(AND('King Node Model'!$A$8="Pos",OR($AA10='King Node Model'!$T$22,$AA10='King Node Model'!$T$23,$AA10='King Node Model'!$F$24))),IF($AG10="S",COUNTIF('Master Dashboard'!$AN$16:$AN$18,$AA10)=0,IF($AG10="R",COUNTIF('Master Dashboard'!$AN$13:$AN$15,$AA10)=0,FALSE))),1,0),0)</f>
        <v>0</v>
      </c>
      <c r="HY10">
        <f t="shared" si="98"/>
        <v>0.94891282259703313</v>
      </c>
      <c r="HZ10">
        <v>1</v>
      </c>
      <c r="IA10">
        <f>IFERROR(IF(AND(IF($BG$44=1,OR(ISNUMBER(SEARCH("Choppy",'King Node Model'!$S$38)),'King Node Model'!$S$52&lt;&gt;"",'King Node Model'!$A$8="Pos"),TRUE()),OR($DC10=1,$DC9=1,$DC11=1),ABS($AA10-$B$4)&lt;=$BG$7,ABS($AA10-$BG$28)&gt;=$BG$45,OR(AND($AA10&gt;$BG$28,$AG10="R"),AND($AA10&lt;$BG$28,$AG10="S",N($BG$154)=1)),ABS(IF($AA10&gt;$BG$28,$AE11,$AE9))&gt;=$BG$43,ABS(N(IF($AA10&gt;$BG$28,$AE9,$AE11)))&lt;=$BG$153*ABS(IF($AA10&gt;$BG$28,$AE11,$AE9)),IF(ISNUMBER($HZ10),$HZ10=1,AND(ISNUMBER($HY10),$HY10&gt;=$BG$42))),1,0),0)</f>
        <v>0</v>
      </c>
      <c r="IB10">
        <f t="shared" si="99"/>
        <v>0</v>
      </c>
      <c r="IC10" t="str">
        <f>IF(NOT(ISNUMBER($AA10)),"",IFERROR(MID(IF(AND($AC10=MAX($AC$9:$AC$55),$AB10=MIN($AB$9:$AB$55))," · DOM","")&amp;IF(FALSE," · GAP↑ → "&amp;INDEX($AA$9:$AA$55,2-2),"")&amp;IF(AND($DC11=1,$DC10=1,INDEX($AC$9:$AC$55,2+1)&lt;=(1-$FA$6)*$AC10,INDEX($AC$9:$AC$55,2+1)&lt;=(1-$FA$6)*INDEX($AC$9:$AC$55,2+2))," · GAP↓ → "&amp;INDEX($AA$9:$AA$55,2+2),"")&amp;IF($CZ10=1," · dEdge Cliff","")&amp;IF($GY10=1," · γWall","")&amp;IF(AND($DC10=1,$AB10&lt;0,$AC10&gt;=(1+$FA$6)*INDEX($AC$9:$AC$55,2-1),$AC10&gt;=(1+$FA$6)*INDEX($AC$9:$AC$55,2+1))," · PEAK-","")&amp;IF($GZ10=1," · γSh Edge","")&amp;IF($HL10=1," · Trough","")&amp;IF($HN10=1," · PEAK+","")&amp;IF($GF10=1," · Cluster",""),FIND(" · ",IF(AND($AC10=MAX($AC$9:$AC$55),$AB10=MIN($AB$9:$AB$55))," · DOM","")&amp;IF(FALSE," · GAP↑ → "&amp;INDEX($AA$9:$AA$55,2-2),"")&amp;IF(AND($DC11=1,$DC10=1,INDEX($AC$9:$AC$55,2+1)&lt;=(1-$FA$6)*$AC10,INDEX($AC$9:$AC$55,2+1)&lt;=(1-$FA$6)*INDEX($AC$9:$AC$55,2+2))," · GAP↓ → "&amp;INDEX($AA$9:$AA$55,2+2),"")&amp;IF($CZ10=1," · dEdge Cliff","")&amp;IF($GY10=1," · γWall","")&amp;IF(AND($DC10=1,$AB10&lt;0,$AC10&gt;=(1+$FA$6)*INDEX($AC$9:$AC$55,2-1),$AC10&gt;=(1+$FA$6)*INDEX($AC$9:$AC$55,2+1))," · PEAK-","")&amp;IF($GZ10=1," · γSh Edge","")&amp;IF($HL10=1," · Trough","")&amp;IF($HN10=1," · PEAK+","")&amp;IF($GF10=1," · Cluster",""),2),999),""))</f>
        <v/>
      </c>
      <c r="ID10" t="str">
        <f>IF(NOT(ISNUMBER($AA10)),"",IFERROR(MID(IF(AND($AC10=MAX($AC$9:$AC$55),$AB10=MIN($AB$9:$AB$55))," · DOM","")&amp;IF(FALSE," · GAP↑ → "&amp;INDEX($AA$9:$AA$55,2-2),"")&amp;IF(AND($DC11=1,$DC10=1,INDEX($AC$9:$AC$55,2+1)&lt;=(1-$FA$6)*$AC10,INDEX($AC$9:$AC$55,2+1)&lt;=(1-$FA$6)*INDEX($AC$9:$AC$55,2+2))," · GAP↓ → "&amp;INDEX($AA$9:$AA$55,2+2),"")&amp;IF($CZ10=1," · dEdge Cliff","")&amp;IF($GY10=1," · γWall","")&amp;IF(AND($DC10=1,$AB10&lt;0,$AC10&gt;=(1+$FA$6)*INDEX($AC$9:$AC$55,2-1),$AC10&gt;=(1+$FA$6)*INDEX($AC$9:$AC$55,2+1))," · PEAK-","")&amp;IF($GZ10=1," · γSh Edge","")&amp;IF($HL10=1," · Trough","")&amp;IF($HN10=1," · PEAK+","")&amp;IF(AND(NOT($HN10=1),NOT(AND($DC10=1,$AB10&lt;0)),N($GY10)&lt;&gt;1,N($GF10)&lt;&gt;1,N($GZ10)&lt;&gt;1,N($HL10)&lt;&gt;1,N($CZ10)&lt;&gt;1,NOT(AND($AC10=MAX($AC$9:$AC$55),$AB10=MIN($AB$9:$AB$55))),$AC10&gt;=(1+$FA$6)*INDEX($AC$9:$AC$55,2-1),$AC10&gt;=(1+$FA$6)*INDEX($AC$9:$AC$55,2+1))," · Knoll","")&amp;IF($GF10=1," · Cluster",""),4,999),""))</f>
        <v>Knoll</v>
      </c>
      <c r="IF10">
        <f t="shared" si="100"/>
        <v>0</v>
      </c>
      <c r="IG10">
        <f>IFERROR(IF(AND(ISNUMBER($AA10),'King Node Model'!$A$8="Pos",OR($AG10="S",$AG10="R"),$IN10="interior",COUNTIF(IF($AG10="S",'Master Dashboard'!$AN$16:$AN$18,'Master Dashboard'!$AN$13:$AN$15),$AA10)=0,$AA10&lt;&gt;'King Node Model'!$T$22,$AA10&lt;&gt;'King Node Model'!$T$23,$AA10&lt;&gt;'King Node Model'!$F$24),1,0),0)</f>
        <v>0</v>
      </c>
      <c r="IH10">
        <f t="shared" si="101"/>
        <v>0</v>
      </c>
      <c r="II10">
        <f t="shared" ref="II10:II55" si="190">IF(N($IH10)=1,1+N($II9),0)</f>
        <v>0</v>
      </c>
      <c r="IJ10">
        <f t="shared" si="102"/>
        <v>0</v>
      </c>
      <c r="IK10">
        <f t="shared" si="103"/>
        <v>0</v>
      </c>
      <c r="IL10">
        <f t="shared" ref="IL10:IL55" si="191">IF(N($IK10)=1,1+N($IL9),0)</f>
        <v>0</v>
      </c>
      <c r="IM10">
        <f t="shared" si="104"/>
        <v>0</v>
      </c>
      <c r="IN10" t="str">
        <f t="shared" si="105"/>
        <v/>
      </c>
      <c r="IO10">
        <v>0</v>
      </c>
      <c r="IP10">
        <v>0</v>
      </c>
      <c r="IQ10">
        <f>IFERROR(IF($AG10="S",IF(OR(COUNTIF($W$9:$W$14,$AA10)&gt;0,COUNTIF('King Node Model'!$AL$42:'King Node Model'!$AL$43,$AA10)&gt;0),1,0),IF($AG10="R",IF(OR(COUNTIF($W$18:$W$23,$AA10)&gt;0,COUNTIF('King Node Model'!$AL$49:'King Node Model'!$AL$50,$AA10)&gt;0),1,0),0)),0)</f>
        <v>0</v>
      </c>
      <c r="IR10" t="str">
        <f>IFERROR(IF(AND(ISNUMBER($W10),OR('King Node Model'!$A$8&lt;&gt;"Pos",N($BG$72)=1,IFERROR(INDEX($AM$9:$AM$55,MATCH($W10,$AA$9:$AA$55,0)),0)&gt;=$BG$20),COUNTIF('King Node Model'!$AL$42:'King Node Model'!$AL$43,$W10)=0),ABS($W10-$B$4),""),"")</f>
        <v/>
      </c>
      <c r="IS10">
        <f>IF(AND(ISNUMBER($AA10),N($AN10)&lt;&gt;1,N($LR10)&lt;&gt;1,OR(N($EN10)&lt;&gt;1,AND('King Node Model'!$A$8&lt;&gt;"Neg",N($BG$72)&lt;&gt;1)),$AA10&lt;&gt;'King Node Model'!$T$22,$AA10&lt;&gt;'King Node Model'!$T$23,$AA10&lt;&gt;'King Node Model'!$F$24,NOT(AND($AG10="S",COUNTIF('Master Dashboard'!$AN$16:$AN$18,$AA10)&gt;0)),NOT(AND($AG10="R",COUNTIF('Master Dashboard'!$AN$13:$AN$15,$AA10)&gt;0)),NOT(AND('King Node Model'!$A$8&lt;&gt;"Neg",N($BG$72)&lt;&gt;1,COUNTIF('Master Dashboard'!$AN$13:$AN$18,$AA10)&gt;0))),1,0)</f>
        <v>1</v>
      </c>
      <c r="IT10">
        <v>0</v>
      </c>
      <c r="IU10">
        <f>IF(AND(ISNUMBER($AA10),$AA10='King Node Model'!$F$24,$AA10&gt;$GJ$3,N($AD10)&lt;0,$F$4="High"),1,0)</f>
        <v>0</v>
      </c>
      <c r="IV10" t="str">
        <f>""</f>
        <v/>
      </c>
      <c r="IW10">
        <f>IFERROR(IF(AND(ISNUMBER($AA10),NOT(AND(N($LR10)=1,N($MB10)=1)),$AG10="S",OR('King Node Model'!$A$8="Neg",N($BG$72)=1),$JV10="SELL",ABS(N($AD10))&gt;=$BG$94,NOT(AND(N($AD10)&gt;0,N($BG$78)=1,MEDIAN($AA10-$BG$82,$B$4,$AA10+$BG$83)=$B$4))),1,0),0)</f>
        <v>0</v>
      </c>
      <c r="IX10">
        <f>IFERROR(IF(AND(ISNUMBER($AA10),$AG10="S",OR('King Node Model'!$A$8="Neg",N($BG$72)=1),N($AD10)&gt;0,N($BG$78)=1,MEDIAN($AA10-$BG$82,$B$4,$AA10+$BG$83)=$B$4),1,0),0)</f>
        <v>0</v>
      </c>
      <c r="IY10" t="str">
        <f t="shared" si="106"/>
        <v>SELL</v>
      </c>
      <c r="IZ10">
        <f>IFERROR(IF(AND(ISNUMBER($AA10),$FA10&lt;&gt;"DOM",$AA10&lt;&gt;'King Node Model'!$F$24,OR(AND($AG10="S",COUNTIF('Master Dashboard'!$AN$16:$AN$18,$AA10)=0,N(INDEX($AE$9:$AE$55,MATCH($AA10+$BG$84,$AA$9:$AA$55,0)))&lt;=-$BG$85),AND($AG10="R",COUNTIF('Master Dashboard'!$AN$13:$AN$15,$AA10)=0,N(INDEX($AE$9:$AE$55,MATCH($AA10-$BG$84,$AA$9:$AA$55,0)))&gt;=$BG$85))),1,0),0)</f>
        <v>0</v>
      </c>
      <c r="JA10" t="str">
        <f t="shared" si="107"/>
        <v/>
      </c>
      <c r="JC10">
        <f t="shared" si="108"/>
        <v>0</v>
      </c>
      <c r="JD10" t="str">
        <f>IFERROR(IF(NOT(ISNUMBER($AA10)),"",IF(AND(N($JE10)&gt;=$BG$89,N($JE10)&gt;=$BG$151*N($JF10),N($JG10)&gt;=$BG$90*MEDIAN($JG9,$JG11,$JG12)),"P",IF(AND(N($JF10)&gt;=$BG$89,N($JF10)&gt;=$BG$151*N($JE10),N($JH10)&gt;=$BG$90*MEDIAN($JH9,$JH11,$JH12)),"C",""))),"")</f>
        <v>C</v>
      </c>
      <c r="JE10">
        <f>IF(ISNUMBER($AA10),N(IFERROR(INDEX('King Node Model'!$L$29:$L$75,MATCH($AA10,'King Node Model'!$A$29:$A$75,0)),0)),"")</f>
        <v>20</v>
      </c>
      <c r="JF10">
        <f>IF(ISNUMBER($AA10),N(IFERROR(INDEX('King Node Model'!$K$29:$K$75,MATCH($AA10,'King Node Model'!$A$29:$A$75,0)),0)),"")</f>
        <v>2986</v>
      </c>
      <c r="JG10">
        <f t="shared" si="109"/>
        <v>6.6979236436704621E-3</v>
      </c>
      <c r="JH10">
        <f t="shared" si="110"/>
        <v>149.30000000000001</v>
      </c>
      <c r="JI10">
        <f t="shared" si="111"/>
        <v>0</v>
      </c>
      <c r="JJ10" t="str">
        <f t="shared" si="112"/>
        <v/>
      </c>
      <c r="JK10">
        <f t="shared" si="113"/>
        <v>1</v>
      </c>
      <c r="JL10">
        <f t="shared" si="114"/>
        <v>0</v>
      </c>
      <c r="JM10">
        <f t="shared" si="115"/>
        <v>0</v>
      </c>
      <c r="JN10">
        <f t="shared" si="116"/>
        <v>0</v>
      </c>
      <c r="JO10">
        <f t="shared" si="117"/>
        <v>0</v>
      </c>
      <c r="JP10">
        <f t="shared" si="118"/>
        <v>0</v>
      </c>
      <c r="JQ10">
        <f t="shared" si="119"/>
        <v>0</v>
      </c>
      <c r="JR10">
        <v>0</v>
      </c>
      <c r="JS10">
        <f>IFERROR(IF(AND(ISNUMBER($AA10),'King Node Model'!$A$8="Pos",OR($AG10="S",$AG10="R"),N($AB10)&gt;0,N($HP10)&lt;&gt;1,OR(AND($KC10="DOWN",N($AF10)&lt;0,N($AF10)=MIN($AF$9:$AF$55),-N($AF10)&gt;=MAX($AF$9:$AF$55)),AND($KC10="UP",N($AF10)&gt;0,N($AF10)=MAX($AF$9:$AF$55),N($AF10)&gt;=-MIN($AF$9:$AF$55)))),1,0),0)</f>
        <v>0</v>
      </c>
      <c r="JT10">
        <v>0</v>
      </c>
      <c r="JU10">
        <f>IFERROR(IF(AND(N($BG$109)=1,ISNUMBER($AA10),'King Node Model'!$A$8="Pos",N($CZ10)=1,N($AB10)&gt;0),1,0),0)</f>
        <v>0</v>
      </c>
      <c r="JV10" t="str">
        <f t="shared" si="120"/>
        <v>BUY</v>
      </c>
      <c r="JW10">
        <f t="shared" si="121"/>
        <v>0</v>
      </c>
      <c r="JX10">
        <f t="shared" si="122"/>
        <v>0</v>
      </c>
      <c r="JY10">
        <f t="shared" si="123"/>
        <v>0</v>
      </c>
      <c r="JZ10">
        <f t="shared" si="124"/>
        <v>0</v>
      </c>
      <c r="KA10">
        <f t="shared" si="125"/>
        <v>0</v>
      </c>
      <c r="KB10">
        <f t="shared" si="126"/>
        <v>0</v>
      </c>
      <c r="KC10" t="str">
        <f t="shared" si="127"/>
        <v>DOWN</v>
      </c>
      <c r="KE10" t="str">
        <f t="shared" si="128"/>
        <v>Now: strengthening the ceiling (IV rising) · if IV falls: weakens the ceiling · expected on arrival: WEAKENS ✗</v>
      </c>
      <c r="KF10" t="str">
        <f t="shared" si="129"/>
        <v>BUY</v>
      </c>
      <c r="KG10">
        <f t="shared" ref="KG10:KG54" si="192">IF(AND(ISNUMBER($AA10),OR($AG10="R",$AG10="S"),N($AB10)&gt;0,N($AE10)&lt;&gt;0,ISNUMBER($AE9),ISNUMBER($AE11),SIGN($AE9)&lt;&gt;0,SIGN($AE9)=SIGN($AE11),SIGN($AE10)=-SIGN($AE9),ABS($AE10)&gt;(ABS($AE9)+ABS($AE11))/2*0.1),1,0)</f>
        <v>0</v>
      </c>
      <c r="KH10" t="str">
        <f t="shared" si="130"/>
        <v/>
      </c>
      <c r="KI10" t="str">
        <f t="shared" si="131"/>
        <v/>
      </c>
      <c r="KJ10">
        <f t="shared" si="132"/>
        <v>0</v>
      </c>
      <c r="KK10">
        <f t="shared" si="133"/>
        <v>0</v>
      </c>
      <c r="KL10">
        <f t="shared" si="134"/>
        <v>0</v>
      </c>
      <c r="KM10">
        <f t="shared" si="135"/>
        <v>0</v>
      </c>
      <c r="KN10">
        <f t="shared" si="136"/>
        <v>0</v>
      </c>
      <c r="KO10">
        <v>0</v>
      </c>
      <c r="KP10">
        <f t="shared" si="137"/>
        <v>0</v>
      </c>
      <c r="KQ10">
        <f t="shared" si="138"/>
        <v>0</v>
      </c>
      <c r="KR10">
        <f t="shared" si="139"/>
        <v>0</v>
      </c>
      <c r="KS10">
        <f t="shared" si="140"/>
        <v>0</v>
      </c>
      <c r="KT10">
        <f t="shared" si="141"/>
        <v>0</v>
      </c>
      <c r="KU10">
        <f>IF(AND(ISNUMBER($AA10),ISNUMBER($AE10),ISNUMBER($AE9),N($AE10)&lt;&gt;0),($AE10-$AE9)/$AE10,"")</f>
      </c>
      <c r="KV10">
        <f>IF(AND(ISNUMBER($AA10),ISNUMBER($AE10),ISNUMBER($AE11),N($AE10)&lt;&gt;0),($AE10-$AE11)/$AE10,"")</f>
      </c>
      <c r="KW10">
        <f>IFERROR(IF(OR(NOT(ISNUMBER($AA10)),'King Node Model'!$A$8&lt;&gt;"Pos",N($BG$72)=1,ABS(N($AE10))&lt;$BG$113,$FA10="DOM",$AA10='King Node Model'!$T$23,AND(N($BG$116)=1,$AA10='King Node Model'!$F$24),NOT(ISNUMBER($KU10)),NOT(ISNUMBER($KV10))),0,IF(AND($AG10="S",COUNTIF('Master Dashboard'!$AN$16:$AN$18,$AA10)=0,$KU10&gt;=$BG$114,$KU10&gt;=$KV10+$BG$115),1,IF(AND($AG10="R",COUNTIF('Master Dashboard'!$AN$13:$AN$15,$AA10)=0,$KV10&gt;=$BG$114,$KV10&gt;=$KU10+$BG$115),-1,0))),0)</f>
        <v>0</v>
      </c>
      <c r="KX10">
        <f t="shared" si="144"/>
        <v>0</v>
      </c>
      <c r="KY10">
        <f t="shared" si="145"/>
        <v>0</v>
      </c>
      <c r="KZ10">
        <f t="shared" si="146"/>
        <v>0</v>
      </c>
      <c r="LA10">
        <f t="shared" si="147"/>
        <v>0</v>
      </c>
      <c r="LB10">
        <f t="shared" si="148"/>
        <v>0</v>
      </c>
      <c r="LC10">
        <f t="shared" si="149"/>
        <v>0</v>
      </c>
      <c r="LD10">
        <f t="shared" si="150"/>
        <v>0</v>
      </c>
      <c r="LE10">
        <f t="shared" si="151"/>
        <v>0</v>
      </c>
      <c r="LF10">
        <f t="shared" si="152"/>
        <v>0</v>
      </c>
      <c r="LG10" t="str">
        <f t="shared" si="153"/>
        <v/>
      </c>
      <c r="LH10" t="str">
        <f t="shared" si="154"/>
        <v/>
      </c>
      <c r="LI10" t="str">
        <f t="shared" si="155"/>
        <v/>
      </c>
      <c r="LJ10" t="str">
        <f t="shared" si="156"/>
        <v/>
      </c>
      <c r="LK10" t="str">
        <f t="shared" si="157"/>
        <v/>
      </c>
      <c r="LL10">
        <f t="shared" si="158"/>
        <v>0</v>
      </c>
      <c r="LM10">
        <f t="shared" si="159"/>
        <v>0</v>
      </c>
      <c r="LN10">
        <f t="shared" si="160"/>
        <v>0</v>
      </c>
      <c r="LO10">
        <v>0</v>
      </c>
      <c r="LP10">
        <f t="shared" si="161"/>
        <v>0</v>
      </c>
      <c r="LQ10" t="str">
        <f t="shared" si="162"/>
        <v/>
      </c>
      <c r="LR10">
        <f t="shared" si="163"/>
        <v>0</v>
      </c>
      <c r="LS10">
        <f t="shared" si="164"/>
        <v>0</v>
      </c>
      <c r="LT10">
        <f t="shared" si="165"/>
        <v>0</v>
      </c>
      <c r="LU10">
        <f t="shared" si="166"/>
        <v>0</v>
      </c>
      <c r="LV10">
        <f t="shared" si="167"/>
        <v>0</v>
      </c>
      <c r="LW10">
        <f t="shared" si="168"/>
        <v>0</v>
      </c>
      <c r="LX10">
        <f t="shared" si="169"/>
        <v>0</v>
      </c>
      <c r="LY10">
        <f t="shared" si="170"/>
        <v>0</v>
      </c>
      <c r="LZ10">
        <f t="shared" si="171"/>
        <v>0</v>
      </c>
      <c r="MA10">
        <f t="shared" si="172"/>
        <v>0</v>
      </c>
      <c r="MB10">
        <v>0</v>
      </c>
      <c r="MC10">
        <f t="shared" si="173"/>
        <v>1</v>
      </c>
      <c r="MD10">
        <f t="shared" si="174"/>
        <v>1</v>
      </c>
      <c r="ME10">
        <f t="shared" si="175"/>
        <v>0</v>
      </c>
      <c r="MF10">
        <f t="shared" si="176"/>
        <v>0</v>
      </c>
      <c r="MG10">
        <f t="shared" si="177"/>
        <v>0</v>
      </c>
      <c r="MH10">
        <f t="shared" si="178"/>
        <v>0</v>
      </c>
      <c r="MI10" t="str">
        <f t="shared" si="179"/>
        <v/>
      </c>
      <c r="MJ10">
        <f t="shared" si="180"/>
        <v>0</v>
      </c>
      <c r="MK10">
        <f t="shared" si="181"/>
        <v>0</v>
      </c>
      <c r="ML10">
        <f>IF(AND(OR('King Node Model'!$A$8="Neg",N($BG$72)=1),ISNUMBER($AA10),$AG10="R",N($AB10)&lt;0),IF(AND($AA9=$AA10+5,N($AB9)&gt;0,$AA8=$AA10+10,N($AB8)&lt;0),1,IF(AND($AA9=$AA10+5,N($AB9)&gt;0,$AA8=$AA10+10,N($AB8)&gt;0,$AA7=$AA10+15,N($AB7)&lt;0),2,IF(AND($AA9=$AA10+5,N($AB9)&gt;0,$AA8=$AA10+10,N($AB8)&gt;0,$AA7=$AA10+15,N($AB7)&gt;0,$AA6=$AA10+20,N($AB6)&lt;0),3,IF(AND($AA9=$AA10+5,N($AB9)&gt;0,$AA8=$AA10+10,N($AB8)&gt;0,$AA7=$AA10+15,N($AB7)&gt;0,$AA6=$AA10+20,N($AB6)&gt;0,$AA5=$AA10+25,N($AB5)&lt;0),4,0)))),0)</f>
      </c>
      <c r="MM10">
        <f>IF(AND(OR('King Node Model'!$A$8="Neg",N($BG$72)=1),ISNUMBER($AA10),$AG10="S",N($AB10)&lt;0),IF(AND($AA11=$AA10-5,N($AB11)&gt;0,$AA12=$AA10-10,N($AB12)&lt;0),1,IF(AND($AA11=$AA10-5,N($AB11)&gt;0,$AA12=$AA10-10,N($AB12)&gt;0,$AA13=$AA10-15,N($AB13)&lt;0),2,IF(AND($AA11=$AA10-5,N($AB11)&gt;0,$AA12=$AA10-10,N($AB12)&gt;0,$AA13=$AA10-15,N($AB13)&gt;0,$AA14=$AA10-20,N($AB14)&lt;0),3,IF(AND($AA11=$AA10-5,N($AB11)&gt;0,$AA12=$AA10-10,N($AB12)&gt;0,$AA13=$AA10-15,N($AB13)&gt;0,$AA14=$AA10-20,N($AB14)&gt;0,$AA15=$AA10-25,N($AB15)&lt;0),4,0)))),0)</f>
      </c>
      <c r="MN10">
        <f>IF(N($ML10)&gt;0,$AA10,0)</f>
      </c>
      <c r="MO10">
        <f>IF(N($MM10)&gt;0,$AA10,0)</f>
      </c>
      <c r="MP10">
        <f>IF(AND(OR('King Node Model'!$A$8="Neg",N($BG$72)=1),ISNUMBER($BG$155),$AA10=$BG$155,N($NC10)=1),2,IF(AND(OR('King Node Model'!$A$8="Neg",N($BG$72)=1),ISNUMBER($BG$156),$AA10=$BG$156,N($ND10)=1),1,0))</f>
      </c>
      <c r="MQ10">
        <f>IF(ABS(AE10)&lt;=0,0,IF($AG10="R",IF(ISNUMBER(AE9),IF((ABS(AE9)-ABS(AE10))/ABS(AE10)&lt;-0.4,1,0),0),IF(ISNUMBER(AE11),IF((ABS(AE11)-ABS(AE10))/ABS(AE10)&lt;-0.4,1,0),0)))</f>
      </c>
      <c r="MR10">
        <f>IF(OR(N($MQ10)&lt;&gt;1,N($BG$157)&lt;&gt;1,NOT(ISNUMBER($KU10)),NOT(ISNUMBER($KV10))),0,IF(OR(AND($AG10="S",OR(AND($KU10&gt;=$BG$114,$KU10&gt;=$KV10+$BG$115),AND($KU10&gt;1,$KV10&lt;=1,$KV10&gt;=$BG$114))),AND($AG10="R",OR(AND($KV10&gt;=$BG$114,$KV10&gt;=$KU10+$BG$115),AND($KV10&gt;1,$KU10&lt;=1,$KU10&gt;=$BG$114)))),1,0))</f>
      </c>
      <c r="MS10" t="str">
        <f>IF(AND(N($MR10)=1,N($NA10)&lt;&gt;1),"• DEX falls off more sharply "&amp;IF($AG10="S","above (","below (")&amp;TEXT(IF($AG10="S",$KU10,$KV10),"0%")&amp;") than "&amp;IF($AG10="S","below (","above (")&amp;TEXT(IF($AG10="S",$KV10,$KU10),"0%")&amp;") — Dex↓ not counted",IF(N($MW10)=1,"• Shoulder of the "&amp;IF($AG10="R",$AA11,$AA9)&amp;" wall — own DEX "&amp;TEXT($AE10/1000,"+#,##0;-#,##0")&amp;"K is "&amp;TEXT(ABS($AE10)/ABS(IF($AG10="R",$AE11,$AE9)),"0%")&amp;" of "&amp;TEXT(IF($AG10="R",$AE11,$AE9)/1000,"+#,##0;-#,##0")&amp;"K, Dex↓ not counted",""))</f>
      </c>
      <c r="MT10">
        <f>IF(AND(ISNUMBER($AA10),$AG10="S",ISNUMBER($AB10),$AB10=MIN($AB$9:$AB$55),$AA10=$BG$105,$JV10="BUY",ABS(N($AD10))&gt;=$BG$158),1,0)</f>
      </c>
      <c r="MU10" t="str">
        <f>IF(N($MY10)=1,"",IF(OR(N($MT10)=1,AND(OR('King Node Model'!$A$8="Neg",N($BG$72)=1),$AG10="S",ISNUMBER($AB10),$AB10=MIN($AB$9:$AB$55),$AA10=$BG$105)),"• Min GEX + Max Zomma (no reversal flag required) — accelerant warning not applied; zomma acceleration warning only within "&amp;$BG$98&amp;" pts of the level, and not when vanna buying is "&amp;TEXT($BG$158/1000,"0")&amp;"K or more"&amp;CHAR(10)&amp;IF(N($MT10)=1,"• Max Zomma and vanna buying ("&amp;TEXT(N($AD10)/1000,"+#,##0;-#,##0")&amp;"K) make this level safe","• Max Zomma is what makes this level safe"),"")&amp;$NB10&amp;$NI10)</f>
      </c>
      <c r="MV10" t="str">
        <f>IF(AND(ISNUMBER($AA10),OR($AA10=$BG$118,$AA10=$BG$119)),IF(N($AZ10)*IF($AG10="R",1,-1)&gt;0,"✓",IF(N($AZ10)*IF($AG10="R",1,-1)&lt;0,"✗","")),"")</f>
      </c>
      <c r="MW10">
        <f>IF(AND(N($MQ10)=1,N($BG$159)&gt;0,ISNUMBER(IF($AG10="R",$AE11,$AE9)),N(IF($AG10="R",$AE11,$AE9))&lt;&gt;0),IF(ABS(N($AE10))&lt;$BG$159*ABS(IF($AG10="R",$AE11,$AE9)),1,0),0)</f>
      </c>
      <c r="MX10">
        <f>IF(AND(ISNUMBER($AA10),$AA10=$BG$121,$AG10="R",N($AE10)&lt;0,OR(COUNTIF('King Node Model'!$AL$42:$AL$44,$AA10)=0,N($HP10)=1),N($NC10)=1),2,IF(AND(ISNUMBER($AA10),$AA10=$BG$120,$AG10="S",N($AE10)&gt;0,OR(COUNTIF('King Node Model'!$AL$49:$AL$51,$AA10)=0,N($HP10)=1),N($ND10)=1),1,0))</f>
      </c>
      <c r="MY10">
        <f>IF(AND(N($NA10)=1,NOT(AND(AND($AG10="S",ISNUMBER($AB10),$AB10=MIN($AB$9:$AB$55),$AA10=$BG$105),IFERROR(INDEX($AG$9:$AG$55,MATCH('King Node Model'!$B$23,$AA$9:$AA$55,0)),"")="R")),N($AV10)&lt;&gt;1),1,0)</f>
      </c>
      <c r="MZ10" t="str">
        <f>IF(N($MY10)&lt;&gt;1,"","• DEX falls off more sharply "&amp;IF($AG10="S","above (","below (")&amp;TEXT(IF($AG10="S",$KU10,$KV10),"0%")&amp;") than "&amp;IF($AG10="S","below (","above (")&amp;TEXT(IF($AG10="S",$KV10,$KU10),"0%")&amp;") — path of least resistance "&amp;IF($AG10="S","down","up")&amp;IF(N($AZ10)*IF($AG10="R",1,-1)&lt;0,CHAR(10)&amp;"• Speed against — GEX gets more negative as price "&amp;IF($AG10="R","rises","falls")&amp;" into it (speed "&amp;TEXT(N($AZ10),"#,##0;−#,##0")&amp;")","")&amp;IF(OR(N($NG10)=1,N($JC10)=1),CHAR(10)&amp;"• "&amp;IF(N($JC10)=1,"DOM with vanna BUY "&amp;TEXT(N($AD10)/1000,"+#,##0;−#,##0")&amp;"K","Put wall + Max Zomma + DOM")&amp;" backs the level, but it does not outweigh DEX"&amp;IF(N($AZ10)*IF($AG10="R",1,-1)&lt;0," and speed",""),IF(AND($AG10="S",ISNUMBER($AB10),$AB10=MIN($AB$9:$AB$55),$AA10=$BG$105),CHAR(10)&amp;"• Min GEX + Max Zomma backs the level, but it does not outweigh DEX"&amp;IF(N($AZ10)*IF($AG10="R",1,-1)&lt;0," and speed",""),IF(OR(N($JI10)=1,AND(N($GV10)=1,N($JK10)&lt;&gt;1,N($IW10)&lt;&gt;1),N($JC10)=1,AND($AA10='King Node Model'!$F$24,N($JN10)&lt;&gt;1,OR($AG10="R",AND($AG10="S",$F$4="High",IF($BG$80&lt;&gt;"",UPPER($BG$80),$D$5)="UP")))),CHAR(10)&amp;"• Vanna "&amp;IF($AG10="S","BUY ","SELL ")&amp;TEXT(N($AD10)/1000,"+#,##0;−#,##0")&amp;"K backs the level, but it does not outweigh DEX"&amp;IF(N($AZ10)*IF($AG10="R",1,-1)&lt;0," and speed",""),"")))&amp;IF(N($NE10)=1,CHAR(10)&amp;"• Buy-lean max-node exemption not applied — DEX leans against the level",""))</f>
      </c>
      <c r="NA10">
        <f>IF(AND(OR('King Node Model'!$A$8="Neg",N($BG$72)=1),ISNUMBER($AA10),ABS(N($AE10))&gt;=$BG$152,ISNUMBER($KU10),ISNUMBER($KV10)),IF(OR(AND($AG10="S",OR(AND($KU10&gt;=$BG$114,$KU10&gt;=$KV10+$BG$115),AND($KU10&gt;1,$KV10&lt;=1,$KV10&gt;=$BG$114))),AND($AG10="R",OR(AND($KV10&gt;=$BG$114,$KV10&gt;=$KU10+$BG$115),AND($KV10&gt;1,$KU10&lt;=1,$KU10&gt;=$BG$114)))),1,0),0)</f>
      </c>
      <c r="NB10" t="str">
        <f>IF(AND(N($NA10)=1,AND(AND($AG10="S",ISNUMBER($AB10),$AB10=MIN($AB$9:$AB$55),$AA10=$BG$105),IFERROR(INDEX($AG$9:$AG$55,MATCH('King Node Model'!$B$23,$AA$9:$AA$55,0)),"")="R")),CHAR(10)&amp;"• DEX falls off more sharply above ("&amp;TEXT($KU10,"0%")&amp;") than below ("&amp;TEXT($KV10,"0%")&amp;") — DEX-lean warning not applied: Min GEX + Max Zomma support with Max Gamma "&amp;'King Node Model'!$B$23&amp;" above (Dex↓ not counted)",IF(AND(OR(N($NA10)=1,N($NF10)=1),N($AV10)=1),IF(AND(OR('King Node Model'!$A$8="Neg",N($BG$72)=1),$AG10="S",ISNUMBER($AB10),$AB10=MIN($AB$9:$AB$55),$AA10=$BG$105),CHAR(10),"")&amp;"• DEX falls off more sharply "&amp;IF($AG10="S","above (","below (")&amp;TEXT(IF($AG10="S",$KU10,$KV10),"0%")&amp;") than "&amp;IF($AG10="S","below (","above (")&amp;TEXT(IF($AG10="S",$KV10,$KU10),"0%")&amp;") — DEX lean does not apply to iDex (isolated DEX)",""))</f>
      </c>
      <c r="NC10">
        <f>IF(OR($BG$163=1,AND($BG$161&gt;0,$BG$162&lt;99999,ISNUMBER($AA10),$AA10&lt;$BG$162)),1,0)</f>
      </c>
      <c r="ND10">
        <f>IF(OR($BG$163=-1,AND($BG$161&gt;0,$BG$162&lt;99999,ISNUMBER($AA10),$AA10&gt;$BG$161)),1,0)</f>
      </c>
      <c r="NE10">
        <f>IF(AND(OR('King Node Model'!$A$8="Neg",N($BG$72)=1),ISNUMBER(SEARCH("LOW",'Master Dashboard'!$M$5)),ISNUMBER(SEARCH("BUY",'Master Dashboard'!$G$8)),'King Node Model'!$T$23='King Node Model'!$B$23,OR($AA10='King Node Model'!$T$23,AND($AG10="R",$AA10='King Node Model'!$T$23+5)),OR(AND($AG10="S",$JV10="BUY"),AND($AG10="R",$JV10="SELL"))),1,0)</f>
      </c>
      <c r="NF10">
        <f>IFERROR(IF(OR(NOT(ISNUMBER($AA10)),'King Node Model'!$A$8&lt;&gt;"Pos",N($BG$72)=1,ABS(N($AE10))&lt;$BG$113,$FA10="DOM",$AA10='King Node Model'!$T$23,AND(N($BG$116)=1,$AA10='King Node Model'!$F$24),NOT(ISNUMBER($KU10)),NOT(ISNUMBER($KV10))),0,IF(AND($AG10="S",COUNTIF('Master Dashboard'!$AN$16:$AN$18,$AA10)=0,$KU10&gt;=$BG$114,$KU10&gt;=$KV10+$BG$115,NOT(AND(N($AN11)=1,N($KV10)&lt;0)),N($AE10)&lt;=0),1,IF(AND($AG10="R",COUNTIF('Master Dashboard'!$AN$13:$AN$15,$AA10)=0,$KV10&gt;=$BG$114,$KV10&gt;=$KU10+$BG$115,NOT(AND(N($AN9)=1,N($KU10)&lt;0))),-1,0))),0)</f>
      </c>
      <c r="NG10">
        <f t="shared" si="202"/>
      </c>
      <c r="NI10" t="str">
        <f>IF(AND(ISNUMBER($BG$165),ISNUMBER($AA10)),IF(OR(AND($AG10="S",$AA10&gt;$BG$165,$AA10-$BG$165&lt;=5),AND($AG10="R",$AA10&lt;$BG$165,$BG$165-$AA10&lt;=5)),IF(OR(AND(OR('King Node Model'!$A$8="Neg",N($BG$72)=1),$AG10="S",ISNUMBER($AB10),$AB10=MIN($AB$9:$AB$55),$AA10=$BG$105),$NB10&lt;&gt;""),CHAR(10),"")&amp;"• DOM forming at "&amp;$BG$165&amp;" (gamma "&amp;TEXT($BG$166,"0%")&amp;" of max) — price may be pulled to the node",""),"")</f>
      </c>
      <c r="NJ10">
        <f>IF(LEN($NI10)&gt;0,1,0)</f>
      </c>
    </row>
    <row r="11" spans="1:349" ht="15" customHeight="1" x14ac:dyDescent="0.25">
      <c r="A11" s="194" t="str">
        <f t="shared" si="0"/>
        <v>7810</v>
      </c>
      <c r="B11" s="195">
        <f>IFERROR(INDEX('King Node Model'!$C$29:$C$75,MATCH(IF($W11="",$V11,$W11),'King Node Model'!$A$29:$A$75,0)),"")</f>
        <v>353277</v>
      </c>
      <c r="C11" s="196" t="str">
        <f t="shared" si="1"/>
        <v>Gam Dex↓ Gxp oEdge</v>
      </c>
      <c r="D11" s="196">
        <f t="shared" si="2"/>
        <v>4</v>
      </c>
      <c r="E11" s="196" t="str">
        <f t="shared" si="3"/>
        <v>REVERSAL</v>
      </c>
      <c r="F11" s="197" t="str">
        <f t="shared" si="4"/>
        <v>stable</v>
      </c>
      <c r="G11" s="397" t="str">
        <f t="shared" si="5"/>
        <v>Dormant</v>
      </c>
      <c r="R11" s="181" t="s">
        <v>1198</v>
      </c>
      <c r="S11" s="276">
        <f>MAX(AC9:AC55)</f>
        <v>4471438</v>
      </c>
      <c r="V11" s="1">
        <f>IFERROR(INDEX($AA$9:$AA$55,MATCH("R3",$BB$9:$BB$55,0)),"")</f>
        <v>7810</v>
      </c>
      <c r="W11">
        <v>7810</v>
      </c>
      <c r="AA11" s="181">
        <f>'King Node Model'!A31</f>
        <v>7875</v>
      </c>
      <c r="AB11" s="276">
        <f>'King Node Model'!C31</f>
        <v>55016</v>
      </c>
      <c r="AC11" s="181">
        <f>ABS('King Node Model'!B31)</f>
        <v>57578</v>
      </c>
      <c r="AD11" s="276">
        <f>'King Node Model'!F31</f>
        <v>267350</v>
      </c>
      <c r="AE11" s="276">
        <f>'King Node Model'!E31</f>
        <v>-24605</v>
      </c>
      <c r="AF11" s="276">
        <f>'King Node Model'!D31</f>
        <v>1097082</v>
      </c>
      <c r="AG11" s="181" t="str">
        <f t="shared" si="6"/>
        <v>R</v>
      </c>
      <c r="AH11" s="181">
        <f t="shared" si="7"/>
        <v>21</v>
      </c>
      <c r="AI11" s="181" t="str">
        <f t="shared" si="8"/>
        <v>SELL</v>
      </c>
      <c r="AJ11" s="181">
        <f t="shared" si="9"/>
        <v>1</v>
      </c>
      <c r="AK11" s="181">
        <f>IF(ABS(N($AE11))&gt;=$BG$85,1,0)</f>
      </c>
      <c r="AL11" s="181">
        <f t="shared" si="10"/>
        <v>0</v>
      </c>
      <c r="AM11" s="181">
        <f t="shared" si="11"/>
        <v>2</v>
      </c>
      <c r="AN11" s="181">
        <f t="shared" si="12"/>
        <v>0</v>
      </c>
      <c r="AO11" s="1">
        <f t="shared" si="13"/>
        <v>24605</v>
      </c>
      <c r="AP11" s="1" t="str">
        <f t="shared" si="14"/>
        <v/>
      </c>
      <c r="AQ11" s="1">
        <f t="shared" si="15"/>
        <v>1097082</v>
      </c>
      <c r="AR11" s="181">
        <f t="shared" si="16"/>
        <v>0.21030147348571088</v>
      </c>
      <c r="AS11" s="181">
        <f t="shared" si="17"/>
        <v>16</v>
      </c>
      <c r="AT11" s="181" t="str">
        <f t="shared" si="18"/>
        <v/>
      </c>
      <c r="AU11" s="181" t="str">
        <f t="shared" si="19"/>
        <v/>
      </c>
      <c r="AV11" s="218">
        <f t="shared" si="183"/>
        <v>0</v>
      </c>
      <c r="AW11" s="181">
        <f>ABS('King Node Model'!G31)</f>
        <v>136</v>
      </c>
      <c r="AX11" s="181">
        <f t="shared" si="20"/>
        <v>0</v>
      </c>
      <c r="AY11" s="181">
        <f t="shared" si="21"/>
        <v>0</v>
      </c>
      <c r="AZ11" s="276">
        <f>'King Node Model'!I31</f>
        <v>865</v>
      </c>
      <c r="BA11" s="181">
        <f t="shared" si="22"/>
        <v>0</v>
      </c>
      <c r="BB11" s="181" t="str">
        <f t="shared" si="23"/>
        <v>R16</v>
      </c>
      <c r="BC11" s="10">
        <f>'King Node Model'!C31</f>
        <v>55016</v>
      </c>
      <c r="BD11" s="218">
        <f t="shared" si="184"/>
        <v>0</v>
      </c>
      <c r="BE11" s="218">
        <f t="shared" si="185"/>
        <v>0</v>
      </c>
      <c r="BF11" s="76" t="s">
        <v>1199</v>
      </c>
      <c r="BG11" s="409">
        <v>3</v>
      </c>
      <c r="BI11" s="218">
        <f t="shared" si="186"/>
        <v>0</v>
      </c>
      <c r="BJ11" s="218">
        <f t="shared" si="187"/>
        <v>0</v>
      </c>
      <c r="BK11">
        <f t="shared" si="24"/>
        <v>0</v>
      </c>
      <c r="BL11" s="10">
        <f>'King Node Model'!H31</f>
        <v>6</v>
      </c>
      <c r="BM11">
        <f t="shared" si="25"/>
        <v>44</v>
      </c>
      <c r="BN11">
        <f t="shared" si="26"/>
        <v>36</v>
      </c>
      <c r="BO11">
        <f t="shared" si="27"/>
        <v>0</v>
      </c>
      <c r="BP11">
        <f t="shared" si="28"/>
        <v>0</v>
      </c>
      <c r="BQ11" t="str">
        <f t="shared" si="29"/>
        <v/>
      </c>
      <c r="BR11" t="str">
        <f t="shared" si="30"/>
        <v/>
      </c>
      <c r="BS11" s="218">
        <f t="shared" si="31"/>
        <v>0</v>
      </c>
      <c r="BT11" t="str">
        <f t="shared" si="32"/>
        <v/>
      </c>
      <c r="BU11" t="str">
        <f t="shared" si="33"/>
        <v/>
      </c>
      <c r="BV11" s="218">
        <f t="shared" si="34"/>
        <v>267350</v>
      </c>
      <c r="BW11" s="218">
        <f t="shared" si="35"/>
        <v>24605</v>
      </c>
      <c r="BX11" s="218">
        <f>IF(AND(ISNUMBER(BC11),BC11&gt;=$BG$160,OR('King Node Model'!$A$8="Neg",N($BG$72)=1)),1,0)</f>
        <v>1</v>
      </c>
      <c r="BY11" s="218">
        <f t="shared" si="36"/>
        <v>0</v>
      </c>
      <c r="BZ11" s="218">
        <f t="shared" si="37"/>
        <v>0</v>
      </c>
      <c r="CA11" t="str">
        <f t="shared" si="38"/>
        <v/>
      </c>
      <c r="CB11" s="218">
        <f>IF(AND(ISNUMBER('King Node Model'!$D$27),AG11&lt;&gt;"",AA11='King Node Model'!$D$27),1,0)</f>
        <v>0</v>
      </c>
      <c r="CC11" s="218">
        <f>IF(OR('King Node Model'!$A$8="Neg",N($BG$72)=1),$BG$14*IF(ISNUMBER('King Node Model'!$D$26),MAX(0,1-ABS(AA11-'King Node Model'!$D$26)/$BG$18),0)+$BG$15*IFERROR(BV11/MAX($BV$9:$BV$55),0)+$BG$16*IFERROR(BW11/MAX($BW$9:$BW$55),0)+$BG$17*IFERROR(AC11/$S$11,0)*MAX(0,1+$BG$21*CF11),AR11)</f>
        <v>8.5039819516867246E-2</v>
      </c>
      <c r="CD11" s="218">
        <f>IF(OR('King Node Model'!$A$8="Neg",N($BG$72)=1),IF(AND(AG11&lt;&gt;"",ABS(AA11-$B$4)&lt;=$BG$7,OR(AX11=0,$D$5&lt;&gt;"UP"),AY11=0,BK11&lt;&gt;1,CI11=0,AM11&gt;=$BG$20,AC11&gt;$BG$19),1,0),IF(AND(BS11=1,(COUNTIF($W$9:$W$14,AA11)+COUNTIF($W$18:$W$23,AA11))&gt;0,CI11=0,AM11&gt;=$BG$20,AC11&gt;$BG$19),1,0))</f>
        <v>0</v>
      </c>
      <c r="CE11" t="str">
        <f t="shared" si="39"/>
        <v/>
      </c>
      <c r="CF11" s="218">
        <f t="shared" si="40"/>
        <v>0</v>
      </c>
      <c r="CG11" t="str">
        <f t="shared" si="41"/>
        <v/>
      </c>
      <c r="CH11" t="str">
        <f t="shared" si="42"/>
        <v>Dormant</v>
      </c>
      <c r="CI11" s="218">
        <f t="shared" si="43"/>
        <v>0</v>
      </c>
      <c r="CJ11" s="218">
        <f t="shared" si="44"/>
        <v>387420489</v>
      </c>
      <c r="CK11" s="218">
        <f t="shared" si="45"/>
        <v>0</v>
      </c>
      <c r="CL11" s="218">
        <f t="shared" si="46"/>
        <v>0</v>
      </c>
      <c r="CQ11" s="218">
        <f t="shared" si="47"/>
        <v>7810</v>
      </c>
      <c r="CR11" s="394" t="s">
        <v>1200</v>
      </c>
      <c r="CS11" s="218">
        <f>IFERROR(ABS(CN7-$B$4),"")</f>
        <v>0.39000000000032742</v>
      </c>
      <c r="CT11" s="412" t="s">
        <v>1201</v>
      </c>
      <c r="CU11" s="218">
        <f>IF(AND(AND('King Node Model'!$A$8&lt;&gt;"Neg",N($BG$72)&lt;&gt;1),SUMPRODUCT(($AG$9:$AG$55="S")*ISNUMBER($AT$9:$AT$55)*ISNUMBER($AU$9:$AU$55)*($AT$9:$AT$55&lt;&gt;$AU$9:$AU$55)*($AT$9:$AT$55&lt;=$AA11)*($AU$9:$AU$55&gt;=$AA11))&gt;0),0,IF(AND(OR($AA11='King Node Model'!$T$22,$AA11='King Node Model'!$F$24),$AG11="R",COUNTIF($W$9:$W$14,$AA11)&gt;0),1,IF(AND($FN11=1,$EU11&lt;&gt;1,$EM11&lt;&gt;1,$BK11&lt;&gt;1,$DH11&lt;&gt;1,$AG11="R",COUNTIF($W$9:$W$14,$AA11)&gt;0),1,IF($EU11=1,0,IF($EM11=1,0,IF(AND(OR($EE11=1,$GV11=1,AND($EL$7=1,$AA11='King Node Model'!$D$26,$EI11=1),AND(OR($AA11='King Node Model'!$T$22,$AA11='King Node Model'!$T$23),$AN11=1,OR($AX11=0,$D$5&lt;&gt;"UP"))),OR(NOT(OR('King Node Model'!$A$8="Neg",N($BG$72)=1)),$GV11=1,AND(OR($AA11='King Node Model'!$T$22,$AA11='King Node Model'!$T$23),$AN11=1,OR($AX11=0,$D$5&lt;&gt;"UP")),AND($AM11&gt;=$BG$20,$AC11&gt;IF($CZ11=1,$BG$48,$BG$19)))),1,IF($DH11=1,0,IF(AND($DC11=1,$GS11&lt;&gt;1,AND('King Node Model'!$A$8&lt;&gt;"Neg",N($BG$72)&lt;&gt;1)),0,IF(AND($EY11=1,NOT(OR('King Node Model'!$A$8="Neg",$BG$72=1)),$AA11&lt;&gt;'King Node Model'!$B$23),0,IF(AND($GS11=1,$AG11="R",OR($CI11=0,$EE11=1,$EX11=1,$GV11=1),COUNTIF($W$9:$W$14,$AA11)&gt;0,ABS($AA11-$B$4)&lt;=$BG$7,$BK11&lt;&gt;1,$AM11&gt;=$BG$20,$AC11&gt;IF($CZ11=1,$BG$48,$BG$19)),1,IF(OR('King Node Model'!$A$8="Neg",N($BG$72)=1),IF(AND(OR($AM11&gt;=$BG$20,$AA11='King Node Model'!$D$26,$GV11=1),$AG11="R",COUNTIF($W$9:$W$14,$AA11)&gt;0,ABS($AA11-$B$4)&lt;=$BG$7,OR($AX11=0,$D$5&lt;&gt;"UP"),$BK11&lt;&gt;1,OR(OR($CI11=0,$AJ11=1),AND($EI11=1,$LA11=1,COUNTIF($W$9:$W$11,$AA11)&gt;0,$AN11=1,OR($AX11=0,$D$5&lt;&gt;"UP"))),$AM11&gt;=$BG$20,$AC11&gt;IF($CZ11=1,$BG$48,$BG$19),OR($AN11=1,N($LR11)=1,$AA11='King Node Model'!$D$26,AND($BY11=1,$AA11&gt;$B$4),$BX11=1,$CF11=1,$CF11=1,AND(OR($AA11=$CP$4,$AA11=$CP$5,$AA11=$CP$6,$AA11=$CP$7),ABS($AA11-$B$4)&lt;=30),AND($AX11=1,$D$5="DOWN"))),1,0),IF(AND(OR($AM11&gt;=3,$AA11='King Node Model'!$D$26,$GV11=1),$AG11="R",COUNTIF($W$9:$W$14,$AA11)&gt;0,ABS($AA11-$B$4)&lt;=$BG$7,OR($AX11=0,$D$5&lt;&gt;"UP"),$BK11&lt;&gt;1,OR($CI11=0,$AJ11=1),$AM11&gt;=$BG$20,$AC11&gt;IF($CZ11=1,$BG$48,$BG$19),OR($AC11&gt;=MAX($AC$9:$AC$55),$BC11&gt;0,$AA11='King Node Model'!$D$26,AND(OR($AA11=$CP$4,$AA11=$CP$5,$AA11=$CP$6,$AA11=$CP$7),ABS($AA11-$B$4)&lt;=30),$CF11=1,$AN11=1,AND($AX11=1,$D$5="DOWN"))),1,0))))))))))))</f>
        <v>0</v>
      </c>
      <c r="CV11" s="218">
        <f>IF(AND(OR('King Node Model'!$A$8="Neg",N($BG$72)=1),$AG11="S",N($LR11)=1,N($MB11)=1),1,IF(AND(AND('King Node Model'!$A$8&lt;&gt;"Neg",N($BG$72)&lt;&gt;1),SUMPRODUCT(($AG$9:$AG$55="R")*ISNUMBER($AT$9:$AT$55)*ISNUMBER($AU$9:$AU$55)*($AT$9:$AT$55&lt;&gt;$AU$9:$AU$55)*($AT$9:$AT$55&lt;=$AA11)*($AU$9:$AU$55&gt;=$AA11))&gt;0,NOT(AND(N($LC11)=1,$AA11='King Node Model'!$B$23))),0,IF(AND($AA11='King Node Model'!$F$24,$AG11="S",COUNTIF($W$18:$W$23,$AA11)&gt;0),1,IF(AND($FN11=1,$EU11&lt;&gt;1,$EM11&lt;&gt;1,$DH11&lt;&gt;1,$AG11="S",COUNTIF($W$18:$W$23,$AA11)&gt;0),1,IF($EU11=1,0,IF(AND(OR($EF11=1,$GV11=1,AND(OR($AA11='King Node Model'!$T$22,$AA11='King Node Model'!$T$23,AND($AG11="S",COUNTIF('Master Dashboard'!$AN$16:$AN$18,$AA11)&gt;0)),$AN11=1,OR($AX11=0,$D$5&lt;&gt;"UP"))),OR(NOT(OR('King Node Model'!$A$8="Neg",N($BG$72)=1)),$GV11=1,AND(OR($AA11='King Node Model'!$T$22,$AA11='King Node Model'!$T$23,AND($AG11="S",COUNTIF('Master Dashboard'!$AN$16:$AN$18,$AA11)&gt;0)),$AN11=1,OR($AX11=0,$D$5&lt;&gt;"UP")),AND($AM11&gt;=$BG$20,$AC11&gt;IF($CZ11=1,$BG$48,$BG$19)))),1,IF($DH11=1,0,IF(AND($DC11=1,$GS11&lt;&gt;1,AND('King Node Model'!$A$8&lt;&gt;"Neg",N($BG$72)&lt;&gt;1)),0,IF(AND($EY11=1,NOT(OR('King Node Model'!$A$8="Neg",$BG$72=1)),$AA11&lt;&gt;'King Node Model'!$B$23,COUNTIF('Master Dashboard'!$AN$16:$AN$18,$AA11)=0),0,IF(AND($GS11=1,$AG11="S",OR($CI11=0,$EF11=1,$EX11=1,$GV11=1),COUNTIF($W$18:$W$23,$AA11)&gt;0,ABS($AA11-$B$4)&lt;=$BG$7,$BK11&lt;&gt;1,$AM11&gt;=$BG$20,$AC11&gt;IF($CZ11=1,$BG$48,$BG$19)),1,IF(OR('King Node Model'!$A$8="Neg",N($BG$72)=1),IF(AND(OR(OR($AM11&gt;=$BG$20,N($LR11)=1),$AA11='King Node Model'!$D$26,$GV11=1),$AG11="S",COUNTIF($W$18:$W$23,$AA11)&gt;0,ABS($AA11-$B$4)&lt;=$BG$7,OR($AX11=0,$D$5&lt;&gt;"UP"),$BK11&lt;&gt;1,OR($CI11=0,$AJ11=1,AND(N($LR11)=1,N($MB11)=1),N($MT11)=1),OR($AM11&gt;=$BG$20,N($LR11)=1),$AC11&gt;IF($CZ11=1,$BG$48,$BG$19),OR($AB11&gt;0,$AN11=1,N($MT11)=1,N($LR11)=1,$AA11='King Node Model'!$D$26,AND($BY11=1,$AA11&lt;$B$4),$BX11=1,$CF11=1,$CF11=1,AND(OR($AA11=$CP$4,$AA11=$CP$5,$AA11=$CP$6,$AA11=$CP$7),ABS($AA11-$B$4)&lt;=30),AND($AX11=1,$D$5="DOWN"))),1,0),IF(AND(OR($AM11&gt;=3,$AA11='King Node Model'!$D$26,$GV11=1),$AG11="S",COUNTIF($W$18:$W$23,$AA11)&gt;0,ABS($AA11-$B$4)&lt;=$BG$7,OR($AX11=0,$D$5&lt;&gt;"UP"),$BK11&lt;&gt;1,OR($CI11=0,$AJ11=1,AND(N($LR11)=1,N($MB11)=1),N($MT11)=1),$AM11&gt;=$BG$20,$AC11&gt;IF($CZ11=1,$BG$48,$BG$19),OR($AC11&gt;=MAX($AC$9:$AC$55),$BC11&gt;0,N($MT11)=1,$AA11='King Node Model'!$D$26,AND(OR($AA11=$CP$4,$AA11=$CP$5,$AA11=$CP$6,$AA11=$CP$7),ABS($AA11-$B$4)&lt;=30),$CF11=1,$AN11=1,AND($AX11=1,$D$5="DOWN"))),1,0))))))))))))</f>
        <v>0</v>
      </c>
      <c r="CX11" s="218">
        <f t="shared" si="48"/>
        <v>0</v>
      </c>
      <c r="CY11" t="str">
        <f t="shared" si="49"/>
        <v/>
      </c>
      <c r="CZ11" s="218">
        <f t="shared" si="50"/>
        <v>0</v>
      </c>
      <c r="DA11" t="str">
        <f t="shared" si="51"/>
        <v/>
      </c>
      <c r="DB11" t="str">
        <f t="shared" si="52"/>
        <v/>
      </c>
      <c r="DC11" s="218">
        <f t="shared" si="53"/>
        <v>0</v>
      </c>
      <c r="DD11" s="218">
        <f t="shared" si="54"/>
        <v>0</v>
      </c>
      <c r="DE11" s="218">
        <f t="shared" si="55"/>
        <v>0</v>
      </c>
      <c r="DF11" t="str">
        <f t="shared" si="56"/>
        <v/>
      </c>
      <c r="DG11" t="str">
        <f t="shared" si="57"/>
        <v/>
      </c>
      <c r="DH11" s="218">
        <f t="shared" si="58"/>
        <v>0</v>
      </c>
      <c r="DI11">
        <v>1</v>
      </c>
      <c r="DJ11">
        <v>1</v>
      </c>
      <c r="DK11">
        <v>27959</v>
      </c>
      <c r="DL11">
        <v>0</v>
      </c>
      <c r="DM11" t="str">
        <f>IF(AND($CV11=1,$AG11="S"),IF(AND(OR('King Node Model'!$A$8="Neg",N($BG$72)=1),'King Node Model'!$S$52=""),IF(OR(N($AN11)=1,N($LR11)=1,$AB11&gt;0,$AJ11=1,N($JO11)=1,AND(NOT($AE11&gt;0),NOT(IFERROR(AND(ISNUMBER($BC11),ISNUMBER($BC10),($BC11&gt;=0)&lt;&gt;($BC10&gt;=0)),FALSE())),OR(AND($BM11&lt;=6,$BN11&lt;=6),ABS($AA11-'King Node Model'!$T$23)&lt;=5,$LA11=1))),1,0),1),"")</f>
        <v/>
      </c>
      <c r="DN11" t="str">
        <f t="shared" si="59"/>
        <v/>
      </c>
      <c r="DO11" t="str">
        <f t="shared" si="60"/>
        <v>W-list</v>
      </c>
      <c r="DP11" t="str">
        <f>IF(AND(OR('King Node Model'!$A$8="Neg",N($BG$72)=1),$AG11="S",ISNUMBER($AT11),ISNUMBER($AU11),$AT11&lt;&gt;$AU11,$AA11=$AT11),IF(AND(SUMPRODUCT(($AA$9:$AA$55&gt;=$AT11)*($AA$9:$AA$55&lt;=$AU11)*($AB$9:$AB$55&gt;0))&gt;0,SUMPRODUCT(($AA$9:$AA$55&gt;=$AT11)*($AA$9:$AA$55&lt;=$AU11)*($DM$9:$DM$55=1))&gt;0,SUMPRODUCT(($AA$9:$AA$55&gt;=$AT11)*($AA$9:$AA$55&lt;=$AU11)*(COUNTIF($W$18:$W$20,$AA$9:$AA$55)&gt;0))&gt;0),1,0),"")</f>
        <v/>
      </c>
      <c r="DS11">
        <v>0</v>
      </c>
      <c r="DT11">
        <v>0</v>
      </c>
      <c r="DU11" t="str">
        <f>IF('King Node Model'!$A$8&lt;&gt;"Pos","",IF(OR($AA11="",NOT(ISNUMBER($AA11)),ABS($AA11-$B$4)&gt;$BG$7),"",TEXT($AA11,"0")&amp;" | "&amp;IF($AG11="","unclassified",IF($AG11&lt;&gt;IF($AA11&gt;$B$4,"R","S"),"orphan: in "&amp;$AG11&amp;"-list, "&amp;IF($AA11&lt;$B$4,"below","above")&amp;" spot",IF(IF($AG11="R",COUNTIF($W$9:$W$14,$AA11),COUNTIF($W$18:$W$23,$AA11))=0,"not in "&amp;$AG11&amp;"-list",IF($DH11=1,"absorbed into shelf box",IF($BK11=1,"absorbed: adjacent reversal",IF($CI11=1,"accel-accelerant",IF($AC11&lt;=$BG$19,"below gamma-floor",IF($AM11&lt;$BG$20,"confluence "&amp;TEXT($AM11,"0")&amp;" &lt; "&amp;TEXT($BG$20,"0"),IF(AND($AX11=1,$D$5="UP"),"accelerant in up-move",IF(NOT(OR($AC11&gt;=MAX($AC$9:$AC$55),$BC11&gt;0,$AA11='King Node Model'!$D$26,AND(OR($AA11=$CP$4,$AA11=$CP$5,$AA11=$CP$6,$AA11=$CP$7),ABS($AA11-$B$4)&lt;=30),ISNUMBER(SEARCH("STRENGTHENING",$CG11)),$AN11=1,AND($AX11=1,$D$5="DOWN"))),"no surface flag","-&gt; qualifies"))))))))))))</f>
        <v/>
      </c>
      <c r="DV11" s="218">
        <f t="shared" si="61"/>
        <v>99999</v>
      </c>
      <c r="DW11" s="218">
        <f t="shared" si="62"/>
        <v>99999</v>
      </c>
      <c r="DX11" t="str">
        <f>IF('King Node Model'!$A$8&lt;&gt;"Pos","",IF(AND($DV11&lt;99999,$DV11=MIN($DV$9:$DV$55),$DG11&gt;$AA11),"R-box: "&amp;TEXT($AA11,"0")&amp;"-"&amp;TEXT($DG11,"0"),IF(AND($DW11&lt;99999,$DW11=MIN($DW$9:$DW$55),$DF11&lt;$AA11),"S-box: "&amp;TEXT($DF11,"0")&amp;"-"&amp;TEXT($AA11,"0"),"")))</f>
        <v/>
      </c>
      <c r="EB11">
        <f t="shared" si="63"/>
        <v>99.609999999999673</v>
      </c>
      <c r="EC11">
        <f t="shared" si="64"/>
        <v>538591</v>
      </c>
      <c r="ED11">
        <f t="shared" si="65"/>
        <v>0</v>
      </c>
      <c r="EE11">
        <f>IF(AND(OR('King Node Model'!$A$8="Neg",N($BG$72)=1),$AG11="R",ISNUMBER($EB11),$EB11&lt;=$BG$7,$AB11&gt;0,$EC11&gt;0,$AB11=$EC11),1,0)</f>
        <v>0</v>
      </c>
      <c r="EF11">
        <f>IF(AND(OR('King Node Model'!$A$8="Neg",N($BG$72)=1),$AG11="S",ISNUMBER($EB11),$EB11&lt;=$BG$7,$AB11&gt;0,$ED11&gt;0,$AB11=$ED11),1,0)</f>
        <v>0</v>
      </c>
      <c r="EI11">
        <v>1</v>
      </c>
      <c r="EJ11">
        <f>IF($AA11="",0,IF(SUMPRODUCT(($AA$9:$AA$55&gt;=$AT11)*($AA$9:$AA$55&lt;=$AU11)*($DT$9:$DT$55=1))+SUMPRODUCT(($DT$9:$DT$55=1)*($AT$9:$AT$55&lt;=$AA11)*($AU$9:$AU$55&gt;=$AA11))+($DT11=1)+AND(OR('King Node Model'!$A$8="Neg",N($BG$72)=1),ISNUMBER(SEARCH("LOW",'Master Dashboard'!$M$5)),ISNUMBER(SEARCH("BUY",'Master Dashboard'!$G$8)),'King Node Model'!$T$23='King Node Model'!$B$23,$AA11&gt;='King Node Model'!$T$23,$AA11&lt;='King Node Model'!$T$23+5)*1&gt;0,1,0))</f>
        <v>0</v>
      </c>
      <c r="EM11">
        <f t="shared" si="66"/>
        <v>0</v>
      </c>
      <c r="EN11">
        <v>0</v>
      </c>
      <c r="EO11">
        <f t="shared" si="67"/>
        <v>0</v>
      </c>
      <c r="EP11">
        <f t="shared" si="68"/>
        <v>0</v>
      </c>
      <c r="EQ11" t="str">
        <f t="shared" si="69"/>
        <v>thinning the ceiling (magnitude weak)</v>
      </c>
      <c r="ES11" t="str">
        <f>IF(AND(ISNUMBER(AA11),ISNUMBER(AF11),ABS(AA11-'King Node Model'!$B$4)&lt;=$BG$7),ABS(AF11),"")</f>
        <v/>
      </c>
      <c r="ET11">
        <v>0</v>
      </c>
      <c r="EU11" s="218">
        <f>IF(AND(OR('King Node Model'!$A$8="Neg",N($BG$72)=1),ISNUMBER($AA10),ISNUMBER($AA11),ISNUMBER($AA12),ISNUMBER($AB10),ISNUMBER($AB11),ISNUMBER($AB12),ISNUMBER($AF11),$AB11&gt;0,$AB10&lt;0,$AB12&lt;0,$AF11&lt;0),1,0)</f>
        <v>0</v>
      </c>
      <c r="EW11">
        <f>IF(OR(N($MY11)=1,N($JM11)=1),0,N($NE11))</f>
        <v>0</v>
      </c>
      <c r="EX11">
        <f>IF(AND(OR('King Node Model'!$A$8="Neg",N($BG$72)=1),ISNUMBER($AA11),OR(AND($AA11='King Node Model'!$F$24,OR(AND($AG11="S",$F$4="High",IF($BG$80&lt;&gt;"",UPPER($BG$80),$D$5)="DOWN"),AND($AG11="R",$F$4="Low",IF($BG$80&lt;&gt;"",UPPER($BG$80),$D$5)="UP"))),$GV11=1)),1,0)</f>
        <v>0</v>
      </c>
      <c r="EY11">
        <f>IFERROR(IF(AND($DC11=1,$AB11&lt;0,$AC11&gt;=(1+$FA$6)*INDEX($AC$9:$AC$55,3-1),$AC11&gt;=(1+$FA$6)*INDEX($AC$9:$AC$55,3+1),$AC11&gt;=IFERROR(INDEX($AC$9:$AC$55,3-2),0),$AC11&gt;=IFERROR(INDEX($AC$9:$AC$55,3+2),0)),1,0),0)</f>
        <v>0</v>
      </c>
      <c r="FA11" t="str">
        <f>IF(NOT(ISNUMBER($AA11)),"",IFERROR(IF(AND($AC11=MAX($AC$9:$AC$55),$AB11=MIN($AB$9:$AB$55)),"DOM",IF(AND($DC10=1,$DC11=1,$DC12=1,INDEX($AC$9:$AC$55,3-1)&lt;=(1-$FA$6)*$AC11,INDEX($AC$9:$AC$55,3-1)&lt;=(1-$FA$6)*INDEX($AC$9:$AC$55,3-2)),"GAP↑",IF(AND($DC12=1,$DC11=1,INDEX($AC$9:$AC$55,3+1)&lt;=(1-$FA$6)*$AC11,INDEX($AC$9:$AC$55,3+1)&lt;=(1-$FA$6)*INDEX($AC$9:$AC$55,3+2)),"GAP↓",IF($CZ11=1,"dEdge Cliff",IF($GY11=1,"γWall",IF(AND($DC11=1,$AB11&lt;0,$AC11&gt;=(1+$FA$6)*INDEX($AC$9:$AC$55,3-1),$AC11&gt;=(1+$FA$6)*INDEX($AC$9:$AC$55,3+1)),"PEAK-",IF($GZ11=1,"γSh Edge",IF($HL11=1,"Trough",IF($HN11=1,"PEAK+",IF($GF11=1,"Cluster","")))))))))),""))</f>
        <v/>
      </c>
      <c r="FB11" t="str">
        <f t="shared" si="70"/>
        <v/>
      </c>
      <c r="FC11" t="str">
        <f t="shared" si="71"/>
        <v/>
      </c>
      <c r="FD11">
        <f>IF(AND(ISNUMBER($AA11),ISNUMBER('King Node Model'!$AP$17),ISNUMBER('King Node Model'!$AQ$17),$AA11&gt;=MIN('King Node Model'!$AP$17,'King Node Model'!$AQ$17),$AA11&lt;=MAX('King Node Model'!$AP$17,'King Node Model'!$AQ$17),IFERROR(INDEX($AC$9:$AC$55,MATCH('King Node Model'!$AL$42,$AA$9:$AA$55,0)),0)&gt;0,$AC11&gt;=(1-$FA$6)*IFERROR(INDEX($AC$9:$AC$55,MATCH('King Node Model'!$AL$42,$AA$9:$AA$55,0)),0),$AC11&lt;=(1+$FA$6)*IFERROR(INDEX($AC$9:$AC$55,MATCH('King Node Model'!$AL$42,$AA$9:$AA$55,0)),0)),1,0)</f>
        <v>0</v>
      </c>
      <c r="FE11">
        <f>IF($AA11='King Node Model'!$AL$42,1,IF(AND($FD11=1,$FE10=1),1,0))</f>
        <v>0</v>
      </c>
      <c r="FF11">
        <f>IF($AA11='King Node Model'!$AL$42,1,IF(AND($FD11=1,$FF12=1),1,0))</f>
        <v>0</v>
      </c>
      <c r="FG11" t="str">
        <f>IF(OR($FE11=1,$FF11=1),3,"")</f>
        <v/>
      </c>
      <c r="FJ11">
        <f>IF(AND($CW$2=1,ISNUMBER($AA11),ISNUMBER($CW$3),ISNUMBER($CW$4),$AA11&gt;=MIN($CW$3,$CW$4),$AA11&lt;=MAX($CW$3,$CW$4),IFERROR(INDEX($AC$9:$AC$55,MATCH('King Node Model'!$AP$67,$AA$9:$AA$55,0)),0)&gt;0,$AC11&gt;=(1-$FA$6)*IFERROR(INDEX($AC$9:$AC$55,MATCH('King Node Model'!$AP$67,$AA$9:$AA$55,0)),0),$AC11&lt;=(1+$FA$6)*IFERROR(INDEX($AC$9:$AC$55,MATCH('King Node Model'!$AP$67,$AA$9:$AA$55,0)),0)),1,0)</f>
        <v>0</v>
      </c>
      <c r="FK11">
        <f>IF(AND($CW$2=1,$AA11='King Node Model'!$AP$67),1,IF(AND($FJ11=1,$FK10=1),1,0))</f>
        <v>0</v>
      </c>
      <c r="FL11">
        <f>IF(AND($CW$2=1,$AA11='King Node Model'!$AP$67),1,IF(AND($FJ11=1,$FL12=1),1,0))</f>
        <v>0</v>
      </c>
      <c r="FM11" t="str">
        <f>IF(OR($FK11=1,$FL11=1),3,"")</f>
        <v/>
      </c>
      <c r="FN11">
        <v>0</v>
      </c>
      <c r="FR11" t="str">
        <f t="shared" si="72"/>
        <v/>
      </c>
      <c r="FS11">
        <f t="shared" si="188"/>
        <v>0</v>
      </c>
      <c r="FT11">
        <f t="shared" si="73"/>
        <v>0.95550383827156204</v>
      </c>
      <c r="FU11">
        <f t="shared" si="74"/>
        <v>57578</v>
      </c>
      <c r="FV11" t="str">
        <f>IF($FW11=0,"",IF(OR($FW10=0,SIGN(IFERROR($BC11*1,0))&lt;&gt;SIGN(IFERROR($BC10*1,0)),$GH11=1,$GH10=1),MAX($FV$9:$FV10)+1,$FV10))</f>
        <v/>
      </c>
      <c r="FW11">
        <f t="shared" si="75"/>
        <v>0</v>
      </c>
      <c r="FX11" t="str">
        <f t="shared" si="76"/>
        <v/>
      </c>
      <c r="FY11">
        <f t="shared" si="77"/>
        <v>0</v>
      </c>
      <c r="FZ11">
        <f t="shared" si="189"/>
        <v>0</v>
      </c>
      <c r="GA11">
        <f t="shared" si="78"/>
        <v>0</v>
      </c>
      <c r="GB11" t="str">
        <f t="shared" si="79"/>
        <v/>
      </c>
      <c r="GC11" t="str">
        <f t="shared" si="80"/>
        <v/>
      </c>
      <c r="GD11" t="str">
        <f t="shared" si="81"/>
        <v/>
      </c>
      <c r="GE11" t="str">
        <f t="shared" si="82"/>
        <v/>
      </c>
      <c r="GF11">
        <f t="shared" si="83"/>
        <v>0</v>
      </c>
      <c r="GH11">
        <f>IFERROR(IF(AND($AC11&gt;=(1+$FA$6)*INDEX($AC$9:$AC$55,3-1),$AC11&gt;=(1+$FA$6)*INDEX($AC$9:$AC$55,3+1)),1,0),0)</f>
        <v>0</v>
      </c>
      <c r="GK11">
        <v>0</v>
      </c>
      <c r="GO11">
        <v>0</v>
      </c>
      <c r="GP11">
        <v>0</v>
      </c>
      <c r="GQ11">
        <f t="shared" si="84"/>
        <v>0</v>
      </c>
      <c r="GR11">
        <f t="shared" si="85"/>
        <v>0</v>
      </c>
      <c r="GS11">
        <f>IF(AND($EY11=1,$AA11&lt;&gt;'King Node Model'!$B$23),0,IF(OR($GQ11=1,$GR11=1),1,IF($DC11=1,IF(OR('King Node Model'!$A$8="Neg",N($BG$72)=1),IF(OR(AND($AC11=MAX($AC$9:$AC$55),$AB11=MIN($AB$9:$AB$55)),$AN11=1,$EE11=1,$EF11=1,$EX11=1,$GV11=1),1,0),1),0)))</f>
        <v>0</v>
      </c>
      <c r="GT11">
        <f>IFERROR(IF(AND(OR('King Node Model'!$A$8="Neg",N($BG$72)=1),$EU10=1,$AG11="R",ISNUMBER($AA11),ISNUMBER($AF11),$AF11&lt;&gt;0,$AA11&gt;$B$4-$BG$9,$AA11-$B$4&lt;=$BG$47,IF($KC11="UP",SIGN($AF11),IF($KC11="DOWN",-SIGN($AF11),0))&lt;&gt;1),1,0),0)</f>
        <v>0</v>
      </c>
      <c r="GU11" t="str">
        <f t="shared" si="86"/>
        <v/>
      </c>
      <c r="GV11">
        <f t="shared" si="87"/>
        <v>0</v>
      </c>
      <c r="GW11">
        <f t="shared" si="88"/>
        <v>99.609999999999673</v>
      </c>
      <c r="GX11" t="str">
        <f t="shared" si="89"/>
        <v/>
      </c>
      <c r="GY11">
        <f t="shared" si="90"/>
        <v>0</v>
      </c>
      <c r="GZ11">
        <f t="shared" si="91"/>
        <v>0</v>
      </c>
      <c r="HA11">
        <v>0</v>
      </c>
      <c r="HF11">
        <f>IFERROR(IF(AND($GZ11=1,'King Node Model'!$A$8="Pos",$D$5="UP",$CF11=-1,$AJ11&lt;&gt;1),1,0),0)</f>
        <v>0</v>
      </c>
      <c r="HG11">
        <f t="shared" si="92"/>
        <v>0</v>
      </c>
      <c r="HH11" t="str">
        <f>IF($GZ11=1,"",IFERROR(IF(NOT(ISNUMBER($AA11)),"",IF($EY11=1,"",IF($GF11=1,IF($GD11=$GE11,"",$GD11),IF(OR(AND($DC10=1,$DC11=1,$DC12=1,INDEX($AC$9:$AC$55,3-1)&lt;=(1-$FA$6)*$AC11,INDEX($AC$9:$AC$55,3-1)&lt;=(1-$FA$6)*INDEX($AC$9:$AC$55,3-2)),AND($DC12=1,$DC11=1,INDEX($AC$9:$AC$55,3+1)&lt;=(1-$FA$6)*$AC11,INDEX($AC$9:$AC$55,3+1)&lt;=(1-$FA$6)*INDEX($AC$9:$AC$55,3+2)),AND($DC11=1,OR(INDEX($DC$9:$DC$55,3-1)=0,INDEX($DC$9:$DC$55,3+1)=0))),IF(MIN($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MAX($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MIN($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f>
        <v/>
      </c>
      <c r="HI11" t="str">
        <f>IF($GZ11=1,"",IFERROR(IF(NOT(ISNUMBER($AA11)),"",IF($EY11=1,"",IF($GF11=1,IF($GD11=$GE11,"",$GE11),IF(OR(AND($DC10=1,$DC11=1,$DC12=1,INDEX($AC$9:$AC$55,3-1)&lt;=(1-$FA$6)*$AC11,INDEX($AC$9:$AC$55,3-1)&lt;=(1-$FA$6)*INDEX($AC$9:$AC$55,3-2)),AND($DC12=1,$DC11=1,INDEX($AC$9:$AC$55,3+1)&lt;=(1-$FA$6)*$AC11,INDEX($AC$9:$AC$55,3+1)&lt;=(1-$FA$6)*INDEX($AC$9:$AC$55,3+2)),AND($DC11=1,OR(INDEX($DC$9:$DC$55,3-1)=0,INDEX($DC$9:$DC$55,3+1)=0))),IF(MIN($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MAX($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MAX($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f>
        <v/>
      </c>
      <c r="HL11">
        <f t="shared" si="93"/>
        <v>0</v>
      </c>
      <c r="HM11">
        <f>IFERROR(IF(AND($HL11=1,NOT(OR($AA11='King Node Model'!$T$22,$AA11='King Node Model'!$T$23,$AA11='King Node Model'!$F$24,AND($AG11="S",COUNTIF('Master Dashboard'!$AN$16:$AN$18,$AA11)&gt;0),AND($AG11="R",COUNTIF('Master Dashboard'!$AN$13:$AN$15,$AA11)&gt;0)))),1,0),0)</f>
        <v>0</v>
      </c>
      <c r="HN11">
        <f t="shared" si="94"/>
        <v>0</v>
      </c>
      <c r="HO11">
        <f t="shared" si="95"/>
        <v>0</v>
      </c>
      <c r="HP11">
        <f t="shared" si="96"/>
        <v>1</v>
      </c>
      <c r="HQ11" t="str">
        <f>IF(NOT(ISNUMBER($AA11)),"",IFERROR(TRIM(IF(N($MY11)=1,"DEXLEAN ","")&amp;IF(N($IZ11)=1,"DEXCAP ","")&amp;IF(AND($AG11="S",UPPER('King Node Model'!$L$5)="HIGH",$KC11="DOWN",N($AF11)&gt;0,$AA11='King Node Model'!$AN$70,$IY11="SELL"),"CHOPEDGEIV ","")&amp;IF(N($IS11)=1,"NOREV ","")&amp;IF(N($JY11)=1,"VFLAT ","")&amp;IF(N($KR11)=1,"GDEXVANNA ","")&amp;IF(N($LD11)=1,"KGSUPFAIL ","")&amp;IF(N($LE11)=1,"KGRESLEAK ","")&amp;IF(N($MH11)=1,"ZIGZAG ","")&amp;IF(N($KK11)=1,"DATAGAP ","")&amp;IF(N($KA11)&lt;&gt;0,"ACCUNDERCW ","")&amp;IF(AND($AG11="S",$HF11=1),"EDGE ","")&amp;IF(AND($HM11=1,'King Node Model'!$A$8="Pos",N($BG$72)&lt;&gt;1),"TROUGH ","")&amp;IF(AND($EU11=1,N($JZ11)&lt;&gt;1),"BUMP ","")&amp;IF(AND($GT11=1,N($JZ11)&lt;&gt;1),"SANDWICH ","")&amp;IF(AND($EX11&lt;&gt;1,OR('King Node Model'!$A$8="Neg",N($BG$72)=1),OR(AND(ISNUMBER($AC11),$AC11=MAX($AC$9:$AC$55)),AND(ISNUMBER($AB11),$AB11=MIN($AB$9:$AB$55))),NOT(AND(AND(ISNUMBER($AC11),$AC11=MAX($AC$9:$AC$55)),AND(ISNUMBER($AB11),$AB11=MIN($AB$9:$AB$55)))),$AG11="S",N($AB11)&lt;0,NOT(COUNTIF('Master Dashboard'!$AN$16:$AN$18,$AA11)&gt;0),NOT(AND(OR('King Node Model'!$A$8="Neg",N($BG$72)=1),ISNUMBER($AB11),$AB11=MIN($AB$9:$AB$55),$AA11=$BG$105))),"ACCEL ","")&amp;IF(AND($EX11&lt;&gt;1,ISNUMBER($AA11),OR('King Node Model'!$A$8="Neg",N($BG$72)=1),$EY11=1,NOT(AND($AG11="S",COUNTIF('Master Dashboard'!$AN$16:$AN$18,$AA11)&gt;0)),NOT(AND($AA11='King Node Model'!$B$23,IF($AG11="S",OR($AA11='King Node Model'!$C$24,COUNTIF('Master Dashboard'!$AN$16:$AN$18,$AA11)&gt;0),OR($AA11='King Node Model'!$C$23,COUNTIF('Master Dashboard'!$AN$13:$AN$15,$AA11)&gt;0)))),NOT(AND($EX11&lt;&gt;1,OR('King Node Model'!$A$8="Neg",N($BG$72)=1),OR(AND(ISNUMBER($AC11),$AC11=MAX($AC$9:$AC$55)),AND(ISNUMBER($AB11),$AB11=MIN($AB$9:$AB$55))),NOT(AND(AND(ISNUMBER($AC11),$AC11=MAX($AC$9:$AC$55)),AND(ISNUMBER($AB11),$AB11=MIN($AB$9:$AB$55)))),$AG11="S",N($AB11)&lt;0,NOT(COUNTIF('Master Dashboard'!$AN$16:$AN$18,$AA11)&gt;0)))),"AMPLIFY ","")&amp;IF(AND($AG11="S",OR('King Node Model'!$A$8="Neg",N($BG$72)=1),$AJ11&lt;&gt;1,N($MT11)&lt;&gt;1,NOT(AND(N($LR11)=1,N($MB11)=1)),ISNUMBER(SEARCH("ACCEL building",$CG11))),"ZACCEL ","")&amp;IF(AND($AG11="S",OR('King Node Model'!$A$8="Neg",N($BG$72)=1),$AA11='King Node Model'!$B$23,NOT(AND(AND(ISNUMBER($AC11),$AC11=MAX($AC$9:$AC$55)),AND(ISNUMBER($AB11),$AB11=MIN($AB$9:$AB$55)))),$EJ11&lt;&gt;1),"KINGACC ","")&amp;IF(AND($AG11="S",OR('King Node Model'!$A$8="Neg",N($BG$72)=1),ABS(N($AA11)-N('King Node Model'!$B$23))&lt;=$BG$107,NOT(AND(SUMPRODUCT((ABS($AF$9:$AF$55)&lt;=ABS(N($AF11)))*1)/COUNT($AF$9:$AF$55)&gt;=0.66,OR(ISNUMBER(SEARCH("firmer resistance",$CG11)),ISNUMBER(SEARCH("STRENGTHENING",$CG11)),ISNUMBER(SEARCH("firmer support",$CG11))))),NOT(AND(N($AB11)&gt;0,SUMPRODUCT((ABS($AB$9:$AB$55)&lt;=ABS(N($AB11)))*1)/COUNT($AB$9:$AB$55)&gt;=0.66)),$EJ11&lt;&gt;1,$AJ11&lt;&gt;1,COUNTIF('Master Dashboard'!$AN$16:$AN$18,$AA11)=0,NOT(AND($AG11="S",OR('King Node Model'!$A$8="Neg",N($BG$72)=1),$AA11='King Node Model'!$B$23,NOT(AND(AND(ISNUMBER($AC11),$AC11=MAX($AC$9:$AC$55)),AND(ISNUMBER($AB11),$AB11=MIN($AB$9:$AB$55)))),$EJ11&lt;&gt;1))),"KINGNODE ","")&amp;IF(AND($AG11="R",NOT(AND(AND(ISNUMBER($AC11),$AC11=MAX($AC$9:$AC$55)),AND(ISNUMBER($AB11),$AB11=MIN($AB$9:$AB$55)))),UPPER('King Node Model'!$L$5)="LOW",$KC11="DOWN",N($AF11)&gt;0),"LOWIVFALL ","")&amp;IF(AND($AG11="R",NOT(AND(AND(ISNUMBER($AC11),$AC11=MAX($AC$9:$AC$55)),AND(ISNUMBER($AB11),$AB11=MIN($AB$9:$AB$55)))),UPPER('King Node Model'!$L$5)="HIGH",$KC11="DOWN",N($AF11)&gt;0,IFERROR(MATCH($AA11,$W$9:$W$14,0)&gt;=4,FALSE)),"HIGHIVFALL ","")&amp;IF(AND($AG11="R",N($BG$99)=1),"SPOTUPVOLUP ","")&amp;IF(AND($AG11="R",ISNUMBER(SEARCH("5/5",'Master Dashboard'!$E$29)),OR(ISNUMBER(SEARCH("WEAKENING",$EQ11)),ISNUMBER(SEARCH("Pos gamma ↓",$EQ11)),ISNUMBER(SEARCH("thinning the ceiling",$EQ11)))),"SQUEEZE ","")&amp;IF(N($JU11)=1,"DEDGECLIFF ","")&amp;IF(N($KT11)=1,"DEXDRAIN ","")&amp;IF(N($HW11)&lt;&gt;0,"DEXDROP ","")&amp;IF(N($HX11)&lt;&gt;0,"PEAK+ ","")&amp;IF(N($IF11)=1,"CHOP ","")&amp;IF(N($IQ11)=1,"CONTESTED ","")&amp;IF(N($IW11)=1,"VSELL ","")&amp;IF(N($JK11)=1,"VBUYRES ","")&amp;IF(N($JL11)=1,"DOMFLAT ","")&amp;IF(N($JM11)=1,"DOMPULL ","")&amp;IF(N($JP11)=1,"OIZOMMA ","")&amp;IF(AND(N($JQ11)=1,N($JZ11)&lt;&gt;1),"OIDEX ","")),""))</f>
        <v>NOREV LOWIVFALL VBUYRES</v>
      </c>
      <c r="HR11" t="str">
        <f>IF(AND(ISNUMBER($W11),OR('King Node Model'!$A$8&lt;&gt;"Pos",N($BG$72)=1,IFERROR(INDEX($AM$9:$AM$55,MATCH($W11,$AA$9:$AA$55,0)),0)&gt;=$BG$20),$E11="REVERSAL",OR($F11="stable",$F11="VOMMA CAP"),$W11&lt;&gt;'King Node Model'!$AL$42,$W11&lt;&gt;'King Node Model'!$AL$43,IFERROR(INDEX($HP$9:$HP$55,MATCH($W11,$AA$9:$AA$55,0)),1)=0),ABS($W11-'King Node Model'!$B$4),"")</f>
        <v/>
      </c>
      <c r="HS11">
        <f>IFERROR(IF(AND($DC11=1,OR(AND($AG11="R",INDEX($DC$9:$DC$55,2)=0,INDEX($DC$9:$DC$55,4)=1,INDEX($DC$9:$DC$55,5)=1),AND($AG11="S",INDEX($DC$9:$DC$55,4)=0,INDEX($DC$9:$DC$55,2)=1,INDEX($DC$9:$DC$55,1)=1))),1,0),0)</f>
        <v>0</v>
      </c>
      <c r="HT11">
        <f t="shared" si="97"/>
        <v>0</v>
      </c>
      <c r="HU11">
        <v>0</v>
      </c>
      <c r="HV11">
        <v>0</v>
      </c>
      <c r="HW11">
        <f>IFERROR(IF(OR(NOT(ISNUMBER($AA11)),'King Node Model'!$A$8&lt;&gt;"Pos",N($BG$72)=1,ABS(N($AE11))&lt;$BG$113,N($AV11)=1,$FA11="DOM",$AA11='King Node Model'!$T$23,AND(N($BG$116)=1,$AA11='King Node Model'!$F$24),NOT(ISNUMBER($KU11)),NOT(ISNUMBER($KV11))),0,IF(AND($AG11="S",COUNTIF('Master Dashboard'!$AN$16:$AN$18,$AA11)=0,$KU11&gt;=$BG$114,$KU11&gt;=$KV11+$BG$115,NOT(AND(N($AN12)=1,N($KV11)&lt;0)),N($AE11)&lt;=0),1,IF(AND($AG11="R",COUNTIF('Master Dashboard'!$AN$13:$AN$15,$AA11)=0,$KV11&gt;=$BG$114,$KV11&gt;=$KU11+$BG$115,NOT(AND(N($AN10)=1,N($KU11)&lt;0))),-1,0))),0)</f>
        <v>0</v>
      </c>
      <c r="HX11">
        <f>IFERROR(IF(AND(ISNUMBER($AA11),$FA11="PEAK+",N($AN11)&lt;&gt;1,NOT(AND('King Node Model'!$A$8="Pos",OR($AA11='King Node Model'!$T$22,$AA11='King Node Model'!$T$23,$AA11='King Node Model'!$F$24))),IF($AG11="S",COUNTIF('Master Dashboard'!$AN$16:$AN$18,$AA11)=0,IF($AG11="R",COUNTIF('Master Dashboard'!$AN$13:$AN$15,$AA11)=0,FALSE))),1,0),0)</f>
        <v>0</v>
      </c>
      <c r="HY11">
        <f t="shared" si="98"/>
        <v>-0.19366419249987871</v>
      </c>
      <c r="HZ11">
        <v>0</v>
      </c>
      <c r="IA11">
        <f>IFERROR(IF(AND(IF($BG$44=1,OR(ISNUMBER(SEARCH("Choppy",'King Node Model'!$S$38)),'King Node Model'!$S$52&lt;&gt;"",'King Node Model'!$A$8="Pos"),TRUE()),OR($DC11=1,$DC10=1,$DC12=1),ABS($AA11-$B$4)&lt;=$BG$7,ABS($AA11-$BG$28)&gt;=$BG$45,OR(AND($AA11&gt;$BG$28,$AG11="R"),AND($AA11&lt;$BG$28,$AG11="S",N($BG$154)=1)),ABS(IF($AA11&gt;$BG$28,$AE12,$AE10))&gt;=$BG$43,ABS(N(IF($AA11&gt;$BG$28,$AE10,$AE12)))&lt;=$BG$153*ABS(IF($AA11&gt;$BG$28,$AE12,$AE10)),IF(ISNUMBER($HZ11),$HZ11=1,AND(ISNUMBER($HY11),$HY11&gt;=$BG$42))),1,0),0)</f>
        <v>0</v>
      </c>
      <c r="IB11">
        <f t="shared" si="99"/>
        <v>0</v>
      </c>
      <c r="IC11" t="str">
        <f>IF(NOT(ISNUMBER($AA11)),"",IFERROR(MID(IF(AND($AC11=MAX($AC$9:$AC$55),$AB11=MIN($AB$9:$AB$55))," · DOM","")&amp;IF(AND($DC10=1,$DC11=1,$DC12=1,INDEX($AC$9:$AC$55,3-1)&lt;=(1-$FA$6)*$AC11,INDEX($AC$9:$AC$55,3-1)&lt;=(1-$FA$6)*INDEX($AC$9:$AC$55,3-2))," · GAP↑ → "&amp;INDEX($AA$9:$AA$55,3-2),"")&amp;IF(AND($DC12=1,$DC11=1,INDEX($AC$9:$AC$55,3+1)&lt;=(1-$FA$6)*$AC11,INDEX($AC$9:$AC$55,3+1)&lt;=(1-$FA$6)*INDEX($AC$9:$AC$55,3+2))," · GAP↓ → "&amp;INDEX($AA$9:$AA$55,3+2),"")&amp;IF($CZ11=1," · dEdge Cliff","")&amp;IF($GY11=1," · γWall","")&amp;IF(AND($DC11=1,$AB11&lt;0,$AC11&gt;=(1+$FA$6)*INDEX($AC$9:$AC$55,3-1),$AC11&gt;=(1+$FA$6)*INDEX($AC$9:$AC$55,3+1))," · PEAK-","")&amp;IF($GZ11=1," · γSh Edge","")&amp;IF($HL11=1," · Trough","")&amp;IF($HN11=1," · PEAK+","")&amp;IF($GF11=1," · Cluster",""),FIND(" · ",IF(AND($AC11=MAX($AC$9:$AC$55),$AB11=MIN($AB$9:$AB$55))," · DOM","")&amp;IF(AND($DC10=1,$DC11=1,$DC12=1,INDEX($AC$9:$AC$55,3-1)&lt;=(1-$FA$6)*$AC11,INDEX($AC$9:$AC$55,3-1)&lt;=(1-$FA$6)*INDEX($AC$9:$AC$55,3-2))," · GAP↑ → "&amp;INDEX($AA$9:$AA$55,3-2),"")&amp;IF(AND($DC12=1,$DC11=1,INDEX($AC$9:$AC$55,3+1)&lt;=(1-$FA$6)*$AC11,INDEX($AC$9:$AC$55,3+1)&lt;=(1-$FA$6)*INDEX($AC$9:$AC$55,3+2))," · GAP↓ → "&amp;INDEX($AA$9:$AA$55,3+2),"")&amp;IF($CZ11=1," · dEdge Cliff","")&amp;IF($GY11=1," · γWall","")&amp;IF(AND($DC11=1,$AB11&lt;0,$AC11&gt;=(1+$FA$6)*INDEX($AC$9:$AC$55,3-1),$AC11&gt;=(1+$FA$6)*INDEX($AC$9:$AC$55,3+1))," · PEAK-","")&amp;IF($GZ11=1," · γSh Edge","")&amp;IF($HL11=1," · Trough","")&amp;IF($HN11=1," · PEAK+","")&amp;IF($GF11=1," · Cluster",""),2),999),""))</f>
        <v/>
      </c>
      <c r="ID11" t="str">
        <f>IF(NOT(ISNUMBER($AA11)),"",IFERROR(MID(IF(AND($AC11=MAX($AC$9:$AC$55),$AB11=MIN($AB$9:$AB$55))," · DOM","")&amp;IF(AND($DC10=1,$DC11=1,$DC12=1,INDEX($AC$9:$AC$55,3-1)&lt;=(1-$FA$6)*$AC11,INDEX($AC$9:$AC$55,3-1)&lt;=(1-$FA$6)*INDEX($AC$9:$AC$55,3-2))," · GAP↑ → "&amp;INDEX($AA$9:$AA$55,3-2),"")&amp;IF(AND($DC12=1,$DC11=1,INDEX($AC$9:$AC$55,3+1)&lt;=(1-$FA$6)*$AC11,INDEX($AC$9:$AC$55,3+1)&lt;=(1-$FA$6)*INDEX($AC$9:$AC$55,3+2))," · GAP↓ → "&amp;INDEX($AA$9:$AA$55,3+2),"")&amp;IF($CZ11=1," · dEdge Cliff","")&amp;IF($GY11=1," · γWall","")&amp;IF(AND($DC11=1,$AB11&lt;0,$AC11&gt;=(1+$FA$6)*INDEX($AC$9:$AC$55,3-1),$AC11&gt;=(1+$FA$6)*INDEX($AC$9:$AC$55,3+1))," · PEAK-","")&amp;IF($GZ11=1," · γSh Edge","")&amp;IF($HL11=1," · Trough","")&amp;IF($HN11=1," · PEAK+","")&amp;IF(AND(NOT($HN11=1),NOT(AND($DC11=1,$AB11&lt;0)),N($GY11)&lt;&gt;1,N($GF11)&lt;&gt;1,N($GZ11)&lt;&gt;1,N($HL11)&lt;&gt;1,N($CZ11)&lt;&gt;1,NOT(AND($AC11=MAX($AC$9:$AC$55),$AB11=MIN($AB$9:$AB$55))),$AC11&gt;=(1+$FA$6)*INDEX($AC$9:$AC$55,3-1),$AC11&gt;=(1+$FA$6)*INDEX($AC$9:$AC$55,3+1))," · Knoll","")&amp;IF($GF11=1," · Cluster",""),4,999),""))</f>
        <v/>
      </c>
      <c r="IF11">
        <f t="shared" si="100"/>
        <v>0</v>
      </c>
      <c r="IG11">
        <f>IFERROR(IF(AND(ISNUMBER($AA11),'King Node Model'!$A$8="Pos",OR($AG11="S",$AG11="R"),$IN11="interior",COUNTIF(IF($AG11="S",'Master Dashboard'!$AN$16:$AN$18,'Master Dashboard'!$AN$13:$AN$15),$AA11)=0,$AA11&lt;&gt;'King Node Model'!$T$22,$AA11&lt;&gt;'King Node Model'!$T$23,$AA11&lt;&gt;'King Node Model'!$F$24),1,0),0)</f>
        <v>0</v>
      </c>
      <c r="IH11">
        <f t="shared" si="101"/>
        <v>0</v>
      </c>
      <c r="II11">
        <f t="shared" si="190"/>
        <v>0</v>
      </c>
      <c r="IJ11">
        <f t="shared" si="102"/>
        <v>0</v>
      </c>
      <c r="IK11">
        <f t="shared" si="103"/>
        <v>0</v>
      </c>
      <c r="IL11">
        <f t="shared" si="191"/>
        <v>0</v>
      </c>
      <c r="IM11">
        <f t="shared" si="104"/>
        <v>0</v>
      </c>
      <c r="IN11" t="str">
        <f t="shared" si="105"/>
        <v/>
      </c>
      <c r="IO11">
        <v>0</v>
      </c>
      <c r="IP11">
        <v>0</v>
      </c>
      <c r="IQ11">
        <f>IFERROR(IF($AG11="S",IF(OR(COUNTIF($W$9:$W$14,$AA11)&gt;0,COUNTIF('King Node Model'!$AL$42:'King Node Model'!$AL$43,$AA11)&gt;0),1,0),IF($AG11="R",IF(OR(COUNTIF($W$18:$W$23,$AA11)&gt;0,COUNTIF('King Node Model'!$AL$49:'King Node Model'!$AL$50,$AA11)&gt;0),1,0),0)),0)</f>
        <v>0</v>
      </c>
      <c r="IR11">
        <f>IFERROR(IF(AND(ISNUMBER($W11),OR('King Node Model'!$A$8&lt;&gt;"Pos",N($BG$72)=1,IFERROR(INDEX($AM$9:$AM$55,MATCH($W11,$AA$9:$AA$55,0)),0)&gt;=$BG$20),COUNTIF('King Node Model'!$AL$42:'King Node Model'!$AL$43,$W11)=0),ABS($W11-$B$4),""),"")</f>
        <v>34.609999999999673</v>
      </c>
      <c r="IS11">
        <f>IF(AND(ISNUMBER($AA11),N($AN11)&lt;&gt;1,N($LR11)&lt;&gt;1,OR(N($EN11)&lt;&gt;1,AND('King Node Model'!$A$8&lt;&gt;"Neg",N($BG$72)&lt;&gt;1)),$AA11&lt;&gt;'King Node Model'!$T$22,$AA11&lt;&gt;'King Node Model'!$T$23,$AA11&lt;&gt;'King Node Model'!$F$24,NOT(AND($AG11="S",COUNTIF('Master Dashboard'!$AN$16:$AN$18,$AA11)&gt;0)),NOT(AND($AG11="R",COUNTIF('Master Dashboard'!$AN$13:$AN$15,$AA11)&gt;0)),NOT(AND('King Node Model'!$A$8&lt;&gt;"Neg",N($BG$72)&lt;&gt;1,COUNTIF('Master Dashboard'!$AN$13:$AN$18,$AA11)&gt;0))),1,0)</f>
        <v>1</v>
      </c>
      <c r="IT11">
        <v>0</v>
      </c>
      <c r="IU11">
        <f>IF(AND(ISNUMBER($AA11),$AA11='King Node Model'!$F$24,$AA11&gt;$GJ$3,N($AD11)&lt;0,$F$4="High"),1,0)</f>
        <v>0</v>
      </c>
      <c r="IV11" t="str">
        <f>""</f>
        <v/>
      </c>
      <c r="IW11">
        <f>IFERROR(IF(AND(ISNUMBER($AA11),NOT(AND(N($LR11)=1,N($MB11)=1)),$AG11="S",OR('King Node Model'!$A$8="Neg",N($BG$72)=1),$JV11="SELL",ABS(N($AD11))&gt;=$BG$94,NOT(AND(N($AD11)&gt;0,N($BG$78)=1,MEDIAN($AA11-$BG$82,$B$4,$AA11+$BG$83)=$B$4))),1,0),0)</f>
        <v>0</v>
      </c>
      <c r="IX11">
        <f>IFERROR(IF(AND(ISNUMBER($AA11),$AG11="S",OR('King Node Model'!$A$8="Neg",N($BG$72)=1),N($AD11)&gt;0,N($BG$78)=1,MEDIAN($AA11-$BG$82,$B$4,$AA11+$BG$83)=$B$4),1,0),0)</f>
        <v>0</v>
      </c>
      <c r="IY11" t="str">
        <f t="shared" si="106"/>
        <v>SELL</v>
      </c>
      <c r="IZ11">
        <f>IFERROR(IF(AND(ISNUMBER($AA11),$FA11&lt;&gt;"DOM",$AA11&lt;&gt;'King Node Model'!$F$24,OR(AND($AG11="S",COUNTIF('Master Dashboard'!$AN$16:$AN$18,$AA11)=0,N(INDEX($AE$9:$AE$55,MATCH($AA11+$BG$84,$AA$9:$AA$55,0)))&lt;=-$BG$85),AND($AG11="R",COUNTIF('Master Dashboard'!$AN$13:$AN$15,$AA11)=0,N(INDEX($AE$9:$AE$55,MATCH($AA11-$BG$84,$AA$9:$AA$55,0)))&gt;=$BG$85))),1,0),0)</f>
        <v>0</v>
      </c>
      <c r="JA11" t="str">
        <f t="shared" si="107"/>
        <v/>
      </c>
      <c r="JC11">
        <f t="shared" si="108"/>
        <v>0</v>
      </c>
      <c r="JD11" t="str">
        <f t="shared" ref="JD11:JD53" si="193">IFERROR(IF(NOT(ISNUMBER($AA11)),"",IF(AND(N($JE11)&gt;=$BG$89,N($JE11)&gt;=$BG$151*N($JF11),N($JG11)&gt;=$BG$90*MEDIAN($JG9,$JG10,$JG12,$JG13)),"P",IF(AND(N($JF11)&gt;=$BG$89,N($JF11)&gt;=$BG$151*N($JE11),N($JH11)&gt;=$BG$90*MEDIAN($JH9,$JH10,$JH12,$JH13)),"C",""))),"")</f>
        <v/>
      </c>
      <c r="JE11">
        <f>IF(ISNUMBER($AA11),N(IFERROR(INDEX('King Node Model'!$L$29:$L$75,MATCH($AA11,'King Node Model'!$A$29:$A$75,0)),0)),"")</f>
        <v>45</v>
      </c>
      <c r="JF11">
        <f>IF(ISNUMBER($AA11),N(IFERROR(INDEX('King Node Model'!$K$29:$K$75,MATCH($AA11,'King Node Model'!$A$29:$A$75,0)),0)),"")</f>
        <v>1977</v>
      </c>
      <c r="JG11">
        <f t="shared" si="109"/>
        <v>2.2761760242792108E-2</v>
      </c>
      <c r="JH11">
        <f t="shared" si="110"/>
        <v>43.93333333333333</v>
      </c>
      <c r="JI11">
        <f t="shared" si="111"/>
        <v>0</v>
      </c>
      <c r="JJ11" t="str">
        <f t="shared" si="112"/>
        <v>Hollow</v>
      </c>
      <c r="JK11">
        <f t="shared" si="113"/>
        <v>1</v>
      </c>
      <c r="JL11">
        <f t="shared" si="114"/>
        <v>0</v>
      </c>
      <c r="JM11">
        <f t="shared" si="115"/>
        <v>0</v>
      </c>
      <c r="JN11">
        <f t="shared" si="116"/>
        <v>0</v>
      </c>
      <c r="JO11">
        <f t="shared" si="117"/>
        <v>0</v>
      </c>
      <c r="JP11">
        <f t="shared" si="118"/>
        <v>0</v>
      </c>
      <c r="JQ11">
        <f t="shared" si="119"/>
        <v>0</v>
      </c>
      <c r="JR11">
        <v>0</v>
      </c>
      <c r="JS11">
        <f>IFERROR(IF(AND(ISNUMBER($AA11),'King Node Model'!$A$8="Pos",OR($AG11="S",$AG11="R"),N($AB11)&gt;0,N($HP11)&lt;&gt;1,OR(AND($KC11="DOWN",N($AF11)&lt;0,N($AF11)=MIN($AF$9:$AF$55),-N($AF11)&gt;=MAX($AF$9:$AF$55)),AND($KC11="UP",N($AF11)&gt;0,N($AF11)=MAX($AF$9:$AF$55),N($AF11)&gt;=-MIN($AF$9:$AF$55)))),1,0),0)</f>
        <v>0</v>
      </c>
      <c r="JT11">
        <v>0</v>
      </c>
      <c r="JU11">
        <f>IFERROR(IF(AND(N($BG$109)=1,ISNUMBER($AA11),'King Node Model'!$A$8="Pos",N($CZ11)=1,N($AB11)&gt;0),1,0),0)</f>
        <v>0</v>
      </c>
      <c r="JV11" t="str">
        <f t="shared" si="120"/>
        <v>BUY</v>
      </c>
      <c r="JW11">
        <f t="shared" si="121"/>
        <v>0</v>
      </c>
      <c r="JX11">
        <f t="shared" si="122"/>
        <v>0</v>
      </c>
      <c r="JY11">
        <f t="shared" si="123"/>
        <v>0</v>
      </c>
      <c r="JZ11">
        <f t="shared" si="124"/>
        <v>0</v>
      </c>
      <c r="KA11">
        <f t="shared" si="125"/>
        <v>0</v>
      </c>
      <c r="KB11">
        <f t="shared" si="126"/>
        <v>0</v>
      </c>
      <c r="KC11" t="str">
        <f t="shared" si="127"/>
        <v>DOWN</v>
      </c>
      <c r="KE11" t="str">
        <f t="shared" si="128"/>
        <v>Now: strengthening the ceiling (IV rising) · if IV falls: weakens the ceiling · expected on arrival: WEAKENS ✗</v>
      </c>
      <c r="KF11" t="str">
        <f t="shared" si="129"/>
        <v>BUY</v>
      </c>
      <c r="KG11">
        <f t="shared" si="192"/>
        <v>0</v>
      </c>
      <c r="KH11" t="str">
        <f t="shared" si="130"/>
        <v/>
      </c>
      <c r="KI11" t="str">
        <f t="shared" si="131"/>
        <v/>
      </c>
      <c r="KJ11">
        <f t="shared" si="132"/>
        <v>0</v>
      </c>
      <c r="KK11">
        <f t="shared" si="133"/>
        <v>0</v>
      </c>
      <c r="KL11">
        <f t="shared" si="134"/>
        <v>0</v>
      </c>
      <c r="KM11">
        <f t="shared" si="135"/>
        <v>0</v>
      </c>
      <c r="KN11">
        <f t="shared" si="136"/>
        <v>0</v>
      </c>
      <c r="KO11">
        <v>0</v>
      </c>
      <c r="KP11">
        <f t="shared" si="137"/>
        <v>0</v>
      </c>
      <c r="KQ11">
        <f t="shared" si="138"/>
        <v>0</v>
      </c>
      <c r="KR11">
        <f t="shared" si="139"/>
        <v>0</v>
      </c>
      <c r="KS11">
        <f t="shared" si="140"/>
        <v>0</v>
      </c>
      <c r="KT11">
        <f t="shared" si="141"/>
        <v>0</v>
      </c>
      <c r="KU11">
        <f>IF(AND(ISNUMBER($AA11),ISNUMBER($AE11),ISNUMBER($AE10),N($AE11)&lt;&gt;0),($AE11-$AE10)/$AE11,"")</f>
      </c>
      <c r="KV11">
        <f>IF(AND(ISNUMBER($AA11),ISNUMBER($AE11),ISNUMBER($AE12),N($AE11)&lt;&gt;0),($AE11-$AE12)/$AE11,"")</f>
      </c>
      <c r="KW11">
        <f>IFERROR(IF(OR(NOT(ISNUMBER($AA11)),'King Node Model'!$A$8&lt;&gt;"Pos",N($BG$72)=1,ABS(N($AE11))&lt;$BG$113,$FA11="DOM",$AA11='King Node Model'!$T$23,AND(N($BG$116)=1,$AA11='King Node Model'!$F$24),NOT(ISNUMBER($KU11)),NOT(ISNUMBER($KV11))),0,IF(AND($AG11="S",COUNTIF('Master Dashboard'!$AN$16:$AN$18,$AA11)=0,$KU11&gt;=$BG$114,$KU11&gt;=$KV11+$BG$115),1,IF(AND($AG11="R",COUNTIF('Master Dashboard'!$AN$13:$AN$15,$AA11)=0,$KV11&gt;=$BG$114,$KV11&gt;=$KU11+$BG$115),-1,0))),0)</f>
        <v>0</v>
      </c>
      <c r="KX11">
        <f t="shared" si="144"/>
        <v>0</v>
      </c>
      <c r="KY11">
        <f t="shared" si="145"/>
        <v>0</v>
      </c>
      <c r="KZ11">
        <f t="shared" si="146"/>
        <v>0</v>
      </c>
      <c r="LA11">
        <f t="shared" si="147"/>
        <v>0</v>
      </c>
      <c r="LB11">
        <f t="shared" si="148"/>
        <v>0</v>
      </c>
      <c r="LC11">
        <f t="shared" si="149"/>
        <v>0</v>
      </c>
      <c r="LD11">
        <f t="shared" si="150"/>
        <v>0</v>
      </c>
      <c r="LE11">
        <f t="shared" si="151"/>
        <v>0</v>
      </c>
      <c r="LF11">
        <f t="shared" si="152"/>
        <v>0</v>
      </c>
      <c r="LG11" t="str">
        <f t="shared" si="153"/>
        <v/>
      </c>
      <c r="LH11" t="str">
        <f t="shared" si="154"/>
        <v/>
      </c>
      <c r="LI11" t="str">
        <f t="shared" si="155"/>
        <v/>
      </c>
      <c r="LJ11" t="str">
        <f t="shared" si="156"/>
        <v/>
      </c>
      <c r="LK11" t="str">
        <f t="shared" si="157"/>
        <v/>
      </c>
      <c r="LL11">
        <f t="shared" si="158"/>
        <v>0</v>
      </c>
      <c r="LM11">
        <f t="shared" si="159"/>
        <v>0</v>
      </c>
      <c r="LN11">
        <f t="shared" si="160"/>
        <v>0</v>
      </c>
      <c r="LO11">
        <v>0</v>
      </c>
      <c r="LP11">
        <f t="shared" si="161"/>
        <v>0</v>
      </c>
      <c r="LQ11" t="str">
        <f t="shared" si="162"/>
        <v/>
      </c>
      <c r="LR11">
        <f t="shared" si="163"/>
        <v>0</v>
      </c>
      <c r="LS11">
        <f t="shared" si="164"/>
        <v>0</v>
      </c>
      <c r="LT11">
        <f t="shared" si="165"/>
        <v>0</v>
      </c>
      <c r="LU11">
        <f t="shared" si="166"/>
        <v>0</v>
      </c>
      <c r="LV11">
        <f t="shared" si="167"/>
        <v>0</v>
      </c>
      <c r="LW11">
        <f t="shared" si="168"/>
        <v>0</v>
      </c>
      <c r="LX11">
        <f t="shared" si="169"/>
        <v>0</v>
      </c>
      <c r="LY11">
        <f t="shared" si="170"/>
        <v>0</v>
      </c>
      <c r="LZ11">
        <f t="shared" si="171"/>
        <v>0</v>
      </c>
      <c r="MA11">
        <f t="shared" si="172"/>
        <v>0</v>
      </c>
      <c r="MB11">
        <v>0</v>
      </c>
      <c r="MC11">
        <f t="shared" si="173"/>
        <v>1</v>
      </c>
      <c r="MD11">
        <f t="shared" si="174"/>
        <v>1</v>
      </c>
      <c r="ME11">
        <f t="shared" si="175"/>
        <v>0</v>
      </c>
      <c r="MF11">
        <f t="shared" si="176"/>
        <v>0</v>
      </c>
      <c r="MG11">
        <f t="shared" si="177"/>
        <v>0</v>
      </c>
      <c r="MH11">
        <f t="shared" si="178"/>
        <v>0</v>
      </c>
      <c r="MI11" t="str">
        <f t="shared" si="179"/>
        <v/>
      </c>
      <c r="MJ11">
        <f t="shared" si="180"/>
        <v>0</v>
      </c>
      <c r="MK11">
        <f t="shared" si="181"/>
        <v>0</v>
      </c>
      <c r="ML11">
        <f>IF(AND(OR('King Node Model'!$A$8="Neg",N($BG$72)=1),ISNUMBER($AA11),$AG11="R",N($AB11)&lt;0),IF(AND($AA10=$AA11+5,N($AB10)&gt;0,$AA9=$AA11+10,N($AB9)&lt;0),1,IF(AND($AA10=$AA11+5,N($AB10)&gt;0,$AA9=$AA11+10,N($AB9)&gt;0,$AA8=$AA11+15,N($AB8)&lt;0),2,IF(AND($AA10=$AA11+5,N($AB10)&gt;0,$AA9=$AA11+10,N($AB9)&gt;0,$AA8=$AA11+15,N($AB8)&gt;0,$AA7=$AA11+20,N($AB7)&lt;0),3,IF(AND($AA10=$AA11+5,N($AB10)&gt;0,$AA9=$AA11+10,N($AB9)&gt;0,$AA8=$AA11+15,N($AB8)&gt;0,$AA7=$AA11+20,N($AB7)&gt;0,$AA6=$AA11+25,N($AB6)&lt;0),4,0)))),0)</f>
      </c>
      <c r="MM11">
        <f>IF(AND(OR('King Node Model'!$A$8="Neg",N($BG$72)=1),ISNUMBER($AA11),$AG11="S",N($AB11)&lt;0),IF(AND($AA12=$AA11-5,N($AB12)&gt;0,$AA13=$AA11-10,N($AB13)&lt;0),1,IF(AND($AA12=$AA11-5,N($AB12)&gt;0,$AA13=$AA11-10,N($AB13)&gt;0,$AA14=$AA11-15,N($AB14)&lt;0),2,IF(AND($AA12=$AA11-5,N($AB12)&gt;0,$AA13=$AA11-10,N($AB13)&gt;0,$AA14=$AA11-15,N($AB14)&gt;0,$AA15=$AA11-20,N($AB15)&lt;0),3,IF(AND($AA12=$AA11-5,N($AB12)&gt;0,$AA13=$AA11-10,N($AB13)&gt;0,$AA14=$AA11-15,N($AB14)&gt;0,$AA15=$AA11-20,N($AB15)&gt;0,$AA16=$AA11-25,N($AB16)&lt;0),4,0)))),0)</f>
      </c>
      <c r="MN11">
        <f>IF(N($ML11)&gt;0,$AA11,0)</f>
      </c>
      <c r="MO11">
        <f>IF(N($MM11)&gt;0,$AA11,0)</f>
      </c>
      <c r="MP11">
        <f>IF(AND(OR('King Node Model'!$A$8="Neg",N($BG$72)=1),ISNUMBER($BG$155),$AA11=$BG$155,N($NC11)=1),2,IF(AND(OR('King Node Model'!$A$8="Neg",N($BG$72)=1),ISNUMBER($BG$156),$AA11=$BG$156,N($ND11)=1),1,0))</f>
      </c>
      <c r="MQ11">
        <f>IF(ABS(AE11)&lt;=0,0,IF($AG11="R",IF(ISNUMBER(AE10),IF((ABS(AE10)-ABS(AE11))/ABS(AE11)&lt;-0.4,1,0),0),IF(ISNUMBER(AE12),IF((ABS(AE12)-ABS(AE11))/ABS(AE11)&lt;-0.4,1,0),0)))</f>
      </c>
      <c r="MR11">
        <f>IF(OR(N($MQ11)&lt;&gt;1,N($BG$157)&lt;&gt;1,NOT(ISNUMBER($KU11)),NOT(ISNUMBER($KV11))),0,IF(OR(AND($AG11="S",OR(AND($KU11&gt;=$BG$114,$KU11&gt;=$KV11+$BG$115),AND($KU11&gt;1,$KV11&lt;=1,$KV11&gt;=$BG$114))),AND($AG11="R",OR(AND($KV11&gt;=$BG$114,$KV11&gt;=$KU11+$BG$115),AND($KV11&gt;1,$KU11&lt;=1,$KU11&gt;=$BG$114)))),1,0))</f>
      </c>
      <c r="MS11" t="str">
        <f>IF(AND(N($MR11)=1,N($NA11)&lt;&gt;1),"• DEX falls off more sharply "&amp;IF($AG11="S","above (","below (")&amp;TEXT(IF($AG11="S",$KU11,$KV11),"0%")&amp;") than "&amp;IF($AG11="S","below (","above (")&amp;TEXT(IF($AG11="S",$KV11,$KU11),"0%")&amp;") — Dex↓ not counted",IF(N($MW11)=1,"• Shoulder of the "&amp;IF($AG11="R",$AA12,$AA10)&amp;" wall — own DEX "&amp;TEXT($AE11/1000,"+#,##0;-#,##0")&amp;"K is "&amp;TEXT(ABS($AE11)/ABS(IF($AG11="R",$AE12,$AE10)),"0%")&amp;" of "&amp;TEXT(IF($AG11="R",$AE12,$AE10)/1000,"+#,##0;-#,##0")&amp;"K, Dex↓ not counted",""))</f>
      </c>
      <c r="MT11">
        <f>IF(AND(ISNUMBER($AA11),$AG11="S",ISNUMBER($AB11),$AB11=MIN($AB$9:$AB$55),$AA11=$BG$105,$JV11="BUY",ABS(N($AD11))&gt;=$BG$158),1,0)</f>
      </c>
      <c r="MU11" t="str">
        <f>IF(N($MY11)=1,"",IF(OR(N($MT11)=1,AND(OR('King Node Model'!$A$8="Neg",N($BG$72)=1),$AG11="S",ISNUMBER($AB11),$AB11=MIN($AB$9:$AB$55),$AA11=$BG$105)),"• Min GEX + Max Zomma (no reversal flag required) — accelerant warning not applied; zomma acceleration warning only within "&amp;$BG$98&amp;" pts of the level, and not when vanna buying is "&amp;TEXT($BG$158/1000,"0")&amp;"K or more"&amp;CHAR(10)&amp;IF(N($MT11)=1,"• Max Zomma and vanna buying ("&amp;TEXT(N($AD11)/1000,"+#,##0;-#,##0")&amp;"K) make this level safe","• Max Zomma is what makes this level safe"),"")&amp;$NB11&amp;$NI11)</f>
      </c>
      <c r="MV11" t="str">
        <f>IF(AND(ISNUMBER($AA11),OR($AA11=$BG$118,$AA11=$BG$119)),IF(N($AZ11)*IF($AG11="R",1,-1)&gt;0,"✓",IF(N($AZ11)*IF($AG11="R",1,-1)&lt;0,"✗","")),"")</f>
      </c>
      <c r="MW11">
        <f>IF(AND(N($MQ11)=1,N($BG$159)&gt;0,ISNUMBER(IF($AG11="R",$AE12,$AE10)),N(IF($AG11="R",$AE12,$AE10))&lt;&gt;0),IF(ABS(N($AE11))&lt;$BG$159*ABS(IF($AG11="R",$AE12,$AE10)),1,0),0)</f>
      </c>
      <c r="MX11">
        <f>IF(AND(ISNUMBER($AA11),$AA11=$BG$121,$AG11="R",N($AE11)&lt;0,OR(COUNTIF('King Node Model'!$AL$42:$AL$44,$AA11)=0,N($HP11)=1),N($NC11)=1),2,IF(AND(ISNUMBER($AA11),$AA11=$BG$120,$AG11="S",N($AE11)&gt;0,OR(COUNTIF('King Node Model'!$AL$49:$AL$51,$AA11)=0,N($HP11)=1),N($ND11)=1),1,0))</f>
      </c>
      <c r="MY11">
        <f>IF(AND(N($NA11)=1,NOT(AND(AND($AG11="S",ISNUMBER($AB11),$AB11=MIN($AB$9:$AB$55),$AA11=$BG$105),IFERROR(INDEX($AG$9:$AG$55,MATCH('King Node Model'!$B$23,$AA$9:$AA$55,0)),"")="R")),N($AV11)&lt;&gt;1),1,0)</f>
      </c>
      <c r="MZ11" t="str">
        <f>IF(N($MY11)&lt;&gt;1,"","• DEX falls off more sharply "&amp;IF($AG11="S","above (","below (")&amp;TEXT(IF($AG11="S",$KU11,$KV11),"0%")&amp;") than "&amp;IF($AG11="S","below (","above (")&amp;TEXT(IF($AG11="S",$KV11,$KU11),"0%")&amp;") — path of least resistance "&amp;IF($AG11="S","down","up")&amp;IF(N($AZ11)*IF($AG11="R",1,-1)&lt;0,CHAR(10)&amp;"• Speed against — GEX gets more negative as price "&amp;IF($AG11="R","rises","falls")&amp;" into it (speed "&amp;TEXT(N($AZ11),"#,##0;−#,##0")&amp;")","")&amp;IF(OR(N($NG11)=1,N($JC11)=1),CHAR(10)&amp;"• "&amp;IF(N($JC11)=1,"DOM with vanna BUY "&amp;TEXT(N($AD11)/1000,"+#,##0;−#,##0")&amp;"K","Put wall + Max Zomma + DOM")&amp;" backs the level, but it does not outweigh DEX"&amp;IF(N($AZ11)*IF($AG11="R",1,-1)&lt;0," and speed",""),IF(AND($AG11="S",ISNUMBER($AB11),$AB11=MIN($AB$9:$AB$55),$AA11=$BG$105),CHAR(10)&amp;"• Min GEX + Max Zomma backs the level, but it does not outweigh DEX"&amp;IF(N($AZ11)*IF($AG11="R",1,-1)&lt;0," and speed",""),IF(OR(N($JI11)=1,AND(N($GV11)=1,N($JK11)&lt;&gt;1,N($IW11)&lt;&gt;1),N($JC11)=1,AND($AA11='King Node Model'!$F$24,N($JN11)&lt;&gt;1,OR($AG11="R",AND($AG11="S",$F$4="High",IF($BG$80&lt;&gt;"",UPPER($BG$80),$D$5)="UP")))),CHAR(10)&amp;"• Vanna "&amp;IF($AG11="S","BUY ","SELL ")&amp;TEXT(N($AD11)/1000,"+#,##0;−#,##0")&amp;"K backs the level, but it does not outweigh DEX"&amp;IF(N($AZ11)*IF($AG11="R",1,-1)&lt;0," and speed",""),"")))&amp;IF(N($NE11)=1,CHAR(10)&amp;"• Buy-lean max-node exemption not applied — DEX leans against the level",""))</f>
      </c>
      <c r="NA11">
        <f>IF(AND(OR('King Node Model'!$A$8="Neg",N($BG$72)=1),ISNUMBER($AA11),ABS(N($AE11))&gt;=$BG$152,ISNUMBER($KU11),ISNUMBER($KV11)),IF(OR(AND($AG11="S",OR(AND($KU11&gt;=$BG$114,$KU11&gt;=$KV11+$BG$115),AND($KU11&gt;1,$KV11&lt;=1,$KV11&gt;=$BG$114))),AND($AG11="R",OR(AND($KV11&gt;=$BG$114,$KV11&gt;=$KU11+$BG$115),AND($KV11&gt;1,$KU11&lt;=1,$KU11&gt;=$BG$114)))),1,0),0)</f>
      </c>
      <c r="NB11" t="str">
        <f>IF(AND(N($NA11)=1,AND(AND($AG11="S",ISNUMBER($AB11),$AB11=MIN($AB$9:$AB$55),$AA11=$BG$105),IFERROR(INDEX($AG$9:$AG$55,MATCH('King Node Model'!$B$23,$AA$9:$AA$55,0)),"")="R")),CHAR(10)&amp;"• DEX falls off more sharply above ("&amp;TEXT($KU11,"0%")&amp;") than below ("&amp;TEXT($KV11,"0%")&amp;") — DEX-lean warning not applied: Min GEX + Max Zomma support with Max Gamma "&amp;'King Node Model'!$B$23&amp;" above (Dex↓ not counted)",IF(AND(OR(N($NA11)=1,N($NF11)=1),N($AV11)=1),IF(AND(OR('King Node Model'!$A$8="Neg",N($BG$72)=1),$AG11="S",ISNUMBER($AB11),$AB11=MIN($AB$9:$AB$55),$AA11=$BG$105),CHAR(10),"")&amp;"• DEX falls off more sharply "&amp;IF($AG11="S","above (","below (")&amp;TEXT(IF($AG11="S",$KU11,$KV11),"0%")&amp;") than "&amp;IF($AG11="S","below (","above (")&amp;TEXT(IF($AG11="S",$KV11,$KU11),"0%")&amp;") — DEX lean does not apply to iDex (isolated DEX)",""))</f>
      </c>
      <c r="NC11">
        <f>IF(OR($BG$163=1,AND($BG$161&gt;0,$BG$162&lt;99999,ISNUMBER($AA11),$AA11&lt;$BG$162)),1,0)</f>
      </c>
      <c r="ND11">
        <f>IF(OR($BG$163=-1,AND($BG$161&gt;0,$BG$162&lt;99999,ISNUMBER($AA11),$AA11&gt;$BG$161)),1,0)</f>
      </c>
      <c r="NE11">
        <f>IF(AND(OR('King Node Model'!$A$8="Neg",N($BG$72)=1),ISNUMBER(SEARCH("LOW",'Master Dashboard'!$M$5)),ISNUMBER(SEARCH("BUY",'Master Dashboard'!$G$8)),'King Node Model'!$T$23='King Node Model'!$B$23,OR($AA11='King Node Model'!$T$23,AND($AG11="R",$AA11='King Node Model'!$T$23+5)),OR(AND($AG11="S",$JV11="BUY"),AND($AG11="R",$JV11="SELL"))),1,0)</f>
      </c>
      <c r="NF11">
        <f>IFERROR(IF(OR(NOT(ISNUMBER($AA11)),'King Node Model'!$A$8&lt;&gt;"Pos",N($BG$72)=1,ABS(N($AE11))&lt;$BG$113,$FA11="DOM",$AA11='King Node Model'!$T$23,AND(N($BG$116)=1,$AA11='King Node Model'!$F$24),NOT(ISNUMBER($KU11)),NOT(ISNUMBER($KV11))),0,IF(AND($AG11="S",COUNTIF('Master Dashboard'!$AN$16:$AN$18,$AA11)=0,$KU11&gt;=$BG$114,$KU11&gt;=$KV11+$BG$115,NOT(AND(N($AN12)=1,N($KV11)&lt;0)),N($AE11)&lt;=0),1,IF(AND($AG11="R",COUNTIF('Master Dashboard'!$AN$13:$AN$15,$AA11)=0,$KV11&gt;=$BG$114,$KV11&gt;=$KU11+$BG$115,NOT(AND(N($AN10)=1,N($KU11)&lt;0))),-1,0))),0)</f>
      </c>
      <c r="NG11">
        <f t="shared" si="202"/>
      </c>
      <c r="NI11" t="str">
        <f>IF(AND(ISNUMBER($BG$165),ISNUMBER($AA11)),IF(OR(AND($AG11="S",$AA11&gt;$BG$165,$AA11-$BG$165&lt;=5),AND($AG11="R",$AA11&lt;$BG$165,$BG$165-$AA11&lt;=5)),IF(OR(AND(OR('King Node Model'!$A$8="Neg",N($BG$72)=1),$AG11="S",ISNUMBER($AB11),$AB11=MIN($AB$9:$AB$55),$AA11=$BG$105),$NB11&lt;&gt;""),CHAR(10),"")&amp;"• DOM forming at "&amp;$BG$165&amp;" (gamma "&amp;TEXT($BG$166,"0%")&amp;" of max) — price may be pulled to the node",""),"")</f>
      </c>
      <c r="NJ11">
        <f>IF(LEN($NI11)&gt;0,1,0)</f>
      </c>
    </row>
    <row r="12" spans="1:349" ht="15" customHeight="1" x14ac:dyDescent="0.25">
      <c r="A12" s="199" t="str">
        <f t="shared" si="0"/>
        <v>7820</v>
      </c>
      <c r="B12" s="200">
        <f>IFERROR(INDEX('King Node Model'!$C$29:$C$75,MATCH(IF($W12="",$V12,$W12),'King Node Model'!$A$29:$A$75,0)),"")</f>
        <v>188525</v>
      </c>
      <c r="C12" s="201" t="str">
        <f t="shared" si="1"/>
        <v>Dex Dex↓ Gxp</v>
      </c>
      <c r="D12" s="201">
        <f t="shared" si="2"/>
        <v>3</v>
      </c>
      <c r="E12" s="201" t="str">
        <f t="shared" si="3"/>
        <v>REVERSAL</v>
      </c>
      <c r="F12" s="202" t="str">
        <f t="shared" si="4"/>
        <v>stable</v>
      </c>
      <c r="G12" s="397" t="str">
        <f t="shared" si="5"/>
        <v>Dormant</v>
      </c>
      <c r="R12" s="181" t="s">
        <v>1202</v>
      </c>
      <c r="S12" s="276">
        <f>MEDIAN(AW9:AW55)</f>
        <v>322</v>
      </c>
      <c r="V12" s="1">
        <f>IFERROR(INDEX($AA$9:$AA$55,MATCH("R4",$BB$9:$BB$55,0)),"")</f>
        <v>7830</v>
      </c>
      <c r="W12">
        <v>7820</v>
      </c>
      <c r="AA12" s="181">
        <f>'King Node Model'!A32</f>
        <v>7870</v>
      </c>
      <c r="AB12" s="276">
        <f>'King Node Model'!C32</f>
        <v>84051</v>
      </c>
      <c r="AC12" s="181">
        <f>ABS('King Node Model'!B32)</f>
        <v>86951</v>
      </c>
      <c r="AD12" s="276">
        <f>'King Node Model'!F32</f>
        <v>404461</v>
      </c>
      <c r="AE12" s="276">
        <f>'King Node Model'!E32</f>
        <v>-20613</v>
      </c>
      <c r="AF12" s="276">
        <f>'King Node Model'!D32</f>
        <v>1707926</v>
      </c>
      <c r="AG12" s="181" t="str">
        <f t="shared" si="6"/>
        <v>R</v>
      </c>
      <c r="AH12" s="181">
        <f t="shared" si="7"/>
        <v>19</v>
      </c>
      <c r="AI12" s="181" t="str">
        <f t="shared" si="8"/>
        <v>SELL</v>
      </c>
      <c r="AJ12" s="181">
        <f t="shared" si="9"/>
        <v>0</v>
      </c>
      <c r="AK12" s="181">
        <f>IF(ABS(N($AE12))&gt;=$BG$85,1,0)</f>
      </c>
      <c r="AL12" s="181">
        <f t="shared" si="10"/>
        <v>0</v>
      </c>
      <c r="AM12" s="181">
        <f t="shared" si="11"/>
        <v>1</v>
      </c>
      <c r="AN12" s="181">
        <f t="shared" si="12"/>
        <v>0</v>
      </c>
      <c r="AO12" s="1">
        <f t="shared" si="13"/>
        <v>20613</v>
      </c>
      <c r="AP12" s="1" t="str">
        <f t="shared" si="14"/>
        <v/>
      </c>
      <c r="AQ12" s="1">
        <f t="shared" si="15"/>
        <v>1707926</v>
      </c>
      <c r="AR12" s="181">
        <f t="shared" si="16"/>
        <v>0.11555669563124883</v>
      </c>
      <c r="AS12" s="181">
        <f t="shared" si="17"/>
        <v>18</v>
      </c>
      <c r="AT12" s="181" t="str">
        <f t="shared" si="18"/>
        <v/>
      </c>
      <c r="AU12" s="181" t="str">
        <f t="shared" si="19"/>
        <v/>
      </c>
      <c r="AV12" s="218">
        <f t="shared" si="183"/>
        <v>0</v>
      </c>
      <c r="AW12" s="181">
        <f>ABS('King Node Model'!G32)</f>
        <v>201</v>
      </c>
      <c r="AX12" s="181">
        <f t="shared" si="20"/>
        <v>0</v>
      </c>
      <c r="AY12" s="181">
        <f t="shared" si="21"/>
        <v>0</v>
      </c>
      <c r="AZ12" s="276">
        <f>'King Node Model'!I32</f>
        <v>1365</v>
      </c>
      <c r="BA12" s="181">
        <f t="shared" si="22"/>
        <v>0</v>
      </c>
      <c r="BB12" s="181" t="str">
        <f t="shared" si="23"/>
        <v>R18</v>
      </c>
      <c r="BC12" s="10">
        <f>'King Node Model'!C32</f>
        <v>84051</v>
      </c>
      <c r="BD12" s="218">
        <f t="shared" si="184"/>
        <v>0</v>
      </c>
      <c r="BE12" s="218">
        <f t="shared" si="185"/>
        <v>0</v>
      </c>
      <c r="BF12" s="336" t="s">
        <v>1203</v>
      </c>
      <c r="BG12" s="409">
        <v>250000</v>
      </c>
      <c r="BI12" s="218">
        <f t="shared" si="186"/>
        <v>0</v>
      </c>
      <c r="BJ12" s="218">
        <f t="shared" si="187"/>
        <v>0</v>
      </c>
      <c r="BK12">
        <f t="shared" si="24"/>
        <v>0</v>
      </c>
      <c r="BL12" s="10">
        <f>'King Node Model'!H32</f>
        <v>8</v>
      </c>
      <c r="BM12">
        <f t="shared" si="25"/>
        <v>34</v>
      </c>
      <c r="BN12">
        <f t="shared" si="26"/>
        <v>27</v>
      </c>
      <c r="BO12">
        <f t="shared" si="27"/>
        <v>0</v>
      </c>
      <c r="BP12">
        <f t="shared" si="28"/>
        <v>0</v>
      </c>
      <c r="BQ12" t="str">
        <f t="shared" si="29"/>
        <v/>
      </c>
      <c r="BR12" t="str">
        <f t="shared" si="30"/>
        <v/>
      </c>
      <c r="BS12" s="218">
        <f t="shared" si="31"/>
        <v>0</v>
      </c>
      <c r="BT12" t="str">
        <f t="shared" si="32"/>
        <v/>
      </c>
      <c r="BU12" t="str">
        <f t="shared" si="33"/>
        <v/>
      </c>
      <c r="BV12" s="218">
        <f t="shared" si="34"/>
        <v>404461</v>
      </c>
      <c r="BW12" s="218">
        <f t="shared" si="35"/>
        <v>20613</v>
      </c>
      <c r="BX12" s="218">
        <f>IF(AND(ISNUMBER(BC12),BC12&gt;=$BG$160,OR('King Node Model'!$A$8="Neg",N($BG$72)=1)),1,0)</f>
        <v>1</v>
      </c>
      <c r="BY12" s="218">
        <f t="shared" si="36"/>
        <v>0</v>
      </c>
      <c r="BZ12" s="218">
        <f t="shared" si="37"/>
        <v>0</v>
      </c>
      <c r="CA12" t="str">
        <f t="shared" si="38"/>
        <v/>
      </c>
      <c r="CB12" s="218">
        <f>IF(AND(ISNUMBER('King Node Model'!$D$27),AG12&lt;&gt;"",AA12='King Node Model'!$D$27),1,0)</f>
        <v>0</v>
      </c>
      <c r="CC12" s="218">
        <f>IF(OR('King Node Model'!$A$8="Neg",N($BG$72)=1),$BG$14*IF(ISNUMBER('King Node Model'!$D$26),MAX(0,1-ABS(AA12-'King Node Model'!$D$26)/$BG$18),0)+$BG$15*IFERROR(BV12/MAX($BV$9:$BV$55),0)+$BG$16*IFERROR(BW12/MAX($BW$9:$BW$55),0)+$BG$17*IFERROR(AC12/$S$11,0)*MAX(0,1+$BG$21*CF12),AR12)</f>
        <v>0.12297001364323489</v>
      </c>
      <c r="CD12" s="218">
        <f>IF(OR('King Node Model'!$A$8="Neg",N($BG$72)=1),IF(AND(AG12&lt;&gt;"",ABS(AA12-$B$4)&lt;=$BG$7,OR(AX12=0,$D$5&lt;&gt;"UP"),AY12=0,BK12&lt;&gt;1,CI12=0,AM12&gt;=$BG$20,AC12&gt;$BG$19),1,0),IF(AND(BS12=1,(COUNTIF($W$9:$W$14,AA12)+COUNTIF($W$18:$W$23,AA12))&gt;0,CI12=0,AM12&gt;=$BG$20,AC12&gt;$BG$19),1,0))</f>
        <v>0</v>
      </c>
      <c r="CE12" t="str">
        <f t="shared" si="39"/>
        <v/>
      </c>
      <c r="CF12" s="218">
        <f t="shared" si="40"/>
        <v>0</v>
      </c>
      <c r="CG12" t="str">
        <f t="shared" si="41"/>
        <v/>
      </c>
      <c r="CH12" t="str">
        <f t="shared" si="42"/>
        <v>Dormant</v>
      </c>
      <c r="CI12" s="218">
        <f t="shared" si="43"/>
        <v>0</v>
      </c>
      <c r="CJ12" s="218">
        <f t="shared" si="44"/>
        <v>387420489</v>
      </c>
      <c r="CK12" s="218">
        <f t="shared" si="45"/>
        <v>0</v>
      </c>
      <c r="CL12" s="218">
        <f t="shared" si="46"/>
        <v>0</v>
      </c>
      <c r="CQ12" s="218">
        <f t="shared" si="47"/>
        <v>7820</v>
      </c>
      <c r="CR12" s="394" t="s">
        <v>1204</v>
      </c>
      <c r="CS12" s="218">
        <f>BG24</f>
        <v>40</v>
      </c>
      <c r="CT12">
        <v>3</v>
      </c>
      <c r="CU12" s="218">
        <f>IF(AND(AND('King Node Model'!$A$8&lt;&gt;"Neg",N($BG$72)&lt;&gt;1),SUMPRODUCT(($AG$9:$AG$55="S")*ISNUMBER($AT$9:$AT$55)*ISNUMBER($AU$9:$AU$55)*($AT$9:$AT$55&lt;&gt;$AU$9:$AU$55)*($AT$9:$AT$55&lt;=$AA12)*($AU$9:$AU$55&gt;=$AA12))&gt;0),0,IF(AND(OR($AA12='King Node Model'!$T$22,$AA12='King Node Model'!$F$24),$AG12="R",COUNTIF($W$9:$W$14,$AA12)&gt;0),1,IF(AND($FN12=1,$EU12&lt;&gt;1,$EM12&lt;&gt;1,$BK12&lt;&gt;1,$DH12&lt;&gt;1,$AG12="R",COUNTIF($W$9:$W$14,$AA12)&gt;0),1,IF($EU12=1,0,IF($EM12=1,0,IF(AND(OR($EE12=1,$GV12=1,AND($EL$7=1,$AA12='King Node Model'!$D$26,$EI12=1),AND(OR($AA12='King Node Model'!$T$22,$AA12='King Node Model'!$T$23),$AN12=1,OR($AX12=0,$D$5&lt;&gt;"UP"))),OR(NOT(OR('King Node Model'!$A$8="Neg",N($BG$72)=1)),$GV12=1,AND(OR($AA12='King Node Model'!$T$22,$AA12='King Node Model'!$T$23),$AN12=1,OR($AX12=0,$D$5&lt;&gt;"UP")),AND($AM12&gt;=$BG$20,$AC12&gt;IF($CZ12=1,$BG$48,$BG$19)))),1,IF($DH12=1,0,IF(AND($DC12=1,$GS12&lt;&gt;1,AND('King Node Model'!$A$8&lt;&gt;"Neg",N($BG$72)&lt;&gt;1)),0,IF(AND($EY12=1,NOT(OR('King Node Model'!$A$8="Neg",$BG$72=1)),$AA12&lt;&gt;'King Node Model'!$B$23),0,IF(AND($GS12=1,$AG12="R",OR($CI12=0,$EE12=1,$EX12=1,$GV12=1),COUNTIF($W$9:$W$14,$AA12)&gt;0,ABS($AA12-$B$4)&lt;=$BG$7,$BK12&lt;&gt;1,$AM12&gt;=$BG$20,$AC12&gt;IF($CZ12=1,$BG$48,$BG$19)),1,IF(OR('King Node Model'!$A$8="Neg",N($BG$72)=1),IF(AND(OR($AM12&gt;=$BG$20,$AA12='King Node Model'!$D$26,$GV12=1),$AG12="R",COUNTIF($W$9:$W$14,$AA12)&gt;0,ABS($AA12-$B$4)&lt;=$BG$7,OR($AX12=0,$D$5&lt;&gt;"UP"),$BK12&lt;&gt;1,OR(OR($CI12=0,$AJ12=1),AND($EI12=1,$LA12=1,COUNTIF($W$9:$W$11,$AA12)&gt;0,$AN12=1,OR($AX12=0,$D$5&lt;&gt;"UP"))),$AM12&gt;=$BG$20,$AC12&gt;IF($CZ12=1,$BG$48,$BG$19),OR($AN12=1,N($LR12)=1,$AA12='King Node Model'!$D$26,AND($BY12=1,$AA12&gt;$B$4),$BX12=1,$CF12=1,$CF12=1,AND(OR($AA12=$CP$4,$AA12=$CP$5,$AA12=$CP$6,$AA12=$CP$7),ABS($AA12-$B$4)&lt;=30),AND($AX12=1,$D$5="DOWN"))),1,0),IF(AND(OR($AM12&gt;=3,$AA12='King Node Model'!$D$26,$GV12=1),$AG12="R",COUNTIF($W$9:$W$14,$AA12)&gt;0,ABS($AA12-$B$4)&lt;=$BG$7,OR($AX12=0,$D$5&lt;&gt;"UP"),$BK12&lt;&gt;1,OR($CI12=0,$AJ12=1),$AM12&gt;=$BG$20,$AC12&gt;IF($CZ12=1,$BG$48,$BG$19),OR($AC12&gt;=MAX($AC$9:$AC$55),$BC12&gt;0,$AA12='King Node Model'!$D$26,AND(OR($AA12=$CP$4,$AA12=$CP$5,$AA12=$CP$6,$AA12=$CP$7),ABS($AA12-$B$4)&lt;=30),$CF12=1,$AN12=1,AND($AX12=1,$D$5="DOWN"))),1,0))))))))))))</f>
        <v>0</v>
      </c>
      <c r="CV12" s="218">
        <f>IF(AND(OR('King Node Model'!$A$8="Neg",N($BG$72)=1),$AG12="S",N($LR12)=1,N($MB12)=1),1,IF(AND(AND('King Node Model'!$A$8&lt;&gt;"Neg",N($BG$72)&lt;&gt;1),SUMPRODUCT(($AG$9:$AG$55="R")*ISNUMBER($AT$9:$AT$55)*ISNUMBER($AU$9:$AU$55)*($AT$9:$AT$55&lt;&gt;$AU$9:$AU$55)*($AT$9:$AT$55&lt;=$AA12)*($AU$9:$AU$55&gt;=$AA12))&gt;0,NOT(AND(N($LC12)=1,$AA12='King Node Model'!$B$23))),0,IF(AND($AA12='King Node Model'!$F$24,$AG12="S",COUNTIF($W$18:$W$23,$AA12)&gt;0),1,IF(AND($FN12=1,$EU12&lt;&gt;1,$EM12&lt;&gt;1,$DH12&lt;&gt;1,$AG12="S",COUNTIF($W$18:$W$23,$AA12)&gt;0),1,IF($EU12=1,0,IF(AND(OR($EF12=1,$GV12=1,AND(OR($AA12='King Node Model'!$T$22,$AA12='King Node Model'!$T$23,AND($AG12="S",COUNTIF('Master Dashboard'!$AN$16:$AN$18,$AA12)&gt;0)),$AN12=1,OR($AX12=0,$D$5&lt;&gt;"UP"))),OR(NOT(OR('King Node Model'!$A$8="Neg",N($BG$72)=1)),$GV12=1,AND(OR($AA12='King Node Model'!$T$22,$AA12='King Node Model'!$T$23,AND($AG12="S",COUNTIF('Master Dashboard'!$AN$16:$AN$18,$AA12)&gt;0)),$AN12=1,OR($AX12=0,$D$5&lt;&gt;"UP")),AND($AM12&gt;=$BG$20,$AC12&gt;IF($CZ12=1,$BG$48,$BG$19)))),1,IF($DH12=1,0,IF(AND($DC12=1,$GS12&lt;&gt;1,AND('King Node Model'!$A$8&lt;&gt;"Neg",N($BG$72)&lt;&gt;1)),0,IF(AND($EY12=1,NOT(OR('King Node Model'!$A$8="Neg",$BG$72=1)),$AA12&lt;&gt;'King Node Model'!$B$23,COUNTIF('Master Dashboard'!$AN$16:$AN$18,$AA12)=0),0,IF(AND($GS12=1,$AG12="S",OR($CI12=0,$EF12=1,$EX12=1,$GV12=1),COUNTIF($W$18:$W$23,$AA12)&gt;0,ABS($AA12-$B$4)&lt;=$BG$7,$BK12&lt;&gt;1,$AM12&gt;=$BG$20,$AC12&gt;IF($CZ12=1,$BG$48,$BG$19)),1,IF(OR('King Node Model'!$A$8="Neg",N($BG$72)=1),IF(AND(OR(OR($AM12&gt;=$BG$20,N($LR12)=1),$AA12='King Node Model'!$D$26,$GV12=1),$AG12="S",COUNTIF($W$18:$W$23,$AA12)&gt;0,ABS($AA12-$B$4)&lt;=$BG$7,OR($AX12=0,$D$5&lt;&gt;"UP"),$BK12&lt;&gt;1,OR($CI12=0,$AJ12=1,AND(N($LR12)=1,N($MB12)=1),N($MT12)=1),OR($AM12&gt;=$BG$20,N($LR12)=1),$AC12&gt;IF($CZ12=1,$BG$48,$BG$19),OR($AB12&gt;0,$AN12=1,N($MT12)=1,N($LR12)=1,$AA12='King Node Model'!$D$26,AND($BY12=1,$AA12&lt;$B$4),$BX12=1,$CF12=1,$CF12=1,AND(OR($AA12=$CP$4,$AA12=$CP$5,$AA12=$CP$6,$AA12=$CP$7),ABS($AA12-$B$4)&lt;=30),AND($AX12=1,$D$5="DOWN"))),1,0),IF(AND(OR($AM12&gt;=3,$AA12='King Node Model'!$D$26,$GV12=1),$AG12="S",COUNTIF($W$18:$W$23,$AA12)&gt;0,ABS($AA12-$B$4)&lt;=$BG$7,OR($AX12=0,$D$5&lt;&gt;"UP"),$BK12&lt;&gt;1,OR($CI12=0,$AJ12=1,AND(N($LR12)=1,N($MB12)=1),N($MT12)=1),$AM12&gt;=$BG$20,$AC12&gt;IF($CZ12=1,$BG$48,$BG$19),OR($AC12&gt;=MAX($AC$9:$AC$55),$BC12&gt;0,N($MT12)=1,$AA12='King Node Model'!$D$26,AND(OR($AA12=$CP$4,$AA12=$CP$5,$AA12=$CP$6,$AA12=$CP$7),ABS($AA12-$B$4)&lt;=30),$CF12=1,$AN12=1,AND($AX12=1,$D$5="DOWN"))),1,0))))))))))))</f>
        <v>0</v>
      </c>
      <c r="CX12" s="218">
        <f t="shared" si="48"/>
        <v>0</v>
      </c>
      <c r="CY12" t="str">
        <f t="shared" si="49"/>
        <v/>
      </c>
      <c r="CZ12" s="218">
        <f t="shared" si="50"/>
        <v>0</v>
      </c>
      <c r="DA12" t="str">
        <f t="shared" si="51"/>
        <v/>
      </c>
      <c r="DB12" t="str">
        <f t="shared" si="52"/>
        <v/>
      </c>
      <c r="DC12" s="218">
        <f t="shared" si="53"/>
        <v>0</v>
      </c>
      <c r="DD12" s="218">
        <f t="shared" si="54"/>
        <v>0</v>
      </c>
      <c r="DE12" s="218">
        <f t="shared" si="55"/>
        <v>0</v>
      </c>
      <c r="DF12" t="str">
        <f t="shared" si="56"/>
        <v/>
      </c>
      <c r="DG12" t="str">
        <f t="shared" si="57"/>
        <v/>
      </c>
      <c r="DH12" s="218">
        <f t="shared" si="58"/>
        <v>0</v>
      </c>
      <c r="DI12">
        <v>1</v>
      </c>
      <c r="DJ12">
        <v>1</v>
      </c>
      <c r="DK12">
        <v>183536</v>
      </c>
      <c r="DL12">
        <v>0</v>
      </c>
      <c r="DM12" t="str">
        <f>IF(AND($CV12=1,$AG12="S"),IF(AND(OR('King Node Model'!$A$8="Neg",N($BG$72)=1),'King Node Model'!$S$52=""),IF(OR(N($AN12)=1,N($LR12)=1,$AB12&gt;0,$AJ12=1,N($JO12)=1,AND(NOT($AE12&gt;0),NOT(IFERROR(AND(ISNUMBER($BC12),ISNUMBER($BC11),($BC12&gt;=0)&lt;&gt;($BC11&gt;=0)),FALSE())),OR(AND($BM12&lt;=6,$BN12&lt;=6),ABS($AA12-'King Node Model'!$T$23)&lt;=5,$LA12=1))),1,0),1),"")</f>
        <v/>
      </c>
      <c r="DN12" t="str">
        <f t="shared" si="59"/>
        <v/>
      </c>
      <c r="DO12" t="str">
        <f t="shared" si="60"/>
        <v>W-list</v>
      </c>
      <c r="DP12" t="str">
        <f>IF(AND(OR('King Node Model'!$A$8="Neg",N($BG$72)=1),$AG12="S",ISNUMBER($AT12),ISNUMBER($AU12),$AT12&lt;&gt;$AU12,$AA12=$AT12),IF(AND(SUMPRODUCT(($AA$9:$AA$55&gt;=$AT12)*($AA$9:$AA$55&lt;=$AU12)*($AB$9:$AB$55&gt;0))&gt;0,SUMPRODUCT(($AA$9:$AA$55&gt;=$AT12)*($AA$9:$AA$55&lt;=$AU12)*($DM$9:$DM$55=1))&gt;0,SUMPRODUCT(($AA$9:$AA$55&gt;=$AT12)*($AA$9:$AA$55&lt;=$AU12)*(COUNTIF($W$18:$W$20,$AA$9:$AA$55)&gt;0))&gt;0),1,0),"")</f>
        <v/>
      </c>
      <c r="DS12">
        <v>0</v>
      </c>
      <c r="DT12">
        <v>0</v>
      </c>
      <c r="DU12" t="str">
        <f>IF('King Node Model'!$A$8&lt;&gt;"Pos","",IF(OR($AA12="",NOT(ISNUMBER($AA12)),ABS($AA12-$B$4)&gt;$BG$7),"",TEXT($AA12,"0")&amp;" | "&amp;IF($AG12="","unclassified",IF($AG12&lt;&gt;IF($AA12&gt;$B$4,"R","S"),"orphan: in "&amp;$AG12&amp;"-list, "&amp;IF($AA12&lt;$B$4,"below","above")&amp;" spot",IF(IF($AG12="R",COUNTIF($W$9:$W$14,$AA12),COUNTIF($W$18:$W$23,$AA12))=0,"not in "&amp;$AG12&amp;"-list",IF($DH12=1,"absorbed into shelf box",IF($BK12=1,"absorbed: adjacent reversal",IF($CI12=1,"accel-accelerant",IF($AC12&lt;=$BG$19,"below gamma-floor",IF($AM12&lt;$BG$20,"confluence "&amp;TEXT($AM12,"0")&amp;" &lt; "&amp;TEXT($BG$20,"0"),IF(AND($AX12=1,$D$5="UP"),"accelerant in up-move",IF(NOT(OR($AC12&gt;=MAX($AC$9:$AC$55),$BC12&gt;0,$AA12='King Node Model'!$D$26,AND(OR($AA12=$CP$4,$AA12=$CP$5,$AA12=$CP$6,$AA12=$CP$7),ABS($AA12-$B$4)&lt;=30),ISNUMBER(SEARCH("STRENGTHENING",$CG12)),$AN12=1,AND($AX12=1,$D$5="DOWN"))),"no surface flag","-&gt; qualifies"))))))))))))</f>
        <v/>
      </c>
      <c r="DV12" s="218">
        <f t="shared" si="61"/>
        <v>99999</v>
      </c>
      <c r="DW12" s="218">
        <f t="shared" si="62"/>
        <v>99999</v>
      </c>
      <c r="DX12" t="str">
        <f>IF('King Node Model'!$A$8&lt;&gt;"Pos","",IF(AND($DV12&lt;99999,$DV12=MIN($DV$9:$DV$55),$DG12&gt;$AA12),"R-box: "&amp;TEXT($AA12,"0")&amp;"-"&amp;TEXT($DG12,"0"),IF(AND($DW12&lt;99999,$DW12=MIN($DW$9:$DW$55),$DF12&lt;$AA12),"S-box: "&amp;TEXT($DF12,"0")&amp;"-"&amp;TEXT($AA12,"0"),"")))</f>
        <v/>
      </c>
      <c r="EB12">
        <f t="shared" si="63"/>
        <v>94.609999999999673</v>
      </c>
      <c r="EC12">
        <f t="shared" si="64"/>
        <v>538591</v>
      </c>
      <c r="ED12">
        <f t="shared" si="65"/>
        <v>0</v>
      </c>
      <c r="EE12">
        <f>IF(AND(OR('King Node Model'!$A$8="Neg",N($BG$72)=1),$AG12="R",ISNUMBER($EB12),$EB12&lt;=$BG$7,$AB12&gt;0,$EC12&gt;0,$AB12=$EC12),1,0)</f>
        <v>0</v>
      </c>
      <c r="EF12">
        <f>IF(AND(OR('King Node Model'!$A$8="Neg",N($BG$72)=1),$AG12="S",ISNUMBER($EB12),$EB12&lt;=$BG$7,$AB12&gt;0,$ED12&gt;0,$AB12=$ED12),1,0)</f>
        <v>0</v>
      </c>
      <c r="EI12">
        <v>1</v>
      </c>
      <c r="EJ12">
        <f>IF($AA12="",0,IF(SUMPRODUCT(($AA$9:$AA$55&gt;=$AT12)*($AA$9:$AA$55&lt;=$AU12)*($DT$9:$DT$55=1))+SUMPRODUCT(($DT$9:$DT$55=1)*($AT$9:$AT$55&lt;=$AA12)*($AU$9:$AU$55&gt;=$AA12))+($DT12=1)+AND(OR('King Node Model'!$A$8="Neg",N($BG$72)=1),ISNUMBER(SEARCH("LOW",'Master Dashboard'!$M$5)),ISNUMBER(SEARCH("BUY",'Master Dashboard'!$G$8)),'King Node Model'!$T$23='King Node Model'!$B$23,$AA12&gt;='King Node Model'!$T$23,$AA12&lt;='King Node Model'!$T$23+5)*1&gt;0,1,0))</f>
        <v>0</v>
      </c>
      <c r="EM12">
        <f t="shared" si="66"/>
        <v>0</v>
      </c>
      <c r="EN12">
        <v>0</v>
      </c>
      <c r="EO12">
        <f t="shared" si="67"/>
        <v>0</v>
      </c>
      <c r="EP12">
        <f t="shared" si="68"/>
        <v>0</v>
      </c>
      <c r="EQ12" t="str">
        <f t="shared" si="69"/>
        <v>thinning the ceiling (magnitude weak)</v>
      </c>
      <c r="ES12" t="str">
        <f>IF(AND(ISNUMBER(AA12),ISNUMBER(AF12),ABS(AA12-'King Node Model'!$B$4)&lt;=$BG$7),ABS(AF12),"")</f>
        <v/>
      </c>
      <c r="ET12">
        <v>0</v>
      </c>
      <c r="EU12" s="218">
        <f>IF(AND(OR('King Node Model'!$A$8="Neg",N($BG$72)=1),ISNUMBER($AA11),ISNUMBER($AA12),ISNUMBER($AA13),ISNUMBER($AB11),ISNUMBER($AB12),ISNUMBER($AB13),ISNUMBER($AF12),$AB12&gt;0,$AB11&lt;0,$AB13&lt;0,$AF12&lt;0),1,0)</f>
        <v>0</v>
      </c>
      <c r="EW12">
        <f>IF(OR(N($MY12)=1,N($JM12)=1),0,N($NE12))</f>
        <v>0</v>
      </c>
      <c r="EX12">
        <f>IF(AND(OR('King Node Model'!$A$8="Neg",N($BG$72)=1),ISNUMBER($AA12),OR(AND($AA12='King Node Model'!$F$24,OR(AND($AG12="S",$F$4="High",IF($BG$80&lt;&gt;"",UPPER($BG$80),$D$5)="DOWN"),AND($AG12="R",$F$4="Low",IF($BG$80&lt;&gt;"",UPPER($BG$80),$D$5)="UP"))),$GV12=1)),1,0)</f>
        <v>0</v>
      </c>
      <c r="EY12">
        <f>IFERROR(IF(AND($DC12=1,$AB12&lt;0,$AC12&gt;=(1+$FA$6)*INDEX($AC$9:$AC$55,4-1),$AC12&gt;=(1+$FA$6)*INDEX($AC$9:$AC$55,4+1),$AC12&gt;=IFERROR(INDEX($AC$9:$AC$55,4-2),0),$AC12&gt;=IFERROR(INDEX($AC$9:$AC$55,4+2),0)),1,0),0)</f>
        <v>0</v>
      </c>
      <c r="FA12" t="str">
        <f>IF(NOT(ISNUMBER($AA12)),"",IFERROR(IF(AND($AC12=MAX($AC$9:$AC$55),$AB12=MIN($AB$9:$AB$55)),"DOM",IF(AND($DC11=1,$DC12=1,$DC13=1,INDEX($AC$9:$AC$55,4-1)&lt;=(1-$FA$6)*$AC12,INDEX($AC$9:$AC$55,4-1)&lt;=(1-$FA$6)*INDEX($AC$9:$AC$55,4-2)),"GAP↑",IF(AND($DC13=1,$DC12=1,INDEX($AC$9:$AC$55,4+1)&lt;=(1-$FA$6)*$AC12,INDEX($AC$9:$AC$55,4+1)&lt;=(1-$FA$6)*INDEX($AC$9:$AC$55,4+2)),"GAP↓",IF($CZ12=1,"dEdge Cliff",IF($GY12=1,"γWall",IF(AND($DC12=1,$AB12&lt;0,$AC12&gt;=(1+$FA$6)*INDEX($AC$9:$AC$55,4-1),$AC12&gt;=(1+$FA$6)*INDEX($AC$9:$AC$55,4+1)),"PEAK-",IF($GZ12=1,"γSh Edge",IF($HL12=1,"Trough",IF($HN12=1,"PEAK+",IF($GF12=1,"Cluster","")))))))))),""))</f>
        <v/>
      </c>
      <c r="FB12" t="str">
        <f t="shared" si="70"/>
        <v/>
      </c>
      <c r="FC12" t="str">
        <f t="shared" si="71"/>
        <v/>
      </c>
      <c r="FD12">
        <f>IF(AND(ISNUMBER($AA12),ISNUMBER('King Node Model'!$AP$17),ISNUMBER('King Node Model'!$AQ$17),$AA12&gt;=MIN('King Node Model'!$AP$17,'King Node Model'!$AQ$17),$AA12&lt;=MAX('King Node Model'!$AP$17,'King Node Model'!$AQ$17),IFERROR(INDEX($AC$9:$AC$55,MATCH('King Node Model'!$AL$42,$AA$9:$AA$55,0)),0)&gt;0,$AC12&gt;=(1-$FA$6)*IFERROR(INDEX($AC$9:$AC$55,MATCH('King Node Model'!$AL$42,$AA$9:$AA$55,0)),0),$AC12&lt;=(1+$FA$6)*IFERROR(INDEX($AC$9:$AC$55,MATCH('King Node Model'!$AL$42,$AA$9:$AA$55,0)),0)),1,0)</f>
        <v>0</v>
      </c>
      <c r="FE12">
        <f>IF($AA12='King Node Model'!$AL$42,1,IF(AND($FD12=1,$FE11=1),1,0))</f>
        <v>0</v>
      </c>
      <c r="FF12">
        <f>IF($AA12='King Node Model'!$AL$42,1,IF(AND($FD12=1,$FF13=1),1,0))</f>
        <v>0</v>
      </c>
      <c r="FG12" t="str">
        <f>IF(OR($FE12=1,$FF12=1),4,"")</f>
        <v/>
      </c>
      <c r="FJ12">
        <f>IF(AND($CW$2=1,ISNUMBER($AA12),ISNUMBER($CW$3),ISNUMBER($CW$4),$AA12&gt;=MIN($CW$3,$CW$4),$AA12&lt;=MAX($CW$3,$CW$4),IFERROR(INDEX($AC$9:$AC$55,MATCH('King Node Model'!$AP$67,$AA$9:$AA$55,0)),0)&gt;0,$AC12&gt;=(1-$FA$6)*IFERROR(INDEX($AC$9:$AC$55,MATCH('King Node Model'!$AP$67,$AA$9:$AA$55,0)),0),$AC12&lt;=(1+$FA$6)*IFERROR(INDEX($AC$9:$AC$55,MATCH('King Node Model'!$AP$67,$AA$9:$AA$55,0)),0)),1,0)</f>
        <v>0</v>
      </c>
      <c r="FK12">
        <f>IF(AND($CW$2=1,$AA12='King Node Model'!$AP$67),1,IF(AND($FJ12=1,$FK11=1),1,0))</f>
        <v>0</v>
      </c>
      <c r="FL12">
        <f>IF(AND($CW$2=1,$AA12='King Node Model'!$AP$67),1,IF(AND($FJ12=1,$FL13=1),1,0))</f>
        <v>0</v>
      </c>
      <c r="FM12" t="str">
        <f>IF(OR($FK12=1,$FL12=1),4,"")</f>
        <v/>
      </c>
      <c r="FN12">
        <v>0</v>
      </c>
      <c r="FR12" t="str">
        <f t="shared" si="72"/>
        <v/>
      </c>
      <c r="FS12">
        <f t="shared" si="188"/>
        <v>0</v>
      </c>
      <c r="FT12">
        <f t="shared" si="73"/>
        <v>0.96664788214051589</v>
      </c>
      <c r="FU12">
        <f t="shared" si="74"/>
        <v>86951</v>
      </c>
      <c r="FV12" t="str">
        <f>IF($FW12=0,"",IF(OR($FW11=0,SIGN(IFERROR($BC12*1,0))&lt;&gt;SIGN(IFERROR($BC11*1,0)),$GH12=1,$GH11=1),MAX($FV$9:$FV11)+1,$FV11))</f>
        <v/>
      </c>
      <c r="FW12">
        <f t="shared" si="75"/>
        <v>0</v>
      </c>
      <c r="FX12" t="str">
        <f t="shared" si="76"/>
        <v/>
      </c>
      <c r="FY12">
        <f t="shared" si="77"/>
        <v>0</v>
      </c>
      <c r="FZ12">
        <f t="shared" si="189"/>
        <v>0</v>
      </c>
      <c r="GA12">
        <f t="shared" si="78"/>
        <v>0</v>
      </c>
      <c r="GB12" t="str">
        <f t="shared" si="79"/>
        <v/>
      </c>
      <c r="GC12" t="str">
        <f t="shared" si="80"/>
        <v/>
      </c>
      <c r="GD12" t="str">
        <f t="shared" si="81"/>
        <v/>
      </c>
      <c r="GE12" t="str">
        <f t="shared" si="82"/>
        <v/>
      </c>
      <c r="GF12">
        <f t="shared" si="83"/>
        <v>0</v>
      </c>
      <c r="GH12">
        <f>IFERROR(IF(AND($AC12&gt;=(1+$FA$6)*INDEX($AC$9:$AC$55,4-1),$AC12&gt;=(1+$FA$6)*INDEX($AC$9:$AC$55,4+1)),1,0),0)</f>
        <v>0</v>
      </c>
      <c r="GK12">
        <v>0</v>
      </c>
      <c r="GO12">
        <v>0</v>
      </c>
      <c r="GP12">
        <v>0</v>
      </c>
      <c r="GQ12">
        <f t="shared" si="84"/>
        <v>0</v>
      </c>
      <c r="GR12">
        <f t="shared" si="85"/>
        <v>0</v>
      </c>
      <c r="GS12">
        <f>IF(AND($EY12=1,$AA12&lt;&gt;'King Node Model'!$B$23),0,IF(OR($GQ12=1,$GR12=1),1,IF($DC12=1,IF(OR('King Node Model'!$A$8="Neg",N($BG$72)=1),IF(OR(AND($AC12=MAX($AC$9:$AC$55),$AB12=MIN($AB$9:$AB$55)),$AN12=1,$EE12=1,$EF12=1,$EX12=1,$GV12=1),1,0),1),0)))</f>
        <v>0</v>
      </c>
      <c r="GT12">
        <f>IFERROR(IF(AND(OR('King Node Model'!$A$8="Neg",N($BG$72)=1),$EU11=1,$AG12="R",ISNUMBER($AA12),ISNUMBER($AF12),$AF12&lt;&gt;0,$AA12&gt;$B$4-$BG$9,$AA12-$B$4&lt;=$BG$47,IF($KC12="UP",SIGN($AF12),IF($KC12="DOWN",-SIGN($AF12),0))&lt;&gt;1),1,0),0)</f>
        <v>0</v>
      </c>
      <c r="GU12" t="str">
        <f t="shared" si="86"/>
        <v/>
      </c>
      <c r="GV12">
        <f t="shared" si="87"/>
        <v>0</v>
      </c>
      <c r="GW12">
        <f t="shared" si="88"/>
        <v>94.609999999999673</v>
      </c>
      <c r="GX12" t="str">
        <f t="shared" si="89"/>
        <v/>
      </c>
      <c r="GY12">
        <f t="shared" si="90"/>
        <v>0</v>
      </c>
      <c r="GZ12">
        <f t="shared" si="91"/>
        <v>0</v>
      </c>
      <c r="HA12">
        <v>0</v>
      </c>
      <c r="HF12">
        <f>IFERROR(IF(AND($GZ12=1,'King Node Model'!$A$8="Pos",$D$5="UP",$CF12=-1,$AJ12&lt;&gt;1),1,0),0)</f>
        <v>0</v>
      </c>
      <c r="HG12">
        <f t="shared" si="92"/>
        <v>0</v>
      </c>
      <c r="HH12" t="str">
        <f>IF($GZ12=1,"",IFERROR(IF(NOT(ISNUMBER($AA12)),"",IF($EY12=1,"",IF($GF12=1,IF($GD12=$GE12,"",$GD12),IF(OR(AND($DC11=1,$DC12=1,$DC13=1,INDEX($AC$9:$AC$55,4-1)&lt;=(1-$FA$6)*$AC12,INDEX($AC$9:$AC$55,4-1)&lt;=(1-$FA$6)*INDEX($AC$9:$AC$55,4-2)),AND($DC13=1,$DC12=1,INDEX($AC$9:$AC$55,4+1)&lt;=(1-$FA$6)*$AC12,INDEX($AC$9:$AC$55,4+1)&lt;=(1-$FA$6)*INDEX($AC$9:$AC$55,4+2)),AND($DC12=1,OR(INDEX($DC$9:$DC$55,4-1)=0,INDEX($DC$9:$DC$55,4+1)=0))),IF(MIN($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MAX($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MIN($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f>
        <v/>
      </c>
      <c r="HI12" t="str">
        <f>IF($GZ12=1,"",IFERROR(IF(NOT(ISNUMBER($AA12)),"",IF($EY12=1,"",IF($GF12=1,IF($GD12=$GE12,"",$GE12),IF(OR(AND($DC11=1,$DC12=1,$DC13=1,INDEX($AC$9:$AC$55,4-1)&lt;=(1-$FA$6)*$AC12,INDEX($AC$9:$AC$55,4-1)&lt;=(1-$FA$6)*INDEX($AC$9:$AC$55,4-2)),AND($DC13=1,$DC12=1,INDEX($AC$9:$AC$55,4+1)&lt;=(1-$FA$6)*$AC12,INDEX($AC$9:$AC$55,4+1)&lt;=(1-$FA$6)*INDEX($AC$9:$AC$55,4+2)),AND($DC12=1,OR(INDEX($DC$9:$DC$55,4-1)=0,INDEX($DC$9:$DC$55,4+1)=0))),IF(MIN($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MAX($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MAX($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f>
        <v/>
      </c>
      <c r="HL12">
        <f t="shared" si="93"/>
        <v>0</v>
      </c>
      <c r="HM12">
        <f>IFERROR(IF(AND($HL12=1,NOT(OR($AA12='King Node Model'!$T$22,$AA12='King Node Model'!$T$23,$AA12='King Node Model'!$F$24,AND($AG12="S",COUNTIF('Master Dashboard'!$AN$16:$AN$18,$AA12)&gt;0),AND($AG12="R",COUNTIF('Master Dashboard'!$AN$13:$AN$15,$AA12)&gt;0)))),1,0),0)</f>
        <v>0</v>
      </c>
      <c r="HN12">
        <f t="shared" si="94"/>
        <v>0</v>
      </c>
      <c r="HO12">
        <f t="shared" si="95"/>
        <v>0</v>
      </c>
      <c r="HP12">
        <f t="shared" si="96"/>
        <v>1</v>
      </c>
      <c r="HQ12" t="str">
        <f>IF(NOT(ISNUMBER($AA12)),"",IFERROR(TRIM(IF(N($MY12)=1,"DEXLEAN ","")&amp;IF(N($IZ12)=1,"DEXCAP ","")&amp;IF(AND($AG12="S",UPPER('King Node Model'!$L$5)="HIGH",$KC12="DOWN",N($AF12)&gt;0,$AA12='King Node Model'!$AN$70,$IY12="SELL"),"CHOPEDGEIV ","")&amp;IF(N($IS12)=1,"NOREV ","")&amp;IF(N($JY12)=1,"VFLAT ","")&amp;IF(N($KR12)=1,"GDEXVANNA ","")&amp;IF(N($LD12)=1,"KGSUPFAIL ","")&amp;IF(N($LE12)=1,"KGRESLEAK ","")&amp;IF(N($MH12)=1,"ZIGZAG ","")&amp;IF(N($KK12)=1,"DATAGAP ","")&amp;IF(N($KA12)&lt;&gt;0,"ACCUNDERCW ","")&amp;IF(AND($AG12="S",$HF12=1),"EDGE ","")&amp;IF(AND($HM12=1,'King Node Model'!$A$8="Pos",N($BG$72)&lt;&gt;1),"TROUGH ","")&amp;IF(AND($EU12=1,N($JZ12)&lt;&gt;1),"BUMP ","")&amp;IF(AND($GT12=1,N($JZ12)&lt;&gt;1),"SANDWICH ","")&amp;IF(AND($EX12&lt;&gt;1,OR('King Node Model'!$A$8="Neg",N($BG$72)=1),OR(AND(ISNUMBER($AC12),$AC12=MAX($AC$9:$AC$55)),AND(ISNUMBER($AB12),$AB12=MIN($AB$9:$AB$55))),NOT(AND(AND(ISNUMBER($AC12),$AC12=MAX($AC$9:$AC$55)),AND(ISNUMBER($AB12),$AB12=MIN($AB$9:$AB$55)))),$AG12="S",N($AB12)&lt;0,NOT(COUNTIF('Master Dashboard'!$AN$16:$AN$18,$AA12)&gt;0),NOT(AND(OR('King Node Model'!$A$8="Neg",N($BG$72)=1),ISNUMBER($AB12),$AB12=MIN($AB$9:$AB$55),$AA12=$BG$105))),"ACCEL ","")&amp;IF(AND($EX12&lt;&gt;1,ISNUMBER($AA12),OR('King Node Model'!$A$8="Neg",N($BG$72)=1),$EY12=1,NOT(AND($AG12="S",COUNTIF('Master Dashboard'!$AN$16:$AN$18,$AA12)&gt;0)),NOT(AND($AA12='King Node Model'!$B$23,IF($AG12="S",OR($AA12='King Node Model'!$C$24,COUNTIF('Master Dashboard'!$AN$16:$AN$18,$AA12)&gt;0),OR($AA12='King Node Model'!$C$23,COUNTIF('Master Dashboard'!$AN$13:$AN$15,$AA12)&gt;0)))),NOT(AND($EX12&lt;&gt;1,OR('King Node Model'!$A$8="Neg",N($BG$72)=1),OR(AND(ISNUMBER($AC12),$AC12=MAX($AC$9:$AC$55)),AND(ISNUMBER($AB12),$AB12=MIN($AB$9:$AB$55))),NOT(AND(AND(ISNUMBER($AC12),$AC12=MAX($AC$9:$AC$55)),AND(ISNUMBER($AB12),$AB12=MIN($AB$9:$AB$55)))),$AG12="S",N($AB12)&lt;0,NOT(COUNTIF('Master Dashboard'!$AN$16:$AN$18,$AA12)&gt;0)))),"AMPLIFY ","")&amp;IF(AND($AG12="S",OR('King Node Model'!$A$8="Neg",N($BG$72)=1),$AJ12&lt;&gt;1,N($MT12)&lt;&gt;1,NOT(AND(N($LR12)=1,N($MB12)=1)),ISNUMBER(SEARCH("ACCEL building",$CG12))),"ZACCEL ","")&amp;IF(AND($AG12="S",OR('King Node Model'!$A$8="Neg",N($BG$72)=1),$AA12='King Node Model'!$B$23,NOT(AND(AND(ISNUMBER($AC12),$AC12=MAX($AC$9:$AC$55)),AND(ISNUMBER($AB12),$AB12=MIN($AB$9:$AB$55)))),$EJ12&lt;&gt;1),"KINGACC ","")&amp;IF(AND($AG12="S",OR('King Node Model'!$A$8="Neg",N($BG$72)=1),ABS(N($AA12)-N('King Node Model'!$B$23))&lt;=$BG$107,NOT(AND(SUMPRODUCT((ABS($AF$9:$AF$55)&lt;=ABS(N($AF12)))*1)/COUNT($AF$9:$AF$55)&gt;=0.66,OR(ISNUMBER(SEARCH("firmer resistance",$CG12)),ISNUMBER(SEARCH("STRENGTHENING",$CG12)),ISNUMBER(SEARCH("firmer support",$CG12))))),NOT(AND(N($AB12)&gt;0,SUMPRODUCT((ABS($AB$9:$AB$55)&lt;=ABS(N($AB12)))*1)/COUNT($AB$9:$AB$55)&gt;=0.66)),$EJ12&lt;&gt;1,$AJ12&lt;&gt;1,COUNTIF('Master Dashboard'!$AN$16:$AN$18,$AA12)=0,NOT(AND($AG12="S",OR('King Node Model'!$A$8="Neg",N($BG$72)=1),$AA12='King Node Model'!$B$23,NOT(AND(AND(ISNUMBER($AC12),$AC12=MAX($AC$9:$AC$55)),AND(ISNUMBER($AB12),$AB12=MIN($AB$9:$AB$55)))),$EJ12&lt;&gt;1))),"KINGNODE ","")&amp;IF(AND($AG12="R",NOT(AND(AND(ISNUMBER($AC12),$AC12=MAX($AC$9:$AC$55)),AND(ISNUMBER($AB12),$AB12=MIN($AB$9:$AB$55)))),UPPER('King Node Model'!$L$5)="LOW",$KC12="DOWN",N($AF12)&gt;0),"LOWIVFALL ","")&amp;IF(AND($AG12="R",NOT(AND(AND(ISNUMBER($AC12),$AC12=MAX($AC$9:$AC$55)),AND(ISNUMBER($AB12),$AB12=MIN($AB$9:$AB$55)))),UPPER('King Node Model'!$L$5)="HIGH",$KC12="DOWN",N($AF12)&gt;0,IFERROR(MATCH($AA12,$W$9:$W$14,0)&gt;=4,FALSE)),"HIGHIVFALL ","")&amp;IF(AND($AG12="R",N($BG$99)=1),"SPOTUPVOLUP ","")&amp;IF(AND($AG12="R",ISNUMBER(SEARCH("5/5",'Master Dashboard'!$E$29)),OR(ISNUMBER(SEARCH("WEAKENING",$EQ12)),ISNUMBER(SEARCH("Pos gamma ↓",$EQ12)),ISNUMBER(SEARCH("thinning the ceiling",$EQ12)))),"SQUEEZE ","")&amp;IF(N($JU12)=1,"DEDGECLIFF ","")&amp;IF(N($KT12)=1,"DEXDRAIN ","")&amp;IF(N($HW12)&lt;&gt;0,"DEXDROP ","")&amp;IF(N($HX12)&lt;&gt;0,"PEAK+ ","")&amp;IF(N($IF12)=1,"CHOP ","")&amp;IF(N($IQ12)=1,"CONTESTED ","")&amp;IF(N($IW12)=1,"VSELL ","")&amp;IF(N($JK12)=1,"VBUYRES ","")&amp;IF(N($JL12)=1,"DOMFLAT ","")&amp;IF(N($JM12)=1,"DOMPULL ","")&amp;IF(N($JP12)=1,"OIZOMMA ","")&amp;IF(AND(N($JQ12)=1,N($JZ12)&lt;&gt;1),"OIDEX ","")),""))</f>
        <v>NOREV LOWIVFALL VBUYRES</v>
      </c>
      <c r="HR12" t="str">
        <f>IF(AND(ISNUMBER($W12),OR('King Node Model'!$A$8&lt;&gt;"Pos",N($BG$72)=1,IFERROR(INDEX($AM$9:$AM$55,MATCH($W12,$AA$9:$AA$55,0)),0)&gt;=$BG$20),$E12="REVERSAL",OR($F12="stable",$F12="VOMMA CAP"),$W12&lt;&gt;'King Node Model'!$AL$42,$W12&lt;&gt;'King Node Model'!$AL$43,IFERROR(INDEX($HP$9:$HP$55,MATCH($W12,$AA$9:$AA$55,0)),1)=0),ABS($W12-'King Node Model'!$B$4),"")</f>
        <v/>
      </c>
      <c r="HS12">
        <f>IFERROR(IF(AND($DC12=1,OR(AND($AG12="R",INDEX($DC$9:$DC$55,3)=0,INDEX($DC$9:$DC$55,5)=1,INDEX($DC$9:$DC$55,6)=1),AND($AG12="S",INDEX($DC$9:$DC$55,5)=0,INDEX($DC$9:$DC$55,3)=1,INDEX($DC$9:$DC$55,2)=1))),1,0),0)</f>
        <v>0</v>
      </c>
      <c r="HT12">
        <f t="shared" si="97"/>
        <v>0</v>
      </c>
      <c r="HU12">
        <v>0</v>
      </c>
      <c r="HV12">
        <v>0</v>
      </c>
      <c r="HW12">
        <f>IFERROR(IF(OR(NOT(ISNUMBER($AA12)),'King Node Model'!$A$8&lt;&gt;"Pos",N($BG$72)=1,ABS(N($AE12))&lt;$BG$113,N($AV12)=1,$FA12="DOM",$AA12='King Node Model'!$T$23,AND(N($BG$116)=1,$AA12='King Node Model'!$F$24),NOT(ISNUMBER($KU12)),NOT(ISNUMBER($KV12))),0,IF(AND($AG12="S",COUNTIF('Master Dashboard'!$AN$16:$AN$18,$AA12)=0,$KU12&gt;=$BG$114,$KU12&gt;=$KV12+$BG$115,NOT(AND(N($AN13)=1,N($KV12)&lt;0)),N($AE12)&lt;=0),1,IF(AND($AG12="R",COUNTIF('Master Dashboard'!$AN$13:$AN$15,$AA12)=0,$KV12&gt;=$BG$114,$KV12&gt;=$KU12+$BG$115,NOT(AND(N($AN11)=1,N($KU12)&lt;0))),-1,0))),0)</f>
        <v>0</v>
      </c>
      <c r="HX12">
        <f>IFERROR(IF(AND(ISNUMBER($AA12),$FA12="PEAK+",N($AN12)&lt;&gt;1,NOT(AND('King Node Model'!$A$8="Pos",OR($AA12='King Node Model'!$T$22,$AA12='King Node Model'!$T$23,$AA12='King Node Model'!$F$24))),IF($AG12="S",COUNTIF('Master Dashboard'!$AN$16:$AN$18,$AA12)=0,IF($AG12="R",COUNTIF('Master Dashboard'!$AN$13:$AN$15,$AA12)=0,FALSE))),1,0),0)</f>
        <v>0</v>
      </c>
      <c r="HY12">
        <f t="shared" si="98"/>
        <v>-0.18390672563322039</v>
      </c>
      <c r="HZ12">
        <v>0</v>
      </c>
      <c r="IA12">
        <f>IFERROR(IF(AND(IF($BG$44=1,OR(ISNUMBER(SEARCH("Choppy",'King Node Model'!$S$38)),'King Node Model'!$S$52&lt;&gt;"",'King Node Model'!$A$8="Pos"),TRUE()),OR($DC12=1,$DC11=1,$DC13=1),ABS($AA12-$B$4)&lt;=$BG$7,ABS($AA12-$BG$28)&gt;=$BG$45,OR(AND($AA12&gt;$BG$28,$AG12="R"),AND($AA12&lt;$BG$28,$AG12="S",N($BG$154)=1)),ABS(IF($AA12&gt;$BG$28,$AE13,$AE11))&gt;=$BG$43,ABS(N(IF($AA12&gt;$BG$28,$AE11,$AE13)))&lt;=$BG$153*ABS(IF($AA12&gt;$BG$28,$AE13,$AE11)),IF(ISNUMBER($HZ12),$HZ12=1,AND(ISNUMBER($HY12),$HY12&gt;=$BG$42))),1,0),0)</f>
        <v>0</v>
      </c>
      <c r="IB12">
        <f t="shared" si="99"/>
        <v>1</v>
      </c>
      <c r="IC12" t="str">
        <f>IF(NOT(ISNUMBER($AA12)),"",IFERROR(MID(IF(AND($AC12=MAX($AC$9:$AC$55),$AB12=MIN($AB$9:$AB$55))," · DOM","")&amp;IF(AND($DC11=1,$DC12=1,$DC13=1,INDEX($AC$9:$AC$55,4-1)&lt;=(1-$FA$6)*$AC12,INDEX($AC$9:$AC$55,4-1)&lt;=(1-$FA$6)*INDEX($AC$9:$AC$55,4-2))," · GAP↑ → "&amp;INDEX($AA$9:$AA$55,4-2),"")&amp;IF(AND($DC13=1,$DC12=1,INDEX($AC$9:$AC$55,4+1)&lt;=(1-$FA$6)*$AC12,INDEX($AC$9:$AC$55,4+1)&lt;=(1-$FA$6)*INDEX($AC$9:$AC$55,4+2))," · GAP↓ → "&amp;INDEX($AA$9:$AA$55,4+2),"")&amp;IF($CZ12=1," · dEdge Cliff","")&amp;IF($GY12=1," · γWall","")&amp;IF(AND($DC12=1,$AB12&lt;0,$AC12&gt;=(1+$FA$6)*INDEX($AC$9:$AC$55,4-1),$AC12&gt;=(1+$FA$6)*INDEX($AC$9:$AC$55,4+1))," · PEAK-","")&amp;IF($GZ12=1," · γSh Edge","")&amp;IF($HL12=1," · Trough","")&amp;IF($HN12=1," · PEAK+","")&amp;IF($GF12=1," · Cluster",""),FIND(" · ",IF(AND($AC12=MAX($AC$9:$AC$55),$AB12=MIN($AB$9:$AB$55))," · DOM","")&amp;IF(AND($DC11=1,$DC12=1,$DC13=1,INDEX($AC$9:$AC$55,4-1)&lt;=(1-$FA$6)*$AC12,INDEX($AC$9:$AC$55,4-1)&lt;=(1-$FA$6)*INDEX($AC$9:$AC$55,4-2))," · GAP↑ → "&amp;INDEX($AA$9:$AA$55,4-2),"")&amp;IF(AND($DC13=1,$DC12=1,INDEX($AC$9:$AC$55,4+1)&lt;=(1-$FA$6)*$AC12,INDEX($AC$9:$AC$55,4+1)&lt;=(1-$FA$6)*INDEX($AC$9:$AC$55,4+2))," · GAP↓ → "&amp;INDEX($AA$9:$AA$55,4+2),"")&amp;IF($CZ12=1," · dEdge Cliff","")&amp;IF($GY12=1," · γWall","")&amp;IF(AND($DC12=1,$AB12&lt;0,$AC12&gt;=(1+$FA$6)*INDEX($AC$9:$AC$55,4-1),$AC12&gt;=(1+$FA$6)*INDEX($AC$9:$AC$55,4+1))," · PEAK-","")&amp;IF($GZ12=1," · γSh Edge","")&amp;IF($HL12=1," · Trough","")&amp;IF($HN12=1," · PEAK+","")&amp;IF($GF12=1," · Cluster",""),2),999),""))</f>
        <v/>
      </c>
      <c r="ID12" t="str">
        <f>IF(NOT(ISNUMBER($AA12)),"",IFERROR(MID(IF(AND($AC12=MAX($AC$9:$AC$55),$AB12=MIN($AB$9:$AB$55))," · DOM","")&amp;IF(AND($DC11=1,$DC12=1,$DC13=1,INDEX($AC$9:$AC$55,4-1)&lt;=(1-$FA$6)*$AC12,INDEX($AC$9:$AC$55,4-1)&lt;=(1-$FA$6)*INDEX($AC$9:$AC$55,4-2))," · GAP↑ → "&amp;INDEX($AA$9:$AA$55,4-2),"")&amp;IF(AND($DC13=1,$DC12=1,INDEX($AC$9:$AC$55,4+1)&lt;=(1-$FA$6)*$AC12,INDEX($AC$9:$AC$55,4+1)&lt;=(1-$FA$6)*INDEX($AC$9:$AC$55,4+2))," · GAP↓ → "&amp;INDEX($AA$9:$AA$55,4+2),"")&amp;IF($CZ12=1," · dEdge Cliff","")&amp;IF($GY12=1," · γWall","")&amp;IF(AND($DC12=1,$AB12&lt;0,$AC12&gt;=(1+$FA$6)*INDEX($AC$9:$AC$55,4-1),$AC12&gt;=(1+$FA$6)*INDEX($AC$9:$AC$55,4+1))," · PEAK-","")&amp;IF($GZ12=1," · γSh Edge","")&amp;IF($HL12=1," · Trough","")&amp;IF($HN12=1," · PEAK+","")&amp;IF(AND(NOT($HN12=1),NOT(AND($DC12=1,$AB12&lt;0)),N($GY12)&lt;&gt;1,N($GF12)&lt;&gt;1,N($GZ12)&lt;&gt;1,N($HL12)&lt;&gt;1,N($CZ12)&lt;&gt;1,NOT(AND($AC12=MAX($AC$9:$AC$55),$AB12=MIN($AB$9:$AB$55))),$AC12&gt;=(1+$FA$6)*INDEX($AC$9:$AC$55,4-1),$AC12&gt;=(1+$FA$6)*INDEX($AC$9:$AC$55,4+1))," · Knoll","")&amp;IF($GF12=1," · Cluster",""),4,999),""))</f>
        <v/>
      </c>
      <c r="IF12">
        <f t="shared" si="100"/>
        <v>0</v>
      </c>
      <c r="IG12">
        <f>IFERROR(IF(AND(ISNUMBER($AA12),'King Node Model'!$A$8="Pos",OR($AG12="S",$AG12="R"),$IN12="interior",COUNTIF(IF($AG12="S",'Master Dashboard'!$AN$16:$AN$18,'Master Dashboard'!$AN$13:$AN$15),$AA12)=0,$AA12&lt;&gt;'King Node Model'!$T$22,$AA12&lt;&gt;'King Node Model'!$T$23,$AA12&lt;&gt;'King Node Model'!$F$24),1,0),0)</f>
        <v>0</v>
      </c>
      <c r="IH12">
        <f t="shared" si="101"/>
        <v>0</v>
      </c>
      <c r="II12">
        <f t="shared" si="190"/>
        <v>0</v>
      </c>
      <c r="IJ12">
        <f t="shared" si="102"/>
        <v>0</v>
      </c>
      <c r="IK12">
        <f t="shared" si="103"/>
        <v>0</v>
      </c>
      <c r="IL12">
        <f t="shared" si="191"/>
        <v>0</v>
      </c>
      <c r="IM12">
        <f t="shared" si="104"/>
        <v>0</v>
      </c>
      <c r="IN12" t="str">
        <f t="shared" si="105"/>
        <v/>
      </c>
      <c r="IO12">
        <v>0</v>
      </c>
      <c r="IP12">
        <v>0</v>
      </c>
      <c r="IQ12">
        <f>IFERROR(IF($AG12="S",IF(OR(COUNTIF($W$9:$W$14,$AA12)&gt;0,COUNTIF('King Node Model'!$AL$42:'King Node Model'!$AL$43,$AA12)&gt;0),1,0),IF($AG12="R",IF(OR(COUNTIF($W$18:$W$23,$AA12)&gt;0,COUNTIF('King Node Model'!$AL$49:'King Node Model'!$AL$50,$AA12)&gt;0),1,0),0)),0)</f>
        <v>0</v>
      </c>
      <c r="IR12">
        <f>IFERROR(IF(AND(ISNUMBER($W12),OR('King Node Model'!$A$8&lt;&gt;"Pos",N($BG$72)=1,IFERROR(INDEX($AM$9:$AM$55,MATCH($W12,$AA$9:$AA$55,0)),0)&gt;=$BG$20),COUNTIF('King Node Model'!$AL$42:'King Node Model'!$AL$43,$W12)=0),ABS($W12-$B$4),""),"")</f>
        <v>44.609999999999673</v>
      </c>
      <c r="IS12">
        <f>IF(AND(ISNUMBER($AA12),N($AN12)&lt;&gt;1,N($LR12)&lt;&gt;1,OR(N($EN12)&lt;&gt;1,AND('King Node Model'!$A$8&lt;&gt;"Neg",N($BG$72)&lt;&gt;1)),$AA12&lt;&gt;'King Node Model'!$T$22,$AA12&lt;&gt;'King Node Model'!$T$23,$AA12&lt;&gt;'King Node Model'!$F$24,NOT(AND($AG12="S",COUNTIF('Master Dashboard'!$AN$16:$AN$18,$AA12)&gt;0)),NOT(AND($AG12="R",COUNTIF('Master Dashboard'!$AN$13:$AN$15,$AA12)&gt;0)),NOT(AND('King Node Model'!$A$8&lt;&gt;"Neg",N($BG$72)&lt;&gt;1,COUNTIF('Master Dashboard'!$AN$13:$AN$18,$AA12)&gt;0))),1,0)</f>
        <v>1</v>
      </c>
      <c r="IT12">
        <v>0</v>
      </c>
      <c r="IU12">
        <f>IF(AND(ISNUMBER($AA12),$AA12='King Node Model'!$F$24,$AA12&gt;$GJ$3,N($AD12)&lt;0,$F$4="High"),1,0)</f>
        <v>0</v>
      </c>
      <c r="IV12" t="str">
        <f>""</f>
        <v/>
      </c>
      <c r="IW12">
        <f>IFERROR(IF(AND(ISNUMBER($AA12),NOT(AND(N($LR12)=1,N($MB12)=1)),$AG12="S",OR('King Node Model'!$A$8="Neg",N($BG$72)=1),$JV12="SELL",ABS(N($AD12))&gt;=$BG$94,NOT(AND(N($AD12)&gt;0,N($BG$78)=1,MEDIAN($AA12-$BG$82,$B$4,$AA12+$BG$83)=$B$4))),1,0),0)</f>
        <v>0</v>
      </c>
      <c r="IX12">
        <f>IFERROR(IF(AND(ISNUMBER($AA12),$AG12="S",OR('King Node Model'!$A$8="Neg",N($BG$72)=1),N($AD12)&gt;0,N($BG$78)=1,MEDIAN($AA12-$BG$82,$B$4,$AA12+$BG$83)=$B$4),1,0),0)</f>
        <v>0</v>
      </c>
      <c r="IY12" t="str">
        <f t="shared" si="106"/>
        <v>SELL</v>
      </c>
      <c r="IZ12">
        <f>IFERROR(IF(AND(ISNUMBER($AA12),$FA12&lt;&gt;"DOM",$AA12&lt;&gt;'King Node Model'!$F$24,OR(AND($AG12="S",COUNTIF('Master Dashboard'!$AN$16:$AN$18,$AA12)=0,N(INDEX($AE$9:$AE$55,MATCH($AA12+$BG$84,$AA$9:$AA$55,0)))&lt;=-$BG$85),AND($AG12="R",COUNTIF('Master Dashboard'!$AN$13:$AN$15,$AA12)=0,N(INDEX($AE$9:$AE$55,MATCH($AA12-$BG$84,$AA$9:$AA$55,0)))&gt;=$BG$85))),1,0),0)</f>
        <v>0</v>
      </c>
      <c r="JA12" t="str">
        <f t="shared" si="107"/>
        <v/>
      </c>
      <c r="JC12">
        <f t="shared" si="108"/>
        <v>0</v>
      </c>
      <c r="JD12" t="str">
        <f t="shared" si="193"/>
        <v/>
      </c>
      <c r="JE12">
        <f>IF(ISNUMBER($AA12),N(IFERROR(INDEX('King Node Model'!$L$29:$L$75,MATCH($AA12,'King Node Model'!$A$29:$A$75,0)),0)),"")</f>
        <v>46</v>
      </c>
      <c r="JF12">
        <f>IF(ISNUMBER($AA12),N(IFERROR(INDEX('King Node Model'!$K$29:$K$75,MATCH($AA12,'King Node Model'!$A$29:$A$75,0)),0)),"")</f>
        <v>2713</v>
      </c>
      <c r="JG12">
        <f t="shared" si="109"/>
        <v>1.6955399926280871E-2</v>
      </c>
      <c r="JH12">
        <f t="shared" si="110"/>
        <v>58.978260869565219</v>
      </c>
      <c r="JI12">
        <f t="shared" si="111"/>
        <v>0</v>
      </c>
      <c r="JJ12" t="str">
        <f t="shared" si="112"/>
        <v>Ramp</v>
      </c>
      <c r="JK12">
        <f t="shared" si="113"/>
        <v>1</v>
      </c>
      <c r="JL12">
        <f t="shared" si="114"/>
        <v>0</v>
      </c>
      <c r="JM12">
        <f t="shared" si="115"/>
        <v>0</v>
      </c>
      <c r="JN12">
        <f t="shared" si="116"/>
        <v>0</v>
      </c>
      <c r="JO12">
        <f t="shared" si="117"/>
        <v>0</v>
      </c>
      <c r="JP12">
        <f t="shared" si="118"/>
        <v>0</v>
      </c>
      <c r="JQ12">
        <f t="shared" si="119"/>
        <v>0</v>
      </c>
      <c r="JR12">
        <v>0</v>
      </c>
      <c r="JS12">
        <f>IFERROR(IF(AND(ISNUMBER($AA12),'King Node Model'!$A$8="Pos",OR($AG12="S",$AG12="R"),N($AB12)&gt;0,N($HP12)&lt;&gt;1,OR(AND($KC12="DOWN",N($AF12)&lt;0,N($AF12)=MIN($AF$9:$AF$55),-N($AF12)&gt;=MAX($AF$9:$AF$55)),AND($KC12="UP",N($AF12)&gt;0,N($AF12)=MAX($AF$9:$AF$55),N($AF12)&gt;=-MIN($AF$9:$AF$55)))),1,0),0)</f>
        <v>0</v>
      </c>
      <c r="JT12">
        <v>0</v>
      </c>
      <c r="JU12">
        <f>IFERROR(IF(AND(N($BG$109)=1,ISNUMBER($AA12),'King Node Model'!$A$8="Pos",N($CZ12)=1,N($AB12)&gt;0),1,0),0)</f>
        <v>0</v>
      </c>
      <c r="JV12" t="str">
        <f t="shared" si="120"/>
        <v>BUY</v>
      </c>
      <c r="JW12">
        <f t="shared" si="121"/>
        <v>0</v>
      </c>
      <c r="JX12">
        <f t="shared" si="122"/>
        <v>0</v>
      </c>
      <c r="JY12">
        <f t="shared" si="123"/>
        <v>0</v>
      </c>
      <c r="JZ12">
        <f t="shared" si="124"/>
        <v>0</v>
      </c>
      <c r="KA12">
        <f t="shared" si="125"/>
        <v>0</v>
      </c>
      <c r="KB12">
        <f t="shared" si="126"/>
        <v>0</v>
      </c>
      <c r="KC12" t="str">
        <f t="shared" si="127"/>
        <v>DOWN</v>
      </c>
      <c r="KE12" t="str">
        <f t="shared" si="128"/>
        <v>Now: strengthening the ceiling (IV rising) · if IV falls: weakens the ceiling · expected on arrival: WEAKENS ✗</v>
      </c>
      <c r="KF12" t="str">
        <f t="shared" si="129"/>
        <v>BUY</v>
      </c>
      <c r="KG12">
        <f t="shared" si="192"/>
        <v>0</v>
      </c>
      <c r="KH12" t="str">
        <f t="shared" si="130"/>
        <v/>
      </c>
      <c r="KI12" t="str">
        <f t="shared" si="131"/>
        <v/>
      </c>
      <c r="KJ12">
        <f t="shared" si="132"/>
        <v>0</v>
      </c>
      <c r="KK12">
        <f t="shared" si="133"/>
        <v>0</v>
      </c>
      <c r="KL12">
        <f t="shared" si="134"/>
        <v>0</v>
      </c>
      <c r="KM12">
        <f t="shared" si="135"/>
        <v>0</v>
      </c>
      <c r="KN12">
        <f t="shared" si="136"/>
        <v>0</v>
      </c>
      <c r="KO12">
        <v>0</v>
      </c>
      <c r="KP12">
        <f t="shared" si="137"/>
        <v>0</v>
      </c>
      <c r="KQ12">
        <f t="shared" si="138"/>
        <v>0</v>
      </c>
      <c r="KR12">
        <f t="shared" si="139"/>
        <v>0</v>
      </c>
      <c r="KS12">
        <f t="shared" si="140"/>
        <v>0</v>
      </c>
      <c r="KT12">
        <f t="shared" si="141"/>
        <v>0</v>
      </c>
      <c r="KU12">
        <f>IF(AND(ISNUMBER($AA12),ISNUMBER($AE12),ISNUMBER($AE11),N($AE12)&lt;&gt;0),($AE12-$AE11)/$AE12,"")</f>
      </c>
      <c r="KV12">
        <f>IF(AND(ISNUMBER($AA12),ISNUMBER($AE12),ISNUMBER($AE13),N($AE12)&lt;&gt;0),($AE12-$AE13)/$AE12,"")</f>
      </c>
      <c r="KW12">
        <f>IFERROR(IF(OR(NOT(ISNUMBER($AA12)),'King Node Model'!$A$8&lt;&gt;"Pos",N($BG$72)=1,ABS(N($AE12))&lt;$BG$113,$FA12="DOM",$AA12='King Node Model'!$T$23,AND(N($BG$116)=1,$AA12='King Node Model'!$F$24),NOT(ISNUMBER($KU12)),NOT(ISNUMBER($KV12))),0,IF(AND($AG12="S",COUNTIF('Master Dashboard'!$AN$16:$AN$18,$AA12)=0,$KU12&gt;=$BG$114,$KU12&gt;=$KV12+$BG$115),1,IF(AND($AG12="R",COUNTIF('Master Dashboard'!$AN$13:$AN$15,$AA12)=0,$KV12&gt;=$BG$114,$KV12&gt;=$KU12+$BG$115),-1,0))),0)</f>
        <v>0</v>
      </c>
      <c r="KX12">
        <f t="shared" si="144"/>
        <v>0</v>
      </c>
      <c r="KY12">
        <f t="shared" si="145"/>
        <v>0</v>
      </c>
      <c r="KZ12">
        <f t="shared" si="146"/>
        <v>0</v>
      </c>
      <c r="LA12">
        <f t="shared" si="147"/>
        <v>0</v>
      </c>
      <c r="LB12">
        <f t="shared" si="148"/>
        <v>0</v>
      </c>
      <c r="LC12">
        <f t="shared" si="149"/>
        <v>0</v>
      </c>
      <c r="LD12">
        <f t="shared" si="150"/>
        <v>0</v>
      </c>
      <c r="LE12">
        <f t="shared" si="151"/>
        <v>0</v>
      </c>
      <c r="LF12">
        <f t="shared" si="152"/>
        <v>0</v>
      </c>
      <c r="LG12" t="str">
        <f t="shared" si="153"/>
        <v/>
      </c>
      <c r="LH12" t="str">
        <f t="shared" si="154"/>
        <v/>
      </c>
      <c r="LI12" t="str">
        <f t="shared" si="155"/>
        <v/>
      </c>
      <c r="LJ12" t="str">
        <f t="shared" si="156"/>
        <v/>
      </c>
      <c r="LK12" t="str">
        <f t="shared" si="157"/>
        <v/>
      </c>
      <c r="LL12">
        <f t="shared" si="158"/>
        <v>0</v>
      </c>
      <c r="LM12">
        <f t="shared" si="159"/>
        <v>0</v>
      </c>
      <c r="LN12">
        <f t="shared" si="160"/>
        <v>0</v>
      </c>
      <c r="LO12">
        <v>0</v>
      </c>
      <c r="LP12">
        <f t="shared" si="161"/>
        <v>0</v>
      </c>
      <c r="LQ12" t="str">
        <f t="shared" si="162"/>
        <v/>
      </c>
      <c r="LR12">
        <f t="shared" si="163"/>
        <v>0</v>
      </c>
      <c r="LS12">
        <f t="shared" si="164"/>
        <v>0</v>
      </c>
      <c r="LT12">
        <f t="shared" si="165"/>
        <v>0</v>
      </c>
      <c r="LU12">
        <f t="shared" si="166"/>
        <v>0</v>
      </c>
      <c r="LV12">
        <f t="shared" si="167"/>
        <v>0</v>
      </c>
      <c r="LW12">
        <f t="shared" si="168"/>
        <v>0</v>
      </c>
      <c r="LX12">
        <f t="shared" si="169"/>
        <v>0</v>
      </c>
      <c r="LY12">
        <f t="shared" si="170"/>
        <v>0</v>
      </c>
      <c r="LZ12">
        <f t="shared" si="171"/>
        <v>0</v>
      </c>
      <c r="MA12">
        <f t="shared" si="172"/>
        <v>0</v>
      </c>
      <c r="MB12">
        <v>0</v>
      </c>
      <c r="MC12">
        <f t="shared" si="173"/>
        <v>1</v>
      </c>
      <c r="MD12">
        <f t="shared" si="174"/>
        <v>1</v>
      </c>
      <c r="ME12">
        <f t="shared" si="175"/>
        <v>0</v>
      </c>
      <c r="MF12">
        <f t="shared" si="176"/>
        <v>0</v>
      </c>
      <c r="MG12">
        <f t="shared" si="177"/>
        <v>0</v>
      </c>
      <c r="MH12">
        <f t="shared" si="178"/>
        <v>0</v>
      </c>
      <c r="MI12" t="str">
        <f t="shared" si="179"/>
        <v/>
      </c>
      <c r="MJ12">
        <f t="shared" si="180"/>
        <v>0</v>
      </c>
      <c r="MK12">
        <f t="shared" si="181"/>
        <v>0</v>
      </c>
      <c r="ML12">
        <f>IF(AND(OR('King Node Model'!$A$8="Neg",N($BG$72)=1),ISNUMBER($AA12),$AG12="R",N($AB12)&lt;0),IF(AND($AA11=$AA12+5,N($AB11)&gt;0,$AA10=$AA12+10,N($AB10)&lt;0),1,IF(AND($AA11=$AA12+5,N($AB11)&gt;0,$AA10=$AA12+10,N($AB10)&gt;0,$AA9=$AA12+15,N($AB9)&lt;0),2,IF(AND($AA11=$AA12+5,N($AB11)&gt;0,$AA10=$AA12+10,N($AB10)&gt;0,$AA9=$AA12+15,N($AB9)&gt;0,$AA8=$AA12+20,N($AB8)&lt;0),3,IF(AND($AA11=$AA12+5,N($AB11)&gt;0,$AA10=$AA12+10,N($AB10)&gt;0,$AA9=$AA12+15,N($AB9)&gt;0,$AA8=$AA12+20,N($AB8)&gt;0,$AA7=$AA12+25,N($AB7)&lt;0),4,0)))),0)</f>
      </c>
      <c r="MM12">
        <f>IF(AND(OR('King Node Model'!$A$8="Neg",N($BG$72)=1),ISNUMBER($AA12),$AG12="S",N($AB12)&lt;0),IF(AND($AA13=$AA12-5,N($AB13)&gt;0,$AA14=$AA12-10,N($AB14)&lt;0),1,IF(AND($AA13=$AA12-5,N($AB13)&gt;0,$AA14=$AA12-10,N($AB14)&gt;0,$AA15=$AA12-15,N($AB15)&lt;0),2,IF(AND($AA13=$AA12-5,N($AB13)&gt;0,$AA14=$AA12-10,N($AB14)&gt;0,$AA15=$AA12-15,N($AB15)&gt;0,$AA16=$AA12-20,N($AB16)&lt;0),3,IF(AND($AA13=$AA12-5,N($AB13)&gt;0,$AA14=$AA12-10,N($AB14)&gt;0,$AA15=$AA12-15,N($AB15)&gt;0,$AA16=$AA12-20,N($AB16)&gt;0,$AA17=$AA12-25,N($AB17)&lt;0),4,0)))),0)</f>
      </c>
      <c r="MN12">
        <f>IF(N($ML12)&gt;0,$AA12,0)</f>
      </c>
      <c r="MO12">
        <f>IF(N($MM12)&gt;0,$AA12,0)</f>
      </c>
      <c r="MP12">
        <f>IF(AND(OR('King Node Model'!$A$8="Neg",N($BG$72)=1),ISNUMBER($BG$155),$AA12=$BG$155,N($NC12)=1),2,IF(AND(OR('King Node Model'!$A$8="Neg",N($BG$72)=1),ISNUMBER($BG$156),$AA12=$BG$156,N($ND12)=1),1,0))</f>
      </c>
      <c r="MQ12">
        <f>IF(ABS(AE12)&lt;=0,0,IF($AG12="R",IF(ISNUMBER(AE11),IF((ABS(AE11)-ABS(AE12))/ABS(AE12)&lt;-0.4,1,0),0),IF(ISNUMBER(AE13),IF((ABS(AE13)-ABS(AE12))/ABS(AE12)&lt;-0.4,1,0),0)))</f>
      </c>
      <c r="MR12">
        <f>IF(OR(N($MQ12)&lt;&gt;1,N($BG$157)&lt;&gt;1,NOT(ISNUMBER($KU12)),NOT(ISNUMBER($KV12))),0,IF(OR(AND($AG12="S",OR(AND($KU12&gt;=$BG$114,$KU12&gt;=$KV12+$BG$115),AND($KU12&gt;1,$KV12&lt;=1,$KV12&gt;=$BG$114))),AND($AG12="R",OR(AND($KV12&gt;=$BG$114,$KV12&gt;=$KU12+$BG$115),AND($KV12&gt;1,$KU12&lt;=1,$KU12&gt;=$BG$114)))),1,0))</f>
      </c>
      <c r="MS12" t="str">
        <f>IF(AND(N($MR12)=1,N($NA12)&lt;&gt;1),"• DEX falls off more sharply "&amp;IF($AG12="S","above (","below (")&amp;TEXT(IF($AG12="S",$KU12,$KV12),"0%")&amp;") than "&amp;IF($AG12="S","below (","above (")&amp;TEXT(IF($AG12="S",$KV12,$KU12),"0%")&amp;") — Dex↓ not counted",IF(N($MW12)=1,"• Shoulder of the "&amp;IF($AG12="R",$AA13,$AA11)&amp;" wall — own DEX "&amp;TEXT($AE12/1000,"+#,##0;-#,##0")&amp;"K is "&amp;TEXT(ABS($AE12)/ABS(IF($AG12="R",$AE13,$AE11)),"0%")&amp;" of "&amp;TEXT(IF($AG12="R",$AE13,$AE11)/1000,"+#,##0;-#,##0")&amp;"K, Dex↓ not counted",""))</f>
      </c>
      <c r="MT12">
        <f>IF(AND(ISNUMBER($AA12),$AG12="S",ISNUMBER($AB12),$AB12=MIN($AB$9:$AB$55),$AA12=$BG$105,$JV12="BUY",ABS(N($AD12))&gt;=$BG$158),1,0)</f>
      </c>
      <c r="MU12" t="str">
        <f>IF(N($MY12)=1,"",IF(OR(N($MT12)=1,AND(OR('King Node Model'!$A$8="Neg",N($BG$72)=1),$AG12="S",ISNUMBER($AB12),$AB12=MIN($AB$9:$AB$55),$AA12=$BG$105)),"• Min GEX + Max Zomma (no reversal flag required) — accelerant warning not applied; zomma acceleration warning only within "&amp;$BG$98&amp;" pts of the level, and not when vanna buying is "&amp;TEXT($BG$158/1000,"0")&amp;"K or more"&amp;CHAR(10)&amp;IF(N($MT12)=1,"• Max Zomma and vanna buying ("&amp;TEXT(N($AD12)/1000,"+#,##0;-#,##0")&amp;"K) make this level safe","• Max Zomma is what makes this level safe"),"")&amp;$NB12&amp;$NI12)</f>
      </c>
      <c r="MV12" t="str">
        <f>IF(AND(ISNUMBER($AA12),OR($AA12=$BG$118,$AA12=$BG$119)),IF(N($AZ12)*IF($AG12="R",1,-1)&gt;0,"✓",IF(N($AZ12)*IF($AG12="R",1,-1)&lt;0,"✗","")),"")</f>
      </c>
      <c r="MW12">
        <f>IF(AND(N($MQ12)=1,N($BG$159)&gt;0,ISNUMBER(IF($AG12="R",$AE13,$AE11)),N(IF($AG12="R",$AE13,$AE11))&lt;&gt;0),IF(ABS(N($AE12))&lt;$BG$159*ABS(IF($AG12="R",$AE13,$AE11)),1,0),0)</f>
      </c>
      <c r="MX12">
        <f>IF(AND(ISNUMBER($AA12),$AA12=$BG$121,$AG12="R",N($AE12)&lt;0,OR(COUNTIF('King Node Model'!$AL$42:$AL$44,$AA12)=0,N($HP12)=1),N($NC12)=1),2,IF(AND(ISNUMBER($AA12),$AA12=$BG$120,$AG12="S",N($AE12)&gt;0,OR(COUNTIF('King Node Model'!$AL$49:$AL$51,$AA12)=0,N($HP12)=1),N($ND12)=1),1,0))</f>
      </c>
      <c r="MY12">
        <f>IF(AND(N($NA12)=1,NOT(AND(AND($AG12="S",ISNUMBER($AB12),$AB12=MIN($AB$9:$AB$55),$AA12=$BG$105),IFERROR(INDEX($AG$9:$AG$55,MATCH('King Node Model'!$B$23,$AA$9:$AA$55,0)),"")="R")),N($AV12)&lt;&gt;1),1,0)</f>
      </c>
      <c r="MZ12" t="str">
        <f>IF(N($MY12)&lt;&gt;1,"","• DEX falls off more sharply "&amp;IF($AG12="S","above (","below (")&amp;TEXT(IF($AG12="S",$KU12,$KV12),"0%")&amp;") than "&amp;IF($AG12="S","below (","above (")&amp;TEXT(IF($AG12="S",$KV12,$KU12),"0%")&amp;") — path of least resistance "&amp;IF($AG12="S","down","up")&amp;IF(N($AZ12)*IF($AG12="R",1,-1)&lt;0,CHAR(10)&amp;"• Speed against — GEX gets more negative as price "&amp;IF($AG12="R","rises","falls")&amp;" into it (speed "&amp;TEXT(N($AZ12),"#,##0;−#,##0")&amp;")","")&amp;IF(OR(N($NG12)=1,N($JC12)=1),CHAR(10)&amp;"• "&amp;IF(N($JC12)=1,"DOM with vanna BUY "&amp;TEXT(N($AD12)/1000,"+#,##0;−#,##0")&amp;"K","Put wall + Max Zomma + DOM")&amp;" backs the level, but it does not outweigh DEX"&amp;IF(N($AZ12)*IF($AG12="R",1,-1)&lt;0," and speed",""),IF(AND($AG12="S",ISNUMBER($AB12),$AB12=MIN($AB$9:$AB$55),$AA12=$BG$105),CHAR(10)&amp;"• Min GEX + Max Zomma backs the level, but it does not outweigh DEX"&amp;IF(N($AZ12)*IF($AG12="R",1,-1)&lt;0," and speed",""),IF(OR(N($JI12)=1,AND(N($GV12)=1,N($JK12)&lt;&gt;1,N($IW12)&lt;&gt;1),N($JC12)=1,AND($AA12='King Node Model'!$F$24,N($JN12)&lt;&gt;1,OR($AG12="R",AND($AG12="S",$F$4="High",IF($BG$80&lt;&gt;"",UPPER($BG$80),$D$5)="UP")))),CHAR(10)&amp;"• Vanna "&amp;IF($AG12="S","BUY ","SELL ")&amp;TEXT(N($AD12)/1000,"+#,##0;−#,##0")&amp;"K backs the level, but it does not outweigh DEX"&amp;IF(N($AZ12)*IF($AG12="R",1,-1)&lt;0," and speed",""),"")))&amp;IF(N($NE12)=1,CHAR(10)&amp;"• Buy-lean max-node exemption not applied — DEX leans against the level",""))</f>
      </c>
      <c r="NA12">
        <f>IF(AND(OR('King Node Model'!$A$8="Neg",N($BG$72)=1),ISNUMBER($AA12),ABS(N($AE12))&gt;=$BG$152,ISNUMBER($KU12),ISNUMBER($KV12)),IF(OR(AND($AG12="S",OR(AND($KU12&gt;=$BG$114,$KU12&gt;=$KV12+$BG$115),AND($KU12&gt;1,$KV12&lt;=1,$KV12&gt;=$BG$114))),AND($AG12="R",OR(AND($KV12&gt;=$BG$114,$KV12&gt;=$KU12+$BG$115),AND($KV12&gt;1,$KU12&lt;=1,$KU12&gt;=$BG$114)))),1,0),0)</f>
      </c>
      <c r="NB12" t="str">
        <f>IF(AND(N($NA12)=1,AND(AND($AG12="S",ISNUMBER($AB12),$AB12=MIN($AB$9:$AB$55),$AA12=$BG$105),IFERROR(INDEX($AG$9:$AG$55,MATCH('King Node Model'!$B$23,$AA$9:$AA$55,0)),"")="R")),CHAR(10)&amp;"• DEX falls off more sharply above ("&amp;TEXT($KU12,"0%")&amp;") than below ("&amp;TEXT($KV12,"0%")&amp;") — DEX-lean warning not applied: Min GEX + Max Zomma support with Max Gamma "&amp;'King Node Model'!$B$23&amp;" above (Dex↓ not counted)",IF(AND(OR(N($NA12)=1,N($NF12)=1),N($AV12)=1),IF(AND(OR('King Node Model'!$A$8="Neg",N($BG$72)=1),$AG12="S",ISNUMBER($AB12),$AB12=MIN($AB$9:$AB$55),$AA12=$BG$105),CHAR(10),"")&amp;"• DEX falls off more sharply "&amp;IF($AG12="S","above (","below (")&amp;TEXT(IF($AG12="S",$KU12,$KV12),"0%")&amp;") than "&amp;IF($AG12="S","below (","above (")&amp;TEXT(IF($AG12="S",$KV12,$KU12),"0%")&amp;") — DEX lean does not apply to iDex (isolated DEX)",""))</f>
      </c>
      <c r="NC12">
        <f>IF(OR($BG$163=1,AND($BG$161&gt;0,$BG$162&lt;99999,ISNUMBER($AA12),$AA12&lt;$BG$162)),1,0)</f>
      </c>
      <c r="ND12">
        <f>IF(OR($BG$163=-1,AND($BG$161&gt;0,$BG$162&lt;99999,ISNUMBER($AA12),$AA12&gt;$BG$161)),1,0)</f>
      </c>
      <c r="NE12">
        <f>IF(AND(OR('King Node Model'!$A$8="Neg",N($BG$72)=1),ISNUMBER(SEARCH("LOW",'Master Dashboard'!$M$5)),ISNUMBER(SEARCH("BUY",'Master Dashboard'!$G$8)),'King Node Model'!$T$23='King Node Model'!$B$23,OR($AA12='King Node Model'!$T$23,AND($AG12="R",$AA12='King Node Model'!$T$23+5)),OR(AND($AG12="S",$JV12="BUY"),AND($AG12="R",$JV12="SELL"))),1,0)</f>
      </c>
      <c r="NF12">
        <f>IFERROR(IF(OR(NOT(ISNUMBER($AA12)),'King Node Model'!$A$8&lt;&gt;"Pos",N($BG$72)=1,ABS(N($AE12))&lt;$BG$113,$FA12="DOM",$AA12='King Node Model'!$T$23,AND(N($BG$116)=1,$AA12='King Node Model'!$F$24),NOT(ISNUMBER($KU12)),NOT(ISNUMBER($KV12))),0,IF(AND($AG12="S",COUNTIF('Master Dashboard'!$AN$16:$AN$18,$AA12)=0,$KU12&gt;=$BG$114,$KU12&gt;=$KV12+$BG$115,NOT(AND(N($AN13)=1,N($KV12)&lt;0)),N($AE12)&lt;=0),1,IF(AND($AG12="R",COUNTIF('Master Dashboard'!$AN$13:$AN$15,$AA12)=0,$KV12&gt;=$BG$114,$KV12&gt;=$KU12+$BG$115,NOT(AND(N($AN11)=1,N($KU12)&lt;0))),-1,0))),0)</f>
      </c>
      <c r="NG12">
        <f t="shared" si="202"/>
      </c>
      <c r="NI12" t="str">
        <f>IF(AND(ISNUMBER($BG$165),ISNUMBER($AA12)),IF(OR(AND($AG12="S",$AA12&gt;$BG$165,$AA12-$BG$165&lt;=5),AND($AG12="R",$AA12&lt;$BG$165,$BG$165-$AA12&lt;=5)),IF(OR(AND(OR('King Node Model'!$A$8="Neg",N($BG$72)=1),$AG12="S",ISNUMBER($AB12),$AB12=MIN($AB$9:$AB$55),$AA12=$BG$105),$NB12&lt;&gt;""),CHAR(10),"")&amp;"• DOM forming at "&amp;$BG$165&amp;" (gamma "&amp;TEXT($BG$166,"0%")&amp;" of max) — price may be pulled to the node",""),"")</f>
      </c>
      <c r="NJ12">
        <f>IF(LEN($NI12)&gt;0,1,0)</f>
      </c>
    </row>
    <row r="13" spans="1:349" ht="15" customHeight="1" x14ac:dyDescent="0.25">
      <c r="A13" s="204" t="str">
        <f t="shared" si="0"/>
        <v>7780 ⟂</v>
      </c>
      <c r="B13" s="205">
        <f>IFERROR(INDEX('King Node Model'!$C$29:$C$75,MATCH(IF($W13="",$V13,$W13),'King Node Model'!$A$29:$A$75,0)),"")</f>
        <v>-2299593</v>
      </c>
      <c r="C13" s="206" t="str">
        <f t="shared" si="1"/>
        <v>Dex Zom Dex↓ Zsh P-OI</v>
      </c>
      <c r="D13" s="206">
        <f t="shared" si="2"/>
        <v>5</v>
      </c>
      <c r="E13" s="206" t="str">
        <f t="shared" si="3"/>
        <v>REVERSAL</v>
      </c>
      <c r="F13" s="207" t="str">
        <f t="shared" si="4"/>
        <v>stable</v>
      </c>
      <c r="G13" s="397" t="str">
        <f t="shared" si="5"/>
        <v>ACCEL fading · Neg gamma ↓ (firmer resistance)</v>
      </c>
      <c r="R13" s="181" t="s">
        <v>1205</v>
      </c>
      <c r="S13" s="413">
        <f>COUNTIF(AZ9:AZ55,"&gt;0")/COUNT(AZ9:AZ55)</f>
        <v>0.91489361702127658</v>
      </c>
      <c r="V13" s="1">
        <f>IFERROR(INDEX($AA$9:$AA$55,MATCH("R5",$BB$9:$BB$55,0)),"")</f>
        <v>7805</v>
      </c>
      <c r="W13">
        <v>7780</v>
      </c>
      <c r="AA13" s="181">
        <f>'King Node Model'!A33</f>
        <v>7865</v>
      </c>
      <c r="AB13" s="276">
        <f>'King Node Model'!C33</f>
        <v>101554</v>
      </c>
      <c r="AC13" s="181">
        <f>ABS('King Node Model'!B33)</f>
        <v>104698</v>
      </c>
      <c r="AD13" s="276">
        <f>'King Node Model'!F33</f>
        <v>483925</v>
      </c>
      <c r="AE13" s="276">
        <f>'King Node Model'!E33</f>
        <v>-17411</v>
      </c>
      <c r="AF13" s="276">
        <f>'King Node Model'!D33</f>
        <v>2108878</v>
      </c>
      <c r="AG13" s="181" t="str">
        <f t="shared" si="6"/>
        <v>R</v>
      </c>
      <c r="AH13" s="181">
        <f t="shared" si="7"/>
        <v>15</v>
      </c>
      <c r="AI13" s="181" t="str">
        <f t="shared" si="8"/>
        <v>SELL</v>
      </c>
      <c r="AJ13" s="181">
        <f t="shared" si="9"/>
        <v>0</v>
      </c>
      <c r="AK13" s="181">
        <f>IF(ABS(N($AE13))&gt;=$BG$85,1,0)</f>
      </c>
      <c r="AL13" s="181">
        <f t="shared" si="10"/>
        <v>0</v>
      </c>
      <c r="AM13" s="181">
        <f t="shared" si="11"/>
        <v>1</v>
      </c>
      <c r="AN13" s="181">
        <f t="shared" si="12"/>
        <v>0</v>
      </c>
      <c r="AO13" s="1">
        <f t="shared" si="13"/>
        <v>17411</v>
      </c>
      <c r="AP13" s="1" t="str">
        <f t="shared" si="14"/>
        <v/>
      </c>
      <c r="AQ13" s="1">
        <f t="shared" si="15"/>
        <v>2108878</v>
      </c>
      <c r="AR13" s="181">
        <f t="shared" si="16"/>
        <v>0.11873187104461697</v>
      </c>
      <c r="AS13" s="181">
        <f t="shared" si="17"/>
        <v>17</v>
      </c>
      <c r="AT13" s="181" t="str">
        <f t="shared" si="18"/>
        <v/>
      </c>
      <c r="AU13" s="181" t="str">
        <f t="shared" si="19"/>
        <v/>
      </c>
      <c r="AV13" s="218">
        <f t="shared" si="183"/>
        <v>0</v>
      </c>
      <c r="AW13" s="181">
        <f>ABS('King Node Model'!G33)</f>
        <v>237</v>
      </c>
      <c r="AX13" s="181">
        <f t="shared" si="20"/>
        <v>0</v>
      </c>
      <c r="AY13" s="181">
        <f t="shared" si="21"/>
        <v>0</v>
      </c>
      <c r="AZ13" s="276">
        <f>'King Node Model'!I33</f>
        <v>1709</v>
      </c>
      <c r="BA13" s="181">
        <f t="shared" si="22"/>
        <v>0</v>
      </c>
      <c r="BB13" s="181" t="str">
        <f t="shared" si="23"/>
        <v>R17</v>
      </c>
      <c r="BC13" s="10">
        <f>'King Node Model'!C33</f>
        <v>101554</v>
      </c>
      <c r="BD13" s="218">
        <f t="shared" si="184"/>
        <v>0</v>
      </c>
      <c r="BE13" s="218">
        <f t="shared" si="185"/>
        <v>0</v>
      </c>
      <c r="BF13" s="76" t="s">
        <v>1206</v>
      </c>
      <c r="BG13">
        <v>2</v>
      </c>
      <c r="BI13" s="218">
        <f t="shared" si="186"/>
        <v>0</v>
      </c>
      <c r="BJ13" s="218">
        <f t="shared" si="187"/>
        <v>0</v>
      </c>
      <c r="BK13" s="218">
        <f t="shared" si="24"/>
        <v>0</v>
      </c>
      <c r="BL13" s="10">
        <f>'King Node Model'!H33</f>
        <v>9</v>
      </c>
      <c r="BM13" s="218">
        <f t="shared" si="25"/>
        <v>33</v>
      </c>
      <c r="BN13" s="218">
        <f t="shared" si="26"/>
        <v>24</v>
      </c>
      <c r="BO13" s="218">
        <f t="shared" si="27"/>
        <v>0</v>
      </c>
      <c r="BP13" s="218">
        <f t="shared" si="28"/>
        <v>0</v>
      </c>
      <c r="BQ13" t="str">
        <f t="shared" si="29"/>
        <v/>
      </c>
      <c r="BR13" t="str">
        <f t="shared" si="30"/>
        <v/>
      </c>
      <c r="BS13" s="218">
        <f t="shared" si="31"/>
        <v>0</v>
      </c>
      <c r="BT13" t="str">
        <f t="shared" si="32"/>
        <v/>
      </c>
      <c r="BU13" t="str">
        <f t="shared" si="33"/>
        <v/>
      </c>
      <c r="BV13" s="218">
        <f t="shared" si="34"/>
        <v>483925</v>
      </c>
      <c r="BW13" s="218">
        <f t="shared" si="35"/>
        <v>17411</v>
      </c>
      <c r="BX13" s="218">
        <f>IF(AND(ISNUMBER(BC13),BC13&gt;=$BG$160,OR('King Node Model'!$A$8="Neg",N($BG$72)=1)),1,0)</f>
        <v>1</v>
      </c>
      <c r="BY13" s="218">
        <f t="shared" si="36"/>
        <v>0</v>
      </c>
      <c r="BZ13" s="218">
        <f t="shared" si="37"/>
        <v>0</v>
      </c>
      <c r="CA13" t="str">
        <f t="shared" si="38"/>
        <v/>
      </c>
      <c r="CB13" s="218">
        <f>IF(AND(ISNUMBER('King Node Model'!$D$27),AG13&lt;&gt;"",AA13='King Node Model'!$D$27),1,0)</f>
        <v>0</v>
      </c>
      <c r="CC13" s="218">
        <f>IF(OR('King Node Model'!$A$8="Neg",N($BG$72)=1),$BG$14*IF(ISNUMBER('King Node Model'!$D$26),MAX(0,1-ABS(AA13-'King Node Model'!$D$26)/$BG$18),0)+$BG$15*IFERROR(BV13/MAX($BV$9:$BV$55),0)+$BG$16*IFERROR(BW13/MAX($BW$9:$BW$55),0)+$BG$17*IFERROR(AC13/$S$11,0)*MAX(0,1+$BG$21*CF13),AR13)</f>
        <v>0.14469800279837561</v>
      </c>
      <c r="CD13" s="218">
        <f>IF(OR('King Node Model'!$A$8="Neg",N($BG$72)=1),IF(AND(AG13&lt;&gt;"",ABS(AA13-$B$4)&lt;=$BG$7,OR(AX13=0,$D$5&lt;&gt;"UP"),AY13=0,BK13&lt;&gt;1,CI13=0,AM13&gt;=$BG$20,AC13&gt;$BG$19),1,0),IF(AND(BS13=1,(COUNTIF($W$9:$W$14,AA13)+COUNTIF($W$18:$W$23,AA13))&gt;0,CI13=0,AM13&gt;=$BG$20,AC13&gt;$BG$19),1,0))</f>
        <v>0</v>
      </c>
      <c r="CE13" t="str">
        <f t="shared" si="39"/>
        <v/>
      </c>
      <c r="CF13" s="218">
        <f t="shared" si="40"/>
        <v>0</v>
      </c>
      <c r="CG13" t="str">
        <f t="shared" si="41"/>
        <v/>
      </c>
      <c r="CH13" t="str">
        <f t="shared" si="42"/>
        <v>Dormant</v>
      </c>
      <c r="CI13" s="218">
        <f t="shared" si="43"/>
        <v>0</v>
      </c>
      <c r="CJ13" s="218">
        <f t="shared" si="44"/>
        <v>387420489</v>
      </c>
      <c r="CK13" s="218">
        <f t="shared" si="45"/>
        <v>0</v>
      </c>
      <c r="CL13" s="218">
        <f t="shared" si="46"/>
        <v>0</v>
      </c>
      <c r="CQ13" s="218">
        <f t="shared" si="47"/>
        <v>7780</v>
      </c>
      <c r="CR13" s="394" t="s">
        <v>1207</v>
      </c>
      <c r="CS13" s="218">
        <f>CN2</f>
        <v>1</v>
      </c>
      <c r="CT13" s="412" t="s">
        <v>1208</v>
      </c>
      <c r="CU13" s="218">
        <f>IF(AND(AND('King Node Model'!$A$8&lt;&gt;"Neg",N($BG$72)&lt;&gt;1),SUMPRODUCT(($AG$9:$AG$55="S")*ISNUMBER($AT$9:$AT$55)*ISNUMBER($AU$9:$AU$55)*($AT$9:$AT$55&lt;&gt;$AU$9:$AU$55)*($AT$9:$AT$55&lt;=$AA13)*($AU$9:$AU$55&gt;=$AA13))&gt;0),0,IF(AND(OR($AA13='King Node Model'!$T$22,$AA13='King Node Model'!$F$24),$AG13="R",COUNTIF($W$9:$W$14,$AA13)&gt;0),1,IF(AND($FN13=1,$EU13&lt;&gt;1,$EM13&lt;&gt;1,$BK13&lt;&gt;1,$DH13&lt;&gt;1,$AG13="R",COUNTIF($W$9:$W$14,$AA13)&gt;0),1,IF($EU13=1,0,IF($EM13=1,0,IF(AND(OR($EE13=1,$GV13=1,AND($EL$7=1,$AA13='King Node Model'!$D$26,$EI13=1),AND(OR($AA13='King Node Model'!$T$22,$AA13='King Node Model'!$T$23),$AN13=1,OR($AX13=0,$D$5&lt;&gt;"UP"))),OR(NOT(OR('King Node Model'!$A$8="Neg",N($BG$72)=1)),$GV13=1,AND(OR($AA13='King Node Model'!$T$22,$AA13='King Node Model'!$T$23),$AN13=1,OR($AX13=0,$D$5&lt;&gt;"UP")),AND($AM13&gt;=$BG$20,$AC13&gt;IF($CZ13=1,$BG$48,$BG$19)))),1,IF($DH13=1,0,IF(AND($DC13=1,$GS13&lt;&gt;1,AND('King Node Model'!$A$8&lt;&gt;"Neg",N($BG$72)&lt;&gt;1)),0,IF(AND($EY13=1,NOT(OR('King Node Model'!$A$8="Neg",$BG$72=1)),$AA13&lt;&gt;'King Node Model'!$B$23),0,IF(AND($GS13=1,$AG13="R",OR($CI13=0,$EE13=1,$EX13=1,$GV13=1),COUNTIF($W$9:$W$14,$AA13)&gt;0,ABS($AA13-$B$4)&lt;=$BG$7,$BK13&lt;&gt;1,$AM13&gt;=$BG$20,$AC13&gt;IF($CZ13=1,$BG$48,$BG$19)),1,IF(OR('King Node Model'!$A$8="Neg",N($BG$72)=1),IF(AND(OR($AM13&gt;=$BG$20,$AA13='King Node Model'!$D$26,$GV13=1),$AG13="R",COUNTIF($W$9:$W$14,$AA13)&gt;0,ABS($AA13-$B$4)&lt;=$BG$7,OR($AX13=0,$D$5&lt;&gt;"UP"),$BK13&lt;&gt;1,OR(OR($CI13=0,$AJ13=1),AND($EI13=1,$LA13=1,COUNTIF($W$9:$W$11,$AA13)&gt;0,$AN13=1,OR($AX13=0,$D$5&lt;&gt;"UP"))),$AM13&gt;=$BG$20,$AC13&gt;IF($CZ13=1,$BG$48,$BG$19),OR($AN13=1,N($LR13)=1,$AA13='King Node Model'!$D$26,AND($BY13=1,$AA13&gt;$B$4),$BX13=1,$CF13=1,$CF13=1,AND(OR($AA13=$CP$4,$AA13=$CP$5,$AA13=$CP$6,$AA13=$CP$7),ABS($AA13-$B$4)&lt;=30),AND($AX13=1,$D$5="DOWN"))),1,0),IF(AND(OR($AM13&gt;=3,$AA13='King Node Model'!$D$26,$GV13=1),$AG13="R",COUNTIF($W$9:$W$14,$AA13)&gt;0,ABS($AA13-$B$4)&lt;=$BG$7,OR($AX13=0,$D$5&lt;&gt;"UP"),$BK13&lt;&gt;1,OR($CI13=0,$AJ13=1),$AM13&gt;=$BG$20,$AC13&gt;IF($CZ13=1,$BG$48,$BG$19),OR($AC13&gt;=MAX($AC$9:$AC$55),$BC13&gt;0,$AA13='King Node Model'!$D$26,AND(OR($AA13=$CP$4,$AA13=$CP$5,$AA13=$CP$6,$AA13=$CP$7),ABS($AA13-$B$4)&lt;=30),$CF13=1,$AN13=1,AND($AX13=1,$D$5="DOWN"))),1,0))))))))))))</f>
        <v>0</v>
      </c>
      <c r="CV13" s="218">
        <f>IF(AND(OR('King Node Model'!$A$8="Neg",N($BG$72)=1),$AG13="S",N($LR13)=1,N($MB13)=1),1,IF(AND(AND('King Node Model'!$A$8&lt;&gt;"Neg",N($BG$72)&lt;&gt;1),SUMPRODUCT(($AG$9:$AG$55="R")*ISNUMBER($AT$9:$AT$55)*ISNUMBER($AU$9:$AU$55)*($AT$9:$AT$55&lt;&gt;$AU$9:$AU$55)*($AT$9:$AT$55&lt;=$AA13)*($AU$9:$AU$55&gt;=$AA13))&gt;0,NOT(AND(N($LC13)=1,$AA13='King Node Model'!$B$23))),0,IF(AND($AA13='King Node Model'!$F$24,$AG13="S",COUNTIF($W$18:$W$23,$AA13)&gt;0),1,IF(AND($FN13=1,$EU13&lt;&gt;1,$EM13&lt;&gt;1,$DH13&lt;&gt;1,$AG13="S",COUNTIF($W$18:$W$23,$AA13)&gt;0),1,IF($EU13=1,0,IF(AND(OR($EF13=1,$GV13=1,AND(OR($AA13='King Node Model'!$T$22,$AA13='King Node Model'!$T$23,AND($AG13="S",COUNTIF('Master Dashboard'!$AN$16:$AN$18,$AA13)&gt;0)),$AN13=1,OR($AX13=0,$D$5&lt;&gt;"UP"))),OR(NOT(OR('King Node Model'!$A$8="Neg",N($BG$72)=1)),$GV13=1,AND(OR($AA13='King Node Model'!$T$22,$AA13='King Node Model'!$T$23,AND($AG13="S",COUNTIF('Master Dashboard'!$AN$16:$AN$18,$AA13)&gt;0)),$AN13=1,OR($AX13=0,$D$5&lt;&gt;"UP")),AND($AM13&gt;=$BG$20,$AC13&gt;IF($CZ13=1,$BG$48,$BG$19)))),1,IF($DH13=1,0,IF(AND($DC13=1,$GS13&lt;&gt;1,AND('King Node Model'!$A$8&lt;&gt;"Neg",N($BG$72)&lt;&gt;1)),0,IF(AND($EY13=1,NOT(OR('King Node Model'!$A$8="Neg",$BG$72=1)),$AA13&lt;&gt;'King Node Model'!$B$23,COUNTIF('Master Dashboard'!$AN$16:$AN$18,$AA13)=0),0,IF(AND($GS13=1,$AG13="S",OR($CI13=0,$EF13=1,$EX13=1,$GV13=1),COUNTIF($W$18:$W$23,$AA13)&gt;0,ABS($AA13-$B$4)&lt;=$BG$7,$BK13&lt;&gt;1,$AM13&gt;=$BG$20,$AC13&gt;IF($CZ13=1,$BG$48,$BG$19)),1,IF(OR('King Node Model'!$A$8="Neg",N($BG$72)=1),IF(AND(OR(OR($AM13&gt;=$BG$20,N($LR13)=1),$AA13='King Node Model'!$D$26,$GV13=1),$AG13="S",COUNTIF($W$18:$W$23,$AA13)&gt;0,ABS($AA13-$B$4)&lt;=$BG$7,OR($AX13=0,$D$5&lt;&gt;"UP"),$BK13&lt;&gt;1,OR($CI13=0,$AJ13=1,AND(N($LR13)=1,N($MB13)=1),N($MT13)=1),OR($AM13&gt;=$BG$20,N($LR13)=1),$AC13&gt;IF($CZ13=1,$BG$48,$BG$19),OR($AB13&gt;0,$AN13=1,N($MT13)=1,N($LR13)=1,$AA13='King Node Model'!$D$26,AND($BY13=1,$AA13&lt;$B$4),$BX13=1,$CF13=1,$CF13=1,AND(OR($AA13=$CP$4,$AA13=$CP$5,$AA13=$CP$6,$AA13=$CP$7),ABS($AA13-$B$4)&lt;=30),AND($AX13=1,$D$5="DOWN"))),1,0),IF(AND(OR($AM13&gt;=3,$AA13='King Node Model'!$D$26,$GV13=1),$AG13="S",COUNTIF($W$18:$W$23,$AA13)&gt;0,ABS($AA13-$B$4)&lt;=$BG$7,OR($AX13=0,$D$5&lt;&gt;"UP"),$BK13&lt;&gt;1,OR($CI13=0,$AJ13=1,AND(N($LR13)=1,N($MB13)=1),N($MT13)=1),$AM13&gt;=$BG$20,$AC13&gt;IF($CZ13=1,$BG$48,$BG$19),OR($AC13&gt;=MAX($AC$9:$AC$55),$BC13&gt;0,N($MT13)=1,$AA13='King Node Model'!$D$26,AND(OR($AA13=$CP$4,$AA13=$CP$5,$AA13=$CP$6,$AA13=$CP$7),ABS($AA13-$B$4)&lt;=30),$CF13=1,$AN13=1,AND($AX13=1,$D$5="DOWN"))),1,0))))))))))))</f>
        <v>0</v>
      </c>
      <c r="CX13" s="218">
        <f t="shared" si="48"/>
        <v>0</v>
      </c>
      <c r="CY13" t="str">
        <f t="shared" si="49"/>
        <v/>
      </c>
      <c r="CZ13" s="218">
        <f t="shared" si="50"/>
        <v>0</v>
      </c>
      <c r="DA13" t="str">
        <f t="shared" si="51"/>
        <v/>
      </c>
      <c r="DB13" t="str">
        <f t="shared" si="52"/>
        <v/>
      </c>
      <c r="DC13" s="218">
        <f t="shared" si="53"/>
        <v>0</v>
      </c>
      <c r="DD13" s="218">
        <f t="shared" si="54"/>
        <v>0</v>
      </c>
      <c r="DE13" s="218">
        <f t="shared" si="55"/>
        <v>0</v>
      </c>
      <c r="DF13" t="str">
        <f t="shared" si="56"/>
        <v/>
      </c>
      <c r="DG13" t="str">
        <f t="shared" si="57"/>
        <v/>
      </c>
      <c r="DH13" s="218">
        <f t="shared" si="58"/>
        <v>0</v>
      </c>
      <c r="DI13">
        <v>1</v>
      </c>
      <c r="DJ13">
        <v>1</v>
      </c>
      <c r="DK13">
        <v>119494</v>
      </c>
      <c r="DL13">
        <v>0</v>
      </c>
      <c r="DM13" t="str">
        <f>IF(AND($CV13=1,$AG13="S"),IF(AND(OR('King Node Model'!$A$8="Neg",N($BG$72)=1),'King Node Model'!$S$52=""),IF(OR(N($AN13)=1,N($LR13)=1,$AB13&gt;0,$AJ13=1,N($JO13)=1,AND(NOT($AE13&gt;0),NOT(IFERROR(AND(ISNUMBER($BC13),ISNUMBER($BC12),($BC13&gt;=0)&lt;&gt;($BC12&gt;=0)),FALSE())),OR(AND($BM13&lt;=6,$BN13&lt;=6),ABS($AA13-'King Node Model'!$T$23)&lt;=5,$LA13=1))),1,0),1),"")</f>
        <v/>
      </c>
      <c r="DN13" t="str">
        <f t="shared" si="59"/>
        <v/>
      </c>
      <c r="DO13" t="str">
        <f t="shared" si="60"/>
        <v>W-list</v>
      </c>
      <c r="DP13" t="str">
        <f>IF(AND(OR('King Node Model'!$A$8="Neg",N($BG$72)=1),$AG13="S",ISNUMBER($AT13),ISNUMBER($AU13),$AT13&lt;&gt;$AU13,$AA13=$AT13),IF(AND(SUMPRODUCT(($AA$9:$AA$55&gt;=$AT13)*($AA$9:$AA$55&lt;=$AU13)*($AB$9:$AB$55&gt;0))&gt;0,SUMPRODUCT(($AA$9:$AA$55&gt;=$AT13)*($AA$9:$AA$55&lt;=$AU13)*($DM$9:$DM$55=1))&gt;0,SUMPRODUCT(($AA$9:$AA$55&gt;=$AT13)*($AA$9:$AA$55&lt;=$AU13)*(COUNTIF($W$18:$W$20,$AA$9:$AA$55)&gt;0))&gt;0),1,0),"")</f>
        <v/>
      </c>
      <c r="DS13">
        <v>0</v>
      </c>
      <c r="DT13">
        <v>0</v>
      </c>
      <c r="DU13" t="str">
        <f>IF('King Node Model'!$A$8&lt;&gt;"Pos","",IF(OR($AA13="",NOT(ISNUMBER($AA13)),ABS($AA13-$B$4)&gt;$BG$7),"",TEXT($AA13,"0")&amp;" | "&amp;IF($AG13="","unclassified",IF($AG13&lt;&gt;IF($AA13&gt;$B$4,"R","S"),"orphan: in "&amp;$AG13&amp;"-list, "&amp;IF($AA13&lt;$B$4,"below","above")&amp;" spot",IF(IF($AG13="R",COUNTIF($W$9:$W$14,$AA13),COUNTIF($W$18:$W$23,$AA13))=0,"not in "&amp;$AG13&amp;"-list",IF($DH13=1,"absorbed into shelf box",IF($BK13=1,"absorbed: adjacent reversal",IF($CI13=1,"accel-accelerant",IF($AC13&lt;=$BG$19,"below gamma-floor",IF($AM13&lt;$BG$20,"confluence "&amp;TEXT($AM13,"0")&amp;" &lt; "&amp;TEXT($BG$20,"0"),IF(AND($AX13=1,$D$5="UP"),"accelerant in up-move",IF(NOT(OR($AC13&gt;=MAX($AC$9:$AC$55),$BC13&gt;0,$AA13='King Node Model'!$D$26,AND(OR($AA13=$CP$4,$AA13=$CP$5,$AA13=$CP$6,$AA13=$CP$7),ABS($AA13-$B$4)&lt;=30),ISNUMBER(SEARCH("STRENGTHENING",$CG13)),$AN13=1,AND($AX13=1,$D$5="DOWN"))),"no surface flag","-&gt; qualifies"))))))))))))</f>
        <v/>
      </c>
      <c r="DV13" s="218">
        <f t="shared" si="61"/>
        <v>99999</v>
      </c>
      <c r="DW13" s="218">
        <f t="shared" si="62"/>
        <v>99999</v>
      </c>
      <c r="DX13" t="str">
        <f>IF('King Node Model'!$A$8&lt;&gt;"Pos","",IF(AND($DV13&lt;99999,$DV13=MIN($DV$9:$DV$55),$DG13&gt;$AA13),"R-box: "&amp;TEXT($AA13,"0")&amp;"-"&amp;TEXT($DG13,"0"),IF(AND($DW13&lt;99999,$DW13=MIN($DW$9:$DW$55),$DF13&lt;$AA13),"S-box: "&amp;TEXT($DF13,"0")&amp;"-"&amp;TEXT($AA13,"0"),"")))</f>
        <v/>
      </c>
      <c r="EB13">
        <f t="shared" si="63"/>
        <v>89.609999999999673</v>
      </c>
      <c r="EC13">
        <f t="shared" si="64"/>
        <v>538591</v>
      </c>
      <c r="ED13">
        <f t="shared" si="65"/>
        <v>0</v>
      </c>
      <c r="EE13">
        <f>IF(AND(OR('King Node Model'!$A$8="Neg",N($BG$72)=1),$AG13="R",ISNUMBER($EB13),$EB13&lt;=$BG$7,$AB13&gt;0,$EC13&gt;0,$AB13=$EC13),1,0)</f>
        <v>0</v>
      </c>
      <c r="EF13">
        <f>IF(AND(OR('King Node Model'!$A$8="Neg",N($BG$72)=1),$AG13="S",ISNUMBER($EB13),$EB13&lt;=$BG$7,$AB13&gt;0,$ED13&gt;0,$AB13=$ED13),1,0)</f>
        <v>0</v>
      </c>
      <c r="EI13">
        <v>1</v>
      </c>
      <c r="EJ13">
        <f>IF($AA13="",0,IF(SUMPRODUCT(($AA$9:$AA$55&gt;=$AT13)*($AA$9:$AA$55&lt;=$AU13)*($DT$9:$DT$55=1))+SUMPRODUCT(($DT$9:$DT$55=1)*($AT$9:$AT$55&lt;=$AA13)*($AU$9:$AU$55&gt;=$AA13))+($DT13=1)+AND(OR('King Node Model'!$A$8="Neg",N($BG$72)=1),ISNUMBER(SEARCH("LOW",'Master Dashboard'!$M$5)),ISNUMBER(SEARCH("BUY",'Master Dashboard'!$G$8)),'King Node Model'!$T$23='King Node Model'!$B$23,$AA13&gt;='King Node Model'!$T$23,$AA13&lt;='King Node Model'!$T$23+5)*1&gt;0,1,0))</f>
        <v>0</v>
      </c>
      <c r="EM13">
        <f t="shared" si="66"/>
        <v>0</v>
      </c>
      <c r="EN13">
        <v>0</v>
      </c>
      <c r="EO13">
        <f t="shared" si="67"/>
        <v>0</v>
      </c>
      <c r="EP13">
        <f t="shared" si="68"/>
        <v>0</v>
      </c>
      <c r="EQ13" t="str">
        <f t="shared" si="69"/>
        <v>thinning the ceiling (magnitude weak)</v>
      </c>
      <c r="ES13" t="str">
        <f>IF(AND(ISNUMBER(AA13),ISNUMBER(AF13),ABS(AA13-'King Node Model'!$B$4)&lt;=$BG$7),ABS(AF13),"")</f>
        <v/>
      </c>
      <c r="ET13">
        <v>0</v>
      </c>
      <c r="EU13" s="218">
        <f>IF(AND(OR('King Node Model'!$A$8="Neg",N($BG$72)=1),ISNUMBER($AA12),ISNUMBER($AA13),ISNUMBER($AA14),ISNUMBER($AB12),ISNUMBER($AB13),ISNUMBER($AB14),ISNUMBER($AF13),$AB13&gt;0,$AB12&lt;0,$AB14&lt;0,$AF13&lt;0),1,0)</f>
        <v>0</v>
      </c>
      <c r="EW13">
        <f>IF(OR(N($MY13)=1,N($JM13)=1),0,N($NE13))</f>
        <v>0</v>
      </c>
      <c r="EX13">
        <f>IF(AND(OR('King Node Model'!$A$8="Neg",N($BG$72)=1),ISNUMBER($AA13),OR(AND($AA13='King Node Model'!$F$24,OR(AND($AG13="S",$F$4="High",IF($BG$80&lt;&gt;"",UPPER($BG$80),$D$5)="DOWN"),AND($AG13="R",$F$4="Low",IF($BG$80&lt;&gt;"",UPPER($BG$80),$D$5)="UP"))),$GV13=1)),1,0)</f>
        <v>0</v>
      </c>
      <c r="EY13">
        <f>IFERROR(IF(AND($DC13=1,$AB13&lt;0,$AC13&gt;=(1+$FA$6)*INDEX($AC$9:$AC$55,5-1),$AC13&gt;=(1+$FA$6)*INDEX($AC$9:$AC$55,5+1),$AC13&gt;=IFERROR(INDEX($AC$9:$AC$55,5-2),0),$AC13&gt;=IFERROR(INDEX($AC$9:$AC$55,5+2),0)),1,0),0)</f>
        <v>0</v>
      </c>
      <c r="FA13" t="str">
        <f>IF(NOT(ISNUMBER($AA13)),"",IFERROR(IF(AND($AC13=MAX($AC$9:$AC$55),$AB13=MIN($AB$9:$AB$55)),"DOM",IF(AND($DC12=1,$DC13=1,$DC14=1,INDEX($AC$9:$AC$55,5-1)&lt;=(1-$FA$6)*$AC13,INDEX($AC$9:$AC$55,5-1)&lt;=(1-$FA$6)*INDEX($AC$9:$AC$55,5-2)),"GAP↑",IF(AND($DC14=1,$DC13=1,INDEX($AC$9:$AC$55,5+1)&lt;=(1-$FA$6)*$AC13,INDEX($AC$9:$AC$55,5+1)&lt;=(1-$FA$6)*INDEX($AC$9:$AC$55,5+2)),"GAP↓",IF($CZ13=1,"dEdge Cliff",IF($GY13=1,"γWall",IF(AND($DC13=1,$AB13&lt;0,$AC13&gt;=(1+$FA$6)*INDEX($AC$9:$AC$55,5-1),$AC13&gt;=(1+$FA$6)*INDEX($AC$9:$AC$55,5+1)),"PEAK-",IF($GZ13=1,"γSh Edge",IF($HL13=1,"Trough",IF($HN13=1,"PEAK+",IF($GF13=1,"Cluster","")))))))))),""))</f>
        <v/>
      </c>
      <c r="FB13" t="str">
        <f t="shared" si="70"/>
        <v/>
      </c>
      <c r="FC13" t="str">
        <f t="shared" si="71"/>
        <v/>
      </c>
      <c r="FD13">
        <f>IF(AND(ISNUMBER($AA13),ISNUMBER('King Node Model'!$AP$17),ISNUMBER('King Node Model'!$AQ$17),$AA13&gt;=MIN('King Node Model'!$AP$17,'King Node Model'!$AQ$17),$AA13&lt;=MAX('King Node Model'!$AP$17,'King Node Model'!$AQ$17),IFERROR(INDEX($AC$9:$AC$55,MATCH('King Node Model'!$AL$42,$AA$9:$AA$55,0)),0)&gt;0,$AC13&gt;=(1-$FA$6)*IFERROR(INDEX($AC$9:$AC$55,MATCH('King Node Model'!$AL$42,$AA$9:$AA$55,0)),0),$AC13&lt;=(1+$FA$6)*IFERROR(INDEX($AC$9:$AC$55,MATCH('King Node Model'!$AL$42,$AA$9:$AA$55,0)),0)),1,0)</f>
        <v>0</v>
      </c>
      <c r="FE13">
        <f>IF($AA13='King Node Model'!$AL$42,1,IF(AND($FD13=1,$FE12=1),1,0))</f>
        <v>0</v>
      </c>
      <c r="FF13">
        <f>IF($AA13='King Node Model'!$AL$42,1,IF(AND($FD13=1,$FF14=1),1,0))</f>
        <v>0</v>
      </c>
      <c r="FG13" t="str">
        <f>IF(OR($FE13=1,$FF13=1),5,"")</f>
        <v/>
      </c>
      <c r="FJ13">
        <f>IF(AND($CW$2=1,ISNUMBER($AA13),ISNUMBER($CW$3),ISNUMBER($CW$4),$AA13&gt;=MIN($CW$3,$CW$4),$AA13&lt;=MAX($CW$3,$CW$4),IFERROR(INDEX($AC$9:$AC$55,MATCH('King Node Model'!$AP$67,$AA$9:$AA$55,0)),0)&gt;0,$AC13&gt;=(1-$FA$6)*IFERROR(INDEX($AC$9:$AC$55,MATCH('King Node Model'!$AP$67,$AA$9:$AA$55,0)),0),$AC13&lt;=(1+$FA$6)*IFERROR(INDEX($AC$9:$AC$55,MATCH('King Node Model'!$AP$67,$AA$9:$AA$55,0)),0)),1,0)</f>
        <v>0</v>
      </c>
      <c r="FK13">
        <f>IF(AND($CW$2=1,$AA13='King Node Model'!$AP$67),1,IF(AND($FJ13=1,$FK12=1),1,0))</f>
        <v>0</v>
      </c>
      <c r="FL13">
        <f>IF(AND($CW$2=1,$AA13='King Node Model'!$AP$67),1,IF(AND($FJ13=1,$FL14=1),1,0))</f>
        <v>0</v>
      </c>
      <c r="FM13" t="str">
        <f>IF(OR($FK13=1,$FL13=1),5,"")</f>
        <v/>
      </c>
      <c r="FN13">
        <v>0</v>
      </c>
      <c r="FR13" t="str">
        <f t="shared" si="72"/>
        <v/>
      </c>
      <c r="FS13">
        <f t="shared" si="188"/>
        <v>0</v>
      </c>
      <c r="FT13">
        <f t="shared" si="73"/>
        <v>0.96997077308067015</v>
      </c>
      <c r="FU13">
        <f t="shared" si="74"/>
        <v>104698</v>
      </c>
      <c r="FV13" t="str">
        <f>IF($FW13=0,"",IF(OR($FW12=0,SIGN(IFERROR($BC13*1,0))&lt;&gt;SIGN(IFERROR($BC12*1,0)),$GH13=1,$GH12=1),MAX($FV$9:$FV12)+1,$FV12))</f>
        <v/>
      </c>
      <c r="FW13">
        <f t="shared" si="75"/>
        <v>0</v>
      </c>
      <c r="FX13" t="str">
        <f t="shared" si="76"/>
        <v/>
      </c>
      <c r="FY13">
        <f t="shared" si="77"/>
        <v>0</v>
      </c>
      <c r="FZ13">
        <f t="shared" si="189"/>
        <v>0</v>
      </c>
      <c r="GA13">
        <f t="shared" si="78"/>
        <v>0</v>
      </c>
      <c r="GB13" t="str">
        <f t="shared" si="79"/>
        <v/>
      </c>
      <c r="GC13" t="str">
        <f t="shared" si="80"/>
        <v/>
      </c>
      <c r="GD13" t="str">
        <f t="shared" si="81"/>
        <v/>
      </c>
      <c r="GE13" t="str">
        <f t="shared" si="82"/>
        <v/>
      </c>
      <c r="GF13">
        <f t="shared" si="83"/>
        <v>0</v>
      </c>
      <c r="GH13">
        <f>IFERROR(IF(AND($AC13&gt;=(1+$FA$6)*INDEX($AC$9:$AC$55,5-1),$AC13&gt;=(1+$FA$6)*INDEX($AC$9:$AC$55,5+1)),1,0),0)</f>
        <v>0</v>
      </c>
      <c r="GK13">
        <v>0</v>
      </c>
      <c r="GO13">
        <v>0</v>
      </c>
      <c r="GP13">
        <v>0</v>
      </c>
      <c r="GQ13">
        <f t="shared" si="84"/>
        <v>0</v>
      </c>
      <c r="GR13">
        <f t="shared" si="85"/>
        <v>0</v>
      </c>
      <c r="GS13">
        <f>IF(AND($EY13=1,$AA13&lt;&gt;'King Node Model'!$B$23),0,IF(OR($GQ13=1,$GR13=1),1,IF($DC13=1,IF(OR('King Node Model'!$A$8="Neg",N($BG$72)=1),IF(OR(AND($AC13=MAX($AC$9:$AC$55),$AB13=MIN($AB$9:$AB$55)),$AN13=1,$EE13=1,$EF13=1,$EX13=1,$GV13=1),1,0),1),0)))</f>
        <v>0</v>
      </c>
      <c r="GT13">
        <f>IFERROR(IF(AND(OR('King Node Model'!$A$8="Neg",N($BG$72)=1),$EU12=1,$AG13="R",ISNUMBER($AA13),ISNUMBER($AF13),$AF13&lt;&gt;0,$AA13&gt;$B$4-$BG$9,$AA13-$B$4&lt;=$BG$47,IF($KC13="UP",SIGN($AF13),IF($KC13="DOWN",-SIGN($AF13),0))&lt;&gt;1),1,0),0)</f>
        <v>0</v>
      </c>
      <c r="GU13" t="str">
        <f t="shared" si="86"/>
        <v/>
      </c>
      <c r="GV13">
        <f t="shared" si="87"/>
        <v>0</v>
      </c>
      <c r="GW13">
        <f t="shared" si="88"/>
        <v>89.609999999999673</v>
      </c>
      <c r="GX13" t="str">
        <f t="shared" si="89"/>
        <v/>
      </c>
      <c r="GY13">
        <f t="shared" si="90"/>
        <v>0</v>
      </c>
      <c r="GZ13">
        <f t="shared" si="91"/>
        <v>0</v>
      </c>
      <c r="HA13">
        <v>0</v>
      </c>
      <c r="HF13">
        <f>IFERROR(IF(AND($GZ13=1,'King Node Model'!$A$8="Pos",$D$5="UP",$CF13=-1,$AJ13&lt;&gt;1),1,0),0)</f>
        <v>0</v>
      </c>
      <c r="HG13">
        <f t="shared" si="92"/>
        <v>0</v>
      </c>
      <c r="HH13" t="str">
        <f>IF($GZ13=1,"",IFERROR(IF(NOT(ISNUMBER($AA13)),"",IF($EY13=1,"",IF($GF13=1,IF($GD13=$GE13,"",$GD13),IF(OR(AND($DC12=1,$DC13=1,$DC14=1,INDEX($AC$9:$AC$55,5-1)&lt;=(1-$FA$6)*$AC13,INDEX($AC$9:$AC$55,5-1)&lt;=(1-$FA$6)*INDEX($AC$9:$AC$55,5-2)),AND($DC14=1,$DC13=1,INDEX($AC$9:$AC$55,5+1)&lt;=(1-$FA$6)*$AC13,INDEX($AC$9:$AC$55,5+1)&lt;=(1-$FA$6)*INDEX($AC$9:$AC$55,5+2)),AND($DC13=1,OR(INDEX($DC$9:$DC$55,5-1)=0,INDEX($DC$9:$DC$55,5+1)=0))),IF(MIN($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MAX($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MIN($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f>
        <v/>
      </c>
      <c r="HI13" t="str">
        <f>IF($GZ13=1,"",IFERROR(IF(NOT(ISNUMBER($AA13)),"",IF($EY13=1,"",IF($GF13=1,IF($GD13=$GE13,"",$GE13),IF(OR(AND($DC12=1,$DC13=1,$DC14=1,INDEX($AC$9:$AC$55,5-1)&lt;=(1-$FA$6)*$AC13,INDEX($AC$9:$AC$55,5-1)&lt;=(1-$FA$6)*INDEX($AC$9:$AC$55,5-2)),AND($DC14=1,$DC13=1,INDEX($AC$9:$AC$55,5+1)&lt;=(1-$FA$6)*$AC13,INDEX($AC$9:$AC$55,5+1)&lt;=(1-$FA$6)*INDEX($AC$9:$AC$55,5+2)),AND($DC13=1,OR(INDEX($DC$9:$DC$55,5-1)=0,INDEX($DC$9:$DC$55,5+1)=0))),IF(MIN($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MAX($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MAX($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f>
        <v/>
      </c>
      <c r="HL13">
        <f t="shared" si="93"/>
        <v>0</v>
      </c>
      <c r="HM13">
        <f>IFERROR(IF(AND($HL13=1,NOT(OR($AA13='King Node Model'!$T$22,$AA13='King Node Model'!$T$23,$AA13='King Node Model'!$F$24,AND($AG13="S",COUNTIF('Master Dashboard'!$AN$16:$AN$18,$AA13)&gt;0),AND($AG13="R",COUNTIF('Master Dashboard'!$AN$13:$AN$15,$AA13)&gt;0)))),1,0),0)</f>
        <v>0</v>
      </c>
      <c r="HN13">
        <f t="shared" si="94"/>
        <v>0</v>
      </c>
      <c r="HO13">
        <f t="shared" si="95"/>
        <v>0</v>
      </c>
      <c r="HP13">
        <f t="shared" si="96"/>
        <v>1</v>
      </c>
      <c r="HQ13" t="str">
        <f>IF(NOT(ISNUMBER($AA13)),"",IFERROR(TRIM(IF(N($MY13)=1,"DEXLEAN ","")&amp;IF(N($IZ13)=1,"DEXCAP ","")&amp;IF(AND($AG13="S",UPPER('King Node Model'!$L$5)="HIGH",$KC13="DOWN",N($AF13)&gt;0,$AA13='King Node Model'!$AN$70,$IY13="SELL"),"CHOPEDGEIV ","")&amp;IF(N($IS13)=1,"NOREV ","")&amp;IF(N($JY13)=1,"VFLAT ","")&amp;IF(N($KR13)=1,"GDEXVANNA ","")&amp;IF(N($LD13)=1,"KGSUPFAIL ","")&amp;IF(N($LE13)=1,"KGRESLEAK ","")&amp;IF(N($MH13)=1,"ZIGZAG ","")&amp;IF(N($KK13)=1,"DATAGAP ","")&amp;IF(N($KA13)&lt;&gt;0,"ACCUNDERCW ","")&amp;IF(AND($AG13="S",$HF13=1),"EDGE ","")&amp;IF(AND($HM13=1,'King Node Model'!$A$8="Pos",N($BG$72)&lt;&gt;1),"TROUGH ","")&amp;IF(AND($EU13=1,N($JZ13)&lt;&gt;1),"BUMP ","")&amp;IF(AND($GT13=1,N($JZ13)&lt;&gt;1),"SANDWICH ","")&amp;IF(AND($EX13&lt;&gt;1,OR('King Node Model'!$A$8="Neg",N($BG$72)=1),OR(AND(ISNUMBER($AC13),$AC13=MAX($AC$9:$AC$55)),AND(ISNUMBER($AB13),$AB13=MIN($AB$9:$AB$55))),NOT(AND(AND(ISNUMBER($AC13),$AC13=MAX($AC$9:$AC$55)),AND(ISNUMBER($AB13),$AB13=MIN($AB$9:$AB$55)))),$AG13="S",N($AB13)&lt;0,NOT(COUNTIF('Master Dashboard'!$AN$16:$AN$18,$AA13)&gt;0),NOT(AND(OR('King Node Model'!$A$8="Neg",N($BG$72)=1),ISNUMBER($AB13),$AB13=MIN($AB$9:$AB$55),$AA13=$BG$105))),"ACCEL ","")&amp;IF(AND($EX13&lt;&gt;1,ISNUMBER($AA13),OR('King Node Model'!$A$8="Neg",N($BG$72)=1),$EY13=1,NOT(AND($AG13="S",COUNTIF('Master Dashboard'!$AN$16:$AN$18,$AA13)&gt;0)),NOT(AND($AA13='King Node Model'!$B$23,IF($AG13="S",OR($AA13='King Node Model'!$C$24,COUNTIF('Master Dashboard'!$AN$16:$AN$18,$AA13)&gt;0),OR($AA13='King Node Model'!$C$23,COUNTIF('Master Dashboard'!$AN$13:$AN$15,$AA13)&gt;0)))),NOT(AND($EX13&lt;&gt;1,OR('King Node Model'!$A$8="Neg",N($BG$72)=1),OR(AND(ISNUMBER($AC13),$AC13=MAX($AC$9:$AC$55)),AND(ISNUMBER($AB13),$AB13=MIN($AB$9:$AB$55))),NOT(AND(AND(ISNUMBER($AC13),$AC13=MAX($AC$9:$AC$55)),AND(ISNUMBER($AB13),$AB13=MIN($AB$9:$AB$55)))),$AG13="S",N($AB13)&lt;0,NOT(COUNTIF('Master Dashboard'!$AN$16:$AN$18,$AA13)&gt;0)))),"AMPLIFY ","")&amp;IF(AND($AG13="S",OR('King Node Model'!$A$8="Neg",N($BG$72)=1),$AJ13&lt;&gt;1,N($MT13)&lt;&gt;1,NOT(AND(N($LR13)=1,N($MB13)=1)),ISNUMBER(SEARCH("ACCEL building",$CG13))),"ZACCEL ","")&amp;IF(AND($AG13="S",OR('King Node Model'!$A$8="Neg",N($BG$72)=1),$AA13='King Node Model'!$B$23,NOT(AND(AND(ISNUMBER($AC13),$AC13=MAX($AC$9:$AC$55)),AND(ISNUMBER($AB13),$AB13=MIN($AB$9:$AB$55)))),$EJ13&lt;&gt;1),"KINGACC ","")&amp;IF(AND($AG13="S",OR('King Node Model'!$A$8="Neg",N($BG$72)=1),ABS(N($AA13)-N('King Node Model'!$B$23))&lt;=$BG$107,NOT(AND(SUMPRODUCT((ABS($AF$9:$AF$55)&lt;=ABS(N($AF13)))*1)/COUNT($AF$9:$AF$55)&gt;=0.66,OR(ISNUMBER(SEARCH("firmer resistance",$CG13)),ISNUMBER(SEARCH("STRENGTHENING",$CG13)),ISNUMBER(SEARCH("firmer support",$CG13))))),NOT(AND(N($AB13)&gt;0,SUMPRODUCT((ABS($AB$9:$AB$55)&lt;=ABS(N($AB13)))*1)/COUNT($AB$9:$AB$55)&gt;=0.66)),$EJ13&lt;&gt;1,$AJ13&lt;&gt;1,COUNTIF('Master Dashboard'!$AN$16:$AN$18,$AA13)=0,NOT(AND($AG13="S",OR('King Node Model'!$A$8="Neg",N($BG$72)=1),$AA13='King Node Model'!$B$23,NOT(AND(AND(ISNUMBER($AC13),$AC13=MAX($AC$9:$AC$55)),AND(ISNUMBER($AB13),$AB13=MIN($AB$9:$AB$55)))),$EJ13&lt;&gt;1))),"KINGNODE ","")&amp;IF(AND($AG13="R",NOT(AND(AND(ISNUMBER($AC13),$AC13=MAX($AC$9:$AC$55)),AND(ISNUMBER($AB13),$AB13=MIN($AB$9:$AB$55)))),UPPER('King Node Model'!$L$5)="LOW",$KC13="DOWN",N($AF13)&gt;0),"LOWIVFALL ","")&amp;IF(AND($AG13="R",NOT(AND(AND(ISNUMBER($AC13),$AC13=MAX($AC$9:$AC$55)),AND(ISNUMBER($AB13),$AB13=MIN($AB$9:$AB$55)))),UPPER('King Node Model'!$L$5)="HIGH",$KC13="DOWN",N($AF13)&gt;0,IFERROR(MATCH($AA13,$W$9:$W$14,0)&gt;=4,FALSE)),"HIGHIVFALL ","")&amp;IF(AND($AG13="R",N($BG$99)=1),"SPOTUPVOLUP ","")&amp;IF(AND($AG13="R",ISNUMBER(SEARCH("5/5",'Master Dashboard'!$E$29)),OR(ISNUMBER(SEARCH("WEAKENING",$EQ13)),ISNUMBER(SEARCH("Pos gamma ↓",$EQ13)),ISNUMBER(SEARCH("thinning the ceiling",$EQ13)))),"SQUEEZE ","")&amp;IF(N($JU13)=1,"DEDGECLIFF ","")&amp;IF(N($KT13)=1,"DEXDRAIN ","")&amp;IF(N($HW13)&lt;&gt;0,"DEXDROP ","")&amp;IF(N($HX13)&lt;&gt;0,"PEAK+ ","")&amp;IF(N($IF13)=1,"CHOP ","")&amp;IF(N($IQ13)=1,"CONTESTED ","")&amp;IF(N($IW13)=1,"VSELL ","")&amp;IF(N($JK13)=1,"VBUYRES ","")&amp;IF(N($JL13)=1,"DOMFLAT ","")&amp;IF(N($JM13)=1,"DOMPULL ","")&amp;IF(N($JP13)=1,"OIZOMMA ","")&amp;IF(AND(N($JQ13)=1,N($JZ13)&lt;&gt;1),"OIDEX ","")),""))</f>
        <v>NOREV LOWIVFALL VBUYRES</v>
      </c>
      <c r="HR13" t="str">
        <f>IF(AND(ISNUMBER($W13),OR('King Node Model'!$A$8&lt;&gt;"Pos",N($BG$72)=1,IFERROR(INDEX($AM$9:$AM$55,MATCH($W13,$AA$9:$AA$55,0)),0)&gt;=$BG$20),$E13="REVERSAL",OR($F13="stable",$F13="VOMMA CAP"),$W13&lt;&gt;'King Node Model'!$AL$42,$W13&lt;&gt;'King Node Model'!$AL$43,IFERROR(INDEX($HP$9:$HP$55,MATCH($W13,$AA$9:$AA$55,0)),1)=0),ABS($W13-'King Node Model'!$B$4),"")</f>
        <v/>
      </c>
      <c r="HS13">
        <f>IFERROR(IF(AND($DC13=1,OR(AND($AG13="R",INDEX($DC$9:$DC$55,4)=0,INDEX($DC$9:$DC$55,6)=1,INDEX($DC$9:$DC$55,7)=1),AND($AG13="S",INDEX($DC$9:$DC$55,6)=0,INDEX($DC$9:$DC$55,4)=1,INDEX($DC$9:$DC$55,3)=1))),1,0),0)</f>
        <v>0</v>
      </c>
      <c r="HT13">
        <f t="shared" si="97"/>
        <v>0</v>
      </c>
      <c r="HU13">
        <v>0</v>
      </c>
      <c r="HV13">
        <v>0</v>
      </c>
      <c r="HW13">
        <f>IFERROR(IF(OR(NOT(ISNUMBER($AA13)),'King Node Model'!$A$8&lt;&gt;"Pos",N($BG$72)=1,ABS(N($AE13))&lt;$BG$113,N($AV13)=1,$FA13="DOM",$AA13='King Node Model'!$T$23,AND(N($BG$116)=1,$AA13='King Node Model'!$F$24),NOT(ISNUMBER($KU13)),NOT(ISNUMBER($KV13))),0,IF(AND($AG13="S",COUNTIF('Master Dashboard'!$AN$16:$AN$18,$AA13)=0,$KU13&gt;=$BG$114,$KU13&gt;=$KV13+$BG$115,NOT(AND(N($AN14)=1,N($KV13)&lt;0)),N($AE13)&lt;=0),1,IF(AND($AG13="R",COUNTIF('Master Dashboard'!$AN$13:$AN$15,$AA13)=0,$KV13&gt;=$BG$114,$KV13&gt;=$KU13+$BG$115,NOT(AND(N($AN12)=1,N($KU13)&lt;0))),-1,0))),0)</f>
        <v>0</v>
      </c>
      <c r="HX13">
        <f>IFERROR(IF(AND(ISNUMBER($AA13),$FA13="PEAK+",N($AN13)&lt;&gt;1,NOT(AND('King Node Model'!$A$8="Pos",OR($AA13='King Node Model'!$T$22,$AA13='King Node Model'!$T$23,$AA13='King Node Model'!$F$24))),IF($AG13="S",COUNTIF('Master Dashboard'!$AN$16:$AN$18,$AA13)=0,IF($AG13="R",COUNTIF('Master Dashboard'!$AN$13:$AN$15,$AA13)=0,FALSE))),1,0),0)</f>
        <v>0</v>
      </c>
      <c r="HY13">
        <f t="shared" si="98"/>
        <v>0.60144214261188056</v>
      </c>
      <c r="HZ13">
        <v>1</v>
      </c>
      <c r="IA13">
        <f>IFERROR(IF(AND(IF($BG$44=1,OR(ISNUMBER(SEARCH("Choppy",'King Node Model'!$S$38)),'King Node Model'!$S$52&lt;&gt;"",'King Node Model'!$A$8="Pos"),TRUE()),OR($DC13=1,$DC12=1,$DC14=1),ABS($AA13-$B$4)&lt;=$BG$7,ABS($AA13-$BG$28)&gt;=$BG$45,OR(AND($AA13&gt;$BG$28,$AG13="R"),AND($AA13&lt;$BG$28,$AG13="S",N($BG$154)=1)),ABS(IF($AA13&gt;$BG$28,$AE14,$AE12))&gt;=$BG$43,ABS(N(IF($AA13&gt;$BG$28,$AE12,$AE14)))&lt;=$BG$153*ABS(IF($AA13&gt;$BG$28,$AE14,$AE12)),IF(ISNUMBER($HZ13),$HZ13=1,AND(ISNUMBER($HY13),$HY13&gt;=$BG$42))),1,0),0)</f>
        <v>0</v>
      </c>
      <c r="IB13">
        <f t="shared" si="99"/>
        <v>0</v>
      </c>
      <c r="IC13" t="str">
        <f>IF(NOT(ISNUMBER($AA13)),"",IFERROR(MID(IF(AND($AC13=MAX($AC$9:$AC$55),$AB13=MIN($AB$9:$AB$55))," · DOM","")&amp;IF(AND($DC12=1,$DC13=1,$DC14=1,INDEX($AC$9:$AC$55,5-1)&lt;=(1-$FA$6)*$AC13,INDEX($AC$9:$AC$55,5-1)&lt;=(1-$FA$6)*INDEX($AC$9:$AC$55,5-2))," · GAP↑ → "&amp;INDEX($AA$9:$AA$55,5-2),"")&amp;IF(AND($DC14=1,$DC13=1,INDEX($AC$9:$AC$55,5+1)&lt;=(1-$FA$6)*$AC13,INDEX($AC$9:$AC$55,5+1)&lt;=(1-$FA$6)*INDEX($AC$9:$AC$55,5+2))," · GAP↓ → "&amp;INDEX($AA$9:$AA$55,5+2),"")&amp;IF($CZ13=1," · dEdge Cliff","")&amp;IF($GY13=1," · γWall","")&amp;IF(AND($DC13=1,$AB13&lt;0,$AC13&gt;=(1+$FA$6)*INDEX($AC$9:$AC$55,5-1),$AC13&gt;=(1+$FA$6)*INDEX($AC$9:$AC$55,5+1))," · PEAK-","")&amp;IF($GZ13=1," · γSh Edge","")&amp;IF($HL13=1," · Trough","")&amp;IF($HN13=1," · PEAK+","")&amp;IF($GF13=1," · Cluster",""),FIND(" · ",IF(AND($AC13=MAX($AC$9:$AC$55),$AB13=MIN($AB$9:$AB$55))," · DOM","")&amp;IF(AND($DC12=1,$DC13=1,$DC14=1,INDEX($AC$9:$AC$55,5-1)&lt;=(1-$FA$6)*$AC13,INDEX($AC$9:$AC$55,5-1)&lt;=(1-$FA$6)*INDEX($AC$9:$AC$55,5-2))," · GAP↑ → "&amp;INDEX($AA$9:$AA$55,5-2),"")&amp;IF(AND($DC14=1,$DC13=1,INDEX($AC$9:$AC$55,5+1)&lt;=(1-$FA$6)*$AC13,INDEX($AC$9:$AC$55,5+1)&lt;=(1-$FA$6)*INDEX($AC$9:$AC$55,5+2))," · GAP↓ → "&amp;INDEX($AA$9:$AA$55,5+2),"")&amp;IF($CZ13=1," · dEdge Cliff","")&amp;IF($GY13=1," · γWall","")&amp;IF(AND($DC13=1,$AB13&lt;0,$AC13&gt;=(1+$FA$6)*INDEX($AC$9:$AC$55,5-1),$AC13&gt;=(1+$FA$6)*INDEX($AC$9:$AC$55,5+1))," · PEAK-","")&amp;IF($GZ13=1," · γSh Edge","")&amp;IF($HL13=1," · Trough","")&amp;IF($HN13=1," · PEAK+","")&amp;IF($GF13=1," · Cluster",""),2),999),""))</f>
        <v/>
      </c>
      <c r="ID13" t="str">
        <f>IF(NOT(ISNUMBER($AA13)),"",IFERROR(MID(IF(AND($AC13=MAX($AC$9:$AC$55),$AB13=MIN($AB$9:$AB$55))," · DOM","")&amp;IF(AND($DC12=1,$DC13=1,$DC14=1,INDEX($AC$9:$AC$55,5-1)&lt;=(1-$FA$6)*$AC13,INDEX($AC$9:$AC$55,5-1)&lt;=(1-$FA$6)*INDEX($AC$9:$AC$55,5-2))," · GAP↑ → "&amp;INDEX($AA$9:$AA$55,5-2),"")&amp;IF(AND($DC14=1,$DC13=1,INDEX($AC$9:$AC$55,5+1)&lt;=(1-$FA$6)*$AC13,INDEX($AC$9:$AC$55,5+1)&lt;=(1-$FA$6)*INDEX($AC$9:$AC$55,5+2))," · GAP↓ → "&amp;INDEX($AA$9:$AA$55,5+2),"")&amp;IF($CZ13=1," · dEdge Cliff","")&amp;IF($GY13=1," · γWall","")&amp;IF(AND($DC13=1,$AB13&lt;0,$AC13&gt;=(1+$FA$6)*INDEX($AC$9:$AC$55,5-1),$AC13&gt;=(1+$FA$6)*INDEX($AC$9:$AC$55,5+1))," · PEAK-","")&amp;IF($GZ13=1," · γSh Edge","")&amp;IF($HL13=1," · Trough","")&amp;IF($HN13=1," · PEAK+","")&amp;IF(AND(NOT($HN13=1),NOT(AND($DC13=1,$AB13&lt;0)),N($GY13)&lt;&gt;1,N($GF13)&lt;&gt;1,N($GZ13)&lt;&gt;1,N($HL13)&lt;&gt;1,N($CZ13)&lt;&gt;1,NOT(AND($AC13=MAX($AC$9:$AC$55),$AB13=MIN($AB$9:$AB$55))),$AC13&gt;=(1+$FA$6)*INDEX($AC$9:$AC$55,5-1),$AC13&gt;=(1+$FA$6)*INDEX($AC$9:$AC$55,5+1))," · Knoll","")&amp;IF($GF13=1," · Cluster",""),4,999),""))</f>
        <v/>
      </c>
      <c r="IF13">
        <f t="shared" si="100"/>
        <v>0</v>
      </c>
      <c r="IG13">
        <f>IFERROR(IF(AND(ISNUMBER($AA13),'King Node Model'!$A$8="Pos",OR($AG13="S",$AG13="R"),$IN13="interior",COUNTIF(IF($AG13="S",'Master Dashboard'!$AN$16:$AN$18,'Master Dashboard'!$AN$13:$AN$15),$AA13)=0,$AA13&lt;&gt;'King Node Model'!$T$22,$AA13&lt;&gt;'King Node Model'!$T$23,$AA13&lt;&gt;'King Node Model'!$F$24),1,0),0)</f>
        <v>0</v>
      </c>
      <c r="IH13">
        <f t="shared" si="101"/>
        <v>0</v>
      </c>
      <c r="II13">
        <f t="shared" si="190"/>
        <v>0</v>
      </c>
      <c r="IJ13">
        <f t="shared" si="102"/>
        <v>0</v>
      </c>
      <c r="IK13">
        <f t="shared" si="103"/>
        <v>0</v>
      </c>
      <c r="IL13">
        <f t="shared" si="191"/>
        <v>0</v>
      </c>
      <c r="IM13">
        <f t="shared" si="104"/>
        <v>0</v>
      </c>
      <c r="IN13" t="str">
        <f t="shared" si="105"/>
        <v/>
      </c>
      <c r="IO13">
        <v>0</v>
      </c>
      <c r="IP13">
        <v>0</v>
      </c>
      <c r="IQ13">
        <f>IFERROR(IF($AG13="S",IF(OR(COUNTIF($W$9:$W$14,$AA13)&gt;0,COUNTIF('King Node Model'!$AL$42:'King Node Model'!$AL$43,$AA13)&gt;0),1,0),IF($AG13="R",IF(OR(COUNTIF($W$18:$W$23,$AA13)&gt;0,COUNTIF('King Node Model'!$AL$49:'King Node Model'!$AL$50,$AA13)&gt;0),1,0),0)),0)</f>
        <v>0</v>
      </c>
      <c r="IR13" t="str">
        <f>IFERROR(IF(AND(ISNUMBER($W13),OR('King Node Model'!$A$8&lt;&gt;"Pos",N($BG$72)=1,IFERROR(INDEX($AM$9:$AM$55,MATCH($W13,$AA$9:$AA$55,0)),0)&gt;=$BG$20),COUNTIF('King Node Model'!$AL$42:'King Node Model'!$AL$43,$W13)=0),ABS($W13-$B$4),""),"")</f>
        <v/>
      </c>
      <c r="IS13">
        <f>IF(AND(ISNUMBER($AA13),N($AN13)&lt;&gt;1,N($LR13)&lt;&gt;1,OR(N($EN13)&lt;&gt;1,AND('King Node Model'!$A$8&lt;&gt;"Neg",N($BG$72)&lt;&gt;1)),$AA13&lt;&gt;'King Node Model'!$T$22,$AA13&lt;&gt;'King Node Model'!$T$23,$AA13&lt;&gt;'King Node Model'!$F$24,NOT(AND($AG13="S",COUNTIF('Master Dashboard'!$AN$16:$AN$18,$AA13)&gt;0)),NOT(AND($AG13="R",COUNTIF('Master Dashboard'!$AN$13:$AN$15,$AA13)&gt;0)),NOT(AND('King Node Model'!$A$8&lt;&gt;"Neg",N($BG$72)&lt;&gt;1,COUNTIF('Master Dashboard'!$AN$13:$AN$18,$AA13)&gt;0))),1,0)</f>
        <v>1</v>
      </c>
      <c r="IT13">
        <v>0</v>
      </c>
      <c r="IU13">
        <f>IF(AND(ISNUMBER($AA13),$AA13='King Node Model'!$F$24,$AA13&gt;$GJ$3,N($AD13)&lt;0,$F$4="High"),1,0)</f>
        <v>0</v>
      </c>
      <c r="IV13" t="str">
        <f>""</f>
        <v/>
      </c>
      <c r="IW13">
        <f>IFERROR(IF(AND(ISNUMBER($AA13),NOT(AND(N($LR13)=1,N($MB13)=1)),$AG13="S",OR('King Node Model'!$A$8="Neg",N($BG$72)=1),$JV13="SELL",ABS(N($AD13))&gt;=$BG$94,NOT(AND(N($AD13)&gt;0,N($BG$78)=1,MEDIAN($AA13-$BG$82,$B$4,$AA13+$BG$83)=$B$4))),1,0),0)</f>
        <v>0</v>
      </c>
      <c r="IX13">
        <f>IFERROR(IF(AND(ISNUMBER($AA13),$AG13="S",OR('King Node Model'!$A$8="Neg",N($BG$72)=1),N($AD13)&gt;0,N($BG$78)=1,MEDIAN($AA13-$BG$82,$B$4,$AA13+$BG$83)=$B$4),1,0),0)</f>
        <v>0</v>
      </c>
      <c r="IY13" t="str">
        <f t="shared" si="106"/>
        <v>SELL</v>
      </c>
      <c r="IZ13">
        <f>IFERROR(IF(AND(ISNUMBER($AA13),$FA13&lt;&gt;"DOM",$AA13&lt;&gt;'King Node Model'!$F$24,OR(AND($AG13="S",COUNTIF('Master Dashboard'!$AN$16:$AN$18,$AA13)=0,N(INDEX($AE$9:$AE$55,MATCH($AA13+$BG$84,$AA$9:$AA$55,0)))&lt;=-$BG$85),AND($AG13="R",COUNTIF('Master Dashboard'!$AN$13:$AN$15,$AA13)=0,N(INDEX($AE$9:$AE$55,MATCH($AA13-$BG$84,$AA$9:$AA$55,0)))&gt;=$BG$85))),1,0),0)</f>
        <v>0</v>
      </c>
      <c r="JA13" t="str">
        <f t="shared" si="107"/>
        <v/>
      </c>
      <c r="JC13">
        <f t="shared" si="108"/>
        <v>0</v>
      </c>
      <c r="JD13" t="str">
        <f t="shared" si="193"/>
        <v/>
      </c>
      <c r="JE13">
        <f>IF(ISNUMBER($AA13),N(IFERROR(INDEX('King Node Model'!$L$29:$L$75,MATCH($AA13,'King Node Model'!$A$29:$A$75,0)),0)),"")</f>
        <v>45</v>
      </c>
      <c r="JF13">
        <f>IF(ISNUMBER($AA13),N(IFERROR(INDEX('King Node Model'!$K$29:$K$75,MATCH($AA13,'King Node Model'!$A$29:$A$75,0)),0)),"")</f>
        <v>2952</v>
      </c>
      <c r="JG13">
        <f t="shared" si="109"/>
        <v>1.524390243902439E-2</v>
      </c>
      <c r="JH13">
        <f t="shared" si="110"/>
        <v>65.599999999999994</v>
      </c>
      <c r="JI13">
        <f t="shared" si="111"/>
        <v>0</v>
      </c>
      <c r="JJ13" t="str">
        <f t="shared" si="112"/>
        <v>Crest</v>
      </c>
      <c r="JK13">
        <f t="shared" si="113"/>
        <v>1</v>
      </c>
      <c r="JL13">
        <f t="shared" si="114"/>
        <v>0</v>
      </c>
      <c r="JM13">
        <f t="shared" si="115"/>
        <v>0</v>
      </c>
      <c r="JN13">
        <f t="shared" si="116"/>
        <v>0</v>
      </c>
      <c r="JO13">
        <f t="shared" si="117"/>
        <v>0</v>
      </c>
      <c r="JP13">
        <f t="shared" si="118"/>
        <v>0</v>
      </c>
      <c r="JQ13">
        <f t="shared" si="119"/>
        <v>0</v>
      </c>
      <c r="JR13">
        <v>0</v>
      </c>
      <c r="JS13">
        <f>IFERROR(IF(AND(ISNUMBER($AA13),'King Node Model'!$A$8="Pos",OR($AG13="S",$AG13="R"),N($AB13)&gt;0,N($HP13)&lt;&gt;1,OR(AND($KC13="DOWN",N($AF13)&lt;0,N($AF13)=MIN($AF$9:$AF$55),-N($AF13)&gt;=MAX($AF$9:$AF$55)),AND($KC13="UP",N($AF13)&gt;0,N($AF13)=MAX($AF$9:$AF$55),N($AF13)&gt;=-MIN($AF$9:$AF$55)))),1,0),0)</f>
        <v>0</v>
      </c>
      <c r="JT13">
        <v>0</v>
      </c>
      <c r="JU13">
        <f>IFERROR(IF(AND(N($BG$109)=1,ISNUMBER($AA13),'King Node Model'!$A$8="Pos",N($CZ13)=1,N($AB13)&gt;0),1,0),0)</f>
        <v>0</v>
      </c>
      <c r="JV13" t="str">
        <f t="shared" si="120"/>
        <v>BUY</v>
      </c>
      <c r="JW13">
        <f t="shared" si="121"/>
        <v>0</v>
      </c>
      <c r="JX13">
        <f t="shared" si="122"/>
        <v>0</v>
      </c>
      <c r="JY13">
        <f t="shared" si="123"/>
        <v>0</v>
      </c>
      <c r="JZ13">
        <f t="shared" si="124"/>
        <v>0</v>
      </c>
      <c r="KA13">
        <f t="shared" si="125"/>
        <v>0</v>
      </c>
      <c r="KB13">
        <f t="shared" si="126"/>
        <v>0</v>
      </c>
      <c r="KC13" t="str">
        <f t="shared" si="127"/>
        <v>DOWN</v>
      </c>
      <c r="KE13" t="str">
        <f t="shared" si="128"/>
        <v>Now: strengthening the ceiling (IV rising) · if IV falls: weakens the ceiling · expected on arrival: WEAKENS ✗</v>
      </c>
      <c r="KF13" t="str">
        <f t="shared" si="129"/>
        <v>BUY</v>
      </c>
      <c r="KG13">
        <f t="shared" si="192"/>
        <v>0</v>
      </c>
      <c r="KH13" t="str">
        <f t="shared" si="130"/>
        <v/>
      </c>
      <c r="KI13" t="str">
        <f t="shared" si="131"/>
        <v/>
      </c>
      <c r="KJ13">
        <f t="shared" si="132"/>
        <v>0</v>
      </c>
      <c r="KK13">
        <f t="shared" si="133"/>
        <v>0</v>
      </c>
      <c r="KL13">
        <f t="shared" si="134"/>
        <v>0</v>
      </c>
      <c r="KM13">
        <f t="shared" si="135"/>
        <v>0</v>
      </c>
      <c r="KN13">
        <f t="shared" si="136"/>
        <v>0</v>
      </c>
      <c r="KO13">
        <v>0</v>
      </c>
      <c r="KP13">
        <f t="shared" si="137"/>
        <v>0</v>
      </c>
      <c r="KQ13">
        <f t="shared" si="138"/>
        <v>0</v>
      </c>
      <c r="KR13">
        <f t="shared" si="139"/>
        <v>0</v>
      </c>
      <c r="KS13">
        <f t="shared" si="140"/>
        <v>0</v>
      </c>
      <c r="KT13">
        <f t="shared" si="141"/>
        <v>0</v>
      </c>
      <c r="KU13">
        <f>IF(AND(ISNUMBER($AA13),ISNUMBER($AE13),ISNUMBER($AE12),N($AE13)&lt;&gt;0),($AE13-$AE12)/$AE13,"")</f>
      </c>
      <c r="KV13">
        <f>IF(AND(ISNUMBER($AA13),ISNUMBER($AE13),ISNUMBER($AE14),N($AE13)&lt;&gt;0),($AE13-$AE14)/$AE13,"")</f>
      </c>
      <c r="KW13">
        <f>IFERROR(IF(OR(NOT(ISNUMBER($AA13)),'King Node Model'!$A$8&lt;&gt;"Pos",N($BG$72)=1,ABS(N($AE13))&lt;$BG$113,$FA13="DOM",$AA13='King Node Model'!$T$23,AND(N($BG$116)=1,$AA13='King Node Model'!$F$24),NOT(ISNUMBER($KU13)),NOT(ISNUMBER($KV13))),0,IF(AND($AG13="S",COUNTIF('Master Dashboard'!$AN$16:$AN$18,$AA13)=0,$KU13&gt;=$BG$114,$KU13&gt;=$KV13+$BG$115),1,IF(AND($AG13="R",COUNTIF('Master Dashboard'!$AN$13:$AN$15,$AA13)=0,$KV13&gt;=$BG$114,$KV13&gt;=$KU13+$BG$115),-1,0))),0)</f>
        <v>0</v>
      </c>
      <c r="KX13">
        <f t="shared" si="144"/>
        <v>0</v>
      </c>
      <c r="KY13">
        <f t="shared" si="145"/>
        <v>0</v>
      </c>
      <c r="KZ13">
        <f t="shared" si="146"/>
        <v>0</v>
      </c>
      <c r="LA13">
        <f t="shared" si="147"/>
        <v>0</v>
      </c>
      <c r="LB13">
        <f t="shared" si="148"/>
        <v>0</v>
      </c>
      <c r="LC13">
        <f t="shared" si="149"/>
        <v>0</v>
      </c>
      <c r="LD13">
        <f t="shared" si="150"/>
        <v>0</v>
      </c>
      <c r="LE13">
        <f t="shared" si="151"/>
        <v>0</v>
      </c>
      <c r="LF13">
        <f t="shared" si="152"/>
        <v>0</v>
      </c>
      <c r="LG13" t="str">
        <f t="shared" si="153"/>
        <v/>
      </c>
      <c r="LH13" t="str">
        <f t="shared" si="154"/>
        <v/>
      </c>
      <c r="LI13" t="str">
        <f t="shared" si="155"/>
        <v/>
      </c>
      <c r="LJ13" t="str">
        <f t="shared" si="156"/>
        <v/>
      </c>
      <c r="LK13" t="str">
        <f t="shared" si="157"/>
        <v/>
      </c>
      <c r="LL13">
        <f t="shared" si="158"/>
        <v>0</v>
      </c>
      <c r="LM13">
        <f t="shared" si="159"/>
        <v>0</v>
      </c>
      <c r="LN13">
        <f t="shared" si="160"/>
        <v>0</v>
      </c>
      <c r="LO13">
        <v>0</v>
      </c>
      <c r="LP13">
        <f t="shared" si="161"/>
        <v>0</v>
      </c>
      <c r="LQ13" t="str">
        <f t="shared" si="162"/>
        <v/>
      </c>
      <c r="LR13">
        <f t="shared" si="163"/>
        <v>0</v>
      </c>
      <c r="LS13">
        <f t="shared" si="164"/>
        <v>0</v>
      </c>
      <c r="LT13">
        <f t="shared" si="165"/>
        <v>0</v>
      </c>
      <c r="LU13">
        <f t="shared" si="166"/>
        <v>0</v>
      </c>
      <c r="LV13">
        <f t="shared" si="167"/>
        <v>0</v>
      </c>
      <c r="LW13">
        <f t="shared" si="168"/>
        <v>0</v>
      </c>
      <c r="LX13">
        <f t="shared" si="169"/>
        <v>0</v>
      </c>
      <c r="LY13">
        <f t="shared" si="170"/>
        <v>0</v>
      </c>
      <c r="LZ13">
        <f t="shared" si="171"/>
        <v>0</v>
      </c>
      <c r="MA13">
        <f t="shared" si="172"/>
        <v>0</v>
      </c>
      <c r="MB13">
        <v>0</v>
      </c>
      <c r="MC13">
        <f t="shared" si="173"/>
        <v>1</v>
      </c>
      <c r="MD13">
        <f t="shared" si="174"/>
        <v>1</v>
      </c>
      <c r="ME13">
        <f t="shared" si="175"/>
        <v>0</v>
      </c>
      <c r="MF13">
        <f t="shared" si="176"/>
        <v>0</v>
      </c>
      <c r="MG13">
        <f t="shared" si="177"/>
        <v>0</v>
      </c>
      <c r="MH13">
        <f t="shared" si="178"/>
        <v>0</v>
      </c>
      <c r="MI13" t="str">
        <f t="shared" si="179"/>
        <v/>
      </c>
      <c r="MJ13">
        <f t="shared" si="180"/>
        <v>0</v>
      </c>
      <c r="MK13">
        <f t="shared" si="181"/>
        <v>0</v>
      </c>
      <c r="ML13">
        <f>IF(AND(OR('King Node Model'!$A$8="Neg",N($BG$72)=1),ISNUMBER($AA13),$AG13="R",N($AB13)&lt;0),IF(AND($AA12=$AA13+5,N($AB12)&gt;0,$AA11=$AA13+10,N($AB11)&lt;0),1,IF(AND($AA12=$AA13+5,N($AB12)&gt;0,$AA11=$AA13+10,N($AB11)&gt;0,$AA10=$AA13+15,N($AB10)&lt;0),2,IF(AND($AA12=$AA13+5,N($AB12)&gt;0,$AA11=$AA13+10,N($AB11)&gt;0,$AA10=$AA13+15,N($AB10)&gt;0,$AA9=$AA13+20,N($AB9)&lt;0),3,IF(AND($AA12=$AA13+5,N($AB12)&gt;0,$AA11=$AA13+10,N($AB11)&gt;0,$AA10=$AA13+15,N($AB10)&gt;0,$AA9=$AA13+20,N($AB9)&gt;0,$AA8=$AA13+25,N($AB8)&lt;0),4,0)))),0)</f>
      </c>
      <c r="MM13">
        <f>IF(AND(OR('King Node Model'!$A$8="Neg",N($BG$72)=1),ISNUMBER($AA13),$AG13="S",N($AB13)&lt;0),IF(AND($AA14=$AA13-5,N($AB14)&gt;0,$AA15=$AA13-10,N($AB15)&lt;0),1,IF(AND($AA14=$AA13-5,N($AB14)&gt;0,$AA15=$AA13-10,N($AB15)&gt;0,$AA16=$AA13-15,N($AB16)&lt;0),2,IF(AND($AA14=$AA13-5,N($AB14)&gt;0,$AA15=$AA13-10,N($AB15)&gt;0,$AA16=$AA13-15,N($AB16)&gt;0,$AA17=$AA13-20,N($AB17)&lt;0),3,IF(AND($AA14=$AA13-5,N($AB14)&gt;0,$AA15=$AA13-10,N($AB15)&gt;0,$AA16=$AA13-15,N($AB16)&gt;0,$AA17=$AA13-20,N($AB17)&gt;0,$AA18=$AA13-25,N($AB18)&lt;0),4,0)))),0)</f>
      </c>
      <c r="MN13">
        <f>IF(N($ML13)&gt;0,$AA13,0)</f>
      </c>
      <c r="MO13">
        <f>IF(N($MM13)&gt;0,$AA13,0)</f>
      </c>
      <c r="MP13">
        <f>IF(AND(OR('King Node Model'!$A$8="Neg",N($BG$72)=1),ISNUMBER($BG$155),$AA13=$BG$155,N($NC13)=1),2,IF(AND(OR('King Node Model'!$A$8="Neg",N($BG$72)=1),ISNUMBER($BG$156),$AA13=$BG$156,N($ND13)=1),1,0))</f>
      </c>
      <c r="MQ13">
        <f>IF(ABS(AE13)&lt;=0,0,IF($AG13="R",IF(ISNUMBER(AE12),IF((ABS(AE12)-ABS(AE13))/ABS(AE13)&lt;-0.4,1,0),0),IF(ISNUMBER(AE14),IF((ABS(AE14)-ABS(AE13))/ABS(AE13)&lt;-0.4,1,0),0)))</f>
      </c>
      <c r="MR13">
        <f>IF(OR(N($MQ13)&lt;&gt;1,N($BG$157)&lt;&gt;1,NOT(ISNUMBER($KU13)),NOT(ISNUMBER($KV13))),0,IF(OR(AND($AG13="S",OR(AND($KU13&gt;=$BG$114,$KU13&gt;=$KV13+$BG$115),AND($KU13&gt;1,$KV13&lt;=1,$KV13&gt;=$BG$114))),AND($AG13="R",OR(AND($KV13&gt;=$BG$114,$KV13&gt;=$KU13+$BG$115),AND($KV13&gt;1,$KU13&lt;=1,$KU13&gt;=$BG$114)))),1,0))</f>
      </c>
      <c r="MS13" t="str">
        <f>IF(AND(N($MR13)=1,N($NA13)&lt;&gt;1),"• DEX falls off more sharply "&amp;IF($AG13="S","above (","below (")&amp;TEXT(IF($AG13="S",$KU13,$KV13),"0%")&amp;") than "&amp;IF($AG13="S","below (","above (")&amp;TEXT(IF($AG13="S",$KV13,$KU13),"0%")&amp;") — Dex↓ not counted",IF(N($MW13)=1,"• Shoulder of the "&amp;IF($AG13="R",$AA14,$AA12)&amp;" wall — own DEX "&amp;TEXT($AE13/1000,"+#,##0;-#,##0")&amp;"K is "&amp;TEXT(ABS($AE13)/ABS(IF($AG13="R",$AE14,$AE12)),"0%")&amp;" of "&amp;TEXT(IF($AG13="R",$AE14,$AE12)/1000,"+#,##0;-#,##0")&amp;"K, Dex↓ not counted",""))</f>
      </c>
      <c r="MT13">
        <f>IF(AND(ISNUMBER($AA13),$AG13="S",ISNUMBER($AB13),$AB13=MIN($AB$9:$AB$55),$AA13=$BG$105,$JV13="BUY",ABS(N($AD13))&gt;=$BG$158),1,0)</f>
      </c>
      <c r="MU13" t="str">
        <f>IF(N($MY13)=1,"",IF(OR(N($MT13)=1,AND(OR('King Node Model'!$A$8="Neg",N($BG$72)=1),$AG13="S",ISNUMBER($AB13),$AB13=MIN($AB$9:$AB$55),$AA13=$BG$105)),"• Min GEX + Max Zomma (no reversal flag required) — accelerant warning not applied; zomma acceleration warning only within "&amp;$BG$98&amp;" pts of the level, and not when vanna buying is "&amp;TEXT($BG$158/1000,"0")&amp;"K or more"&amp;CHAR(10)&amp;IF(N($MT13)=1,"• Max Zomma and vanna buying ("&amp;TEXT(N($AD13)/1000,"+#,##0;-#,##0")&amp;"K) make this level safe","• Max Zomma is what makes this level safe"),"")&amp;$NB13&amp;$NI13)</f>
      </c>
      <c r="MV13" t="str">
        <f>IF(AND(ISNUMBER($AA13),OR($AA13=$BG$118,$AA13=$BG$119)),IF(N($AZ13)*IF($AG13="R",1,-1)&gt;0,"✓",IF(N($AZ13)*IF($AG13="R",1,-1)&lt;0,"✗","")),"")</f>
      </c>
      <c r="MW13">
        <f>IF(AND(N($MQ13)=1,N($BG$159)&gt;0,ISNUMBER(IF($AG13="R",$AE14,$AE12)),N(IF($AG13="R",$AE14,$AE12))&lt;&gt;0),IF(ABS(N($AE13))&lt;$BG$159*ABS(IF($AG13="R",$AE14,$AE12)),1,0),0)</f>
      </c>
      <c r="MX13">
        <f>IF(AND(ISNUMBER($AA13),$AA13=$BG$121,$AG13="R",N($AE13)&lt;0,OR(COUNTIF('King Node Model'!$AL$42:$AL$44,$AA13)=0,N($HP13)=1),N($NC13)=1),2,IF(AND(ISNUMBER($AA13),$AA13=$BG$120,$AG13="S",N($AE13)&gt;0,OR(COUNTIF('King Node Model'!$AL$49:$AL$51,$AA13)=0,N($HP13)=1),N($ND13)=1),1,0))</f>
      </c>
      <c r="MY13">
        <f>IF(AND(N($NA13)=1,NOT(AND(AND($AG13="S",ISNUMBER($AB13),$AB13=MIN($AB$9:$AB$55),$AA13=$BG$105),IFERROR(INDEX($AG$9:$AG$55,MATCH('King Node Model'!$B$23,$AA$9:$AA$55,0)),"")="R")),N($AV13)&lt;&gt;1),1,0)</f>
      </c>
      <c r="MZ13" t="str">
        <f>IF(N($MY13)&lt;&gt;1,"","• DEX falls off more sharply "&amp;IF($AG13="S","above (","below (")&amp;TEXT(IF($AG13="S",$KU13,$KV13),"0%")&amp;") than "&amp;IF($AG13="S","below (","above (")&amp;TEXT(IF($AG13="S",$KV13,$KU13),"0%")&amp;") — path of least resistance "&amp;IF($AG13="S","down","up")&amp;IF(N($AZ13)*IF($AG13="R",1,-1)&lt;0,CHAR(10)&amp;"• Speed against — GEX gets more negative as price "&amp;IF($AG13="R","rises","falls")&amp;" into it (speed "&amp;TEXT(N($AZ13),"#,##0;−#,##0")&amp;")","")&amp;IF(OR(N($NG13)=1,N($JC13)=1),CHAR(10)&amp;"• "&amp;IF(N($JC13)=1,"DOM with vanna BUY "&amp;TEXT(N($AD13)/1000,"+#,##0;−#,##0")&amp;"K","Put wall + Max Zomma + DOM")&amp;" backs the level, but it does not outweigh DEX"&amp;IF(N($AZ13)*IF($AG13="R",1,-1)&lt;0," and speed",""),IF(AND($AG13="S",ISNUMBER($AB13),$AB13=MIN($AB$9:$AB$55),$AA13=$BG$105),CHAR(10)&amp;"• Min GEX + Max Zomma backs the level, but it does not outweigh DEX"&amp;IF(N($AZ13)*IF($AG13="R",1,-1)&lt;0," and speed",""),IF(OR(N($JI13)=1,AND(N($GV13)=1,N($JK13)&lt;&gt;1,N($IW13)&lt;&gt;1),N($JC13)=1,AND($AA13='King Node Model'!$F$24,N($JN13)&lt;&gt;1,OR($AG13="R",AND($AG13="S",$F$4="High",IF($BG$80&lt;&gt;"",UPPER($BG$80),$D$5)="UP")))),CHAR(10)&amp;"• Vanna "&amp;IF($AG13="S","BUY ","SELL ")&amp;TEXT(N($AD13)/1000,"+#,##0;−#,##0")&amp;"K backs the level, but it does not outweigh DEX"&amp;IF(N($AZ13)*IF($AG13="R",1,-1)&lt;0," and speed",""),"")))&amp;IF(N($NE13)=1,CHAR(10)&amp;"• Buy-lean max-node exemption not applied — DEX leans against the level",""))</f>
      </c>
      <c r="NA13">
        <f>IF(AND(OR('King Node Model'!$A$8="Neg",N($BG$72)=1),ISNUMBER($AA13),ABS(N($AE13))&gt;=$BG$152,ISNUMBER($KU13),ISNUMBER($KV13)),IF(OR(AND($AG13="S",OR(AND($KU13&gt;=$BG$114,$KU13&gt;=$KV13+$BG$115),AND($KU13&gt;1,$KV13&lt;=1,$KV13&gt;=$BG$114))),AND($AG13="R",OR(AND($KV13&gt;=$BG$114,$KV13&gt;=$KU13+$BG$115),AND($KV13&gt;1,$KU13&lt;=1,$KU13&gt;=$BG$114)))),1,0),0)</f>
      </c>
      <c r="NB13" t="str">
        <f>IF(AND(N($NA13)=1,AND(AND($AG13="S",ISNUMBER($AB13),$AB13=MIN($AB$9:$AB$55),$AA13=$BG$105),IFERROR(INDEX($AG$9:$AG$55,MATCH('King Node Model'!$B$23,$AA$9:$AA$55,0)),"")="R")),CHAR(10)&amp;"• DEX falls off more sharply above ("&amp;TEXT($KU13,"0%")&amp;") than below ("&amp;TEXT($KV13,"0%")&amp;") — DEX-lean warning not applied: Min GEX + Max Zomma support with Max Gamma "&amp;'King Node Model'!$B$23&amp;" above (Dex↓ not counted)",IF(AND(OR(N($NA13)=1,N($NF13)=1),N($AV13)=1),IF(AND(OR('King Node Model'!$A$8="Neg",N($BG$72)=1),$AG13="S",ISNUMBER($AB13),$AB13=MIN($AB$9:$AB$55),$AA13=$BG$105),CHAR(10),"")&amp;"• DEX falls off more sharply "&amp;IF($AG13="S","above (","below (")&amp;TEXT(IF($AG13="S",$KU13,$KV13),"0%")&amp;") than "&amp;IF($AG13="S","below (","above (")&amp;TEXT(IF($AG13="S",$KV13,$KU13),"0%")&amp;") — DEX lean does not apply to iDex (isolated DEX)",""))</f>
      </c>
      <c r="NC13">
        <f>IF(OR($BG$163=1,AND($BG$161&gt;0,$BG$162&lt;99999,ISNUMBER($AA13),$AA13&lt;$BG$162)),1,0)</f>
      </c>
      <c r="ND13">
        <f>IF(OR($BG$163=-1,AND($BG$161&gt;0,$BG$162&lt;99999,ISNUMBER($AA13),$AA13&gt;$BG$161)),1,0)</f>
      </c>
      <c r="NE13">
        <f>IF(AND(OR('King Node Model'!$A$8="Neg",N($BG$72)=1),ISNUMBER(SEARCH("LOW",'Master Dashboard'!$M$5)),ISNUMBER(SEARCH("BUY",'Master Dashboard'!$G$8)),'King Node Model'!$T$23='King Node Model'!$B$23,OR($AA13='King Node Model'!$T$23,AND($AG13="R",$AA13='King Node Model'!$T$23+5)),OR(AND($AG13="S",$JV13="BUY"),AND($AG13="R",$JV13="SELL"))),1,0)</f>
      </c>
      <c r="NF13">
        <f>IFERROR(IF(OR(NOT(ISNUMBER($AA13)),'King Node Model'!$A$8&lt;&gt;"Pos",N($BG$72)=1,ABS(N($AE13))&lt;$BG$113,$FA13="DOM",$AA13='King Node Model'!$T$23,AND(N($BG$116)=1,$AA13='King Node Model'!$F$24),NOT(ISNUMBER($KU13)),NOT(ISNUMBER($KV13))),0,IF(AND($AG13="S",COUNTIF('Master Dashboard'!$AN$16:$AN$18,$AA13)=0,$KU13&gt;=$BG$114,$KU13&gt;=$KV13+$BG$115,NOT(AND(N($AN14)=1,N($KV13)&lt;0)),N($AE13)&lt;=0),1,IF(AND($AG13="R",COUNTIF('Master Dashboard'!$AN$13:$AN$15,$AA13)=0,$KV13&gt;=$BG$114,$KV13&gt;=$KU13+$BG$115,NOT(AND(N($AN12)=1,N($KU13)&lt;0))),-1,0))),0)</f>
      </c>
      <c r="NG13">
        <f t="shared" si="202"/>
      </c>
      <c r="NI13" t="str">
        <f>IF(AND(ISNUMBER($BG$165),ISNUMBER($AA13)),IF(OR(AND($AG13="S",$AA13&gt;$BG$165,$AA13-$BG$165&lt;=5),AND($AG13="R",$AA13&lt;$BG$165,$BG$165-$AA13&lt;=5)),IF(OR(AND(OR('King Node Model'!$A$8="Neg",N($BG$72)=1),$AG13="S",ISNUMBER($AB13),$AB13=MIN($AB$9:$AB$55),$AA13=$BG$105),$NB13&lt;&gt;""),CHAR(10),"")&amp;"• DOM forming at "&amp;$BG$165&amp;" (gamma "&amp;TEXT($BG$166,"0%")&amp;" of max) — price may be pulled to the node",""),"")</f>
      </c>
      <c r="NJ13">
        <f>IF(LEN($NI13)&gt;0,1,0)</f>
      </c>
    </row>
    <row r="14" spans="1:349" ht="15" customHeight="1" x14ac:dyDescent="0.25">
      <c r="A14" s="208" t="str">
        <f t="shared" si="0"/>
        <v>7830</v>
      </c>
      <c r="B14" s="209">
        <f>IFERROR(INDEX('King Node Model'!$C$29:$C$75,MATCH(IF($W14="",$V14,$W14),'King Node Model'!$A$29:$A$75,0)),"")</f>
        <v>437700</v>
      </c>
      <c r="C14" s="210" t="str">
        <f t="shared" si="1"/>
        <v>Zom Dex↓ γSh Gxp</v>
      </c>
      <c r="D14" s="210">
        <f t="shared" si="2"/>
        <v>4</v>
      </c>
      <c r="E14" s="210" t="str">
        <f t="shared" si="3"/>
        <v>REVERSAL</v>
      </c>
      <c r="F14" s="211" t="str">
        <f t="shared" si="4"/>
        <v>FRAGILE</v>
      </c>
      <c r="G14" s="397" t="str">
        <f t="shared" si="5"/>
        <v>WEAKENING · Pos gamma ↓ · thinning the ceiling</v>
      </c>
      <c r="R14" s="181" t="s">
        <v>1209</v>
      </c>
      <c r="S14" s="413">
        <f>COUNTIF(AZ9:AZ55,"&lt;0")/COUNT(AZ9:AZ55)</f>
        <v>8.5106382978723402E-2</v>
      </c>
      <c r="V14" s="1">
        <f>IFERROR(INDEX($AA$9:$AA$55,MATCH("R6",$BB$9:$BB$55,0)),"")</f>
        <v>7820</v>
      </c>
      <c r="W14">
        <v>7830</v>
      </c>
      <c r="AA14" s="181">
        <f>'King Node Model'!A34</f>
        <v>7860</v>
      </c>
      <c r="AB14" s="276">
        <f>'King Node Model'!C34</f>
        <v>89475</v>
      </c>
      <c r="AC14" s="181">
        <f>ABS('King Node Model'!B34)</f>
        <v>95407</v>
      </c>
      <c r="AD14" s="276">
        <f>'King Node Model'!F34</f>
        <v>421729</v>
      </c>
      <c r="AE14" s="276">
        <f>'King Node Model'!E34</f>
        <v>-43685</v>
      </c>
      <c r="AF14" s="276">
        <f>'King Node Model'!D34</f>
        <v>1897298</v>
      </c>
      <c r="AG14" s="181" t="str">
        <f t="shared" si="6"/>
        <v>R</v>
      </c>
      <c r="AH14" s="181">
        <f t="shared" si="7"/>
        <v>17</v>
      </c>
      <c r="AI14" s="181" t="str">
        <f t="shared" si="8"/>
        <v>SELL</v>
      </c>
      <c r="AJ14" s="181">
        <f t="shared" si="9"/>
        <v>1</v>
      </c>
      <c r="AK14" s="181">
        <f>IF(ABS(N($AE14))&gt;=$BG$85,1,0)</f>
      </c>
      <c r="AL14" s="181">
        <f t="shared" si="10"/>
        <v>0</v>
      </c>
      <c r="AM14" s="181">
        <f t="shared" si="11"/>
        <v>2</v>
      </c>
      <c r="AN14" s="181">
        <f t="shared" si="12"/>
        <v>0</v>
      </c>
      <c r="AO14" s="1">
        <f t="shared" si="13"/>
        <v>43685</v>
      </c>
      <c r="AP14" s="1" t="str">
        <f t="shared" si="14"/>
        <v/>
      </c>
      <c r="AQ14" s="1">
        <f t="shared" si="15"/>
        <v>1897298</v>
      </c>
      <c r="AR14" s="181">
        <f t="shared" si="16"/>
        <v>0.21706958700981654</v>
      </c>
      <c r="AS14" s="181">
        <f t="shared" si="17"/>
        <v>13</v>
      </c>
      <c r="AT14" s="181" t="str">
        <f t="shared" si="18"/>
        <v/>
      </c>
      <c r="AU14" s="181" t="str">
        <f t="shared" si="19"/>
        <v/>
      </c>
      <c r="AV14" s="218">
        <f t="shared" si="183"/>
        <v>0</v>
      </c>
      <c r="AW14" s="181">
        <f>ABS('King Node Model'!G34)</f>
        <v>212</v>
      </c>
      <c r="AX14" s="181">
        <f t="shared" si="20"/>
        <v>0</v>
      </c>
      <c r="AY14" s="181">
        <f t="shared" si="21"/>
        <v>0</v>
      </c>
      <c r="AZ14" s="276">
        <f>'King Node Model'!I34</f>
        <v>1561</v>
      </c>
      <c r="BA14" s="181">
        <f t="shared" si="22"/>
        <v>0</v>
      </c>
      <c r="BB14" s="181" t="str">
        <f t="shared" si="23"/>
        <v>R13</v>
      </c>
      <c r="BC14" s="10">
        <f>'King Node Model'!C34</f>
        <v>89475</v>
      </c>
      <c r="BD14" s="218">
        <f t="shared" si="184"/>
        <v>0</v>
      </c>
      <c r="BE14" s="218">
        <f t="shared" si="185"/>
        <v>0</v>
      </c>
      <c r="BF14" s="218" t="s">
        <v>1210</v>
      </c>
      <c r="BG14">
        <v>1</v>
      </c>
      <c r="BI14" s="218">
        <f t="shared" si="186"/>
        <v>0</v>
      </c>
      <c r="BJ14" s="218">
        <f t="shared" si="187"/>
        <v>0</v>
      </c>
      <c r="BK14" s="218">
        <f t="shared" si="24"/>
        <v>0</v>
      </c>
      <c r="BL14" s="10">
        <f>'King Node Model'!H34</f>
        <v>8</v>
      </c>
      <c r="BM14" s="218">
        <f t="shared" si="25"/>
        <v>34</v>
      </c>
      <c r="BN14" s="218">
        <f t="shared" si="26"/>
        <v>25</v>
      </c>
      <c r="BO14" s="218">
        <f t="shared" si="27"/>
        <v>0</v>
      </c>
      <c r="BP14" s="218">
        <f t="shared" si="28"/>
        <v>0</v>
      </c>
      <c r="BQ14" t="str">
        <f t="shared" si="29"/>
        <v/>
      </c>
      <c r="BR14" t="str">
        <f t="shared" si="30"/>
        <v/>
      </c>
      <c r="BS14" s="218">
        <f t="shared" si="31"/>
        <v>0</v>
      </c>
      <c r="BT14" t="str">
        <f t="shared" si="32"/>
        <v/>
      </c>
      <c r="BU14" t="str">
        <f t="shared" si="33"/>
        <v/>
      </c>
      <c r="BV14" s="218">
        <f t="shared" si="34"/>
        <v>421729</v>
      </c>
      <c r="BW14" s="218">
        <f t="shared" si="35"/>
        <v>43685</v>
      </c>
      <c r="BX14" s="218">
        <f>IF(AND(ISNUMBER(BC14),BC14&gt;=$BG$160,OR('King Node Model'!$A$8="Neg",N($BG$72)=1)),1,0)</f>
        <v>1</v>
      </c>
      <c r="BY14" s="218">
        <f t="shared" si="36"/>
        <v>0</v>
      </c>
      <c r="BZ14" s="218">
        <f t="shared" si="37"/>
        <v>0</v>
      </c>
      <c r="CA14" t="str">
        <f t="shared" si="38"/>
        <v/>
      </c>
      <c r="CB14" s="218">
        <f>IF(AND(ISNUMBER('King Node Model'!$D$27),AG14&lt;&gt;"",AA14='King Node Model'!$D$27),1,0)</f>
        <v>0</v>
      </c>
      <c r="CC14" s="218">
        <f>IF(OR('King Node Model'!$A$8="Neg",N($BG$72)=1),$BG$14*IF(ISNUMBER('King Node Model'!$D$26),MAX(0,1-ABS(AA14-'King Node Model'!$D$26)/$BG$18),0)+$BG$15*IFERROR(BV14/MAX($BV$9:$BV$55),0)+$BG$16*IFERROR(BW14/MAX($BW$9:$BW$55),0)+$BG$17*IFERROR(AC14/$S$11,0)*MAX(0,1+$BG$21*CF14),AR14)</f>
        <v>0.21944972908759031</v>
      </c>
      <c r="CD14" s="218">
        <f>IF(OR('King Node Model'!$A$8="Neg",N($BG$72)=1),IF(AND(AG14&lt;&gt;"",ABS(AA14-$B$4)&lt;=$BG$7,OR(AX14=0,$D$5&lt;&gt;"UP"),AY14=0,BK14&lt;&gt;1,CI14=0,AM14&gt;=$BG$20,AC14&gt;$BG$19),1,0),IF(AND(BS14=1,(COUNTIF($W$9:$W$14,AA14)+COUNTIF($W$18:$W$23,AA14))&gt;0,CI14=0,AM14&gt;=$BG$20,AC14&gt;$BG$19),1,0))</f>
        <v>0</v>
      </c>
      <c r="CE14" t="str">
        <f t="shared" si="39"/>
        <v/>
      </c>
      <c r="CF14" s="218">
        <f t="shared" si="40"/>
        <v>0</v>
      </c>
      <c r="CG14" t="str">
        <f t="shared" si="41"/>
        <v/>
      </c>
      <c r="CH14" t="str">
        <f t="shared" si="42"/>
        <v>Dormant</v>
      </c>
      <c r="CI14" s="218">
        <f t="shared" si="43"/>
        <v>0</v>
      </c>
      <c r="CJ14" s="218">
        <f t="shared" si="44"/>
        <v>387420489</v>
      </c>
      <c r="CK14" s="218">
        <f t="shared" si="45"/>
        <v>0</v>
      </c>
      <c r="CL14" s="218">
        <f t="shared" si="46"/>
        <v>0</v>
      </c>
      <c r="CQ14" s="218">
        <f t="shared" si="47"/>
        <v>7830</v>
      </c>
      <c r="CR14" s="393" t="s">
        <v>1211</v>
      </c>
      <c r="CT14">
        <v>1</v>
      </c>
      <c r="CU14" s="218">
        <f>IF(AND(AND('King Node Model'!$A$8&lt;&gt;"Neg",N($BG$72)&lt;&gt;1),SUMPRODUCT(($AG$9:$AG$55="S")*ISNUMBER($AT$9:$AT$55)*ISNUMBER($AU$9:$AU$55)*($AT$9:$AT$55&lt;&gt;$AU$9:$AU$55)*($AT$9:$AT$55&lt;=$AA14)*($AU$9:$AU$55&gt;=$AA14))&gt;0),0,IF(AND(OR($AA14='King Node Model'!$T$22,$AA14='King Node Model'!$F$24),$AG14="R",COUNTIF($W$9:$W$14,$AA14)&gt;0),1,IF(AND($FN14=1,$EU14&lt;&gt;1,$EM14&lt;&gt;1,$BK14&lt;&gt;1,$DH14&lt;&gt;1,$AG14="R",COUNTIF($W$9:$W$14,$AA14)&gt;0),1,IF($EU14=1,0,IF($EM14=1,0,IF(AND(OR($EE14=1,$GV14=1,AND($EL$7=1,$AA14='King Node Model'!$D$26,$EI14=1),AND(OR($AA14='King Node Model'!$T$22,$AA14='King Node Model'!$T$23),$AN14=1,OR($AX14=0,$D$5&lt;&gt;"UP"))),OR(NOT(OR('King Node Model'!$A$8="Neg",N($BG$72)=1)),$GV14=1,AND(OR($AA14='King Node Model'!$T$22,$AA14='King Node Model'!$T$23),$AN14=1,OR($AX14=0,$D$5&lt;&gt;"UP")),AND($AM14&gt;=$BG$20,$AC14&gt;IF($CZ14=1,$BG$48,$BG$19)))),1,IF($DH14=1,0,IF(AND($DC14=1,$GS14&lt;&gt;1,AND('King Node Model'!$A$8&lt;&gt;"Neg",N($BG$72)&lt;&gt;1)),0,IF(AND($EY14=1,NOT(OR('King Node Model'!$A$8="Neg",$BG$72=1)),$AA14&lt;&gt;'King Node Model'!$B$23),0,IF(AND($GS14=1,$AG14="R",OR($CI14=0,$EE14=1,$EX14=1,$GV14=1),COUNTIF($W$9:$W$14,$AA14)&gt;0,ABS($AA14-$B$4)&lt;=$BG$7,$BK14&lt;&gt;1,$AM14&gt;=$BG$20,$AC14&gt;IF($CZ14=1,$BG$48,$BG$19)),1,IF(OR('King Node Model'!$A$8="Neg",N($BG$72)=1),IF(AND(OR($AM14&gt;=$BG$20,$AA14='King Node Model'!$D$26,$GV14=1),$AG14="R",COUNTIF($W$9:$W$14,$AA14)&gt;0,ABS($AA14-$B$4)&lt;=$BG$7,OR($AX14=0,$D$5&lt;&gt;"UP"),$BK14&lt;&gt;1,OR(OR($CI14=0,$AJ14=1),AND($EI14=1,$LA14=1,COUNTIF($W$9:$W$11,$AA14)&gt;0,$AN14=1,OR($AX14=0,$D$5&lt;&gt;"UP"))),$AM14&gt;=$BG$20,$AC14&gt;IF($CZ14=1,$BG$48,$BG$19),OR($AN14=1,N($LR14)=1,$AA14='King Node Model'!$D$26,AND($BY14=1,$AA14&gt;$B$4),$BX14=1,$CF14=1,$CF14=1,AND(OR($AA14=$CP$4,$AA14=$CP$5,$AA14=$CP$6,$AA14=$CP$7),ABS($AA14-$B$4)&lt;=30),AND($AX14=1,$D$5="DOWN"))),1,0),IF(AND(OR($AM14&gt;=3,$AA14='King Node Model'!$D$26,$GV14=1),$AG14="R",COUNTIF($W$9:$W$14,$AA14)&gt;0,ABS($AA14-$B$4)&lt;=$BG$7,OR($AX14=0,$D$5&lt;&gt;"UP"),$BK14&lt;&gt;1,OR($CI14=0,$AJ14=1),$AM14&gt;=$BG$20,$AC14&gt;IF($CZ14=1,$BG$48,$BG$19),OR($AC14&gt;=MAX($AC$9:$AC$55),$BC14&gt;0,$AA14='King Node Model'!$D$26,AND(OR($AA14=$CP$4,$AA14=$CP$5,$AA14=$CP$6,$AA14=$CP$7),ABS($AA14-$B$4)&lt;=30),$CF14=1,$AN14=1,AND($AX14=1,$D$5="DOWN"))),1,0))))))))))))</f>
        <v>0</v>
      </c>
      <c r="CV14" s="218">
        <f>IF(AND(OR('King Node Model'!$A$8="Neg",N($BG$72)=1),$AG14="S",N($LR14)=1,N($MB14)=1),1,IF(AND(AND('King Node Model'!$A$8&lt;&gt;"Neg",N($BG$72)&lt;&gt;1),SUMPRODUCT(($AG$9:$AG$55="R")*ISNUMBER($AT$9:$AT$55)*ISNUMBER($AU$9:$AU$55)*($AT$9:$AT$55&lt;&gt;$AU$9:$AU$55)*($AT$9:$AT$55&lt;=$AA14)*($AU$9:$AU$55&gt;=$AA14))&gt;0,NOT(AND(N($LC14)=1,$AA14='King Node Model'!$B$23))),0,IF(AND($AA14='King Node Model'!$F$24,$AG14="S",COUNTIF($W$18:$W$23,$AA14)&gt;0),1,IF(AND($FN14=1,$EU14&lt;&gt;1,$EM14&lt;&gt;1,$DH14&lt;&gt;1,$AG14="S",COUNTIF($W$18:$W$23,$AA14)&gt;0),1,IF($EU14=1,0,IF(AND(OR($EF14=1,$GV14=1,AND(OR($AA14='King Node Model'!$T$22,$AA14='King Node Model'!$T$23,AND($AG14="S",COUNTIF('Master Dashboard'!$AN$16:$AN$18,$AA14)&gt;0)),$AN14=1,OR($AX14=0,$D$5&lt;&gt;"UP"))),OR(NOT(OR('King Node Model'!$A$8="Neg",N($BG$72)=1)),$GV14=1,AND(OR($AA14='King Node Model'!$T$22,$AA14='King Node Model'!$T$23,AND($AG14="S",COUNTIF('Master Dashboard'!$AN$16:$AN$18,$AA14)&gt;0)),$AN14=1,OR($AX14=0,$D$5&lt;&gt;"UP")),AND($AM14&gt;=$BG$20,$AC14&gt;IF($CZ14=1,$BG$48,$BG$19)))),1,IF($DH14=1,0,IF(AND($DC14=1,$GS14&lt;&gt;1,AND('King Node Model'!$A$8&lt;&gt;"Neg",N($BG$72)&lt;&gt;1)),0,IF(AND($EY14=1,NOT(OR('King Node Model'!$A$8="Neg",$BG$72=1)),$AA14&lt;&gt;'King Node Model'!$B$23,COUNTIF('Master Dashboard'!$AN$16:$AN$18,$AA14)=0),0,IF(AND($GS14=1,$AG14="S",OR($CI14=0,$EF14=1,$EX14=1,$GV14=1),COUNTIF($W$18:$W$23,$AA14)&gt;0,ABS($AA14-$B$4)&lt;=$BG$7,$BK14&lt;&gt;1,$AM14&gt;=$BG$20,$AC14&gt;IF($CZ14=1,$BG$48,$BG$19)),1,IF(OR('King Node Model'!$A$8="Neg",N($BG$72)=1),IF(AND(OR(OR($AM14&gt;=$BG$20,N($LR14)=1),$AA14='King Node Model'!$D$26,$GV14=1),$AG14="S",COUNTIF($W$18:$W$23,$AA14)&gt;0,ABS($AA14-$B$4)&lt;=$BG$7,OR($AX14=0,$D$5&lt;&gt;"UP"),$BK14&lt;&gt;1,OR($CI14=0,$AJ14=1,AND(N($LR14)=1,N($MB14)=1),N($MT14)=1),OR($AM14&gt;=$BG$20,N($LR14)=1),$AC14&gt;IF($CZ14=1,$BG$48,$BG$19),OR($AB14&gt;0,$AN14=1,N($MT14)=1,N($LR14)=1,$AA14='King Node Model'!$D$26,AND($BY14=1,$AA14&lt;$B$4),$BX14=1,$CF14=1,$CF14=1,AND(OR($AA14=$CP$4,$AA14=$CP$5,$AA14=$CP$6,$AA14=$CP$7),ABS($AA14-$B$4)&lt;=30),AND($AX14=1,$D$5="DOWN"))),1,0),IF(AND(OR($AM14&gt;=3,$AA14='King Node Model'!$D$26,$GV14=1),$AG14="S",COUNTIF($W$18:$W$23,$AA14)&gt;0,ABS($AA14-$B$4)&lt;=$BG$7,OR($AX14=0,$D$5&lt;&gt;"UP"),$BK14&lt;&gt;1,OR($CI14=0,$AJ14=1,AND(N($LR14)=1,N($MB14)=1),N($MT14)=1),$AM14&gt;=$BG$20,$AC14&gt;IF($CZ14=1,$BG$48,$BG$19),OR($AC14&gt;=MAX($AC$9:$AC$55),$BC14&gt;0,N($MT14)=1,$AA14='King Node Model'!$D$26,AND(OR($AA14=$CP$4,$AA14=$CP$5,$AA14=$CP$6,$AA14=$CP$7),ABS($AA14-$B$4)&lt;=30),$CF14=1,$AN14=1,AND($AX14=1,$D$5="DOWN"))),1,0))))))))))))</f>
        <v>0</v>
      </c>
      <c r="CX14" s="218">
        <f t="shared" si="48"/>
        <v>0</v>
      </c>
      <c r="CY14" t="str">
        <f t="shared" si="49"/>
        <v/>
      </c>
      <c r="CZ14" s="218">
        <f t="shared" si="50"/>
        <v>0</v>
      </c>
      <c r="DA14" t="str">
        <f t="shared" si="51"/>
        <v/>
      </c>
      <c r="DB14" t="str">
        <f t="shared" si="52"/>
        <v/>
      </c>
      <c r="DC14" s="218">
        <f t="shared" si="53"/>
        <v>0</v>
      </c>
      <c r="DD14" s="218">
        <f t="shared" si="54"/>
        <v>0</v>
      </c>
      <c r="DE14" s="218">
        <f t="shared" si="55"/>
        <v>0</v>
      </c>
      <c r="DF14" t="str">
        <f t="shared" si="56"/>
        <v/>
      </c>
      <c r="DG14" t="str">
        <f t="shared" si="57"/>
        <v/>
      </c>
      <c r="DH14" s="218">
        <f t="shared" si="58"/>
        <v>0</v>
      </c>
      <c r="DI14">
        <v>0.77900000000000003</v>
      </c>
      <c r="DJ14">
        <v>-1</v>
      </c>
      <c r="DK14">
        <v>3523917</v>
      </c>
      <c r="DL14">
        <v>0</v>
      </c>
      <c r="DM14" t="str">
        <f>IF(AND($CV14=1,$AG14="S"),IF(AND(OR('King Node Model'!$A$8="Neg",N($BG$72)=1),'King Node Model'!$S$52=""),IF(OR(N($AN14)=1,N($LR14)=1,$AB14&gt;0,$AJ14=1,N($JO14)=1,AND(NOT($AE14&gt;0),NOT(IFERROR(AND(ISNUMBER($BC14),ISNUMBER($BC13),($BC14&gt;=0)&lt;&gt;($BC13&gt;=0)),FALSE())),OR(AND($BM14&lt;=6,$BN14&lt;=6),ABS($AA14-'King Node Model'!$T$23)&lt;=5,$LA14=1))),1,0),1),"")</f>
        <v/>
      </c>
      <c r="DN14" t="str">
        <f t="shared" si="59"/>
        <v/>
      </c>
      <c r="DO14" t="str">
        <f t="shared" si="60"/>
        <v>W-list</v>
      </c>
      <c r="DP14" t="str">
        <f>IF(AND(OR('King Node Model'!$A$8="Neg",N($BG$72)=1),$AG14="S",ISNUMBER($AT14),ISNUMBER($AU14),$AT14&lt;&gt;$AU14,$AA14=$AT14),IF(AND(SUMPRODUCT(($AA$9:$AA$55&gt;=$AT14)*($AA$9:$AA$55&lt;=$AU14)*($AB$9:$AB$55&gt;0))&gt;0,SUMPRODUCT(($AA$9:$AA$55&gt;=$AT14)*($AA$9:$AA$55&lt;=$AU14)*($DM$9:$DM$55=1))&gt;0,SUMPRODUCT(($AA$9:$AA$55&gt;=$AT14)*($AA$9:$AA$55&lt;=$AU14)*(COUNTIF($W$18:$W$20,$AA$9:$AA$55)&gt;0))&gt;0),1,0),"")</f>
        <v/>
      </c>
      <c r="DS14">
        <v>0</v>
      </c>
      <c r="DT14">
        <v>0</v>
      </c>
      <c r="DU14" t="str">
        <f>IF('King Node Model'!$A$8&lt;&gt;"Pos","",IF(OR($AA14="",NOT(ISNUMBER($AA14)),ABS($AA14-$B$4)&gt;$BG$7),"",TEXT($AA14,"0")&amp;" | "&amp;IF($AG14="","unclassified",IF($AG14&lt;&gt;IF($AA14&gt;$B$4,"R","S"),"orphan: in "&amp;$AG14&amp;"-list, "&amp;IF($AA14&lt;$B$4,"below","above")&amp;" spot",IF(IF($AG14="R",COUNTIF($W$9:$W$14,$AA14),COUNTIF($W$18:$W$23,$AA14))=0,"not in "&amp;$AG14&amp;"-list",IF($DH14=1,"absorbed into shelf box",IF($BK14=1,"absorbed: adjacent reversal",IF($CI14=1,"accel-accelerant",IF($AC14&lt;=$BG$19,"below gamma-floor",IF($AM14&lt;$BG$20,"confluence "&amp;TEXT($AM14,"0")&amp;" &lt; "&amp;TEXT($BG$20,"0"),IF(AND($AX14=1,$D$5="UP"),"accelerant in up-move",IF(NOT(OR($AC14&gt;=MAX($AC$9:$AC$55),$BC14&gt;0,$AA14='King Node Model'!$D$26,AND(OR($AA14=$CP$4,$AA14=$CP$5,$AA14=$CP$6,$AA14=$CP$7),ABS($AA14-$B$4)&lt;=30),ISNUMBER(SEARCH("STRENGTHENING",$CG14)),$AN14=1,AND($AX14=1,$D$5="DOWN"))),"no surface flag","-&gt; qualifies"))))))))))))</f>
        <v/>
      </c>
      <c r="DV14" s="218">
        <f t="shared" si="61"/>
        <v>99999</v>
      </c>
      <c r="DW14" s="218">
        <f t="shared" si="62"/>
        <v>99999</v>
      </c>
      <c r="DX14" t="str">
        <f>IF('King Node Model'!$A$8&lt;&gt;"Pos","",IF(AND($DV14&lt;99999,$DV14=MIN($DV$9:$DV$55),$DG14&gt;$AA14),"R-box: "&amp;TEXT($AA14,"0")&amp;"-"&amp;TEXT($DG14,"0"),IF(AND($DW14&lt;99999,$DW14=MIN($DW$9:$DW$55),$DF14&lt;$AA14),"S-box: "&amp;TEXT($DF14,"0")&amp;"-"&amp;TEXT($AA14,"0"),"")))</f>
        <v/>
      </c>
      <c r="EB14">
        <f t="shared" si="63"/>
        <v>84.609999999999673</v>
      </c>
      <c r="EC14">
        <f t="shared" si="64"/>
        <v>538591</v>
      </c>
      <c r="ED14">
        <f t="shared" si="65"/>
        <v>0</v>
      </c>
      <c r="EE14">
        <f>IF(AND(OR('King Node Model'!$A$8="Neg",N($BG$72)=1),$AG14="R",ISNUMBER($EB14),$EB14&lt;=$BG$7,$AB14&gt;0,$EC14&gt;0,$AB14=$EC14),1,0)</f>
        <v>0</v>
      </c>
      <c r="EF14">
        <f>IF(AND(OR('King Node Model'!$A$8="Neg",N($BG$72)=1),$AG14="S",ISNUMBER($EB14),$EB14&lt;=$BG$7,$AB14&gt;0,$ED14&gt;0,$AB14=$ED14),1,0)</f>
        <v>0</v>
      </c>
      <c r="EI14">
        <v>1</v>
      </c>
      <c r="EJ14">
        <f>IF($AA14="",0,IF(SUMPRODUCT(($AA$9:$AA$55&gt;=$AT14)*($AA$9:$AA$55&lt;=$AU14)*($DT$9:$DT$55=1))+SUMPRODUCT(($DT$9:$DT$55=1)*($AT$9:$AT$55&lt;=$AA14)*($AU$9:$AU$55&gt;=$AA14))+($DT14=1)+AND(OR('King Node Model'!$A$8="Neg",N($BG$72)=1),ISNUMBER(SEARCH("LOW",'Master Dashboard'!$M$5)),ISNUMBER(SEARCH("BUY",'Master Dashboard'!$G$8)),'King Node Model'!$T$23='King Node Model'!$B$23,$AA14&gt;='King Node Model'!$T$23,$AA14&lt;='King Node Model'!$T$23+5)*1&gt;0,1,0))</f>
        <v>0</v>
      </c>
      <c r="EM14">
        <f t="shared" si="66"/>
        <v>0</v>
      </c>
      <c r="EN14">
        <v>0</v>
      </c>
      <c r="EO14">
        <f t="shared" si="67"/>
        <v>0</v>
      </c>
      <c r="EP14">
        <f t="shared" si="68"/>
        <v>0</v>
      </c>
      <c r="EQ14" t="str">
        <f t="shared" si="69"/>
        <v>thinning the ceiling (magnitude weak)</v>
      </c>
      <c r="ES14" t="str">
        <f>IF(AND(ISNUMBER(AA14),ISNUMBER(AF14),ABS(AA14-'King Node Model'!$B$4)&lt;=$BG$7),ABS(AF14),"")</f>
        <v/>
      </c>
      <c r="ET14">
        <v>0</v>
      </c>
      <c r="EU14" s="218">
        <f>IF(AND(OR('King Node Model'!$A$8="Neg",N($BG$72)=1),ISNUMBER($AA13),ISNUMBER($AA14),ISNUMBER($AA15),ISNUMBER($AB13),ISNUMBER($AB14),ISNUMBER($AB15),ISNUMBER($AF14),$AB14&gt;0,$AB13&lt;0,$AB15&lt;0,$AF14&lt;0),1,0)</f>
        <v>0</v>
      </c>
      <c r="EW14">
        <f>IF(OR(N($MY14)=1,N($JM14)=1),0,N($NE14))</f>
        <v>0</v>
      </c>
      <c r="EX14">
        <f>IF(AND(OR('King Node Model'!$A$8="Neg",N($BG$72)=1),ISNUMBER($AA14),OR(AND($AA14='King Node Model'!$F$24,OR(AND($AG14="S",$F$4="High",IF($BG$80&lt;&gt;"",UPPER($BG$80),$D$5)="DOWN"),AND($AG14="R",$F$4="Low",IF($BG$80&lt;&gt;"",UPPER($BG$80),$D$5)="UP"))),$GV14=1)),1,0)</f>
        <v>0</v>
      </c>
      <c r="EY14">
        <f>IFERROR(IF(AND($DC14=1,$AB14&lt;0,$AC14&gt;=(1+$FA$6)*INDEX($AC$9:$AC$55,6-1),$AC14&gt;=(1+$FA$6)*INDEX($AC$9:$AC$55,6+1),$AC14&gt;=IFERROR(INDEX($AC$9:$AC$55,6-2),0),$AC14&gt;=IFERROR(INDEX($AC$9:$AC$55,6+2),0)),1,0),0)</f>
        <v>0</v>
      </c>
      <c r="FA14" t="str">
        <f>IF(NOT(ISNUMBER($AA14)),"",IFERROR(IF(AND($AC14=MAX($AC$9:$AC$55),$AB14=MIN($AB$9:$AB$55)),"DOM",IF(AND($DC13=1,$DC14=1,$DC15=1,INDEX($AC$9:$AC$55,6-1)&lt;=(1-$FA$6)*$AC14,INDEX($AC$9:$AC$55,6-1)&lt;=(1-$FA$6)*INDEX($AC$9:$AC$55,6-2)),"GAP↑",IF(AND($DC15=1,$DC14=1,INDEX($AC$9:$AC$55,6+1)&lt;=(1-$FA$6)*$AC14,INDEX($AC$9:$AC$55,6+1)&lt;=(1-$FA$6)*INDEX($AC$9:$AC$55,6+2)),"GAP↓",IF($CZ14=1,"dEdge Cliff",IF($GY14=1,"γWall",IF(AND($DC14=1,$AB14&lt;0,$AC14&gt;=(1+$FA$6)*INDEX($AC$9:$AC$55,6-1),$AC14&gt;=(1+$FA$6)*INDEX($AC$9:$AC$55,6+1)),"PEAK-",IF($GZ14=1,"γSh Edge",IF($HL14=1,"Trough",IF($HN14=1,"PEAK+",IF($GF14=1,"Cluster","")))))))))),""))</f>
        <v/>
      </c>
      <c r="FB14" t="str">
        <f t="shared" si="70"/>
        <v/>
      </c>
      <c r="FC14" t="str">
        <f t="shared" si="71"/>
        <v/>
      </c>
      <c r="FD14">
        <f>IF(AND(ISNUMBER($AA14),ISNUMBER('King Node Model'!$AP$17),ISNUMBER('King Node Model'!$AQ$17),$AA14&gt;=MIN('King Node Model'!$AP$17,'King Node Model'!$AQ$17),$AA14&lt;=MAX('King Node Model'!$AP$17,'King Node Model'!$AQ$17),IFERROR(INDEX($AC$9:$AC$55,MATCH('King Node Model'!$AL$42,$AA$9:$AA$55,0)),0)&gt;0,$AC14&gt;=(1-$FA$6)*IFERROR(INDEX($AC$9:$AC$55,MATCH('King Node Model'!$AL$42,$AA$9:$AA$55,0)),0),$AC14&lt;=(1+$FA$6)*IFERROR(INDEX($AC$9:$AC$55,MATCH('King Node Model'!$AL$42,$AA$9:$AA$55,0)),0)),1,0)</f>
        <v>0</v>
      </c>
      <c r="FE14">
        <f>IF($AA14='King Node Model'!$AL$42,1,IF(AND($FD14=1,$FE13=1),1,0))</f>
        <v>0</v>
      </c>
      <c r="FF14">
        <f>IF($AA14='King Node Model'!$AL$42,1,IF(AND($FD14=1,$FF15=1),1,0))</f>
        <v>0</v>
      </c>
      <c r="FG14" t="str">
        <f>IF(OR($FE14=1,$FF14=1),6,"")</f>
        <v/>
      </c>
      <c r="FJ14">
        <f>IF(AND($CW$2=1,ISNUMBER($AA14),ISNUMBER($CW$3),ISNUMBER($CW$4),$AA14&gt;=MIN($CW$3,$CW$4),$AA14&lt;=MAX($CW$3,$CW$4),IFERROR(INDEX($AC$9:$AC$55,MATCH('King Node Model'!$AP$67,$AA$9:$AA$55,0)),0)&gt;0,$AC14&gt;=(1-$FA$6)*IFERROR(INDEX($AC$9:$AC$55,MATCH('King Node Model'!$AP$67,$AA$9:$AA$55,0)),0),$AC14&lt;=(1+$FA$6)*IFERROR(INDEX($AC$9:$AC$55,MATCH('King Node Model'!$AP$67,$AA$9:$AA$55,0)),0)),1,0)</f>
        <v>0</v>
      </c>
      <c r="FK14">
        <f>IF(AND($CW$2=1,$AA14='King Node Model'!$AP$67),1,IF(AND($FJ14=1,$FK13=1),1,0))</f>
        <v>0</v>
      </c>
      <c r="FL14">
        <f>IF(AND($CW$2=1,$AA14='King Node Model'!$AP$67),1,IF(AND($FJ14=1,$FL15=1),1,0))</f>
        <v>0</v>
      </c>
      <c r="FM14" t="str">
        <f>IF(OR($FK14=1,$FL14=1),6,"")</f>
        <v/>
      </c>
      <c r="FN14">
        <v>0</v>
      </c>
      <c r="FR14" t="str">
        <f t="shared" si="72"/>
        <v/>
      </c>
      <c r="FS14">
        <f t="shared" si="188"/>
        <v>0</v>
      </c>
      <c r="FT14">
        <f t="shared" si="73"/>
        <v>0.93782426865953228</v>
      </c>
      <c r="FU14">
        <f t="shared" si="74"/>
        <v>95407</v>
      </c>
      <c r="FV14" t="str">
        <f>IF($FW14=0,"",IF(OR($FW13=0,SIGN(IFERROR($BC14*1,0))&lt;&gt;SIGN(IFERROR($BC13*1,0)),$GH14=1,$GH13=1),MAX($FV$9:$FV13)+1,$FV13))</f>
        <v/>
      </c>
      <c r="FW14">
        <f t="shared" si="75"/>
        <v>0</v>
      </c>
      <c r="FX14" t="str">
        <f t="shared" si="76"/>
        <v/>
      </c>
      <c r="FY14">
        <f t="shared" si="77"/>
        <v>0</v>
      </c>
      <c r="FZ14">
        <f t="shared" si="189"/>
        <v>0</v>
      </c>
      <c r="GA14">
        <f t="shared" si="78"/>
        <v>0</v>
      </c>
      <c r="GB14" t="str">
        <f t="shared" si="79"/>
        <v/>
      </c>
      <c r="GC14" t="str">
        <f t="shared" si="80"/>
        <v/>
      </c>
      <c r="GD14" t="str">
        <f t="shared" si="81"/>
        <v/>
      </c>
      <c r="GE14" t="str">
        <f t="shared" si="82"/>
        <v/>
      </c>
      <c r="GF14">
        <f t="shared" si="83"/>
        <v>0</v>
      </c>
      <c r="GH14">
        <f>IFERROR(IF(AND($AC14&gt;=(1+$FA$6)*INDEX($AC$9:$AC$55,6-1),$AC14&gt;=(1+$FA$6)*INDEX($AC$9:$AC$55,6+1)),1,0),0)</f>
        <v>0</v>
      </c>
      <c r="GK14">
        <v>0</v>
      </c>
      <c r="GO14">
        <v>0</v>
      </c>
      <c r="GP14">
        <v>0</v>
      </c>
      <c r="GQ14">
        <f t="shared" si="84"/>
        <v>0</v>
      </c>
      <c r="GR14">
        <f t="shared" si="85"/>
        <v>0</v>
      </c>
      <c r="GS14">
        <f>IF(AND($EY14=1,$AA14&lt;&gt;'King Node Model'!$B$23),0,IF(OR($GQ14=1,$GR14=1),1,IF($DC14=1,IF(OR('King Node Model'!$A$8="Neg",N($BG$72)=1),IF(OR(AND($AC14=MAX($AC$9:$AC$55),$AB14=MIN($AB$9:$AB$55)),$AN14=1,$EE14=1,$EF14=1,$EX14=1,$GV14=1),1,0),1),0)))</f>
        <v>0</v>
      </c>
      <c r="GT14">
        <f>IFERROR(IF(AND(OR('King Node Model'!$A$8="Neg",N($BG$72)=1),$EU13=1,$AG14="R",ISNUMBER($AA14),ISNUMBER($AF14),$AF14&lt;&gt;0,$AA14&gt;$B$4-$BG$9,$AA14-$B$4&lt;=$BG$47,IF($KC14="UP",SIGN($AF14),IF($KC14="DOWN",-SIGN($AF14),0))&lt;&gt;1),1,0),0)</f>
        <v>0</v>
      </c>
      <c r="GU14" t="str">
        <f t="shared" si="86"/>
        <v/>
      </c>
      <c r="GV14">
        <f t="shared" si="87"/>
        <v>0</v>
      </c>
      <c r="GW14">
        <f t="shared" si="88"/>
        <v>84.609999999999673</v>
      </c>
      <c r="GX14" t="str">
        <f t="shared" si="89"/>
        <v/>
      </c>
      <c r="GY14">
        <f t="shared" si="90"/>
        <v>0</v>
      </c>
      <c r="GZ14">
        <f t="shared" si="91"/>
        <v>0</v>
      </c>
      <c r="HA14">
        <v>0</v>
      </c>
      <c r="HF14">
        <f>IFERROR(IF(AND($GZ14=1,'King Node Model'!$A$8="Pos",$D$5="UP",$CF14=-1,$AJ14&lt;&gt;1),1,0),0)</f>
        <v>0</v>
      </c>
      <c r="HG14">
        <f t="shared" si="92"/>
        <v>0</v>
      </c>
      <c r="HH14" t="str">
        <f>IF($GZ14=1,"",IFERROR(IF(NOT(ISNUMBER($AA14)),"",IF($EY14=1,"",IF($GF14=1,IF($GD14=$GE14,"",$GD14),IF(OR(AND($DC13=1,$DC14=1,$DC15=1,INDEX($AC$9:$AC$55,6-1)&lt;=(1-$FA$6)*$AC14,INDEX($AC$9:$AC$55,6-1)&lt;=(1-$FA$6)*INDEX($AC$9:$AC$55,6-2)),AND($DC15=1,$DC14=1,INDEX($AC$9:$AC$55,6+1)&lt;=(1-$FA$6)*$AC14,INDEX($AC$9:$AC$55,6+1)&lt;=(1-$FA$6)*INDEX($AC$9:$AC$55,6+2)),AND($DC14=1,OR(INDEX($DC$9:$DC$55,6-1)=0,INDEX($DC$9:$DC$55,6+1)=0))),IF(MIN($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MAX($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MIN($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f>
        <v/>
      </c>
      <c r="HI14" t="str">
        <f>IF($GZ14=1,"",IFERROR(IF(NOT(ISNUMBER($AA14)),"",IF($EY14=1,"",IF($GF14=1,IF($GD14=$GE14,"",$GE14),IF(OR(AND($DC13=1,$DC14=1,$DC15=1,INDEX($AC$9:$AC$55,6-1)&lt;=(1-$FA$6)*$AC14,INDEX($AC$9:$AC$55,6-1)&lt;=(1-$FA$6)*INDEX($AC$9:$AC$55,6-2)),AND($DC15=1,$DC14=1,INDEX($AC$9:$AC$55,6+1)&lt;=(1-$FA$6)*$AC14,INDEX($AC$9:$AC$55,6+1)&lt;=(1-$FA$6)*INDEX($AC$9:$AC$55,6+2)),AND($DC14=1,OR(INDEX($DC$9:$DC$55,6-1)=0,INDEX($DC$9:$DC$55,6+1)=0))),IF(MIN($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MAX($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MAX($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f>
        <v/>
      </c>
      <c r="HL14">
        <f t="shared" si="93"/>
        <v>0</v>
      </c>
      <c r="HM14">
        <f>IFERROR(IF(AND($HL14=1,NOT(OR($AA14='King Node Model'!$T$22,$AA14='King Node Model'!$T$23,$AA14='King Node Model'!$F$24,AND($AG14="S",COUNTIF('Master Dashboard'!$AN$16:$AN$18,$AA14)&gt;0),AND($AG14="R",COUNTIF('Master Dashboard'!$AN$13:$AN$15,$AA14)&gt;0)))),1,0),0)</f>
        <v>0</v>
      </c>
      <c r="HN14">
        <f t="shared" si="94"/>
        <v>0</v>
      </c>
      <c r="HO14">
        <f t="shared" si="95"/>
        <v>0</v>
      </c>
      <c r="HP14">
        <f t="shared" si="96"/>
        <v>1</v>
      </c>
      <c r="HQ14" t="str">
        <f>IF(NOT(ISNUMBER($AA14)),"",IFERROR(TRIM(IF(N($MY14)=1,"DEXLEAN ","")&amp;IF(N($IZ14)=1,"DEXCAP ","")&amp;IF(AND($AG14="S",UPPER('King Node Model'!$L$5)="HIGH",$KC14="DOWN",N($AF14)&gt;0,$AA14='King Node Model'!$AN$70,$IY14="SELL"),"CHOPEDGEIV ","")&amp;IF(N($IS14)=1,"NOREV ","")&amp;IF(N($JY14)=1,"VFLAT ","")&amp;IF(N($KR14)=1,"GDEXVANNA ","")&amp;IF(N($LD14)=1,"KGSUPFAIL ","")&amp;IF(N($LE14)=1,"KGRESLEAK ","")&amp;IF(N($MH14)=1,"ZIGZAG ","")&amp;IF(N($KK14)=1,"DATAGAP ","")&amp;IF(N($KA14)&lt;&gt;0,"ACCUNDERCW ","")&amp;IF(AND($AG14="S",$HF14=1),"EDGE ","")&amp;IF(AND($HM14=1,'King Node Model'!$A$8="Pos",N($BG$72)&lt;&gt;1),"TROUGH ","")&amp;IF(AND($EU14=1,N($JZ14)&lt;&gt;1),"BUMP ","")&amp;IF(AND($GT14=1,N($JZ14)&lt;&gt;1),"SANDWICH ","")&amp;IF(AND($EX14&lt;&gt;1,OR('King Node Model'!$A$8="Neg",N($BG$72)=1),OR(AND(ISNUMBER($AC14),$AC14=MAX($AC$9:$AC$55)),AND(ISNUMBER($AB14),$AB14=MIN($AB$9:$AB$55))),NOT(AND(AND(ISNUMBER($AC14),$AC14=MAX($AC$9:$AC$55)),AND(ISNUMBER($AB14),$AB14=MIN($AB$9:$AB$55)))),$AG14="S",N($AB14)&lt;0,NOT(COUNTIF('Master Dashboard'!$AN$16:$AN$18,$AA14)&gt;0),NOT(AND(OR('King Node Model'!$A$8="Neg",N($BG$72)=1),ISNUMBER($AB14),$AB14=MIN($AB$9:$AB$55),$AA14=$BG$105))),"ACCEL ","")&amp;IF(AND($EX14&lt;&gt;1,ISNUMBER($AA14),OR('King Node Model'!$A$8="Neg",N($BG$72)=1),$EY14=1,NOT(AND($AG14="S",COUNTIF('Master Dashboard'!$AN$16:$AN$18,$AA14)&gt;0)),NOT(AND($AA14='King Node Model'!$B$23,IF($AG14="S",OR($AA14='King Node Model'!$C$24,COUNTIF('Master Dashboard'!$AN$16:$AN$18,$AA14)&gt;0),OR($AA14='King Node Model'!$C$23,COUNTIF('Master Dashboard'!$AN$13:$AN$15,$AA14)&gt;0)))),NOT(AND($EX14&lt;&gt;1,OR('King Node Model'!$A$8="Neg",N($BG$72)=1),OR(AND(ISNUMBER($AC14),$AC14=MAX($AC$9:$AC$55)),AND(ISNUMBER($AB14),$AB14=MIN($AB$9:$AB$55))),NOT(AND(AND(ISNUMBER($AC14),$AC14=MAX($AC$9:$AC$55)),AND(ISNUMBER($AB14),$AB14=MIN($AB$9:$AB$55)))),$AG14="S",N($AB14)&lt;0,NOT(COUNTIF('Master Dashboard'!$AN$16:$AN$18,$AA14)&gt;0)))),"AMPLIFY ","")&amp;IF(AND($AG14="S",OR('King Node Model'!$A$8="Neg",N($BG$72)=1),$AJ14&lt;&gt;1,N($MT14)&lt;&gt;1,NOT(AND(N($LR14)=1,N($MB14)=1)),ISNUMBER(SEARCH("ACCEL building",$CG14))),"ZACCEL ","")&amp;IF(AND($AG14="S",OR('King Node Model'!$A$8="Neg",N($BG$72)=1),$AA14='King Node Model'!$B$23,NOT(AND(AND(ISNUMBER($AC14),$AC14=MAX($AC$9:$AC$55)),AND(ISNUMBER($AB14),$AB14=MIN($AB$9:$AB$55)))),$EJ14&lt;&gt;1),"KINGACC ","")&amp;IF(AND($AG14="S",OR('King Node Model'!$A$8="Neg",N($BG$72)=1),ABS(N($AA14)-N('King Node Model'!$B$23))&lt;=$BG$107,NOT(AND(SUMPRODUCT((ABS($AF$9:$AF$55)&lt;=ABS(N($AF14)))*1)/COUNT($AF$9:$AF$55)&gt;=0.66,OR(ISNUMBER(SEARCH("firmer resistance",$CG14)),ISNUMBER(SEARCH("STRENGTHENING",$CG14)),ISNUMBER(SEARCH("firmer support",$CG14))))),NOT(AND(N($AB14)&gt;0,SUMPRODUCT((ABS($AB$9:$AB$55)&lt;=ABS(N($AB14)))*1)/COUNT($AB$9:$AB$55)&gt;=0.66)),$EJ14&lt;&gt;1,$AJ14&lt;&gt;1,COUNTIF('Master Dashboard'!$AN$16:$AN$18,$AA14)=0,NOT(AND($AG14="S",OR('King Node Model'!$A$8="Neg",N($BG$72)=1),$AA14='King Node Model'!$B$23,NOT(AND(AND(ISNUMBER($AC14),$AC14=MAX($AC$9:$AC$55)),AND(ISNUMBER($AB14),$AB14=MIN($AB$9:$AB$55)))),$EJ14&lt;&gt;1))),"KINGNODE ","")&amp;IF(AND($AG14="R",NOT(AND(AND(ISNUMBER($AC14),$AC14=MAX($AC$9:$AC$55)),AND(ISNUMBER($AB14),$AB14=MIN($AB$9:$AB$55)))),UPPER('King Node Model'!$L$5)="LOW",$KC14="DOWN",N($AF14)&gt;0),"LOWIVFALL ","")&amp;IF(AND($AG14="R",NOT(AND(AND(ISNUMBER($AC14),$AC14=MAX($AC$9:$AC$55)),AND(ISNUMBER($AB14),$AB14=MIN($AB$9:$AB$55)))),UPPER('King Node Model'!$L$5)="HIGH",$KC14="DOWN",N($AF14)&gt;0,IFERROR(MATCH($AA14,$W$9:$W$14,0)&gt;=4,FALSE)),"HIGHIVFALL ","")&amp;IF(AND($AG14="R",N($BG$99)=1),"SPOTUPVOLUP ","")&amp;IF(AND($AG14="R",ISNUMBER(SEARCH("5/5",'Master Dashboard'!$E$29)),OR(ISNUMBER(SEARCH("WEAKENING",$EQ14)),ISNUMBER(SEARCH("Pos gamma ↓",$EQ14)),ISNUMBER(SEARCH("thinning the ceiling",$EQ14)))),"SQUEEZE ","")&amp;IF(N($JU14)=1,"DEDGECLIFF ","")&amp;IF(N($KT14)=1,"DEXDRAIN ","")&amp;IF(N($HW14)&lt;&gt;0,"DEXDROP ","")&amp;IF(N($HX14)&lt;&gt;0,"PEAK+ ","")&amp;IF(N($IF14)=1,"CHOP ","")&amp;IF(N($IQ14)=1,"CONTESTED ","")&amp;IF(N($IW14)=1,"VSELL ","")&amp;IF(N($JK14)=1,"VBUYRES ","")&amp;IF(N($JL14)=1,"DOMFLAT ","")&amp;IF(N($JM14)=1,"DOMPULL ","")&amp;IF(N($JP14)=1,"OIZOMMA ","")&amp;IF(AND(N($JQ14)=1,N($JZ14)&lt;&gt;1),"OIDEX ","")),""))</f>
        <v>NOREV LOWIVFALL VBUYRES</v>
      </c>
      <c r="HR14" t="str">
        <f>IF(AND(ISNUMBER($W14),OR('King Node Model'!$A$8&lt;&gt;"Pos",N($BG$72)=1,IFERROR(INDEX($AM$9:$AM$55,MATCH($W14,$AA$9:$AA$55,0)),0)&gt;=$BG$20),$E14="REVERSAL",OR($F14="stable",$F14="VOMMA CAP"),$W14&lt;&gt;'King Node Model'!$AL$42,$W14&lt;&gt;'King Node Model'!$AL$43,IFERROR(INDEX($HP$9:$HP$55,MATCH($W14,$AA$9:$AA$55,0)),1)=0),ABS($W14-'King Node Model'!$B$4),"")</f>
        <v/>
      </c>
      <c r="HS14">
        <f>IFERROR(IF(AND($DC14=1,OR(AND($AG14="R",INDEX($DC$9:$DC$55,5)=0,INDEX($DC$9:$DC$55,7)=1,INDEX($DC$9:$DC$55,8)=1),AND($AG14="S",INDEX($DC$9:$DC$55,7)=0,INDEX($DC$9:$DC$55,5)=1,INDEX($DC$9:$DC$55,4)=1))),1,0),0)</f>
        <v>0</v>
      </c>
      <c r="HT14">
        <f t="shared" si="97"/>
        <v>0</v>
      </c>
      <c r="HU14">
        <v>0</v>
      </c>
      <c r="HV14">
        <v>0</v>
      </c>
      <c r="HW14">
        <f>IFERROR(IF(OR(NOT(ISNUMBER($AA14)),'King Node Model'!$A$8&lt;&gt;"Pos",N($BG$72)=1,ABS(N($AE14))&lt;$BG$113,N($AV14)=1,$FA14="DOM",$AA14='King Node Model'!$T$23,AND(N($BG$116)=1,$AA14='King Node Model'!$F$24),NOT(ISNUMBER($KU14)),NOT(ISNUMBER($KV14))),0,IF(AND($AG14="S",COUNTIF('Master Dashboard'!$AN$16:$AN$18,$AA14)=0,$KU14&gt;=$BG$114,$KU14&gt;=$KV14+$BG$115,NOT(AND(N($AN15)=1,N($KV14)&lt;0)),N($AE14)&lt;=0),1,IF(AND($AG14="R",COUNTIF('Master Dashboard'!$AN$13:$AN$15,$AA14)=0,$KV14&gt;=$BG$114,$KV14&gt;=$KU14+$BG$115,NOT(AND(N($AN13)=1,N($KU14)&lt;0))),-1,0))),0)</f>
        <v>0</v>
      </c>
      <c r="HX14">
        <f>IFERROR(IF(AND(ISNUMBER($AA14),$FA14="PEAK+",N($AN14)&lt;&gt;1,NOT(AND('King Node Model'!$A$8="Pos",OR($AA14='King Node Model'!$T$22,$AA14='King Node Model'!$T$23,$AA14='King Node Model'!$F$24))),IF($AG14="S",COUNTIF('Master Dashboard'!$AN$16:$AN$18,$AA14)=0,IF($AG14="R",COUNTIF('Master Dashboard'!$AN$13:$AN$15,$AA14)=0,FALSE))),1,0),0)</f>
        <v>0</v>
      </c>
      <c r="HY14">
        <f t="shared" si="98"/>
        <v>0.52220800384989774</v>
      </c>
      <c r="HZ14">
        <v>1</v>
      </c>
      <c r="IA14">
        <f>IFERROR(IF(AND(IF($BG$44=1,OR(ISNUMBER(SEARCH("Choppy",'King Node Model'!$S$38)),'King Node Model'!$S$52&lt;&gt;"",'King Node Model'!$A$8="Pos"),TRUE()),OR($DC14=1,$DC13=1,$DC15=1),ABS($AA14-$B$4)&lt;=$BG$7,ABS($AA14-$BG$28)&gt;=$BG$45,OR(AND($AA14&gt;$BG$28,$AG14="R"),AND($AA14&lt;$BG$28,$AG14="S",N($BG$154)=1)),ABS(IF($AA14&gt;$BG$28,$AE15,$AE13))&gt;=$BG$43,ABS(N(IF($AA14&gt;$BG$28,$AE13,$AE15)))&lt;=$BG$153*ABS(IF($AA14&gt;$BG$28,$AE15,$AE13)),IF(ISNUMBER($HZ14),$HZ14=1,AND(ISNUMBER($HY14),$HY14&gt;=$BG$42))),1,0),0)</f>
        <v>0</v>
      </c>
      <c r="IB14">
        <f t="shared" si="99"/>
        <v>0</v>
      </c>
      <c r="IC14" t="str">
        <f>IF(NOT(ISNUMBER($AA14)),"",IFERROR(MID(IF(AND($AC14=MAX($AC$9:$AC$55),$AB14=MIN($AB$9:$AB$55))," · DOM","")&amp;IF(AND($DC13=1,$DC14=1,$DC15=1,INDEX($AC$9:$AC$55,6-1)&lt;=(1-$FA$6)*$AC14,INDEX($AC$9:$AC$55,6-1)&lt;=(1-$FA$6)*INDEX($AC$9:$AC$55,6-2))," · GAP↑ → "&amp;INDEX($AA$9:$AA$55,6-2),"")&amp;IF(AND($DC15=1,$DC14=1,INDEX($AC$9:$AC$55,6+1)&lt;=(1-$FA$6)*$AC14,INDEX($AC$9:$AC$55,6+1)&lt;=(1-$FA$6)*INDEX($AC$9:$AC$55,6+2))," · GAP↓ → "&amp;INDEX($AA$9:$AA$55,6+2),"")&amp;IF($CZ14=1," · dEdge Cliff","")&amp;IF($GY14=1," · γWall","")&amp;IF(AND($DC14=1,$AB14&lt;0,$AC14&gt;=(1+$FA$6)*INDEX($AC$9:$AC$55,6-1),$AC14&gt;=(1+$FA$6)*INDEX($AC$9:$AC$55,6+1))," · PEAK-","")&amp;IF($GZ14=1," · γSh Edge","")&amp;IF($HL14=1," · Trough","")&amp;IF($HN14=1," · PEAK+","")&amp;IF($GF14=1," · Cluster",""),FIND(" · ",IF(AND($AC14=MAX($AC$9:$AC$55),$AB14=MIN($AB$9:$AB$55))," · DOM","")&amp;IF(AND($DC13=1,$DC14=1,$DC15=1,INDEX($AC$9:$AC$55,6-1)&lt;=(1-$FA$6)*$AC14,INDEX($AC$9:$AC$55,6-1)&lt;=(1-$FA$6)*INDEX($AC$9:$AC$55,6-2))," · GAP↑ → "&amp;INDEX($AA$9:$AA$55,6-2),"")&amp;IF(AND($DC15=1,$DC14=1,INDEX($AC$9:$AC$55,6+1)&lt;=(1-$FA$6)*$AC14,INDEX($AC$9:$AC$55,6+1)&lt;=(1-$FA$6)*INDEX($AC$9:$AC$55,6+2))," · GAP↓ → "&amp;INDEX($AA$9:$AA$55,6+2),"")&amp;IF($CZ14=1," · dEdge Cliff","")&amp;IF($GY14=1," · γWall","")&amp;IF(AND($DC14=1,$AB14&lt;0,$AC14&gt;=(1+$FA$6)*INDEX($AC$9:$AC$55,6-1),$AC14&gt;=(1+$FA$6)*INDEX($AC$9:$AC$55,6+1))," · PEAK-","")&amp;IF($GZ14=1," · γSh Edge","")&amp;IF($HL14=1," · Trough","")&amp;IF($HN14=1," · PEAK+","")&amp;IF($GF14=1," · Cluster",""),2),999),""))</f>
        <v/>
      </c>
      <c r="ID14" t="str">
        <f>IF(NOT(ISNUMBER($AA14)),"",IFERROR(MID(IF(AND($AC14=MAX($AC$9:$AC$55),$AB14=MIN($AB$9:$AB$55))," · DOM","")&amp;IF(AND($DC13=1,$DC14=1,$DC15=1,INDEX($AC$9:$AC$55,6-1)&lt;=(1-$FA$6)*$AC14,INDEX($AC$9:$AC$55,6-1)&lt;=(1-$FA$6)*INDEX($AC$9:$AC$55,6-2))," · GAP↑ → "&amp;INDEX($AA$9:$AA$55,6-2),"")&amp;IF(AND($DC15=1,$DC14=1,INDEX($AC$9:$AC$55,6+1)&lt;=(1-$FA$6)*$AC14,INDEX($AC$9:$AC$55,6+1)&lt;=(1-$FA$6)*INDEX($AC$9:$AC$55,6+2))," · GAP↓ → "&amp;INDEX($AA$9:$AA$55,6+2),"")&amp;IF($CZ14=1," · dEdge Cliff","")&amp;IF($GY14=1," · γWall","")&amp;IF(AND($DC14=1,$AB14&lt;0,$AC14&gt;=(1+$FA$6)*INDEX($AC$9:$AC$55,6-1),$AC14&gt;=(1+$FA$6)*INDEX($AC$9:$AC$55,6+1))," · PEAK-","")&amp;IF($GZ14=1," · γSh Edge","")&amp;IF($HL14=1," · Trough","")&amp;IF($HN14=1," · PEAK+","")&amp;IF(AND(NOT($HN14=1),NOT(AND($DC14=1,$AB14&lt;0)),N($GY14)&lt;&gt;1,N($GF14)&lt;&gt;1,N($GZ14)&lt;&gt;1,N($HL14)&lt;&gt;1,N($CZ14)&lt;&gt;1,NOT(AND($AC14=MAX($AC$9:$AC$55),$AB14=MIN($AB$9:$AB$55))),$AC14&gt;=(1+$FA$6)*INDEX($AC$9:$AC$55,6-1),$AC14&gt;=(1+$FA$6)*INDEX($AC$9:$AC$55,6+1))," · Knoll","")&amp;IF($GF14=1," · Cluster",""),4,999),""))</f>
        <v/>
      </c>
      <c r="IF14">
        <f t="shared" si="100"/>
        <v>0</v>
      </c>
      <c r="IG14">
        <f>IFERROR(IF(AND(ISNUMBER($AA14),'King Node Model'!$A$8="Pos",OR($AG14="S",$AG14="R"),$IN14="interior",COUNTIF(IF($AG14="S",'Master Dashboard'!$AN$16:$AN$18,'Master Dashboard'!$AN$13:$AN$15),$AA14)=0,$AA14&lt;&gt;'King Node Model'!$T$22,$AA14&lt;&gt;'King Node Model'!$T$23,$AA14&lt;&gt;'King Node Model'!$F$24),1,0),0)</f>
        <v>0</v>
      </c>
      <c r="IH14">
        <f t="shared" si="101"/>
        <v>0</v>
      </c>
      <c r="II14">
        <f t="shared" si="190"/>
        <v>0</v>
      </c>
      <c r="IJ14">
        <f t="shared" si="102"/>
        <v>0</v>
      </c>
      <c r="IK14">
        <f t="shared" si="103"/>
        <v>0</v>
      </c>
      <c r="IL14">
        <f t="shared" si="191"/>
        <v>0</v>
      </c>
      <c r="IM14">
        <f t="shared" si="104"/>
        <v>0</v>
      </c>
      <c r="IN14" t="str">
        <f t="shared" si="105"/>
        <v/>
      </c>
      <c r="IO14">
        <v>0</v>
      </c>
      <c r="IP14">
        <v>0</v>
      </c>
      <c r="IQ14">
        <f>IFERROR(IF($AG14="S",IF(OR(COUNTIF($W$9:$W$14,$AA14)&gt;0,COUNTIF('King Node Model'!$AL$42:'King Node Model'!$AL$43,$AA14)&gt;0),1,0),IF($AG14="R",IF(OR(COUNTIF($W$18:$W$23,$AA14)&gt;0,COUNTIF('King Node Model'!$AL$49:'King Node Model'!$AL$50,$AA14)&gt;0),1,0),0)),0)</f>
        <v>0</v>
      </c>
      <c r="IR14">
        <f>IFERROR(IF(AND(ISNUMBER($W14),OR('King Node Model'!$A$8&lt;&gt;"Pos",N($BG$72)=1,IFERROR(INDEX($AM$9:$AM$55,MATCH($W14,$AA$9:$AA$55,0)),0)&gt;=$BG$20),COUNTIF('King Node Model'!$AL$42:'King Node Model'!$AL$43,$W14)=0),ABS($W14-$B$4),""),"")</f>
        <v>54.609999999999673</v>
      </c>
      <c r="IS14">
        <f>IF(AND(ISNUMBER($AA14),N($AN14)&lt;&gt;1,N($LR14)&lt;&gt;1,OR(N($EN14)&lt;&gt;1,AND('King Node Model'!$A$8&lt;&gt;"Neg",N($BG$72)&lt;&gt;1)),$AA14&lt;&gt;'King Node Model'!$T$22,$AA14&lt;&gt;'King Node Model'!$T$23,$AA14&lt;&gt;'King Node Model'!$F$24,NOT(AND($AG14="S",COUNTIF('Master Dashboard'!$AN$16:$AN$18,$AA14)&gt;0)),NOT(AND($AG14="R",COUNTIF('Master Dashboard'!$AN$13:$AN$15,$AA14)&gt;0)),NOT(AND('King Node Model'!$A$8&lt;&gt;"Neg",N($BG$72)&lt;&gt;1,COUNTIF('Master Dashboard'!$AN$13:$AN$18,$AA14)&gt;0))),1,0)</f>
        <v>1</v>
      </c>
      <c r="IT14">
        <v>0</v>
      </c>
      <c r="IU14">
        <f>IF(AND(ISNUMBER($AA14),$AA14='King Node Model'!$F$24,$AA14&gt;$GJ$3,N($AD14)&lt;0,$F$4="High"),1,0)</f>
        <v>0</v>
      </c>
      <c r="IV14" t="str">
        <f>""</f>
        <v/>
      </c>
      <c r="IW14">
        <f>IFERROR(IF(AND(ISNUMBER($AA14),NOT(AND(N($LR14)=1,N($MB14)=1)),$AG14="S",OR('King Node Model'!$A$8="Neg",N($BG$72)=1),$JV14="SELL",ABS(N($AD14))&gt;=$BG$94,NOT(AND(N($AD14)&gt;0,N($BG$78)=1,MEDIAN($AA14-$BG$82,$B$4,$AA14+$BG$83)=$B$4))),1,0),0)</f>
        <v>0</v>
      </c>
      <c r="IX14">
        <f>IFERROR(IF(AND(ISNUMBER($AA14),$AG14="S",OR('King Node Model'!$A$8="Neg",N($BG$72)=1),N($AD14)&gt;0,N($BG$78)=1,MEDIAN($AA14-$BG$82,$B$4,$AA14+$BG$83)=$B$4),1,0),0)</f>
        <v>0</v>
      </c>
      <c r="IY14" t="str">
        <f t="shared" si="106"/>
        <v>SELL</v>
      </c>
      <c r="IZ14">
        <f>IFERROR(IF(AND(ISNUMBER($AA14),$FA14&lt;&gt;"DOM",$AA14&lt;&gt;'King Node Model'!$F$24,OR(AND($AG14="S",COUNTIF('Master Dashboard'!$AN$16:$AN$18,$AA14)=0,N(INDEX($AE$9:$AE$55,MATCH($AA14+$BG$84,$AA$9:$AA$55,0)))&lt;=-$BG$85),AND($AG14="R",COUNTIF('Master Dashboard'!$AN$13:$AN$15,$AA14)=0,N(INDEX($AE$9:$AE$55,MATCH($AA14-$BG$84,$AA$9:$AA$55,0)))&gt;=$BG$85))),1,0),0)</f>
        <v>0</v>
      </c>
      <c r="JA14" t="str">
        <f t="shared" si="107"/>
        <v/>
      </c>
      <c r="JC14">
        <f t="shared" si="108"/>
        <v>0</v>
      </c>
      <c r="JD14" t="str">
        <f t="shared" si="193"/>
        <v/>
      </c>
      <c r="JE14">
        <f>IF(ISNUMBER($AA14),N(IFERROR(INDEX('King Node Model'!$L$29:$L$75,MATCH($AA14,'King Node Model'!$A$29:$A$75,0)),0)),"")</f>
        <v>76</v>
      </c>
      <c r="JF14">
        <f>IF(ISNUMBER($AA14),N(IFERROR(INDEX('King Node Model'!$K$29:$K$75,MATCH($AA14,'King Node Model'!$A$29:$A$75,0)),0)),"")</f>
        <v>2369</v>
      </c>
      <c r="JG14">
        <f t="shared" si="109"/>
        <v>3.2081046855213173E-2</v>
      </c>
      <c r="JH14">
        <f t="shared" si="110"/>
        <v>31.171052631578949</v>
      </c>
      <c r="JI14">
        <f t="shared" si="111"/>
        <v>0</v>
      </c>
      <c r="JJ14" t="str">
        <f t="shared" si="112"/>
        <v>Ramp</v>
      </c>
      <c r="JK14">
        <f t="shared" si="113"/>
        <v>1</v>
      </c>
      <c r="JL14">
        <f t="shared" si="114"/>
        <v>0</v>
      </c>
      <c r="JM14">
        <f t="shared" si="115"/>
        <v>0</v>
      </c>
      <c r="JN14">
        <f t="shared" si="116"/>
        <v>0</v>
      </c>
      <c r="JO14">
        <f t="shared" si="117"/>
        <v>0</v>
      </c>
      <c r="JP14">
        <f t="shared" si="118"/>
        <v>0</v>
      </c>
      <c r="JQ14">
        <f t="shared" si="119"/>
        <v>0</v>
      </c>
      <c r="JR14">
        <v>0</v>
      </c>
      <c r="JS14">
        <f>IFERROR(IF(AND(ISNUMBER($AA14),'King Node Model'!$A$8="Pos",OR($AG14="S",$AG14="R"),N($AB14)&gt;0,N($HP14)&lt;&gt;1,OR(AND($KC14="DOWN",N($AF14)&lt;0,N($AF14)=MIN($AF$9:$AF$55),-N($AF14)&gt;=MAX($AF$9:$AF$55)),AND($KC14="UP",N($AF14)&gt;0,N($AF14)=MAX($AF$9:$AF$55),N($AF14)&gt;=-MIN($AF$9:$AF$55)))),1,0),0)</f>
        <v>0</v>
      </c>
      <c r="JT14">
        <v>0</v>
      </c>
      <c r="JU14">
        <f>IFERROR(IF(AND(N($BG$109)=1,ISNUMBER($AA14),'King Node Model'!$A$8="Pos",N($CZ14)=1,N($AB14)&gt;0),1,0),0)</f>
        <v>0</v>
      </c>
      <c r="JV14" t="str">
        <f t="shared" si="120"/>
        <v>BUY</v>
      </c>
      <c r="JW14">
        <f t="shared" si="121"/>
        <v>0</v>
      </c>
      <c r="JX14">
        <f t="shared" si="122"/>
        <v>0</v>
      </c>
      <c r="JY14">
        <f t="shared" si="123"/>
        <v>0</v>
      </c>
      <c r="JZ14">
        <f t="shared" si="124"/>
        <v>0</v>
      </c>
      <c r="KA14">
        <f t="shared" si="125"/>
        <v>0</v>
      </c>
      <c r="KB14">
        <f t="shared" si="126"/>
        <v>0</v>
      </c>
      <c r="KC14" t="str">
        <f t="shared" si="127"/>
        <v>DOWN</v>
      </c>
      <c r="KE14" t="str">
        <f t="shared" si="128"/>
        <v>Now: strengthening the ceiling (IV rising) · if IV falls: weakens the ceiling · expected on arrival: WEAKENS ✗</v>
      </c>
      <c r="KF14" t="str">
        <f t="shared" si="129"/>
        <v>BUY</v>
      </c>
      <c r="KG14">
        <f t="shared" si="192"/>
        <v>0</v>
      </c>
      <c r="KH14" t="str">
        <f t="shared" si="130"/>
        <v/>
      </c>
      <c r="KI14" t="str">
        <f t="shared" si="131"/>
        <v/>
      </c>
      <c r="KJ14">
        <f t="shared" si="132"/>
        <v>0</v>
      </c>
      <c r="KK14">
        <f t="shared" si="133"/>
        <v>0</v>
      </c>
      <c r="KL14">
        <f t="shared" si="134"/>
        <v>0</v>
      </c>
      <c r="KM14">
        <f t="shared" si="135"/>
        <v>0</v>
      </c>
      <c r="KN14">
        <f t="shared" si="136"/>
        <v>0</v>
      </c>
      <c r="KO14">
        <v>0</v>
      </c>
      <c r="KP14">
        <f t="shared" si="137"/>
        <v>0</v>
      </c>
      <c r="KQ14">
        <f t="shared" si="138"/>
        <v>0</v>
      </c>
      <c r="KR14">
        <f t="shared" si="139"/>
        <v>0</v>
      </c>
      <c r="KS14">
        <f t="shared" si="140"/>
        <v>0</v>
      </c>
      <c r="KT14">
        <f t="shared" si="141"/>
        <v>0</v>
      </c>
      <c r="KU14">
        <f>IF(AND(ISNUMBER($AA14),ISNUMBER($AE14),ISNUMBER($AE13),N($AE14)&lt;&gt;0),($AE14-$AE13)/$AE14,"")</f>
      </c>
      <c r="KV14">
        <f>IF(AND(ISNUMBER($AA14),ISNUMBER($AE14),ISNUMBER($AE15),N($AE14)&lt;&gt;0),($AE14-$AE15)/$AE14,"")</f>
      </c>
      <c r="KW14">
        <f>IFERROR(IF(OR(NOT(ISNUMBER($AA14)),'King Node Model'!$A$8&lt;&gt;"Pos",N($BG$72)=1,ABS(N($AE14))&lt;$BG$113,$FA14="DOM",$AA14='King Node Model'!$T$23,AND(N($BG$116)=1,$AA14='King Node Model'!$F$24),NOT(ISNUMBER($KU14)),NOT(ISNUMBER($KV14))),0,IF(AND($AG14="S",COUNTIF('Master Dashboard'!$AN$16:$AN$18,$AA14)=0,$KU14&gt;=$BG$114,$KU14&gt;=$KV14+$BG$115),1,IF(AND($AG14="R",COUNTIF('Master Dashboard'!$AN$13:$AN$15,$AA14)=0,$KV14&gt;=$BG$114,$KV14&gt;=$KU14+$BG$115),-1,0))),0)</f>
        <v>0</v>
      </c>
      <c r="KX14">
        <f t="shared" si="144"/>
        <v>0</v>
      </c>
      <c r="KY14">
        <f t="shared" si="145"/>
        <v>0</v>
      </c>
      <c r="KZ14">
        <f t="shared" si="146"/>
        <v>0</v>
      </c>
      <c r="LA14">
        <f t="shared" si="147"/>
        <v>0</v>
      </c>
      <c r="LB14">
        <f t="shared" si="148"/>
        <v>0</v>
      </c>
      <c r="LC14">
        <f t="shared" si="149"/>
        <v>0</v>
      </c>
      <c r="LD14">
        <f t="shared" si="150"/>
        <v>0</v>
      </c>
      <c r="LE14">
        <f t="shared" si="151"/>
        <v>0</v>
      </c>
      <c r="LF14">
        <f t="shared" si="152"/>
        <v>0</v>
      </c>
      <c r="LG14" t="str">
        <f t="shared" si="153"/>
        <v/>
      </c>
      <c r="LH14" t="str">
        <f t="shared" si="154"/>
        <v/>
      </c>
      <c r="LI14" t="str">
        <f t="shared" si="155"/>
        <v/>
      </c>
      <c r="LJ14" t="str">
        <f t="shared" si="156"/>
        <v/>
      </c>
      <c r="LK14" t="str">
        <f t="shared" si="157"/>
        <v/>
      </c>
      <c r="LL14">
        <f t="shared" si="158"/>
        <v>0</v>
      </c>
      <c r="LM14">
        <f t="shared" si="159"/>
        <v>0</v>
      </c>
      <c r="LN14">
        <f t="shared" si="160"/>
        <v>0</v>
      </c>
      <c r="LO14">
        <v>0</v>
      </c>
      <c r="LP14">
        <f t="shared" si="161"/>
        <v>0</v>
      </c>
      <c r="LQ14" t="str">
        <f t="shared" si="162"/>
        <v/>
      </c>
      <c r="LR14">
        <f t="shared" si="163"/>
        <v>0</v>
      </c>
      <c r="LS14">
        <f t="shared" si="164"/>
        <v>0</v>
      </c>
      <c r="LT14">
        <f t="shared" si="165"/>
        <v>0</v>
      </c>
      <c r="LU14">
        <f t="shared" si="166"/>
        <v>0</v>
      </c>
      <c r="LV14">
        <f t="shared" si="167"/>
        <v>0</v>
      </c>
      <c r="LW14">
        <f t="shared" si="168"/>
        <v>0</v>
      </c>
      <c r="LX14">
        <f t="shared" si="169"/>
        <v>0</v>
      </c>
      <c r="LY14">
        <f t="shared" si="170"/>
        <v>0</v>
      </c>
      <c r="LZ14">
        <f t="shared" si="171"/>
        <v>0</v>
      </c>
      <c r="MA14">
        <f t="shared" si="172"/>
        <v>0</v>
      </c>
      <c r="MB14">
        <v>0</v>
      </c>
      <c r="MC14">
        <f t="shared" si="173"/>
        <v>1</v>
      </c>
      <c r="MD14">
        <f t="shared" si="174"/>
        <v>1</v>
      </c>
      <c r="ME14">
        <f t="shared" si="175"/>
        <v>0</v>
      </c>
      <c r="MF14">
        <f t="shared" si="176"/>
        <v>0</v>
      </c>
      <c r="MG14">
        <f t="shared" si="177"/>
        <v>0</v>
      </c>
      <c r="MH14">
        <f t="shared" si="178"/>
        <v>0</v>
      </c>
      <c r="MI14" t="str">
        <f t="shared" si="179"/>
        <v/>
      </c>
      <c r="MJ14">
        <f t="shared" si="180"/>
        <v>0</v>
      </c>
      <c r="MK14">
        <f t="shared" si="181"/>
        <v>0</v>
      </c>
      <c r="ML14">
        <f>IF(AND(OR('King Node Model'!$A$8="Neg",N($BG$72)=1),ISNUMBER($AA14),$AG14="R",N($AB14)&lt;0),IF(AND($AA13=$AA14+5,N($AB13)&gt;0,$AA12=$AA14+10,N($AB12)&lt;0),1,IF(AND($AA13=$AA14+5,N($AB13)&gt;0,$AA12=$AA14+10,N($AB12)&gt;0,$AA11=$AA14+15,N($AB11)&lt;0),2,IF(AND($AA13=$AA14+5,N($AB13)&gt;0,$AA12=$AA14+10,N($AB12)&gt;0,$AA11=$AA14+15,N($AB11)&gt;0,$AA10=$AA14+20,N($AB10)&lt;0),3,IF(AND($AA13=$AA14+5,N($AB13)&gt;0,$AA12=$AA14+10,N($AB12)&gt;0,$AA11=$AA14+15,N($AB11)&gt;0,$AA10=$AA14+20,N($AB10)&gt;0,$AA9=$AA14+25,N($AB9)&lt;0),4,0)))),0)</f>
      </c>
      <c r="MM14">
        <f>IF(AND(OR('King Node Model'!$A$8="Neg",N($BG$72)=1),ISNUMBER($AA14),$AG14="S",N($AB14)&lt;0),IF(AND($AA15=$AA14-5,N($AB15)&gt;0,$AA16=$AA14-10,N($AB16)&lt;0),1,IF(AND($AA15=$AA14-5,N($AB15)&gt;0,$AA16=$AA14-10,N($AB16)&gt;0,$AA17=$AA14-15,N($AB17)&lt;0),2,IF(AND($AA15=$AA14-5,N($AB15)&gt;0,$AA16=$AA14-10,N($AB16)&gt;0,$AA17=$AA14-15,N($AB17)&gt;0,$AA18=$AA14-20,N($AB18)&lt;0),3,IF(AND($AA15=$AA14-5,N($AB15)&gt;0,$AA16=$AA14-10,N($AB16)&gt;0,$AA17=$AA14-15,N($AB17)&gt;0,$AA18=$AA14-20,N($AB18)&gt;0,$AA19=$AA14-25,N($AB19)&lt;0),4,0)))),0)</f>
      </c>
      <c r="MN14">
        <f>IF(N($ML14)&gt;0,$AA14,0)</f>
      </c>
      <c r="MO14">
        <f>IF(N($MM14)&gt;0,$AA14,0)</f>
      </c>
      <c r="MP14">
        <f>IF(AND(OR('King Node Model'!$A$8="Neg",N($BG$72)=1),ISNUMBER($BG$155),$AA14=$BG$155,N($NC14)=1),2,IF(AND(OR('King Node Model'!$A$8="Neg",N($BG$72)=1),ISNUMBER($BG$156),$AA14=$BG$156,N($ND14)=1),1,0))</f>
      </c>
      <c r="MQ14">
        <f>IF(ABS(AE14)&lt;=0,0,IF($AG14="R",IF(ISNUMBER(AE13),IF((ABS(AE13)-ABS(AE14))/ABS(AE14)&lt;-0.4,1,0),0),IF(ISNUMBER(AE15),IF((ABS(AE15)-ABS(AE14))/ABS(AE14)&lt;-0.4,1,0),0)))</f>
      </c>
      <c r="MR14">
        <f>IF(OR(N($MQ14)&lt;&gt;1,N($BG$157)&lt;&gt;1,NOT(ISNUMBER($KU14)),NOT(ISNUMBER($KV14))),0,IF(OR(AND($AG14="S",OR(AND($KU14&gt;=$BG$114,$KU14&gt;=$KV14+$BG$115),AND($KU14&gt;1,$KV14&lt;=1,$KV14&gt;=$BG$114))),AND($AG14="R",OR(AND($KV14&gt;=$BG$114,$KV14&gt;=$KU14+$BG$115),AND($KV14&gt;1,$KU14&lt;=1,$KU14&gt;=$BG$114)))),1,0))</f>
      </c>
      <c r="MS14" t="str">
        <f>IF(AND(N($MR14)=1,N($NA14)&lt;&gt;1),"• DEX falls off more sharply "&amp;IF($AG14="S","above (","below (")&amp;TEXT(IF($AG14="S",$KU14,$KV14),"0%")&amp;") than "&amp;IF($AG14="S","below (","above (")&amp;TEXT(IF($AG14="S",$KV14,$KU14),"0%")&amp;") — Dex↓ not counted",IF(N($MW14)=1,"• Shoulder of the "&amp;IF($AG14="R",$AA15,$AA13)&amp;" wall — own DEX "&amp;TEXT($AE14/1000,"+#,##0;-#,##0")&amp;"K is "&amp;TEXT(ABS($AE14)/ABS(IF($AG14="R",$AE15,$AE13)),"0%")&amp;" of "&amp;TEXT(IF($AG14="R",$AE15,$AE13)/1000,"+#,##0;-#,##0")&amp;"K, Dex↓ not counted",""))</f>
      </c>
      <c r="MT14">
        <f>IF(AND(ISNUMBER($AA14),$AG14="S",ISNUMBER($AB14),$AB14=MIN($AB$9:$AB$55),$AA14=$BG$105,$JV14="BUY",ABS(N($AD14))&gt;=$BG$158),1,0)</f>
      </c>
      <c r="MU14" t="str">
        <f>IF(N($MY14)=1,"",IF(OR(N($MT14)=1,AND(OR('King Node Model'!$A$8="Neg",N($BG$72)=1),$AG14="S",ISNUMBER($AB14),$AB14=MIN($AB$9:$AB$55),$AA14=$BG$105)),"• Min GEX + Max Zomma (no reversal flag required) — accelerant warning not applied; zomma acceleration warning only within "&amp;$BG$98&amp;" pts of the level, and not when vanna buying is "&amp;TEXT($BG$158/1000,"0")&amp;"K or more"&amp;CHAR(10)&amp;IF(N($MT14)=1,"• Max Zomma and vanna buying ("&amp;TEXT(N($AD14)/1000,"+#,##0;-#,##0")&amp;"K) make this level safe","• Max Zomma is what makes this level safe"),"")&amp;$NB14&amp;$NI14)</f>
      </c>
      <c r="MV14" t="str">
        <f>IF(AND(ISNUMBER($AA14),OR($AA14=$BG$118,$AA14=$BG$119)),IF(N($AZ14)*IF($AG14="R",1,-1)&gt;0,"✓",IF(N($AZ14)*IF($AG14="R",1,-1)&lt;0,"✗","")),"")</f>
      </c>
      <c r="MW14">
        <f>IF(AND(N($MQ14)=1,N($BG$159)&gt;0,ISNUMBER(IF($AG14="R",$AE15,$AE13)),N(IF($AG14="R",$AE15,$AE13))&lt;&gt;0),IF(ABS(N($AE14))&lt;$BG$159*ABS(IF($AG14="R",$AE15,$AE13)),1,0),0)</f>
      </c>
      <c r="MX14">
        <f>IF(AND(ISNUMBER($AA14),$AA14=$BG$121,$AG14="R",N($AE14)&lt;0,OR(COUNTIF('King Node Model'!$AL$42:$AL$44,$AA14)=0,N($HP14)=1),N($NC14)=1),2,IF(AND(ISNUMBER($AA14),$AA14=$BG$120,$AG14="S",N($AE14)&gt;0,OR(COUNTIF('King Node Model'!$AL$49:$AL$51,$AA14)=0,N($HP14)=1),N($ND14)=1),1,0))</f>
      </c>
      <c r="MY14">
        <f>IF(AND(N($NA14)=1,NOT(AND(AND($AG14="S",ISNUMBER($AB14),$AB14=MIN($AB$9:$AB$55),$AA14=$BG$105),IFERROR(INDEX($AG$9:$AG$55,MATCH('King Node Model'!$B$23,$AA$9:$AA$55,0)),"")="R")),N($AV14)&lt;&gt;1),1,0)</f>
      </c>
      <c r="MZ14" t="str">
        <f>IF(N($MY14)&lt;&gt;1,"","• DEX falls off more sharply "&amp;IF($AG14="S","above (","below (")&amp;TEXT(IF($AG14="S",$KU14,$KV14),"0%")&amp;") than "&amp;IF($AG14="S","below (","above (")&amp;TEXT(IF($AG14="S",$KV14,$KU14),"0%")&amp;") — path of least resistance "&amp;IF($AG14="S","down","up")&amp;IF(N($AZ14)*IF($AG14="R",1,-1)&lt;0,CHAR(10)&amp;"• Speed against — GEX gets more negative as price "&amp;IF($AG14="R","rises","falls")&amp;" into it (speed "&amp;TEXT(N($AZ14),"#,##0;−#,##0")&amp;")","")&amp;IF(OR(N($NG14)=1,N($JC14)=1),CHAR(10)&amp;"• "&amp;IF(N($JC14)=1,"DOM with vanna BUY "&amp;TEXT(N($AD14)/1000,"+#,##0;−#,##0")&amp;"K","Put wall + Max Zomma + DOM")&amp;" backs the level, but it does not outweigh DEX"&amp;IF(N($AZ14)*IF($AG14="R",1,-1)&lt;0," and speed",""),IF(AND($AG14="S",ISNUMBER($AB14),$AB14=MIN($AB$9:$AB$55),$AA14=$BG$105),CHAR(10)&amp;"• Min GEX + Max Zomma backs the level, but it does not outweigh DEX"&amp;IF(N($AZ14)*IF($AG14="R",1,-1)&lt;0," and speed",""),IF(OR(N($JI14)=1,AND(N($GV14)=1,N($JK14)&lt;&gt;1,N($IW14)&lt;&gt;1),N($JC14)=1,AND($AA14='King Node Model'!$F$24,N($JN14)&lt;&gt;1,OR($AG14="R",AND($AG14="S",$F$4="High",IF($BG$80&lt;&gt;"",UPPER($BG$80),$D$5)="UP")))),CHAR(10)&amp;"• Vanna "&amp;IF($AG14="S","BUY ","SELL ")&amp;TEXT(N($AD14)/1000,"+#,##0;−#,##0")&amp;"K backs the level, but it does not outweigh DEX"&amp;IF(N($AZ14)*IF($AG14="R",1,-1)&lt;0," and speed",""),"")))&amp;IF(N($NE14)=1,CHAR(10)&amp;"• Buy-lean max-node exemption not applied — DEX leans against the level",""))</f>
      </c>
      <c r="NA14">
        <f>IF(AND(OR('King Node Model'!$A$8="Neg",N($BG$72)=1),ISNUMBER($AA14),ABS(N($AE14))&gt;=$BG$152,ISNUMBER($KU14),ISNUMBER($KV14)),IF(OR(AND($AG14="S",OR(AND($KU14&gt;=$BG$114,$KU14&gt;=$KV14+$BG$115),AND($KU14&gt;1,$KV14&lt;=1,$KV14&gt;=$BG$114))),AND($AG14="R",OR(AND($KV14&gt;=$BG$114,$KV14&gt;=$KU14+$BG$115),AND($KV14&gt;1,$KU14&lt;=1,$KU14&gt;=$BG$114)))),1,0),0)</f>
      </c>
      <c r="NB14" t="str">
        <f>IF(AND(N($NA14)=1,AND(AND($AG14="S",ISNUMBER($AB14),$AB14=MIN($AB$9:$AB$55),$AA14=$BG$105),IFERROR(INDEX($AG$9:$AG$55,MATCH('King Node Model'!$B$23,$AA$9:$AA$55,0)),"")="R")),CHAR(10)&amp;"• DEX falls off more sharply above ("&amp;TEXT($KU14,"0%")&amp;") than below ("&amp;TEXT($KV14,"0%")&amp;") — DEX-lean warning not applied: Min GEX + Max Zomma support with Max Gamma "&amp;'King Node Model'!$B$23&amp;" above (Dex↓ not counted)",IF(AND(OR(N($NA14)=1,N($NF14)=1),N($AV14)=1),IF(AND(OR('King Node Model'!$A$8="Neg",N($BG$72)=1),$AG14="S",ISNUMBER($AB14),$AB14=MIN($AB$9:$AB$55),$AA14=$BG$105),CHAR(10),"")&amp;"• DEX falls off more sharply "&amp;IF($AG14="S","above (","below (")&amp;TEXT(IF($AG14="S",$KU14,$KV14),"0%")&amp;") than "&amp;IF($AG14="S","below (","above (")&amp;TEXT(IF($AG14="S",$KV14,$KU14),"0%")&amp;") — DEX lean does not apply to iDex (isolated DEX)",""))</f>
      </c>
      <c r="NC14">
        <f>IF(OR($BG$163=1,AND($BG$161&gt;0,$BG$162&lt;99999,ISNUMBER($AA14),$AA14&lt;$BG$162)),1,0)</f>
      </c>
      <c r="ND14">
        <f>IF(OR($BG$163=-1,AND($BG$161&gt;0,$BG$162&lt;99999,ISNUMBER($AA14),$AA14&gt;$BG$161)),1,0)</f>
      </c>
      <c r="NE14">
        <f>IF(AND(OR('King Node Model'!$A$8="Neg",N($BG$72)=1),ISNUMBER(SEARCH("LOW",'Master Dashboard'!$M$5)),ISNUMBER(SEARCH("BUY",'Master Dashboard'!$G$8)),'King Node Model'!$T$23='King Node Model'!$B$23,OR($AA14='King Node Model'!$T$23,AND($AG14="R",$AA14='King Node Model'!$T$23+5)),OR(AND($AG14="S",$JV14="BUY"),AND($AG14="R",$JV14="SELL"))),1,0)</f>
      </c>
      <c r="NF14">
        <f>IFERROR(IF(OR(NOT(ISNUMBER($AA14)),'King Node Model'!$A$8&lt;&gt;"Pos",N($BG$72)=1,ABS(N($AE14))&lt;$BG$113,$FA14="DOM",$AA14='King Node Model'!$T$23,AND(N($BG$116)=1,$AA14='King Node Model'!$F$24),NOT(ISNUMBER($KU14)),NOT(ISNUMBER($KV14))),0,IF(AND($AG14="S",COUNTIF('Master Dashboard'!$AN$16:$AN$18,$AA14)=0,$KU14&gt;=$BG$114,$KU14&gt;=$KV14+$BG$115,NOT(AND(N($AN15)=1,N($KV14)&lt;0)),N($AE14)&lt;=0),1,IF(AND($AG14="R",COUNTIF('Master Dashboard'!$AN$13:$AN$15,$AA14)=0,$KV14&gt;=$BG$114,$KV14&gt;=$KU14+$BG$115,NOT(AND(N($AN13)=1,N($KU14)&lt;0))),-1,0))),0)</f>
      </c>
      <c r="NG14">
        <f t="shared" si="202"/>
      </c>
      <c r="NI14" t="str">
        <f>IF(AND(ISNUMBER($BG$165),ISNUMBER($AA14)),IF(OR(AND($AG14="S",$AA14&gt;$BG$165,$AA14-$BG$165&lt;=5),AND($AG14="R",$AA14&lt;$BG$165,$BG$165-$AA14&lt;=5)),IF(OR(AND(OR('King Node Model'!$A$8="Neg",N($BG$72)=1),$AG14="S",ISNUMBER($AB14),$AB14=MIN($AB$9:$AB$55),$AA14=$BG$105),$NB14&lt;&gt;""),CHAR(10),"")&amp;"• DOM forming at "&amp;$BG$165&amp;" (gamma "&amp;TEXT($BG$166,"0%")&amp;" of max) — price may be pulled to the node",""),"")</f>
      </c>
      <c r="NJ14">
        <f>IF(LEN($NI14)&gt;0,1,0)</f>
      </c>
    </row>
    <row r="15" spans="1:349" ht="15" customHeight="1" x14ac:dyDescent="0.25">
      <c r="A15" s="212">
        <f>$B$4</f>
        <v>7775.39</v>
      </c>
      <c r="B15" s="214" t="s">
        <v>1212</v>
      </c>
      <c r="R15" s="181" t="s">
        <v>1213</v>
      </c>
      <c r="S15" s="181" t="str">
        <f>IF(AND($S$13&gt;=0.2,$S$14&gt;=0.2),"YES","NO (uniform)")</f>
        <v>NO (uniform)</v>
      </c>
      <c r="AA15" s="181">
        <f>'King Node Model'!A35</f>
        <v>7855</v>
      </c>
      <c r="AB15" s="276">
        <f>'King Node Model'!C35</f>
        <v>75167</v>
      </c>
      <c r="AC15" s="181">
        <f>ABS('King Node Model'!B35)</f>
        <v>87098</v>
      </c>
      <c r="AD15" s="276">
        <f>'King Node Model'!F35</f>
        <v>349569</v>
      </c>
      <c r="AE15" s="276">
        <f>'King Node Model'!E35</f>
        <v>-91431</v>
      </c>
      <c r="AF15" s="276">
        <f>'King Node Model'!D35</f>
        <v>1619471</v>
      </c>
      <c r="AG15" s="181" t="str">
        <f t="shared" si="6"/>
        <v>R</v>
      </c>
      <c r="AH15" s="181">
        <f t="shared" si="7"/>
        <v>18</v>
      </c>
      <c r="AI15" s="181" t="str">
        <f t="shared" si="8"/>
        <v>SELL</v>
      </c>
      <c r="AJ15" s="181">
        <f t="shared" si="9"/>
        <v>1</v>
      </c>
      <c r="AK15" s="181">
        <f>IF(ABS(N($AE15))&gt;=$BG$85,1,0)</f>
      </c>
      <c r="AL15" s="181">
        <f t="shared" si="10"/>
        <v>0</v>
      </c>
      <c r="AM15" s="181">
        <f t="shared" si="11"/>
        <v>2</v>
      </c>
      <c r="AN15" s="181">
        <f t="shared" si="12"/>
        <v>0</v>
      </c>
      <c r="AO15" s="1">
        <f t="shared" si="13"/>
        <v>91431</v>
      </c>
      <c r="AP15" s="1" t="str">
        <f t="shared" si="14"/>
        <v/>
      </c>
      <c r="AQ15" s="1">
        <f t="shared" si="15"/>
        <v>1619471</v>
      </c>
      <c r="AR15" s="181">
        <f t="shared" si="16"/>
        <v>0.21558299589528024</v>
      </c>
      <c r="AS15" s="181">
        <f t="shared" si="17"/>
        <v>14</v>
      </c>
      <c r="AT15" s="181" t="str">
        <f t="shared" si="18"/>
        <v/>
      </c>
      <c r="AU15" s="181" t="str">
        <f t="shared" si="19"/>
        <v/>
      </c>
      <c r="AV15" s="218">
        <f t="shared" si="183"/>
        <v>0</v>
      </c>
      <c r="AW15" s="181">
        <f>ABS('King Node Model'!G35)</f>
        <v>188</v>
      </c>
      <c r="AX15" s="181">
        <f t="shared" si="20"/>
        <v>0</v>
      </c>
      <c r="AY15" s="181">
        <f t="shared" si="21"/>
        <v>0</v>
      </c>
      <c r="AZ15" s="276">
        <f>'King Node Model'!I35</f>
        <v>1359</v>
      </c>
      <c r="BA15" s="181">
        <f t="shared" si="22"/>
        <v>0</v>
      </c>
      <c r="BB15" s="181" t="str">
        <f t="shared" si="23"/>
        <v>R14</v>
      </c>
      <c r="BC15" s="10">
        <f>'King Node Model'!C35</f>
        <v>75167</v>
      </c>
      <c r="BD15" s="218">
        <f t="shared" si="184"/>
        <v>0</v>
      </c>
      <c r="BE15" s="218">
        <f t="shared" si="185"/>
        <v>0</v>
      </c>
      <c r="BF15" s="218" t="s">
        <v>1214</v>
      </c>
      <c r="BG15">
        <v>1</v>
      </c>
      <c r="BI15" s="218">
        <f t="shared" si="186"/>
        <v>0</v>
      </c>
      <c r="BJ15" s="218">
        <f t="shared" si="187"/>
        <v>0</v>
      </c>
      <c r="BK15" s="218">
        <f t="shared" si="24"/>
        <v>0</v>
      </c>
      <c r="BL15" s="10">
        <f>'King Node Model'!H35</f>
        <v>7</v>
      </c>
      <c r="BM15" s="218">
        <f t="shared" si="25"/>
        <v>40</v>
      </c>
      <c r="BN15" s="218">
        <f t="shared" si="26"/>
        <v>30</v>
      </c>
      <c r="BO15" s="218">
        <f t="shared" si="27"/>
        <v>0</v>
      </c>
      <c r="BP15" s="218">
        <f t="shared" si="28"/>
        <v>0</v>
      </c>
      <c r="BQ15" t="str">
        <f t="shared" si="29"/>
        <v/>
      </c>
      <c r="BR15" t="str">
        <f t="shared" si="30"/>
        <v/>
      </c>
      <c r="BS15" s="218">
        <f t="shared" si="31"/>
        <v>0</v>
      </c>
      <c r="BT15" t="str">
        <f t="shared" si="32"/>
        <v/>
      </c>
      <c r="BU15" t="str">
        <f t="shared" si="33"/>
        <v/>
      </c>
      <c r="BV15" s="218">
        <f t="shared" si="34"/>
        <v>349569</v>
      </c>
      <c r="BW15" s="218">
        <f t="shared" si="35"/>
        <v>91431</v>
      </c>
      <c r="BX15" s="218">
        <f>IF(AND(ISNUMBER(BC15),BC15&gt;=$BG$160,OR('King Node Model'!$A$8="Neg",N($BG$72)=1)),1,0)</f>
        <v>1</v>
      </c>
      <c r="BY15" s="218">
        <f t="shared" si="36"/>
        <v>0</v>
      </c>
      <c r="BZ15" s="218">
        <f t="shared" si="37"/>
        <v>0</v>
      </c>
      <c r="CA15" t="str">
        <f t="shared" si="38"/>
        <v/>
      </c>
      <c r="CB15" s="218">
        <f>IF(AND(ISNUMBER('King Node Model'!$D$27),AG15&lt;&gt;"",AA15='King Node Model'!$D$27),1,0)</f>
        <v>0</v>
      </c>
      <c r="CC15" s="218">
        <f>IF(OR('King Node Model'!$A$8="Neg",N($BG$72)=1),$BG$14*IF(ISNUMBER('King Node Model'!$D$26),MAX(0,1-ABS(AA15-'King Node Model'!$D$26)/$BG$18),0)+$BG$15*IFERROR(BV15/MAX($BV$9:$BV$55),0)+$BG$16*IFERROR(BW15/MAX($BW$9:$BW$55),0)+$BG$17*IFERROR(AC15/$S$11,0)*MAX(0,1+$BG$21*CF15),AR15)</f>
        <v>0.2988872654511468</v>
      </c>
      <c r="CD15" s="218">
        <f>IF(OR('King Node Model'!$A$8="Neg",N($BG$72)=1),IF(AND(AG15&lt;&gt;"",ABS(AA15-$B$4)&lt;=$BG$7,OR(AX15=0,$D$5&lt;&gt;"UP"),AY15=0,BK15&lt;&gt;1,CI15=0,AM15&gt;=$BG$20,AC15&gt;$BG$19),1,0),IF(AND(BS15=1,(COUNTIF($W$9:$W$14,AA15)+COUNTIF($W$18:$W$23,AA15))&gt;0,CI15=0,AM15&gt;=$BG$20,AC15&gt;$BG$19),1,0))</f>
        <v>0</v>
      </c>
      <c r="CE15" t="str">
        <f t="shared" si="39"/>
        <v/>
      </c>
      <c r="CF15" s="218">
        <f t="shared" si="40"/>
        <v>0</v>
      </c>
      <c r="CG15" t="str">
        <f t="shared" si="41"/>
        <v/>
      </c>
      <c r="CH15" t="str">
        <f t="shared" si="42"/>
        <v>Dormant</v>
      </c>
      <c r="CI15" s="218">
        <f t="shared" si="43"/>
        <v>0</v>
      </c>
      <c r="CJ15" s="218">
        <f t="shared" si="44"/>
        <v>387420489</v>
      </c>
      <c r="CK15" s="218">
        <f t="shared" si="45"/>
        <v>0</v>
      </c>
      <c r="CL15" s="218">
        <f t="shared" si="46"/>
        <v>0</v>
      </c>
      <c r="CR15" s="394" t="s">
        <v>1215</v>
      </c>
      <c r="CS15" s="218">
        <f>CM7</f>
        <v>7780</v>
      </c>
      <c r="CT15" s="412" t="s">
        <v>1216</v>
      </c>
      <c r="CU15" s="218">
        <f>IF(AND(AND('King Node Model'!$A$8&lt;&gt;"Neg",N($BG$72)&lt;&gt;1),SUMPRODUCT(($AG$9:$AG$55="S")*ISNUMBER($AT$9:$AT$55)*ISNUMBER($AU$9:$AU$55)*($AT$9:$AT$55&lt;&gt;$AU$9:$AU$55)*($AT$9:$AT$55&lt;=$AA15)*($AU$9:$AU$55&gt;=$AA15))&gt;0),0,IF(AND(OR($AA15='King Node Model'!$T$22,$AA15='King Node Model'!$F$24),$AG15="R",COUNTIF($W$9:$W$14,$AA15)&gt;0),1,IF(AND($FN15=1,$EU15&lt;&gt;1,$EM15&lt;&gt;1,$BK15&lt;&gt;1,$DH15&lt;&gt;1,$AG15="R",COUNTIF($W$9:$W$14,$AA15)&gt;0),1,IF($EU15=1,0,IF($EM15=1,0,IF(AND(OR($EE15=1,$GV15=1,AND($EL$7=1,$AA15='King Node Model'!$D$26,$EI15=1),AND(OR($AA15='King Node Model'!$T$22,$AA15='King Node Model'!$T$23),$AN15=1,OR($AX15=0,$D$5&lt;&gt;"UP"))),OR(NOT(OR('King Node Model'!$A$8="Neg",N($BG$72)=1)),$GV15=1,AND(OR($AA15='King Node Model'!$T$22,$AA15='King Node Model'!$T$23),$AN15=1,OR($AX15=0,$D$5&lt;&gt;"UP")),AND($AM15&gt;=$BG$20,$AC15&gt;IF($CZ15=1,$BG$48,$BG$19)))),1,IF($DH15=1,0,IF(AND($DC15=1,$GS15&lt;&gt;1,AND('King Node Model'!$A$8&lt;&gt;"Neg",N($BG$72)&lt;&gt;1)),0,IF(AND($EY15=1,NOT(OR('King Node Model'!$A$8="Neg",$BG$72=1)),$AA15&lt;&gt;'King Node Model'!$B$23),0,IF(AND($GS15=1,$AG15="R",OR($CI15=0,$EE15=1,$EX15=1,$GV15=1),COUNTIF($W$9:$W$14,$AA15)&gt;0,ABS($AA15-$B$4)&lt;=$BG$7,$BK15&lt;&gt;1,$AM15&gt;=$BG$20,$AC15&gt;IF($CZ15=1,$BG$48,$BG$19)),1,IF(OR('King Node Model'!$A$8="Neg",N($BG$72)=1),IF(AND(OR($AM15&gt;=$BG$20,$AA15='King Node Model'!$D$26,$GV15=1),$AG15="R",COUNTIF($W$9:$W$14,$AA15)&gt;0,ABS($AA15-$B$4)&lt;=$BG$7,OR($AX15=0,$D$5&lt;&gt;"UP"),$BK15&lt;&gt;1,OR(OR($CI15=0,$AJ15=1),AND($EI15=1,$LA15=1,COUNTIF($W$9:$W$11,$AA15)&gt;0,$AN15=1,OR($AX15=0,$D$5&lt;&gt;"UP"))),$AM15&gt;=$BG$20,$AC15&gt;IF($CZ15=1,$BG$48,$BG$19),OR($AN15=1,N($LR15)=1,$AA15='King Node Model'!$D$26,AND($BY15=1,$AA15&gt;$B$4),$BX15=1,$CF15=1,$CF15=1,AND(OR($AA15=$CP$4,$AA15=$CP$5,$AA15=$CP$6,$AA15=$CP$7),ABS($AA15-$B$4)&lt;=30),AND($AX15=1,$D$5="DOWN"))),1,0),IF(AND(OR($AM15&gt;=3,$AA15='King Node Model'!$D$26,$GV15=1),$AG15="R",COUNTIF($W$9:$W$14,$AA15)&gt;0,ABS($AA15-$B$4)&lt;=$BG$7,OR($AX15=0,$D$5&lt;&gt;"UP"),$BK15&lt;&gt;1,OR($CI15=0,$AJ15=1),$AM15&gt;=$BG$20,$AC15&gt;IF($CZ15=1,$BG$48,$BG$19),OR($AC15&gt;=MAX($AC$9:$AC$55),$BC15&gt;0,$AA15='King Node Model'!$D$26,AND(OR($AA15=$CP$4,$AA15=$CP$5,$AA15=$CP$6,$AA15=$CP$7),ABS($AA15-$B$4)&lt;=30),$CF15=1,$AN15=1,AND($AX15=1,$D$5="DOWN"))),1,0))))))))))))</f>
        <v>0</v>
      </c>
      <c r="CV15" s="218">
        <f>IF(AND(OR('King Node Model'!$A$8="Neg",N($BG$72)=1),$AG15="S",N($LR15)=1,N($MB15)=1),1,IF(AND(AND('King Node Model'!$A$8&lt;&gt;"Neg",N($BG$72)&lt;&gt;1),SUMPRODUCT(($AG$9:$AG$55="R")*ISNUMBER($AT$9:$AT$55)*ISNUMBER($AU$9:$AU$55)*($AT$9:$AT$55&lt;&gt;$AU$9:$AU$55)*($AT$9:$AT$55&lt;=$AA15)*($AU$9:$AU$55&gt;=$AA15))&gt;0,NOT(AND(N($LC15)=1,$AA15='King Node Model'!$B$23))),0,IF(AND($AA15='King Node Model'!$F$24,$AG15="S",COUNTIF($W$18:$W$23,$AA15)&gt;0),1,IF(AND($FN15=1,$EU15&lt;&gt;1,$EM15&lt;&gt;1,$DH15&lt;&gt;1,$AG15="S",COUNTIF($W$18:$W$23,$AA15)&gt;0),1,IF($EU15=1,0,IF(AND(OR($EF15=1,$GV15=1,AND(OR($AA15='King Node Model'!$T$22,$AA15='King Node Model'!$T$23,AND($AG15="S",COUNTIF('Master Dashboard'!$AN$16:$AN$18,$AA15)&gt;0)),$AN15=1,OR($AX15=0,$D$5&lt;&gt;"UP"))),OR(NOT(OR('King Node Model'!$A$8="Neg",N($BG$72)=1)),$GV15=1,AND(OR($AA15='King Node Model'!$T$22,$AA15='King Node Model'!$T$23,AND($AG15="S",COUNTIF('Master Dashboard'!$AN$16:$AN$18,$AA15)&gt;0)),$AN15=1,OR($AX15=0,$D$5&lt;&gt;"UP")),AND($AM15&gt;=$BG$20,$AC15&gt;IF($CZ15=1,$BG$48,$BG$19)))),1,IF($DH15=1,0,IF(AND($DC15=1,$GS15&lt;&gt;1,AND('King Node Model'!$A$8&lt;&gt;"Neg",N($BG$72)&lt;&gt;1)),0,IF(AND($EY15=1,NOT(OR('King Node Model'!$A$8="Neg",$BG$72=1)),$AA15&lt;&gt;'King Node Model'!$B$23,COUNTIF('Master Dashboard'!$AN$16:$AN$18,$AA15)=0),0,IF(AND($GS15=1,$AG15="S",OR($CI15=0,$EF15=1,$EX15=1,$GV15=1),COUNTIF($W$18:$W$23,$AA15)&gt;0,ABS($AA15-$B$4)&lt;=$BG$7,$BK15&lt;&gt;1,$AM15&gt;=$BG$20,$AC15&gt;IF($CZ15=1,$BG$48,$BG$19)),1,IF(OR('King Node Model'!$A$8="Neg",N($BG$72)=1),IF(AND(OR(OR($AM15&gt;=$BG$20,N($LR15)=1),$AA15='King Node Model'!$D$26,$GV15=1),$AG15="S",COUNTIF($W$18:$W$23,$AA15)&gt;0,ABS($AA15-$B$4)&lt;=$BG$7,OR($AX15=0,$D$5&lt;&gt;"UP"),$BK15&lt;&gt;1,OR($CI15=0,$AJ15=1,AND(N($LR15)=1,N($MB15)=1),N($MT15)=1),OR($AM15&gt;=$BG$20,N($LR15)=1),$AC15&gt;IF($CZ15=1,$BG$48,$BG$19),OR($AB15&gt;0,$AN15=1,N($MT15)=1,N($LR15)=1,$AA15='King Node Model'!$D$26,AND($BY15=1,$AA15&lt;$B$4),$BX15=1,$CF15=1,$CF15=1,AND(OR($AA15=$CP$4,$AA15=$CP$5,$AA15=$CP$6,$AA15=$CP$7),ABS($AA15-$B$4)&lt;=30),AND($AX15=1,$D$5="DOWN"))),1,0),IF(AND(OR($AM15&gt;=3,$AA15='King Node Model'!$D$26,$GV15=1),$AG15="S",COUNTIF($W$18:$W$23,$AA15)&gt;0,ABS($AA15-$B$4)&lt;=$BG$7,OR($AX15=0,$D$5&lt;&gt;"UP"),$BK15&lt;&gt;1,OR($CI15=0,$AJ15=1,AND(N($LR15)=1,N($MB15)=1),N($MT15)=1),$AM15&gt;=$BG$20,$AC15&gt;IF($CZ15=1,$BG$48,$BG$19),OR($AC15&gt;=MAX($AC$9:$AC$55),$BC15&gt;0,N($MT15)=1,$AA15='King Node Model'!$D$26,AND(OR($AA15=$CP$4,$AA15=$CP$5,$AA15=$CP$6,$AA15=$CP$7),ABS($AA15-$B$4)&lt;=30),$CF15=1,$AN15=1,AND($AX15=1,$D$5="DOWN"))),1,0))))))))))))</f>
        <v>0</v>
      </c>
      <c r="CX15" s="218">
        <f t="shared" si="48"/>
        <v>0</v>
      </c>
      <c r="CY15" t="str">
        <f t="shared" si="49"/>
        <v/>
      </c>
      <c r="CZ15" s="218">
        <f t="shared" si="50"/>
        <v>0</v>
      </c>
      <c r="DA15" t="str">
        <f t="shared" si="51"/>
        <v/>
      </c>
      <c r="DB15" t="str">
        <f t="shared" si="52"/>
        <v/>
      </c>
      <c r="DC15" s="218">
        <f t="shared" si="53"/>
        <v>0</v>
      </c>
      <c r="DD15" s="218">
        <f t="shared" si="54"/>
        <v>0</v>
      </c>
      <c r="DE15" s="218">
        <f t="shared" si="55"/>
        <v>0</v>
      </c>
      <c r="DF15" t="str">
        <f t="shared" si="56"/>
        <v/>
      </c>
      <c r="DG15" t="str">
        <f t="shared" si="57"/>
        <v/>
      </c>
      <c r="DH15" s="218">
        <f t="shared" si="58"/>
        <v>0</v>
      </c>
      <c r="DI15">
        <v>1</v>
      </c>
      <c r="DJ15">
        <v>1</v>
      </c>
      <c r="DK15">
        <v>104835</v>
      </c>
      <c r="DL15">
        <v>0</v>
      </c>
      <c r="DM15" t="str">
        <f>IF(AND($CV15=1,$AG15="S"),IF(AND(OR('King Node Model'!$A$8="Neg",N($BG$72)=1),'King Node Model'!$S$52=""),IF(OR(N($AN15)=1,N($LR15)=1,$AB15&gt;0,$AJ15=1,N($JO15)=1,AND(NOT($AE15&gt;0),NOT(IFERROR(AND(ISNUMBER($BC15),ISNUMBER($BC14),($BC15&gt;=0)&lt;&gt;($BC14&gt;=0)),FALSE())),OR(AND($BM15&lt;=6,$BN15&lt;=6),ABS($AA15-'King Node Model'!$T$23)&lt;=5,$LA15=1))),1,0),1),"")</f>
        <v/>
      </c>
      <c r="DN15" t="str">
        <f t="shared" si="59"/>
        <v/>
      </c>
      <c r="DO15" t="str">
        <f t="shared" si="60"/>
        <v>W-list</v>
      </c>
      <c r="DP15" t="str">
        <f>IF(AND(OR('King Node Model'!$A$8="Neg",N($BG$72)=1),$AG15="S",ISNUMBER($AT15),ISNUMBER($AU15),$AT15&lt;&gt;$AU15,$AA15=$AT15),IF(AND(SUMPRODUCT(($AA$9:$AA$55&gt;=$AT15)*($AA$9:$AA$55&lt;=$AU15)*($AB$9:$AB$55&gt;0))&gt;0,SUMPRODUCT(($AA$9:$AA$55&gt;=$AT15)*($AA$9:$AA$55&lt;=$AU15)*($DM$9:$DM$55=1))&gt;0,SUMPRODUCT(($AA$9:$AA$55&gt;=$AT15)*($AA$9:$AA$55&lt;=$AU15)*(COUNTIF($W$18:$W$20,$AA$9:$AA$55)&gt;0))&gt;0),1,0),"")</f>
        <v/>
      </c>
      <c r="DS15">
        <v>0</v>
      </c>
      <c r="DT15">
        <v>0</v>
      </c>
      <c r="DU15" t="str">
        <f>IF('King Node Model'!$A$8&lt;&gt;"Pos","",IF(OR($AA15="",NOT(ISNUMBER($AA15)),ABS($AA15-$B$4)&gt;$BG$7),"",TEXT($AA15,"0")&amp;" | "&amp;IF($AG15="","unclassified",IF($AG15&lt;&gt;IF($AA15&gt;$B$4,"R","S"),"orphan: in "&amp;$AG15&amp;"-list, "&amp;IF($AA15&lt;$B$4,"below","above")&amp;" spot",IF(IF($AG15="R",COUNTIF($W$9:$W$14,$AA15),COUNTIF($W$18:$W$23,$AA15))=0,"not in "&amp;$AG15&amp;"-list",IF($DH15=1,"absorbed into shelf box",IF($BK15=1,"absorbed: adjacent reversal",IF($CI15=1,"accel-accelerant",IF($AC15&lt;=$BG$19,"below gamma-floor",IF($AM15&lt;$BG$20,"confluence "&amp;TEXT($AM15,"0")&amp;" &lt; "&amp;TEXT($BG$20,"0"),IF(AND($AX15=1,$D$5="UP"),"accelerant in up-move",IF(NOT(OR($AC15&gt;=MAX($AC$9:$AC$55),$BC15&gt;0,$AA15='King Node Model'!$D$26,AND(OR($AA15=$CP$4,$AA15=$CP$5,$AA15=$CP$6,$AA15=$CP$7),ABS($AA15-$B$4)&lt;=30),ISNUMBER(SEARCH("STRENGTHENING",$CG15)),$AN15=1,AND($AX15=1,$D$5="DOWN"))),"no surface flag","-&gt; qualifies"))))))))))))</f>
        <v/>
      </c>
      <c r="DV15" s="218">
        <f t="shared" si="61"/>
        <v>99999</v>
      </c>
      <c r="DW15" s="218">
        <f t="shared" si="62"/>
        <v>99999</v>
      </c>
      <c r="DX15" t="str">
        <f>IF('King Node Model'!$A$8&lt;&gt;"Pos","",IF(AND($DV15&lt;99999,$DV15=MIN($DV$9:$DV$55),$DG15&gt;$AA15),"R-box: "&amp;TEXT($AA15,"0")&amp;"-"&amp;TEXT($DG15,"0"),IF(AND($DW15&lt;99999,$DW15=MIN($DW$9:$DW$55),$DF15&lt;$AA15),"S-box: "&amp;TEXT($DF15,"0")&amp;"-"&amp;TEXT($AA15,"0"),"")))</f>
        <v/>
      </c>
      <c r="EB15">
        <f t="shared" si="63"/>
        <v>79.609999999999673</v>
      </c>
      <c r="EC15">
        <f t="shared" si="64"/>
        <v>538591</v>
      </c>
      <c r="ED15">
        <f t="shared" si="65"/>
        <v>0</v>
      </c>
      <c r="EE15">
        <f>IF(AND(OR('King Node Model'!$A$8="Neg",N($BG$72)=1),$AG15="R",ISNUMBER($EB15),$EB15&lt;=$BG$7,$AB15&gt;0,$EC15&gt;0,$AB15=$EC15),1,0)</f>
        <v>0</v>
      </c>
      <c r="EF15">
        <f>IF(AND(OR('King Node Model'!$A$8="Neg",N($BG$72)=1),$AG15="S",ISNUMBER($EB15),$EB15&lt;=$BG$7,$AB15&gt;0,$ED15&gt;0,$AB15=$ED15),1,0)</f>
        <v>0</v>
      </c>
      <c r="EI15">
        <v>1</v>
      </c>
      <c r="EJ15">
        <f>IF($AA15="",0,IF(SUMPRODUCT(($AA$9:$AA$55&gt;=$AT15)*($AA$9:$AA$55&lt;=$AU15)*($DT$9:$DT$55=1))+SUMPRODUCT(($DT$9:$DT$55=1)*($AT$9:$AT$55&lt;=$AA15)*($AU$9:$AU$55&gt;=$AA15))+($DT15=1)+AND(OR('King Node Model'!$A$8="Neg",N($BG$72)=1),ISNUMBER(SEARCH("LOW",'Master Dashboard'!$M$5)),ISNUMBER(SEARCH("BUY",'Master Dashboard'!$G$8)),'King Node Model'!$T$23='King Node Model'!$B$23,$AA15&gt;='King Node Model'!$T$23,$AA15&lt;='King Node Model'!$T$23+5)*1&gt;0,1,0))</f>
        <v>0</v>
      </c>
      <c r="EM15">
        <f t="shared" si="66"/>
        <v>0</v>
      </c>
      <c r="EN15">
        <v>0</v>
      </c>
      <c r="EO15">
        <f t="shared" si="67"/>
        <v>0</v>
      </c>
      <c r="EP15">
        <f t="shared" si="68"/>
        <v>0</v>
      </c>
      <c r="EQ15" t="str">
        <f t="shared" si="69"/>
        <v>thinning the ceiling (magnitude weak)</v>
      </c>
      <c r="ES15" t="str">
        <f>IF(AND(ISNUMBER(AA15),ISNUMBER(AF15),ABS(AA15-'King Node Model'!$B$4)&lt;=$BG$7),ABS(AF15),"")</f>
        <v/>
      </c>
      <c r="ET15">
        <v>0</v>
      </c>
      <c r="EU15" s="218">
        <f>IF(AND(OR('King Node Model'!$A$8="Neg",N($BG$72)=1),ISNUMBER($AA14),ISNUMBER($AA15),ISNUMBER($AA16),ISNUMBER($AB14),ISNUMBER($AB15),ISNUMBER($AB16),ISNUMBER($AF15),$AB15&gt;0,$AB14&lt;0,$AB16&lt;0,$AF15&lt;0),1,0)</f>
        <v>0</v>
      </c>
      <c r="EW15">
        <f>IF(OR(N($MY15)=1,N($JM15)=1),0,N($NE15))</f>
        <v>0</v>
      </c>
      <c r="EX15">
        <f>IF(AND(OR('King Node Model'!$A$8="Neg",N($BG$72)=1),ISNUMBER($AA15),OR(AND($AA15='King Node Model'!$F$24,OR(AND($AG15="S",$F$4="High",IF($BG$80&lt;&gt;"",UPPER($BG$80),$D$5)="DOWN"),AND($AG15="R",$F$4="Low",IF($BG$80&lt;&gt;"",UPPER($BG$80),$D$5)="UP"))),$GV15=1)),1,0)</f>
        <v>0</v>
      </c>
      <c r="EY15">
        <f>IFERROR(IF(AND($DC15=1,$AB15&lt;0,$AC15&gt;=(1+$FA$6)*INDEX($AC$9:$AC$55,7-1),$AC15&gt;=(1+$FA$6)*INDEX($AC$9:$AC$55,7+1),$AC15&gt;=IFERROR(INDEX($AC$9:$AC$55,7-2),0),$AC15&gt;=IFERROR(INDEX($AC$9:$AC$55,7+2),0)),1,0),0)</f>
        <v>0</v>
      </c>
      <c r="FA15" t="str">
        <f>IF(NOT(ISNUMBER($AA15)),"",IFERROR(IF(AND($AC15=MAX($AC$9:$AC$55),$AB15=MIN($AB$9:$AB$55)),"DOM",IF(AND($DC14=1,$DC15=1,$DC16=1,INDEX($AC$9:$AC$55,7-1)&lt;=(1-$FA$6)*$AC15,INDEX($AC$9:$AC$55,7-1)&lt;=(1-$FA$6)*INDEX($AC$9:$AC$55,7-2)),"GAP↑",IF(AND($DC16=1,$DC15=1,INDEX($AC$9:$AC$55,7+1)&lt;=(1-$FA$6)*$AC15,INDEX($AC$9:$AC$55,7+1)&lt;=(1-$FA$6)*INDEX($AC$9:$AC$55,7+2)),"GAP↓",IF($CZ15=1,"dEdge Cliff",IF($GY15=1,"γWall",IF(AND($DC15=1,$AB15&lt;0,$AC15&gt;=(1+$FA$6)*INDEX($AC$9:$AC$55,7-1),$AC15&gt;=(1+$FA$6)*INDEX($AC$9:$AC$55,7+1)),"PEAK-",IF($GZ15=1,"γSh Edge",IF($HL15=1,"Trough",IF($HN15=1,"PEAK+",IF($GF15=1,"Cluster","")))))))))),""))</f>
        <v/>
      </c>
      <c r="FB15" t="str">
        <f t="shared" si="70"/>
        <v/>
      </c>
      <c r="FC15" t="str">
        <f t="shared" si="71"/>
        <v/>
      </c>
      <c r="FD15">
        <f>IF(AND(ISNUMBER($AA15),ISNUMBER('King Node Model'!$AP$17),ISNUMBER('King Node Model'!$AQ$17),$AA15&gt;=MIN('King Node Model'!$AP$17,'King Node Model'!$AQ$17),$AA15&lt;=MAX('King Node Model'!$AP$17,'King Node Model'!$AQ$17),IFERROR(INDEX($AC$9:$AC$55,MATCH('King Node Model'!$AL$42,$AA$9:$AA$55,0)),0)&gt;0,$AC15&gt;=(1-$FA$6)*IFERROR(INDEX($AC$9:$AC$55,MATCH('King Node Model'!$AL$42,$AA$9:$AA$55,0)),0),$AC15&lt;=(1+$FA$6)*IFERROR(INDEX($AC$9:$AC$55,MATCH('King Node Model'!$AL$42,$AA$9:$AA$55,0)),0)),1,0)</f>
        <v>0</v>
      </c>
      <c r="FE15">
        <f>IF($AA15='King Node Model'!$AL$42,1,IF(AND($FD15=1,$FE14=1),1,0))</f>
        <v>0</v>
      </c>
      <c r="FF15">
        <f>IF($AA15='King Node Model'!$AL$42,1,IF(AND($FD15=1,$FF16=1),1,0))</f>
        <v>0</v>
      </c>
      <c r="FG15" t="str">
        <f>IF(OR($FE15=1,$FF15=1),7,"")</f>
        <v/>
      </c>
      <c r="FJ15">
        <f>IF(AND($CW$2=1,ISNUMBER($AA15),ISNUMBER($CW$3),ISNUMBER($CW$4),$AA15&gt;=MIN($CW$3,$CW$4),$AA15&lt;=MAX($CW$3,$CW$4),IFERROR(INDEX($AC$9:$AC$55,MATCH('King Node Model'!$AP$67,$AA$9:$AA$55,0)),0)&gt;0,$AC15&gt;=(1-$FA$6)*IFERROR(INDEX($AC$9:$AC$55,MATCH('King Node Model'!$AP$67,$AA$9:$AA$55,0)),0),$AC15&lt;=(1+$FA$6)*IFERROR(INDEX($AC$9:$AC$55,MATCH('King Node Model'!$AP$67,$AA$9:$AA$55,0)),0)),1,0)</f>
        <v>0</v>
      </c>
      <c r="FK15">
        <f>IF(AND($CW$2=1,$AA15='King Node Model'!$AP$67),1,IF(AND($FJ15=1,$FK14=1),1,0))</f>
        <v>0</v>
      </c>
      <c r="FL15">
        <f>IF(AND($CW$2=1,$AA15='King Node Model'!$AP$67),1,IF(AND($FJ15=1,$FL16=1),1,0))</f>
        <v>0</v>
      </c>
      <c r="FM15" t="str">
        <f>IF(OR($FK15=1,$FL15=1),7,"")</f>
        <v/>
      </c>
      <c r="FN15">
        <v>0</v>
      </c>
      <c r="FR15" t="str">
        <f t="shared" si="72"/>
        <v/>
      </c>
      <c r="FS15">
        <f t="shared" si="188"/>
        <v>0</v>
      </c>
      <c r="FT15">
        <f t="shared" si="73"/>
        <v>0.86301637236216677</v>
      </c>
      <c r="FU15">
        <f t="shared" si="74"/>
        <v>87098</v>
      </c>
      <c r="FV15" t="str">
        <f>IF($FW15=0,"",IF(OR($FW14=0,SIGN(IFERROR($BC15*1,0))&lt;&gt;SIGN(IFERROR($BC14*1,0)),$GH15=1,$GH14=1),MAX($FV$9:$FV14)+1,$FV14))</f>
        <v/>
      </c>
      <c r="FW15">
        <f t="shared" si="75"/>
        <v>0</v>
      </c>
      <c r="FX15" t="str">
        <f t="shared" si="76"/>
        <v/>
      </c>
      <c r="FY15">
        <f t="shared" si="77"/>
        <v>0</v>
      </c>
      <c r="FZ15">
        <f t="shared" si="189"/>
        <v>0</v>
      </c>
      <c r="GA15">
        <f t="shared" si="78"/>
        <v>0</v>
      </c>
      <c r="GB15" t="str">
        <f t="shared" si="79"/>
        <v/>
      </c>
      <c r="GC15" t="str">
        <f t="shared" si="80"/>
        <v/>
      </c>
      <c r="GD15" t="str">
        <f t="shared" si="81"/>
        <v/>
      </c>
      <c r="GE15" t="str">
        <f t="shared" si="82"/>
        <v/>
      </c>
      <c r="GF15">
        <f t="shared" si="83"/>
        <v>0</v>
      </c>
      <c r="GH15">
        <f>IFERROR(IF(AND($AC15&gt;=(1+$FA$6)*INDEX($AC$9:$AC$55,7-1),$AC15&gt;=(1+$FA$6)*INDEX($AC$9:$AC$55,7+1)),1,0),0)</f>
        <v>0</v>
      </c>
      <c r="GK15">
        <v>0</v>
      </c>
      <c r="GO15">
        <v>0</v>
      </c>
      <c r="GP15">
        <v>0</v>
      </c>
      <c r="GQ15">
        <f t="shared" si="84"/>
        <v>0</v>
      </c>
      <c r="GR15">
        <f t="shared" si="85"/>
        <v>0</v>
      </c>
      <c r="GS15">
        <f>IF(AND($EY15=1,$AA15&lt;&gt;'King Node Model'!$B$23),0,IF(OR($GQ15=1,$GR15=1),1,IF($DC15=1,IF(OR('King Node Model'!$A$8="Neg",N($BG$72)=1),IF(OR(AND($AC15=MAX($AC$9:$AC$55),$AB15=MIN($AB$9:$AB$55)),$AN15=1,$EE15=1,$EF15=1,$EX15=1,$GV15=1),1,0),1),0)))</f>
        <v>0</v>
      </c>
      <c r="GT15">
        <f>IFERROR(IF(AND(OR('King Node Model'!$A$8="Neg",N($BG$72)=1),$EU14=1,$AG15="R",ISNUMBER($AA15),ISNUMBER($AF15),$AF15&lt;&gt;0,$AA15&gt;$B$4-$BG$9,$AA15-$B$4&lt;=$BG$47,IF($KC15="UP",SIGN($AF15),IF($KC15="DOWN",-SIGN($AF15),0))&lt;&gt;1),1,0),0)</f>
        <v>0</v>
      </c>
      <c r="GU15" t="str">
        <f t="shared" si="86"/>
        <v/>
      </c>
      <c r="GV15">
        <f t="shared" si="87"/>
        <v>0</v>
      </c>
      <c r="GW15">
        <f t="shared" si="88"/>
        <v>79.609999999999673</v>
      </c>
      <c r="GX15" t="str">
        <f t="shared" si="89"/>
        <v/>
      </c>
      <c r="GY15">
        <f t="shared" si="90"/>
        <v>0</v>
      </c>
      <c r="GZ15">
        <f t="shared" si="91"/>
        <v>0</v>
      </c>
      <c r="HA15">
        <v>0</v>
      </c>
      <c r="HF15">
        <f>IFERROR(IF(AND($GZ15=1,'King Node Model'!$A$8="Pos",$D$5="UP",$CF15=-1,$AJ15&lt;&gt;1),1,0),0)</f>
        <v>0</v>
      </c>
      <c r="HG15">
        <f t="shared" si="92"/>
        <v>0</v>
      </c>
      <c r="HH15" t="str">
        <f>IF($GZ15=1,"",IFERROR(IF(NOT(ISNUMBER($AA15)),"",IF($EY15=1,"",IF($GF15=1,IF($GD15=$GE15,"",$GD15),IF(OR(AND($DC14=1,$DC15=1,$DC16=1,INDEX($AC$9:$AC$55,7-1)&lt;=(1-$FA$6)*$AC15,INDEX($AC$9:$AC$55,7-1)&lt;=(1-$FA$6)*INDEX($AC$9:$AC$55,7-2)),AND($DC16=1,$DC15=1,INDEX($AC$9:$AC$55,7+1)&lt;=(1-$FA$6)*$AC15,INDEX($AC$9:$AC$55,7+1)&lt;=(1-$FA$6)*INDEX($AC$9:$AC$55,7+2)),AND($DC15=1,OR(INDEX($DC$9:$DC$55,7-1)=0,INDEX($DC$9:$DC$55,7+1)=0))),IF(MIN($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MAX($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MIN($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f>
        <v/>
      </c>
      <c r="HI15" t="str">
        <f>IF($GZ15=1,"",IFERROR(IF(NOT(ISNUMBER($AA15)),"",IF($EY15=1,"",IF($GF15=1,IF($GD15=$GE15,"",$GE15),IF(OR(AND($DC14=1,$DC15=1,$DC16=1,INDEX($AC$9:$AC$55,7-1)&lt;=(1-$FA$6)*$AC15,INDEX($AC$9:$AC$55,7-1)&lt;=(1-$FA$6)*INDEX($AC$9:$AC$55,7-2)),AND($DC16=1,$DC15=1,INDEX($AC$9:$AC$55,7+1)&lt;=(1-$FA$6)*$AC15,INDEX($AC$9:$AC$55,7+1)&lt;=(1-$FA$6)*INDEX($AC$9:$AC$55,7+2)),AND($DC15=1,OR(INDEX($DC$9:$DC$55,7-1)=0,INDEX($DC$9:$DC$55,7+1)=0))),IF(MIN($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MAX($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MAX($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f>
        <v/>
      </c>
      <c r="HL15">
        <f t="shared" si="93"/>
        <v>0</v>
      </c>
      <c r="HM15">
        <f>IFERROR(IF(AND($HL15=1,NOT(OR($AA15='King Node Model'!$T$22,$AA15='King Node Model'!$T$23,$AA15='King Node Model'!$F$24,AND($AG15="S",COUNTIF('Master Dashboard'!$AN$16:$AN$18,$AA15)&gt;0),AND($AG15="R",COUNTIF('Master Dashboard'!$AN$13:$AN$15,$AA15)&gt;0)))),1,0),0)</f>
        <v>0</v>
      </c>
      <c r="HN15">
        <f t="shared" si="94"/>
        <v>0</v>
      </c>
      <c r="HO15">
        <f t="shared" si="95"/>
        <v>0</v>
      </c>
      <c r="HP15">
        <f t="shared" si="96"/>
        <v>1</v>
      </c>
      <c r="HQ15" t="str">
        <f>IF(NOT(ISNUMBER($AA15)),"",IFERROR(TRIM(IF(N($MY15)=1,"DEXLEAN ","")&amp;IF(N($IZ15)=1,"DEXCAP ","")&amp;IF(AND($AG15="S",UPPER('King Node Model'!$L$5)="HIGH",$KC15="DOWN",N($AF15)&gt;0,$AA15='King Node Model'!$AN$70,$IY15="SELL"),"CHOPEDGEIV ","")&amp;IF(N($IS15)=1,"NOREV ","")&amp;IF(N($JY15)=1,"VFLAT ","")&amp;IF(N($KR15)=1,"GDEXVANNA ","")&amp;IF(N($LD15)=1,"KGSUPFAIL ","")&amp;IF(N($LE15)=1,"KGRESLEAK ","")&amp;IF(N($MH15)=1,"ZIGZAG ","")&amp;IF(N($KK15)=1,"DATAGAP ","")&amp;IF(N($KA15)&lt;&gt;0,"ACCUNDERCW ","")&amp;IF(AND($AG15="S",$HF15=1),"EDGE ","")&amp;IF(AND($HM15=1,'King Node Model'!$A$8="Pos",N($BG$72)&lt;&gt;1),"TROUGH ","")&amp;IF(AND($EU15=1,N($JZ15)&lt;&gt;1),"BUMP ","")&amp;IF(AND($GT15=1,N($JZ15)&lt;&gt;1),"SANDWICH ","")&amp;IF(AND($EX15&lt;&gt;1,OR('King Node Model'!$A$8="Neg",N($BG$72)=1),OR(AND(ISNUMBER($AC15),$AC15=MAX($AC$9:$AC$55)),AND(ISNUMBER($AB15),$AB15=MIN($AB$9:$AB$55))),NOT(AND(AND(ISNUMBER($AC15),$AC15=MAX($AC$9:$AC$55)),AND(ISNUMBER($AB15),$AB15=MIN($AB$9:$AB$55)))),$AG15="S",N($AB15)&lt;0,NOT(COUNTIF('Master Dashboard'!$AN$16:$AN$18,$AA15)&gt;0),NOT(AND(OR('King Node Model'!$A$8="Neg",N($BG$72)=1),ISNUMBER($AB15),$AB15=MIN($AB$9:$AB$55),$AA15=$BG$105))),"ACCEL ","")&amp;IF(AND($EX15&lt;&gt;1,ISNUMBER($AA15),OR('King Node Model'!$A$8="Neg",N($BG$72)=1),$EY15=1,NOT(AND($AG15="S",COUNTIF('Master Dashboard'!$AN$16:$AN$18,$AA15)&gt;0)),NOT(AND($AA15='King Node Model'!$B$23,IF($AG15="S",OR($AA15='King Node Model'!$C$24,COUNTIF('Master Dashboard'!$AN$16:$AN$18,$AA15)&gt;0),OR($AA15='King Node Model'!$C$23,COUNTIF('Master Dashboard'!$AN$13:$AN$15,$AA15)&gt;0)))),NOT(AND($EX15&lt;&gt;1,OR('King Node Model'!$A$8="Neg",N($BG$72)=1),OR(AND(ISNUMBER($AC15),$AC15=MAX($AC$9:$AC$55)),AND(ISNUMBER($AB15),$AB15=MIN($AB$9:$AB$55))),NOT(AND(AND(ISNUMBER($AC15),$AC15=MAX($AC$9:$AC$55)),AND(ISNUMBER($AB15),$AB15=MIN($AB$9:$AB$55)))),$AG15="S",N($AB15)&lt;0,NOT(COUNTIF('Master Dashboard'!$AN$16:$AN$18,$AA15)&gt;0)))),"AMPLIFY ","")&amp;IF(AND($AG15="S",OR('King Node Model'!$A$8="Neg",N($BG$72)=1),$AJ15&lt;&gt;1,N($MT15)&lt;&gt;1,NOT(AND(N($LR15)=1,N($MB15)=1)),ISNUMBER(SEARCH("ACCEL building",$CG15))),"ZACCEL ","")&amp;IF(AND($AG15="S",OR('King Node Model'!$A$8="Neg",N($BG$72)=1),$AA15='King Node Model'!$B$23,NOT(AND(AND(ISNUMBER($AC15),$AC15=MAX($AC$9:$AC$55)),AND(ISNUMBER($AB15),$AB15=MIN($AB$9:$AB$55)))),$EJ15&lt;&gt;1),"KINGACC ","")&amp;IF(AND($AG15="S",OR('King Node Model'!$A$8="Neg",N($BG$72)=1),ABS(N($AA15)-N('King Node Model'!$B$23))&lt;=$BG$107,NOT(AND(SUMPRODUCT((ABS($AF$9:$AF$55)&lt;=ABS(N($AF15)))*1)/COUNT($AF$9:$AF$55)&gt;=0.66,OR(ISNUMBER(SEARCH("firmer resistance",$CG15)),ISNUMBER(SEARCH("STRENGTHENING",$CG15)),ISNUMBER(SEARCH("firmer support",$CG15))))),NOT(AND(N($AB15)&gt;0,SUMPRODUCT((ABS($AB$9:$AB$55)&lt;=ABS(N($AB15)))*1)/COUNT($AB$9:$AB$55)&gt;=0.66)),$EJ15&lt;&gt;1,$AJ15&lt;&gt;1,COUNTIF('Master Dashboard'!$AN$16:$AN$18,$AA15)=0,NOT(AND($AG15="S",OR('King Node Model'!$A$8="Neg",N($BG$72)=1),$AA15='King Node Model'!$B$23,NOT(AND(AND(ISNUMBER($AC15),$AC15=MAX($AC$9:$AC$55)),AND(ISNUMBER($AB15),$AB15=MIN($AB$9:$AB$55)))),$EJ15&lt;&gt;1))),"KINGNODE ","")&amp;IF(AND($AG15="R",NOT(AND(AND(ISNUMBER($AC15),$AC15=MAX($AC$9:$AC$55)),AND(ISNUMBER($AB15),$AB15=MIN($AB$9:$AB$55)))),UPPER('King Node Model'!$L$5)="LOW",$KC15="DOWN",N($AF15)&gt;0),"LOWIVFALL ","")&amp;IF(AND($AG15="R",NOT(AND(AND(ISNUMBER($AC15),$AC15=MAX($AC$9:$AC$55)),AND(ISNUMBER($AB15),$AB15=MIN($AB$9:$AB$55)))),UPPER('King Node Model'!$L$5)="HIGH",$KC15="DOWN",N($AF15)&gt;0,IFERROR(MATCH($AA15,$W$9:$W$14,0)&gt;=4,FALSE)),"HIGHIVFALL ","")&amp;IF(AND($AG15="R",N($BG$99)=1),"SPOTUPVOLUP ","")&amp;IF(AND($AG15="R",ISNUMBER(SEARCH("5/5",'Master Dashboard'!$E$29)),OR(ISNUMBER(SEARCH("WEAKENING",$EQ15)),ISNUMBER(SEARCH("Pos gamma ↓",$EQ15)),ISNUMBER(SEARCH("thinning the ceiling",$EQ15)))),"SQUEEZE ","")&amp;IF(N($JU15)=1,"DEDGECLIFF ","")&amp;IF(N($KT15)=1,"DEXDRAIN ","")&amp;IF(N($HW15)&lt;&gt;0,"DEXDROP ","")&amp;IF(N($HX15)&lt;&gt;0,"PEAK+ ","")&amp;IF(N($IF15)=1,"CHOP ","")&amp;IF(N($IQ15)=1,"CONTESTED ","")&amp;IF(N($IW15)=1,"VSELL ","")&amp;IF(N($JK15)=1,"VBUYRES ","")&amp;IF(N($JL15)=1,"DOMFLAT ","")&amp;IF(N($JM15)=1,"DOMPULL ","")&amp;IF(N($JP15)=1,"OIZOMMA ","")&amp;IF(AND(N($JQ15)=1,N($JZ15)&lt;&gt;1),"OIDEX ","")),""))</f>
        <v>NOREV LOWIVFALL VBUYRES</v>
      </c>
      <c r="HS15">
        <f>IFERROR(IF(AND($DC15=1,OR(AND($AG15="R",INDEX($DC$9:$DC$55,6)=0,INDEX($DC$9:$DC$55,8)=1,INDEX($DC$9:$DC$55,9)=1),AND($AG15="S",INDEX($DC$9:$DC$55,8)=0,INDEX($DC$9:$DC$55,6)=1,INDEX($DC$9:$DC$55,5)=1))),1,0),0)</f>
        <v>0</v>
      </c>
      <c r="HT15">
        <f t="shared" si="97"/>
        <v>0</v>
      </c>
      <c r="HU15">
        <v>0</v>
      </c>
      <c r="HV15">
        <v>0</v>
      </c>
      <c r="HW15">
        <f>IFERROR(IF(OR(NOT(ISNUMBER($AA15)),'King Node Model'!$A$8&lt;&gt;"Pos",N($BG$72)=1,ABS(N($AE15))&lt;$BG$113,N($AV15)=1,$FA15="DOM",$AA15='King Node Model'!$T$23,AND(N($BG$116)=1,$AA15='King Node Model'!$F$24),NOT(ISNUMBER($KU15)),NOT(ISNUMBER($KV15))),0,IF(AND($AG15="S",COUNTIF('Master Dashboard'!$AN$16:$AN$18,$AA15)=0,$KU15&gt;=$BG$114,$KU15&gt;=$KV15+$BG$115,NOT(AND(N($AN16)=1,N($KV15)&lt;0)),N($AE15)&lt;=0),1,IF(AND($AG15="R",COUNTIF('Master Dashboard'!$AN$13:$AN$15,$AA15)=0,$KV15&gt;=$BG$114,$KV15&gt;=$KU15+$BG$115,NOT(AND(N($AN14)=1,N($KU15)&lt;0))),-1,0))),0)</f>
        <v>0</v>
      </c>
      <c r="HX15">
        <f>IFERROR(IF(AND(ISNUMBER($AA15),$FA15="PEAK+",N($AN15)&lt;&gt;1,NOT(AND('King Node Model'!$A$8="Pos",OR($AA15='King Node Model'!$T$22,$AA15='King Node Model'!$T$23,$AA15='King Node Model'!$F$24))),IF($AG15="S",COUNTIF('Master Dashboard'!$AN$16:$AN$18,$AA15)=0,IF($AG15="R",COUNTIF('Master Dashboard'!$AN$13:$AN$15,$AA15)=0,FALSE))),1,0),0)</f>
        <v>0</v>
      </c>
      <c r="HY15">
        <f t="shared" si="98"/>
        <v>0.9077149945596551</v>
      </c>
      <c r="HZ15">
        <v>1</v>
      </c>
      <c r="IA15">
        <f>IFERROR(IF(AND(IF($BG$44=1,OR(ISNUMBER(SEARCH("Choppy",'King Node Model'!$S$38)),'King Node Model'!$S$52&lt;&gt;"",'King Node Model'!$A$8="Pos"),TRUE()),OR($DC15=1,$DC14=1,$DC16=1),ABS($AA15-$B$4)&lt;=$BG$7,ABS($AA15-$BG$28)&gt;=$BG$45,OR(AND($AA15&gt;$BG$28,$AG15="R"),AND($AA15&lt;$BG$28,$AG15="S",N($BG$154)=1)),ABS(IF($AA15&gt;$BG$28,$AE16,$AE14))&gt;=$BG$43,ABS(N(IF($AA15&gt;$BG$28,$AE14,$AE16)))&lt;=$BG$153*ABS(IF($AA15&gt;$BG$28,$AE16,$AE14)),IF(ISNUMBER($HZ15),$HZ15=1,AND(ISNUMBER($HY15),$HY15&gt;=$BG$42))),1,0),0)</f>
        <v>0</v>
      </c>
      <c r="IB15">
        <f t="shared" si="99"/>
        <v>0</v>
      </c>
      <c r="IC15" t="str">
        <f>IF(NOT(ISNUMBER($AA15)),"",IFERROR(MID(IF(AND($AC15=MAX($AC$9:$AC$55),$AB15=MIN($AB$9:$AB$55))," · DOM","")&amp;IF(AND($DC14=1,$DC15=1,$DC16=1,INDEX($AC$9:$AC$55,7-1)&lt;=(1-$FA$6)*$AC15,INDEX($AC$9:$AC$55,7-1)&lt;=(1-$FA$6)*INDEX($AC$9:$AC$55,7-2))," · GAP↑ → "&amp;INDEX($AA$9:$AA$55,7-2),"")&amp;IF(AND($DC16=1,$DC15=1,INDEX($AC$9:$AC$55,7+1)&lt;=(1-$FA$6)*$AC15,INDEX($AC$9:$AC$55,7+1)&lt;=(1-$FA$6)*INDEX($AC$9:$AC$55,7+2))," · GAP↓ → "&amp;INDEX($AA$9:$AA$55,7+2),"")&amp;IF($CZ15=1," · dEdge Cliff","")&amp;IF($GY15=1," · γWall","")&amp;IF(AND($DC15=1,$AB15&lt;0,$AC15&gt;=(1+$FA$6)*INDEX($AC$9:$AC$55,7-1),$AC15&gt;=(1+$FA$6)*INDEX($AC$9:$AC$55,7+1))," · PEAK-","")&amp;IF($GZ15=1," · γSh Edge","")&amp;IF($HL15=1," · Trough","")&amp;IF($HN15=1," · PEAK+","")&amp;IF($GF15=1," · Cluster",""),FIND(" · ",IF(AND($AC15=MAX($AC$9:$AC$55),$AB15=MIN($AB$9:$AB$55))," · DOM","")&amp;IF(AND($DC14=1,$DC15=1,$DC16=1,INDEX($AC$9:$AC$55,7-1)&lt;=(1-$FA$6)*$AC15,INDEX($AC$9:$AC$55,7-1)&lt;=(1-$FA$6)*INDEX($AC$9:$AC$55,7-2))," · GAP↑ → "&amp;INDEX($AA$9:$AA$55,7-2),"")&amp;IF(AND($DC16=1,$DC15=1,INDEX($AC$9:$AC$55,7+1)&lt;=(1-$FA$6)*$AC15,INDEX($AC$9:$AC$55,7+1)&lt;=(1-$FA$6)*INDEX($AC$9:$AC$55,7+2))," · GAP↓ → "&amp;INDEX($AA$9:$AA$55,7+2),"")&amp;IF($CZ15=1," · dEdge Cliff","")&amp;IF($GY15=1," · γWall","")&amp;IF(AND($DC15=1,$AB15&lt;0,$AC15&gt;=(1+$FA$6)*INDEX($AC$9:$AC$55,7-1),$AC15&gt;=(1+$FA$6)*INDEX($AC$9:$AC$55,7+1))," · PEAK-","")&amp;IF($GZ15=1," · γSh Edge","")&amp;IF($HL15=1," · Trough","")&amp;IF($HN15=1," · PEAK+","")&amp;IF($GF15=1," · Cluster",""),2),999),""))</f>
        <v/>
      </c>
      <c r="ID15" t="str">
        <f>IF(NOT(ISNUMBER($AA15)),"",IFERROR(MID(IF(AND($AC15=MAX($AC$9:$AC$55),$AB15=MIN($AB$9:$AB$55))," · DOM","")&amp;IF(AND($DC14=1,$DC15=1,$DC16=1,INDEX($AC$9:$AC$55,7-1)&lt;=(1-$FA$6)*$AC15,INDEX($AC$9:$AC$55,7-1)&lt;=(1-$FA$6)*INDEX($AC$9:$AC$55,7-2))," · GAP↑ → "&amp;INDEX($AA$9:$AA$55,7-2),"")&amp;IF(AND($DC16=1,$DC15=1,INDEX($AC$9:$AC$55,7+1)&lt;=(1-$FA$6)*$AC15,INDEX($AC$9:$AC$55,7+1)&lt;=(1-$FA$6)*INDEX($AC$9:$AC$55,7+2))," · GAP↓ → "&amp;INDEX($AA$9:$AA$55,7+2),"")&amp;IF($CZ15=1," · dEdge Cliff","")&amp;IF($GY15=1," · γWall","")&amp;IF(AND($DC15=1,$AB15&lt;0,$AC15&gt;=(1+$FA$6)*INDEX($AC$9:$AC$55,7-1),$AC15&gt;=(1+$FA$6)*INDEX($AC$9:$AC$55,7+1))," · PEAK-","")&amp;IF($GZ15=1," · γSh Edge","")&amp;IF($HL15=1," · Trough","")&amp;IF($HN15=1," · PEAK+","")&amp;IF(AND(NOT($HN15=1),NOT(AND($DC15=1,$AB15&lt;0)),N($GY15)&lt;&gt;1,N($GF15)&lt;&gt;1,N($GZ15)&lt;&gt;1,N($HL15)&lt;&gt;1,N($CZ15)&lt;&gt;1,NOT(AND($AC15=MAX($AC$9:$AC$55),$AB15=MIN($AB$9:$AB$55))),$AC15&gt;=(1+$FA$6)*INDEX($AC$9:$AC$55,7-1),$AC15&gt;=(1+$FA$6)*INDEX($AC$9:$AC$55,7+1))," · Knoll","")&amp;IF($GF15=1," · Cluster",""),4,999),""))</f>
        <v/>
      </c>
      <c r="IF15">
        <f t="shared" si="100"/>
        <v>0</v>
      </c>
      <c r="IG15">
        <f>IFERROR(IF(AND(ISNUMBER($AA15),'King Node Model'!$A$8="Pos",OR($AG15="S",$AG15="R"),$IN15="interior",COUNTIF(IF($AG15="S",'Master Dashboard'!$AN$16:$AN$18,'Master Dashboard'!$AN$13:$AN$15),$AA15)=0,$AA15&lt;&gt;'King Node Model'!$T$22,$AA15&lt;&gt;'King Node Model'!$T$23,$AA15&lt;&gt;'King Node Model'!$F$24),1,0),0)</f>
        <v>0</v>
      </c>
      <c r="IH15">
        <f t="shared" si="101"/>
        <v>0</v>
      </c>
      <c r="II15">
        <f t="shared" si="190"/>
        <v>0</v>
      </c>
      <c r="IJ15">
        <f t="shared" si="102"/>
        <v>0</v>
      </c>
      <c r="IK15">
        <f t="shared" si="103"/>
        <v>0</v>
      </c>
      <c r="IL15">
        <f t="shared" si="191"/>
        <v>0</v>
      </c>
      <c r="IM15">
        <f t="shared" si="104"/>
        <v>0</v>
      </c>
      <c r="IN15" t="str">
        <f t="shared" si="105"/>
        <v/>
      </c>
      <c r="IO15">
        <v>0</v>
      </c>
      <c r="IP15">
        <v>0</v>
      </c>
      <c r="IQ15">
        <f>IFERROR(IF($AG15="S",IF(OR(COUNTIF($W$9:$W$14,$AA15)&gt;0,COUNTIF('King Node Model'!$AL$42:'King Node Model'!$AL$43,$AA15)&gt;0),1,0),IF($AG15="R",IF(OR(COUNTIF($W$18:$W$23,$AA15)&gt;0,COUNTIF('King Node Model'!$AL$49:'King Node Model'!$AL$50,$AA15)&gt;0),1,0),0)),0)</f>
        <v>0</v>
      </c>
      <c r="IS15">
        <f>IF(AND(ISNUMBER($AA15),N($AN15)&lt;&gt;1,N($LR15)&lt;&gt;1,OR(N($EN15)&lt;&gt;1,AND('King Node Model'!$A$8&lt;&gt;"Neg",N($BG$72)&lt;&gt;1)),$AA15&lt;&gt;'King Node Model'!$T$22,$AA15&lt;&gt;'King Node Model'!$T$23,$AA15&lt;&gt;'King Node Model'!$F$24,NOT(AND($AG15="S",COUNTIF('Master Dashboard'!$AN$16:$AN$18,$AA15)&gt;0)),NOT(AND($AG15="R",COUNTIF('Master Dashboard'!$AN$13:$AN$15,$AA15)&gt;0)),NOT(AND('King Node Model'!$A$8&lt;&gt;"Neg",N($BG$72)&lt;&gt;1,COUNTIF('Master Dashboard'!$AN$13:$AN$18,$AA15)&gt;0))),1,0)</f>
        <v>1</v>
      </c>
      <c r="IT15">
        <v>0</v>
      </c>
      <c r="IU15">
        <f>IF(AND(ISNUMBER($AA15),$AA15='King Node Model'!$F$24,$AA15&gt;$GJ$3,N($AD15)&lt;0,$F$4="High"),1,0)</f>
        <v>0</v>
      </c>
      <c r="IV15" t="str">
        <f>""</f>
        <v/>
      </c>
      <c r="IW15">
        <f>IFERROR(IF(AND(ISNUMBER($AA15),NOT(AND(N($LR15)=1,N($MB15)=1)),$AG15="S",OR('King Node Model'!$A$8="Neg",N($BG$72)=1),$JV15="SELL",ABS(N($AD15))&gt;=$BG$94,NOT(AND(N($AD15)&gt;0,N($BG$78)=1,MEDIAN($AA15-$BG$82,$B$4,$AA15+$BG$83)=$B$4))),1,0),0)</f>
        <v>0</v>
      </c>
      <c r="IX15">
        <f>IFERROR(IF(AND(ISNUMBER($AA15),$AG15="S",OR('King Node Model'!$A$8="Neg",N($BG$72)=1),N($AD15)&gt;0,N($BG$78)=1,MEDIAN($AA15-$BG$82,$B$4,$AA15+$BG$83)=$B$4),1,0),0)</f>
        <v>0</v>
      </c>
      <c r="IY15" t="str">
        <f t="shared" si="106"/>
        <v>SELL</v>
      </c>
      <c r="IZ15">
        <f>IFERROR(IF(AND(ISNUMBER($AA15),$FA15&lt;&gt;"DOM",$AA15&lt;&gt;'King Node Model'!$F$24,OR(AND($AG15="S",COUNTIF('Master Dashboard'!$AN$16:$AN$18,$AA15)=0,N(INDEX($AE$9:$AE$55,MATCH($AA15+$BG$84,$AA$9:$AA$55,0)))&lt;=-$BG$85),AND($AG15="R",COUNTIF('Master Dashboard'!$AN$13:$AN$15,$AA15)=0,N(INDEX($AE$9:$AE$55,MATCH($AA15-$BG$84,$AA$9:$AA$55,0)))&gt;=$BG$85))),1,0),0)</f>
        <v>0</v>
      </c>
      <c r="JC15">
        <f t="shared" si="108"/>
        <v>0</v>
      </c>
      <c r="JD15" t="str">
        <f t="shared" si="193"/>
        <v/>
      </c>
      <c r="JE15">
        <f>IF(ISNUMBER($AA15),N(IFERROR(INDEX('King Node Model'!$L$29:$L$75,MATCH($AA15,'King Node Model'!$A$29:$A$75,0)),0)),"")</f>
        <v>135</v>
      </c>
      <c r="JF15">
        <f>IF(ISNUMBER($AA15),N(IFERROR(INDEX('King Node Model'!$K$29:$K$75,MATCH($AA15,'King Node Model'!$A$29:$A$75,0)),0)),"")</f>
        <v>1836</v>
      </c>
      <c r="JG15">
        <f t="shared" si="109"/>
        <v>7.3529411764705885E-2</v>
      </c>
      <c r="JH15">
        <f t="shared" si="110"/>
        <v>13.6</v>
      </c>
      <c r="JI15">
        <f t="shared" si="111"/>
        <v>0</v>
      </c>
      <c r="JJ15" t="str">
        <f t="shared" si="112"/>
        <v>Hollow</v>
      </c>
      <c r="JK15">
        <f t="shared" si="113"/>
        <v>1</v>
      </c>
      <c r="JL15">
        <f t="shared" si="114"/>
        <v>0</v>
      </c>
      <c r="JM15">
        <f t="shared" si="115"/>
        <v>0</v>
      </c>
      <c r="JN15">
        <f t="shared" si="116"/>
        <v>0</v>
      </c>
      <c r="JO15">
        <f t="shared" si="117"/>
        <v>0</v>
      </c>
      <c r="JP15">
        <f t="shared" si="118"/>
        <v>0</v>
      </c>
      <c r="JQ15">
        <f t="shared" si="119"/>
        <v>0</v>
      </c>
      <c r="JR15">
        <v>0</v>
      </c>
      <c r="JS15">
        <f>IFERROR(IF(AND(ISNUMBER($AA15),'King Node Model'!$A$8="Pos",OR($AG15="S",$AG15="R"),N($AB15)&gt;0,N($HP15)&lt;&gt;1,OR(AND($KC15="DOWN",N($AF15)&lt;0,N($AF15)=MIN($AF$9:$AF$55),-N($AF15)&gt;=MAX($AF$9:$AF$55)),AND($KC15="UP",N($AF15)&gt;0,N($AF15)=MAX($AF$9:$AF$55),N($AF15)&gt;=-MIN($AF$9:$AF$55)))),1,0),0)</f>
        <v>0</v>
      </c>
      <c r="JT15">
        <v>0</v>
      </c>
      <c r="JU15">
        <f>IFERROR(IF(AND(N($BG$109)=1,ISNUMBER($AA15),'King Node Model'!$A$8="Pos",N($CZ15)=1,N($AB15)&gt;0),1,0),0)</f>
        <v>0</v>
      </c>
      <c r="JV15" t="str">
        <f t="shared" si="120"/>
        <v>BUY</v>
      </c>
      <c r="JW15">
        <f t="shared" si="121"/>
        <v>0</v>
      </c>
      <c r="JX15">
        <f t="shared" si="122"/>
        <v>0</v>
      </c>
      <c r="JY15">
        <f t="shared" si="123"/>
        <v>0</v>
      </c>
      <c r="JZ15">
        <f t="shared" si="124"/>
        <v>0</v>
      </c>
      <c r="KA15">
        <f t="shared" si="125"/>
        <v>0</v>
      </c>
      <c r="KB15">
        <f t="shared" si="126"/>
        <v>0</v>
      </c>
      <c r="KC15" t="str">
        <f t="shared" si="127"/>
        <v>DOWN</v>
      </c>
      <c r="KE15" t="str">
        <f t="shared" si="128"/>
        <v>Now: strengthening the ceiling (IV rising) · if IV falls: weakens the ceiling · expected on arrival: WEAKENS ✗</v>
      </c>
      <c r="KF15" t="str">
        <f t="shared" si="129"/>
        <v>BUY</v>
      </c>
      <c r="KG15">
        <f t="shared" si="192"/>
        <v>0</v>
      </c>
      <c r="KH15" t="str">
        <f t="shared" si="130"/>
        <v/>
      </c>
      <c r="KI15" t="str">
        <f t="shared" si="131"/>
        <v/>
      </c>
      <c r="KJ15">
        <f t="shared" si="132"/>
        <v>0</v>
      </c>
      <c r="KK15">
        <f t="shared" si="133"/>
        <v>0</v>
      </c>
      <c r="KL15">
        <f t="shared" si="134"/>
        <v>0</v>
      </c>
      <c r="KM15">
        <f t="shared" si="135"/>
        <v>0</v>
      </c>
      <c r="KN15">
        <f t="shared" si="136"/>
        <v>0</v>
      </c>
      <c r="KO15">
        <v>0</v>
      </c>
      <c r="KP15">
        <f t="shared" si="137"/>
        <v>0</v>
      </c>
      <c r="KQ15">
        <f t="shared" si="138"/>
        <v>0</v>
      </c>
      <c r="KR15">
        <f t="shared" si="139"/>
        <v>0</v>
      </c>
      <c r="KS15">
        <f t="shared" si="140"/>
        <v>0</v>
      </c>
      <c r="KT15">
        <f t="shared" si="141"/>
        <v>0</v>
      </c>
      <c r="KU15">
        <f>IF(AND(ISNUMBER($AA15),ISNUMBER($AE15),ISNUMBER($AE14),N($AE15)&lt;&gt;0),($AE15-$AE14)/$AE15,"")</f>
      </c>
      <c r="KV15">
        <f>IF(AND(ISNUMBER($AA15),ISNUMBER($AE15),ISNUMBER($AE16),N($AE15)&lt;&gt;0),($AE15-$AE16)/$AE15,"")</f>
      </c>
      <c r="KW15">
        <f>IFERROR(IF(OR(NOT(ISNUMBER($AA15)),'King Node Model'!$A$8&lt;&gt;"Pos",N($BG$72)=1,ABS(N($AE15))&lt;$BG$113,$FA15="DOM",$AA15='King Node Model'!$T$23,AND(N($BG$116)=1,$AA15='King Node Model'!$F$24),NOT(ISNUMBER($KU15)),NOT(ISNUMBER($KV15))),0,IF(AND($AG15="S",COUNTIF('Master Dashboard'!$AN$16:$AN$18,$AA15)=0,$KU15&gt;=$BG$114,$KU15&gt;=$KV15+$BG$115),1,IF(AND($AG15="R",COUNTIF('Master Dashboard'!$AN$13:$AN$15,$AA15)=0,$KV15&gt;=$BG$114,$KV15&gt;=$KU15+$BG$115),-1,0))),0)</f>
        <v>0</v>
      </c>
      <c r="KX15">
        <f t="shared" si="144"/>
        <v>0</v>
      </c>
      <c r="KY15">
        <f t="shared" si="145"/>
        <v>0</v>
      </c>
      <c r="KZ15">
        <f t="shared" si="146"/>
        <v>0</v>
      </c>
      <c r="LA15">
        <f t="shared" si="147"/>
        <v>0</v>
      </c>
      <c r="LB15">
        <f t="shared" si="148"/>
        <v>0</v>
      </c>
      <c r="LC15">
        <f t="shared" si="149"/>
        <v>0</v>
      </c>
      <c r="LD15">
        <f t="shared" si="150"/>
        <v>0</v>
      </c>
      <c r="LE15">
        <f t="shared" si="151"/>
        <v>0</v>
      </c>
      <c r="LF15">
        <f t="shared" si="152"/>
        <v>0</v>
      </c>
      <c r="LG15" t="str">
        <f t="shared" si="153"/>
        <v/>
      </c>
      <c r="LH15" t="str">
        <f t="shared" si="154"/>
        <v/>
      </c>
      <c r="LI15" t="str">
        <f t="shared" si="155"/>
        <v/>
      </c>
      <c r="LJ15" t="str">
        <f t="shared" si="156"/>
        <v/>
      </c>
      <c r="LK15" t="str">
        <f t="shared" si="157"/>
        <v/>
      </c>
      <c r="LL15">
        <f t="shared" si="158"/>
        <v>0</v>
      </c>
      <c r="LM15">
        <f t="shared" si="159"/>
        <v>0</v>
      </c>
      <c r="LN15">
        <f t="shared" si="160"/>
        <v>0</v>
      </c>
      <c r="LO15">
        <v>0</v>
      </c>
      <c r="LP15">
        <f t="shared" si="161"/>
        <v>0</v>
      </c>
      <c r="LQ15" t="str">
        <f t="shared" si="162"/>
        <v/>
      </c>
      <c r="LR15">
        <f t="shared" si="163"/>
        <v>0</v>
      </c>
      <c r="LS15">
        <f t="shared" si="164"/>
        <v>0</v>
      </c>
      <c r="LT15">
        <f t="shared" si="165"/>
        <v>0</v>
      </c>
      <c r="LU15">
        <f t="shared" si="166"/>
        <v>0</v>
      </c>
      <c r="LV15">
        <f t="shared" si="167"/>
        <v>0</v>
      </c>
      <c r="LW15">
        <f t="shared" si="168"/>
        <v>0</v>
      </c>
      <c r="LX15">
        <f t="shared" si="169"/>
        <v>0</v>
      </c>
      <c r="LY15">
        <f t="shared" si="170"/>
        <v>0</v>
      </c>
      <c r="LZ15">
        <f t="shared" si="171"/>
        <v>0</v>
      </c>
      <c r="MA15">
        <f t="shared" si="172"/>
        <v>0</v>
      </c>
      <c r="MB15">
        <v>0</v>
      </c>
      <c r="MC15">
        <f t="shared" si="173"/>
        <v>1</v>
      </c>
      <c r="MD15">
        <f t="shared" si="174"/>
        <v>1</v>
      </c>
      <c r="ME15">
        <f t="shared" si="175"/>
        <v>0</v>
      </c>
      <c r="MF15">
        <f t="shared" si="176"/>
        <v>0</v>
      </c>
      <c r="MG15">
        <f t="shared" si="177"/>
        <v>0</v>
      </c>
      <c r="MH15">
        <f t="shared" si="178"/>
        <v>0</v>
      </c>
      <c r="MI15" t="str">
        <f t="shared" si="179"/>
        <v/>
      </c>
      <c r="MJ15">
        <f t="shared" si="180"/>
        <v>0</v>
      </c>
      <c r="MK15">
        <f t="shared" si="181"/>
        <v>0</v>
      </c>
      <c r="ML15">
        <f>IF(AND(OR('King Node Model'!$A$8="Neg",N($BG$72)=1),ISNUMBER($AA15),$AG15="R",N($AB15)&lt;0),IF(AND($AA14=$AA15+5,N($AB14)&gt;0,$AA13=$AA15+10,N($AB13)&lt;0),1,IF(AND($AA14=$AA15+5,N($AB14)&gt;0,$AA13=$AA15+10,N($AB13)&gt;0,$AA12=$AA15+15,N($AB12)&lt;0),2,IF(AND($AA14=$AA15+5,N($AB14)&gt;0,$AA13=$AA15+10,N($AB13)&gt;0,$AA12=$AA15+15,N($AB12)&gt;0,$AA11=$AA15+20,N($AB11)&lt;0),3,IF(AND($AA14=$AA15+5,N($AB14)&gt;0,$AA13=$AA15+10,N($AB13)&gt;0,$AA12=$AA15+15,N($AB12)&gt;0,$AA11=$AA15+20,N($AB11)&gt;0,$AA10=$AA15+25,N($AB10)&lt;0),4,0)))),0)</f>
      </c>
      <c r="MM15">
        <f>IF(AND(OR('King Node Model'!$A$8="Neg",N($BG$72)=1),ISNUMBER($AA15),$AG15="S",N($AB15)&lt;0),IF(AND($AA16=$AA15-5,N($AB16)&gt;0,$AA17=$AA15-10,N($AB17)&lt;0),1,IF(AND($AA16=$AA15-5,N($AB16)&gt;0,$AA17=$AA15-10,N($AB17)&gt;0,$AA18=$AA15-15,N($AB18)&lt;0),2,IF(AND($AA16=$AA15-5,N($AB16)&gt;0,$AA17=$AA15-10,N($AB17)&gt;0,$AA18=$AA15-15,N($AB18)&gt;0,$AA19=$AA15-20,N($AB19)&lt;0),3,IF(AND($AA16=$AA15-5,N($AB16)&gt;0,$AA17=$AA15-10,N($AB17)&gt;0,$AA18=$AA15-15,N($AB18)&gt;0,$AA19=$AA15-20,N($AB19)&gt;0,$AA20=$AA15-25,N($AB20)&lt;0),4,0)))),0)</f>
      </c>
      <c r="MN15">
        <f>IF(N($ML15)&gt;0,$AA15,0)</f>
      </c>
      <c r="MO15">
        <f>IF(N($MM15)&gt;0,$AA15,0)</f>
      </c>
      <c r="MP15">
        <f>IF(AND(OR('King Node Model'!$A$8="Neg",N($BG$72)=1),ISNUMBER($BG$155),$AA15=$BG$155,N($NC15)=1),2,IF(AND(OR('King Node Model'!$A$8="Neg",N($BG$72)=1),ISNUMBER($BG$156),$AA15=$BG$156,N($ND15)=1),1,0))</f>
      </c>
      <c r="MQ15">
        <f>IF(ABS(AE15)&lt;=0,0,IF($AG15="R",IF(ISNUMBER(AE14),IF((ABS(AE14)-ABS(AE15))/ABS(AE15)&lt;-0.4,1,0),0),IF(ISNUMBER(AE16),IF((ABS(AE16)-ABS(AE15))/ABS(AE15)&lt;-0.4,1,0),0)))</f>
      </c>
      <c r="MR15">
        <f>IF(OR(N($MQ15)&lt;&gt;1,N($BG$157)&lt;&gt;1,NOT(ISNUMBER($KU15)),NOT(ISNUMBER($KV15))),0,IF(OR(AND($AG15="S",OR(AND($KU15&gt;=$BG$114,$KU15&gt;=$KV15+$BG$115),AND($KU15&gt;1,$KV15&lt;=1,$KV15&gt;=$BG$114))),AND($AG15="R",OR(AND($KV15&gt;=$BG$114,$KV15&gt;=$KU15+$BG$115),AND($KV15&gt;1,$KU15&lt;=1,$KU15&gt;=$BG$114)))),1,0))</f>
      </c>
      <c r="MS15" t="str">
        <f>IF(AND(N($MR15)=1,N($NA15)&lt;&gt;1),"• DEX falls off more sharply "&amp;IF($AG15="S","above (","below (")&amp;TEXT(IF($AG15="S",$KU15,$KV15),"0%")&amp;") than "&amp;IF($AG15="S","below (","above (")&amp;TEXT(IF($AG15="S",$KV15,$KU15),"0%")&amp;") — Dex↓ not counted",IF(N($MW15)=1,"• Shoulder of the "&amp;IF($AG15="R",$AA16,$AA14)&amp;" wall — own DEX "&amp;TEXT($AE15/1000,"+#,##0;-#,##0")&amp;"K is "&amp;TEXT(ABS($AE15)/ABS(IF($AG15="R",$AE16,$AE14)),"0%")&amp;" of "&amp;TEXT(IF($AG15="R",$AE16,$AE14)/1000,"+#,##0;-#,##0")&amp;"K, Dex↓ not counted",""))</f>
      </c>
      <c r="MT15">
        <f>IF(AND(ISNUMBER($AA15),$AG15="S",ISNUMBER($AB15),$AB15=MIN($AB$9:$AB$55),$AA15=$BG$105,$JV15="BUY",ABS(N($AD15))&gt;=$BG$158),1,0)</f>
      </c>
      <c r="MU15" t="str">
        <f>IF(N($MY15)=1,"",IF(OR(N($MT15)=1,AND(OR('King Node Model'!$A$8="Neg",N($BG$72)=1),$AG15="S",ISNUMBER($AB15),$AB15=MIN($AB$9:$AB$55),$AA15=$BG$105)),"• Min GEX + Max Zomma (no reversal flag required) — accelerant warning not applied; zomma acceleration warning only within "&amp;$BG$98&amp;" pts of the level, and not when vanna buying is "&amp;TEXT($BG$158/1000,"0")&amp;"K or more"&amp;CHAR(10)&amp;IF(N($MT15)=1,"• Max Zomma and vanna buying ("&amp;TEXT(N($AD15)/1000,"+#,##0;-#,##0")&amp;"K) make this level safe","• Max Zomma is what makes this level safe"),"")&amp;$NB15&amp;$NI15)</f>
      </c>
      <c r="MV15" t="str">
        <f>IF(AND(ISNUMBER($AA15),OR($AA15=$BG$118,$AA15=$BG$119)),IF(N($AZ15)*IF($AG15="R",1,-1)&gt;0,"✓",IF(N($AZ15)*IF($AG15="R",1,-1)&lt;0,"✗","")),"")</f>
      </c>
      <c r="MW15">
        <f>IF(AND(N($MQ15)=1,N($BG$159)&gt;0,ISNUMBER(IF($AG15="R",$AE16,$AE14)),N(IF($AG15="R",$AE16,$AE14))&lt;&gt;0),IF(ABS(N($AE15))&lt;$BG$159*ABS(IF($AG15="R",$AE16,$AE14)),1,0),0)</f>
      </c>
      <c r="MX15">
        <f>IF(AND(ISNUMBER($AA15),$AA15=$BG$121,$AG15="R",N($AE15)&lt;0,OR(COUNTIF('King Node Model'!$AL$42:$AL$44,$AA15)=0,N($HP15)=1),N($NC15)=1),2,IF(AND(ISNUMBER($AA15),$AA15=$BG$120,$AG15="S",N($AE15)&gt;0,OR(COUNTIF('King Node Model'!$AL$49:$AL$51,$AA15)=0,N($HP15)=1),N($ND15)=1),1,0))</f>
      </c>
      <c r="MY15">
        <f>IF(AND(N($NA15)=1,NOT(AND(AND($AG15="S",ISNUMBER($AB15),$AB15=MIN($AB$9:$AB$55),$AA15=$BG$105),IFERROR(INDEX($AG$9:$AG$55,MATCH('King Node Model'!$B$23,$AA$9:$AA$55,0)),"")="R")),N($AV15)&lt;&gt;1),1,0)</f>
      </c>
      <c r="MZ15" t="str">
        <f>IF(N($MY15)&lt;&gt;1,"","• DEX falls off more sharply "&amp;IF($AG15="S","above (","below (")&amp;TEXT(IF($AG15="S",$KU15,$KV15),"0%")&amp;") than "&amp;IF($AG15="S","below (","above (")&amp;TEXT(IF($AG15="S",$KV15,$KU15),"0%")&amp;") — path of least resistance "&amp;IF($AG15="S","down","up")&amp;IF(N($AZ15)*IF($AG15="R",1,-1)&lt;0,CHAR(10)&amp;"• Speed against — GEX gets more negative as price "&amp;IF($AG15="R","rises","falls")&amp;" into it (speed "&amp;TEXT(N($AZ15),"#,##0;−#,##0")&amp;")","")&amp;IF(OR(N($NG15)=1,N($JC15)=1),CHAR(10)&amp;"• "&amp;IF(N($JC15)=1,"DOM with vanna BUY "&amp;TEXT(N($AD15)/1000,"+#,##0;−#,##0")&amp;"K","Put wall + Max Zomma + DOM")&amp;" backs the level, but it does not outweigh DEX"&amp;IF(N($AZ15)*IF($AG15="R",1,-1)&lt;0," and speed",""),IF(AND($AG15="S",ISNUMBER($AB15),$AB15=MIN($AB$9:$AB$55),$AA15=$BG$105),CHAR(10)&amp;"• Min GEX + Max Zomma backs the level, but it does not outweigh DEX"&amp;IF(N($AZ15)*IF($AG15="R",1,-1)&lt;0," and speed",""),IF(OR(N($JI15)=1,AND(N($GV15)=1,N($JK15)&lt;&gt;1,N($IW15)&lt;&gt;1),N($JC15)=1,AND($AA15='King Node Model'!$F$24,N($JN15)&lt;&gt;1,OR($AG15="R",AND($AG15="S",$F$4="High",IF($BG$80&lt;&gt;"",UPPER($BG$80),$D$5)="UP")))),CHAR(10)&amp;"• Vanna "&amp;IF($AG15="S","BUY ","SELL ")&amp;TEXT(N($AD15)/1000,"+#,##0;−#,##0")&amp;"K backs the level, but it does not outweigh DEX"&amp;IF(N($AZ15)*IF($AG15="R",1,-1)&lt;0," and speed",""),"")))&amp;IF(N($NE15)=1,CHAR(10)&amp;"• Buy-lean max-node exemption not applied — DEX leans against the level",""))</f>
      </c>
      <c r="NA15">
        <f>IF(AND(OR('King Node Model'!$A$8="Neg",N($BG$72)=1),ISNUMBER($AA15),ABS(N($AE15))&gt;=$BG$152,ISNUMBER($KU15),ISNUMBER($KV15)),IF(OR(AND($AG15="S",OR(AND($KU15&gt;=$BG$114,$KU15&gt;=$KV15+$BG$115),AND($KU15&gt;1,$KV15&lt;=1,$KV15&gt;=$BG$114))),AND($AG15="R",OR(AND($KV15&gt;=$BG$114,$KV15&gt;=$KU15+$BG$115),AND($KV15&gt;1,$KU15&lt;=1,$KU15&gt;=$BG$114)))),1,0),0)</f>
      </c>
      <c r="NB15" t="str">
        <f>IF(AND(N($NA15)=1,AND(AND($AG15="S",ISNUMBER($AB15),$AB15=MIN($AB$9:$AB$55),$AA15=$BG$105),IFERROR(INDEX($AG$9:$AG$55,MATCH('King Node Model'!$B$23,$AA$9:$AA$55,0)),"")="R")),CHAR(10)&amp;"• DEX falls off more sharply above ("&amp;TEXT($KU15,"0%")&amp;") than below ("&amp;TEXT($KV15,"0%")&amp;") — DEX-lean warning not applied: Min GEX + Max Zomma support with Max Gamma "&amp;'King Node Model'!$B$23&amp;" above (Dex↓ not counted)",IF(AND(OR(N($NA15)=1,N($NF15)=1),N($AV15)=1),IF(AND(OR('King Node Model'!$A$8="Neg",N($BG$72)=1),$AG15="S",ISNUMBER($AB15),$AB15=MIN($AB$9:$AB$55),$AA15=$BG$105),CHAR(10),"")&amp;"• DEX falls off more sharply "&amp;IF($AG15="S","above (","below (")&amp;TEXT(IF($AG15="S",$KU15,$KV15),"0%")&amp;") than "&amp;IF($AG15="S","below (","above (")&amp;TEXT(IF($AG15="S",$KV15,$KU15),"0%")&amp;") — DEX lean does not apply to iDex (isolated DEX)",""))</f>
      </c>
      <c r="NC15">
        <f>IF(OR($BG$163=1,AND($BG$161&gt;0,$BG$162&lt;99999,ISNUMBER($AA15),$AA15&lt;$BG$162)),1,0)</f>
      </c>
      <c r="ND15">
        <f>IF(OR($BG$163=-1,AND($BG$161&gt;0,$BG$162&lt;99999,ISNUMBER($AA15),$AA15&gt;$BG$161)),1,0)</f>
      </c>
      <c r="NE15">
        <f>IF(AND(OR('King Node Model'!$A$8="Neg",N($BG$72)=1),ISNUMBER(SEARCH("LOW",'Master Dashboard'!$M$5)),ISNUMBER(SEARCH("BUY",'Master Dashboard'!$G$8)),'King Node Model'!$T$23='King Node Model'!$B$23,OR($AA15='King Node Model'!$T$23,AND($AG15="R",$AA15='King Node Model'!$T$23+5)),OR(AND($AG15="S",$JV15="BUY"),AND($AG15="R",$JV15="SELL"))),1,0)</f>
      </c>
      <c r="NF15">
        <f>IFERROR(IF(OR(NOT(ISNUMBER($AA15)),'King Node Model'!$A$8&lt;&gt;"Pos",N($BG$72)=1,ABS(N($AE15))&lt;$BG$113,$FA15="DOM",$AA15='King Node Model'!$T$23,AND(N($BG$116)=1,$AA15='King Node Model'!$F$24),NOT(ISNUMBER($KU15)),NOT(ISNUMBER($KV15))),0,IF(AND($AG15="S",COUNTIF('Master Dashboard'!$AN$16:$AN$18,$AA15)=0,$KU15&gt;=$BG$114,$KU15&gt;=$KV15+$BG$115,NOT(AND(N($AN16)=1,N($KV15)&lt;0)),N($AE15)&lt;=0),1,IF(AND($AG15="R",COUNTIF('Master Dashboard'!$AN$13:$AN$15,$AA15)=0,$KV15&gt;=$BG$114,$KV15&gt;=$KU15+$BG$115,NOT(AND(N($AN14)=1,N($KU15)&lt;0))),-1,0))),0)</f>
      </c>
      <c r="NG15">
        <f t="shared" si="202"/>
      </c>
      <c r="NI15" t="str">
        <f>IF(AND(ISNUMBER($BG$165),ISNUMBER($AA15)),IF(OR(AND($AG15="S",$AA15&gt;$BG$165,$AA15-$BG$165&lt;=5),AND($AG15="R",$AA15&lt;$BG$165,$BG$165-$AA15&lt;=5)),IF(OR(AND(OR('King Node Model'!$A$8="Neg",N($BG$72)=1),$AG15="S",ISNUMBER($AB15),$AB15=MIN($AB$9:$AB$55),$AA15=$BG$105),$NB15&lt;&gt;""),CHAR(10),"")&amp;"• DOM forming at "&amp;$BG$165&amp;" (gamma "&amp;TEXT($BG$166,"0%")&amp;" of max) — price may be pulled to the node",""),"")</f>
      </c>
      <c r="NJ15">
        <f>IF(LEN($NI15)&gt;0,1,0)</f>
      </c>
    </row>
    <row r="16" spans="1:349" ht="15" customHeight="1" x14ac:dyDescent="0.25">
      <c r="A16" s="215" t="s">
        <v>1217</v>
      </c>
      <c r="R16" t="s">
        <v>1568</v>
      </c>
      <c r="S16">
        <f>IFERROR(LARGE(ES9:ES55,8),0)</f>
        <v>3123983</v>
      </c>
      <c r="AA16" s="181">
        <f>'King Node Model'!A36</f>
        <v>7850</v>
      </c>
      <c r="AB16" s="276">
        <f>'King Node Model'!C36</f>
        <v>214075</v>
      </c>
      <c r="AC16" s="181">
        <f>ABS('King Node Model'!B36)</f>
        <v>351467</v>
      </c>
      <c r="AD16" s="276">
        <f>'King Node Model'!F36</f>
        <v>977792</v>
      </c>
      <c r="AE16" s="276">
        <f>'King Node Model'!E36</f>
        <v>-990746</v>
      </c>
      <c r="AF16" s="276">
        <f>'King Node Model'!D36</f>
        <v>4630498</v>
      </c>
      <c r="AG16" s="181" t="str">
        <f t="shared" si="6"/>
        <v>R</v>
      </c>
      <c r="AH16" s="181">
        <f t="shared" si="7"/>
        <v>12</v>
      </c>
      <c r="AI16" s="181" t="str">
        <f t="shared" si="8"/>
        <v>SELL</v>
      </c>
      <c r="AJ16" s="181">
        <f t="shared" si="9"/>
        <v>1</v>
      </c>
      <c r="AK16" s="181">
        <f>IF(ABS(N($AE16))&gt;=$BG$85,1,0)</f>
      </c>
      <c r="AL16" s="181">
        <f t="shared" si="10"/>
        <v>0</v>
      </c>
      <c r="AM16" s="181">
        <f t="shared" si="11"/>
        <v>4</v>
      </c>
      <c r="AN16" s="181">
        <f t="shared" si="12"/>
        <v>0</v>
      </c>
      <c r="AO16" s="1">
        <f t="shared" si="13"/>
        <v>990746</v>
      </c>
      <c r="AP16" s="1" t="str">
        <f t="shared" si="14"/>
        <v/>
      </c>
      <c r="AQ16" s="1">
        <f t="shared" si="15"/>
        <v>4630498</v>
      </c>
      <c r="AR16" s="181">
        <f t="shared" si="16"/>
        <v>0.46288214216545104</v>
      </c>
      <c r="AS16" s="181">
        <f t="shared" si="17"/>
        <v>8</v>
      </c>
      <c r="AT16" s="181" t="str">
        <f t="shared" si="18"/>
        <v/>
      </c>
      <c r="AU16" s="181" t="str">
        <f t="shared" si="19"/>
        <v/>
      </c>
      <c r="AV16" s="218">
        <f t="shared" si="183"/>
        <v>0</v>
      </c>
      <c r="AW16" s="181">
        <f>ABS('King Node Model'!G36)</f>
        <v>732</v>
      </c>
      <c r="AX16" s="181">
        <f t="shared" si="20"/>
        <v>0</v>
      </c>
      <c r="AY16" s="181">
        <f t="shared" si="21"/>
        <v>0</v>
      </c>
      <c r="AZ16" s="276">
        <f>'King Node Model'!I36</f>
        <v>3987</v>
      </c>
      <c r="BA16" s="181">
        <f t="shared" si="22"/>
        <v>0</v>
      </c>
      <c r="BB16" s="181" t="str">
        <f t="shared" si="23"/>
        <v>R8</v>
      </c>
      <c r="BC16" s="10">
        <f>'King Node Model'!C36</f>
        <v>214075</v>
      </c>
      <c r="BD16" s="218">
        <f t="shared" si="184"/>
        <v>0</v>
      </c>
      <c r="BE16" s="218">
        <f t="shared" si="185"/>
        <v>0</v>
      </c>
      <c r="BF16" s="218" t="s">
        <v>1218</v>
      </c>
      <c r="BG16">
        <v>0.6</v>
      </c>
      <c r="BI16" s="218">
        <f t="shared" si="186"/>
        <v>0</v>
      </c>
      <c r="BJ16" s="218">
        <f t="shared" si="187"/>
        <v>0</v>
      </c>
      <c r="BK16" s="218">
        <f t="shared" si="24"/>
        <v>0</v>
      </c>
      <c r="BL16" s="10">
        <f>'King Node Model'!H36</f>
        <v>28</v>
      </c>
      <c r="BM16" s="218">
        <f t="shared" si="25"/>
        <v>24</v>
      </c>
      <c r="BN16" s="218">
        <f t="shared" si="26"/>
        <v>11</v>
      </c>
      <c r="BO16" s="218">
        <f t="shared" si="27"/>
        <v>0</v>
      </c>
      <c r="BP16" s="218">
        <f t="shared" si="28"/>
        <v>0</v>
      </c>
      <c r="BQ16" t="str">
        <f t="shared" si="29"/>
        <v/>
      </c>
      <c r="BR16" t="str">
        <f t="shared" si="30"/>
        <v/>
      </c>
      <c r="BS16" s="218">
        <f t="shared" si="31"/>
        <v>0</v>
      </c>
      <c r="BT16" t="str">
        <f t="shared" si="32"/>
        <v/>
      </c>
      <c r="BU16" t="str">
        <f t="shared" si="33"/>
        <v/>
      </c>
      <c r="BV16" s="218">
        <f t="shared" si="34"/>
        <v>977792</v>
      </c>
      <c r="BW16" s="218">
        <f t="shared" si="35"/>
        <v>990746</v>
      </c>
      <c r="BX16" s="218">
        <f>IF(AND(ISNUMBER(BC16),BC16&gt;=$BG$160,OR('King Node Model'!$A$8="Neg",N($BG$72)=1)),1,0)</f>
        <v>1</v>
      </c>
      <c r="BY16" s="218">
        <f t="shared" si="36"/>
        <v>0</v>
      </c>
      <c r="BZ16" s="218">
        <f t="shared" si="37"/>
        <v>0</v>
      </c>
      <c r="CA16" t="str">
        <f t="shared" si="38"/>
        <v/>
      </c>
      <c r="CB16" s="218">
        <f>IF(AND(ISNUMBER('King Node Model'!$D$27),AG16&lt;&gt;"",AA16='King Node Model'!$D$27),1,0)</f>
        <v>0</v>
      </c>
      <c r="CC16" s="218">
        <f>IF(OR('King Node Model'!$A$8="Neg",N($BG$72)=1),$BG$14*IF(ISNUMBER('King Node Model'!$D$26),MAX(0,1-ABS(AA16-'King Node Model'!$D$26)/$BG$18),0)+$BG$15*IFERROR(BV16/MAX($BV$9:$BV$55),0)+$BG$16*IFERROR(BW16/MAX($BW$9:$BW$55),0)+$BG$17*IFERROR(AC16/$S$11,0)*MAX(0,1+$BG$21*CF16),AR16)</f>
        <v>0.87806061626577869</v>
      </c>
      <c r="CD16" s="218">
        <f>IF(OR('King Node Model'!$A$8="Neg",N($BG$72)=1),IF(AND(AG16&lt;&gt;"",ABS(AA16-$B$4)&lt;=$BG$7,OR(AX16=0,$D$5&lt;&gt;"UP"),AY16=0,BK16&lt;&gt;1,CI16=0,AM16&gt;=$BG$20,AC16&gt;$BG$19),1,0),IF(AND(BS16=1,(COUNTIF($W$9:$W$14,AA16)+COUNTIF($W$18:$W$23,AA16))&gt;0,CI16=0,AM16&gt;=$BG$20,AC16&gt;$BG$19),1,0))</f>
        <v>0</v>
      </c>
      <c r="CE16" t="str">
        <f t="shared" si="39"/>
        <v/>
      </c>
      <c r="CF16" s="218">
        <f t="shared" si="40"/>
        <v>0</v>
      </c>
      <c r="CG16" t="str">
        <f t="shared" si="41"/>
        <v/>
      </c>
      <c r="CH16" t="str">
        <f t="shared" si="42"/>
        <v>Dormant</v>
      </c>
      <c r="CI16" s="218">
        <f t="shared" si="43"/>
        <v>0</v>
      </c>
      <c r="CJ16" s="218">
        <f t="shared" si="44"/>
        <v>387420489</v>
      </c>
      <c r="CK16" s="218">
        <f t="shared" si="45"/>
        <v>0</v>
      </c>
      <c r="CL16" s="218">
        <f t="shared" si="46"/>
        <v>0</v>
      </c>
      <c r="CR16" s="394" t="s">
        <v>1219</v>
      </c>
      <c r="CS16" s="218">
        <f>CM8</f>
        <v>-1</v>
      </c>
      <c r="CT16">
        <v>2</v>
      </c>
      <c r="CU16" s="218">
        <f>IF(AND(AND('King Node Model'!$A$8&lt;&gt;"Neg",N($BG$72)&lt;&gt;1),SUMPRODUCT(($AG$9:$AG$55="S")*ISNUMBER($AT$9:$AT$55)*ISNUMBER($AU$9:$AU$55)*($AT$9:$AT$55&lt;&gt;$AU$9:$AU$55)*($AT$9:$AT$55&lt;=$AA16)*($AU$9:$AU$55&gt;=$AA16))&gt;0),0,IF(AND(OR($AA16='King Node Model'!$T$22,$AA16='King Node Model'!$F$24),$AG16="R",COUNTIF($W$9:$W$14,$AA16)&gt;0),1,IF(AND($FN16=1,$EU16&lt;&gt;1,$EM16&lt;&gt;1,$BK16&lt;&gt;1,$DH16&lt;&gt;1,$AG16="R",COUNTIF($W$9:$W$14,$AA16)&gt;0),1,IF($EU16=1,0,IF($EM16=1,0,IF(AND(OR($EE16=1,$GV16=1,AND($EL$7=1,$AA16='King Node Model'!$D$26,$EI16=1),AND(OR($AA16='King Node Model'!$T$22,$AA16='King Node Model'!$T$23),$AN16=1,OR($AX16=0,$D$5&lt;&gt;"UP"))),OR(NOT(OR('King Node Model'!$A$8="Neg",N($BG$72)=1)),$GV16=1,AND(OR($AA16='King Node Model'!$T$22,$AA16='King Node Model'!$T$23),$AN16=1,OR($AX16=0,$D$5&lt;&gt;"UP")),AND($AM16&gt;=$BG$20,$AC16&gt;IF($CZ16=1,$BG$48,$BG$19)))),1,IF($DH16=1,0,IF(AND($DC16=1,$GS16&lt;&gt;1,AND('King Node Model'!$A$8&lt;&gt;"Neg",N($BG$72)&lt;&gt;1)),0,IF(AND($EY16=1,NOT(OR('King Node Model'!$A$8="Neg",$BG$72=1)),$AA16&lt;&gt;'King Node Model'!$B$23),0,IF(AND($GS16=1,$AG16="R",OR($CI16=0,$EE16=1,$EX16=1,$GV16=1),COUNTIF($W$9:$W$14,$AA16)&gt;0,ABS($AA16-$B$4)&lt;=$BG$7,$BK16&lt;&gt;1,$AM16&gt;=$BG$20,$AC16&gt;IF($CZ16=1,$BG$48,$BG$19)),1,IF(OR('King Node Model'!$A$8="Neg",N($BG$72)=1),IF(AND(OR($AM16&gt;=$BG$20,$AA16='King Node Model'!$D$26,$GV16=1),$AG16="R",COUNTIF($W$9:$W$14,$AA16)&gt;0,ABS($AA16-$B$4)&lt;=$BG$7,OR($AX16=0,$D$5&lt;&gt;"UP"),$BK16&lt;&gt;1,OR(OR($CI16=0,$AJ16=1),AND($EI16=1,$LA16=1,COUNTIF($W$9:$W$11,$AA16)&gt;0,$AN16=1,OR($AX16=0,$D$5&lt;&gt;"UP"))),$AM16&gt;=$BG$20,$AC16&gt;IF($CZ16=1,$BG$48,$BG$19),OR($AN16=1,N($LR16)=1,$AA16='King Node Model'!$D$26,AND($BY16=1,$AA16&gt;$B$4),$BX16=1,$CF16=1,$CF16=1,AND(OR($AA16=$CP$4,$AA16=$CP$5,$AA16=$CP$6,$AA16=$CP$7),ABS($AA16-$B$4)&lt;=30),AND($AX16=1,$D$5="DOWN"))),1,0),IF(AND(OR($AM16&gt;=3,$AA16='King Node Model'!$D$26,$GV16=1),$AG16="R",COUNTIF($W$9:$W$14,$AA16)&gt;0,ABS($AA16-$B$4)&lt;=$BG$7,OR($AX16=0,$D$5&lt;&gt;"UP"),$BK16&lt;&gt;1,OR($CI16=0,$AJ16=1),$AM16&gt;=$BG$20,$AC16&gt;IF($CZ16=1,$BG$48,$BG$19),OR($AC16&gt;=MAX($AC$9:$AC$55),$BC16&gt;0,$AA16='King Node Model'!$D$26,AND(OR($AA16=$CP$4,$AA16=$CP$5,$AA16=$CP$6,$AA16=$CP$7),ABS($AA16-$B$4)&lt;=30),$CF16=1,$AN16=1,AND($AX16=1,$D$5="DOWN"))),1,0))))))))))))</f>
        <v>0</v>
      </c>
      <c r="CV16" s="218">
        <f>IF(AND(OR('King Node Model'!$A$8="Neg",N($BG$72)=1),$AG16="S",N($LR16)=1,N($MB16)=1),1,IF(AND(AND('King Node Model'!$A$8&lt;&gt;"Neg",N($BG$72)&lt;&gt;1),SUMPRODUCT(($AG$9:$AG$55="R")*ISNUMBER($AT$9:$AT$55)*ISNUMBER($AU$9:$AU$55)*($AT$9:$AT$55&lt;&gt;$AU$9:$AU$55)*($AT$9:$AT$55&lt;=$AA16)*($AU$9:$AU$55&gt;=$AA16))&gt;0,NOT(AND(N($LC16)=1,$AA16='King Node Model'!$B$23))),0,IF(AND($AA16='King Node Model'!$F$24,$AG16="S",COUNTIF($W$18:$W$23,$AA16)&gt;0),1,IF(AND($FN16=1,$EU16&lt;&gt;1,$EM16&lt;&gt;1,$DH16&lt;&gt;1,$AG16="S",COUNTIF($W$18:$W$23,$AA16)&gt;0),1,IF($EU16=1,0,IF(AND(OR($EF16=1,$GV16=1,AND(OR($AA16='King Node Model'!$T$22,$AA16='King Node Model'!$T$23,AND($AG16="S",COUNTIF('Master Dashboard'!$AN$16:$AN$18,$AA16)&gt;0)),$AN16=1,OR($AX16=0,$D$5&lt;&gt;"UP"))),OR(NOT(OR('King Node Model'!$A$8="Neg",N($BG$72)=1)),$GV16=1,AND(OR($AA16='King Node Model'!$T$22,$AA16='King Node Model'!$T$23,AND($AG16="S",COUNTIF('Master Dashboard'!$AN$16:$AN$18,$AA16)&gt;0)),$AN16=1,OR($AX16=0,$D$5&lt;&gt;"UP")),AND($AM16&gt;=$BG$20,$AC16&gt;IF($CZ16=1,$BG$48,$BG$19)))),1,IF($DH16=1,0,IF(AND($DC16=1,$GS16&lt;&gt;1,AND('King Node Model'!$A$8&lt;&gt;"Neg",N($BG$72)&lt;&gt;1)),0,IF(AND($EY16=1,NOT(OR('King Node Model'!$A$8="Neg",$BG$72=1)),$AA16&lt;&gt;'King Node Model'!$B$23,COUNTIF('Master Dashboard'!$AN$16:$AN$18,$AA16)=0),0,IF(AND($GS16=1,$AG16="S",OR($CI16=0,$EF16=1,$EX16=1,$GV16=1),COUNTIF($W$18:$W$23,$AA16)&gt;0,ABS($AA16-$B$4)&lt;=$BG$7,$BK16&lt;&gt;1,$AM16&gt;=$BG$20,$AC16&gt;IF($CZ16=1,$BG$48,$BG$19)),1,IF(OR('King Node Model'!$A$8="Neg",N($BG$72)=1),IF(AND(OR(OR($AM16&gt;=$BG$20,N($LR16)=1),$AA16='King Node Model'!$D$26,$GV16=1),$AG16="S",COUNTIF($W$18:$W$23,$AA16)&gt;0,ABS($AA16-$B$4)&lt;=$BG$7,OR($AX16=0,$D$5&lt;&gt;"UP"),$BK16&lt;&gt;1,OR($CI16=0,$AJ16=1,AND(N($LR16)=1,N($MB16)=1),N($MT16)=1),OR($AM16&gt;=$BG$20,N($LR16)=1),$AC16&gt;IF($CZ16=1,$BG$48,$BG$19),OR($AB16&gt;0,$AN16=1,N($MT16)=1,N($LR16)=1,$AA16='King Node Model'!$D$26,AND($BY16=1,$AA16&lt;$B$4),$BX16=1,$CF16=1,$CF16=1,AND(OR($AA16=$CP$4,$AA16=$CP$5,$AA16=$CP$6,$AA16=$CP$7),ABS($AA16-$B$4)&lt;=30),AND($AX16=1,$D$5="DOWN"))),1,0),IF(AND(OR($AM16&gt;=3,$AA16='King Node Model'!$D$26,$GV16=1),$AG16="S",COUNTIF($W$18:$W$23,$AA16)&gt;0,ABS($AA16-$B$4)&lt;=$BG$7,OR($AX16=0,$D$5&lt;&gt;"UP"),$BK16&lt;&gt;1,OR($CI16=0,$AJ16=1,AND(N($LR16)=1,N($MB16)=1),N($MT16)=1),$AM16&gt;=$BG$20,$AC16&gt;IF($CZ16=1,$BG$48,$BG$19),OR($AC16&gt;=MAX($AC$9:$AC$55),$BC16&gt;0,N($MT16)=1,$AA16='King Node Model'!$D$26,AND(OR($AA16=$CP$4,$AA16=$CP$5,$AA16=$CP$6,$AA16=$CP$7),ABS($AA16-$B$4)&lt;=30),$CF16=1,$AN16=1,AND($AX16=1,$D$5="DOWN"))),1,0))))))))))))</f>
        <v>0</v>
      </c>
      <c r="CX16" s="218">
        <f t="shared" si="48"/>
        <v>0</v>
      </c>
      <c r="CY16" t="str">
        <f t="shared" si="49"/>
        <v/>
      </c>
      <c r="CZ16" s="218">
        <f t="shared" si="50"/>
        <v>0</v>
      </c>
      <c r="DA16" t="str">
        <f t="shared" si="51"/>
        <v/>
      </c>
      <c r="DB16" t="str">
        <f t="shared" si="52"/>
        <v/>
      </c>
      <c r="DC16" s="218">
        <f t="shared" si="53"/>
        <v>0</v>
      </c>
      <c r="DD16" s="218">
        <f t="shared" si="54"/>
        <v>0</v>
      </c>
      <c r="DE16" s="218">
        <f t="shared" si="55"/>
        <v>0</v>
      </c>
      <c r="DF16" t="str">
        <f t="shared" si="56"/>
        <v/>
      </c>
      <c r="DG16" t="str">
        <f t="shared" si="57"/>
        <v/>
      </c>
      <c r="DH16" s="218">
        <f t="shared" si="58"/>
        <v>0</v>
      </c>
      <c r="DI16">
        <v>1</v>
      </c>
      <c r="DJ16">
        <v>1</v>
      </c>
      <c r="DK16">
        <v>275544</v>
      </c>
      <c r="DL16">
        <v>0</v>
      </c>
      <c r="DM16" t="str">
        <f>IF(AND($CV16=1,$AG16="S"),IF(AND(OR('King Node Model'!$A$8="Neg",N($BG$72)=1),'King Node Model'!$S$52=""),IF(OR(N($AN16)=1,N($LR16)=1,$AB16&gt;0,$AJ16=1,N($JO16)=1,AND(NOT($AE16&gt;0),NOT(IFERROR(AND(ISNUMBER($BC16),ISNUMBER($BC15),($BC16&gt;=0)&lt;&gt;($BC15&gt;=0)),FALSE())),OR(AND($BM16&lt;=6,$BN16&lt;=6),ABS($AA16-'King Node Model'!$T$23)&lt;=5,$LA16=1))),1,0),1),"")</f>
        <v/>
      </c>
      <c r="DN16" t="str">
        <f t="shared" si="59"/>
        <v/>
      </c>
      <c r="DO16" t="str">
        <f t="shared" si="60"/>
        <v>W-list</v>
      </c>
      <c r="DP16" t="str">
        <f>IF(AND(OR('King Node Model'!$A$8="Neg",N($BG$72)=1),$AG16="S",ISNUMBER($AT16),ISNUMBER($AU16),$AT16&lt;&gt;$AU16,$AA16=$AT16),IF(AND(SUMPRODUCT(($AA$9:$AA$55&gt;=$AT16)*($AA$9:$AA$55&lt;=$AU16)*($AB$9:$AB$55&gt;0))&gt;0,SUMPRODUCT(($AA$9:$AA$55&gt;=$AT16)*($AA$9:$AA$55&lt;=$AU16)*($DM$9:$DM$55=1))&gt;0,SUMPRODUCT(($AA$9:$AA$55&gt;=$AT16)*($AA$9:$AA$55&lt;=$AU16)*(COUNTIF($W$18:$W$20,$AA$9:$AA$55)&gt;0))&gt;0),1,0),"")</f>
        <v/>
      </c>
      <c r="DS16">
        <v>0</v>
      </c>
      <c r="DT16">
        <v>0</v>
      </c>
      <c r="DU16" t="str">
        <f>IF('King Node Model'!$A$8&lt;&gt;"Pos","",IF(OR($AA16="",NOT(ISNUMBER($AA16)),ABS($AA16-$B$4)&gt;$BG$7),"",TEXT($AA16,"0")&amp;" | "&amp;IF($AG16="","unclassified",IF($AG16&lt;&gt;IF($AA16&gt;$B$4,"R","S"),"orphan: in "&amp;$AG16&amp;"-list, "&amp;IF($AA16&lt;$B$4,"below","above")&amp;" spot",IF(IF($AG16="R",COUNTIF($W$9:$W$14,$AA16),COUNTIF($W$18:$W$23,$AA16))=0,"not in "&amp;$AG16&amp;"-list",IF($DH16=1,"absorbed into shelf box",IF($BK16=1,"absorbed: adjacent reversal",IF($CI16=1,"accel-accelerant",IF($AC16&lt;=$BG$19,"below gamma-floor",IF($AM16&lt;$BG$20,"confluence "&amp;TEXT($AM16,"0")&amp;" &lt; "&amp;TEXT($BG$20,"0"),IF(AND($AX16=1,$D$5="UP"),"accelerant in up-move",IF(NOT(OR($AC16&gt;=MAX($AC$9:$AC$55),$BC16&gt;0,$AA16='King Node Model'!$D$26,AND(OR($AA16=$CP$4,$AA16=$CP$5,$AA16=$CP$6,$AA16=$CP$7),ABS($AA16-$B$4)&lt;=30),ISNUMBER(SEARCH("STRENGTHENING",$CG16)),$AN16=1,AND($AX16=1,$D$5="DOWN"))),"no surface flag","-&gt; qualifies"))))))))))))</f>
        <v/>
      </c>
      <c r="DV16" s="218">
        <f t="shared" si="61"/>
        <v>99999</v>
      </c>
      <c r="DW16" s="218">
        <f t="shared" si="62"/>
        <v>99999</v>
      </c>
      <c r="DX16" t="str">
        <f>IF('King Node Model'!$A$8&lt;&gt;"Pos","",IF(AND($DV16&lt;99999,$DV16=MIN($DV$9:$DV$55),$DG16&gt;$AA16),"R-box: "&amp;TEXT($AA16,"0")&amp;"-"&amp;TEXT($DG16,"0"),IF(AND($DW16&lt;99999,$DW16=MIN($DW$9:$DW$55),$DF16&lt;$AA16),"S-box: "&amp;TEXT($DF16,"0")&amp;"-"&amp;TEXT($AA16,"0"),"")))</f>
        <v/>
      </c>
      <c r="EB16">
        <f t="shared" si="63"/>
        <v>74.609999999999673</v>
      </c>
      <c r="EC16">
        <f t="shared" si="64"/>
        <v>538591</v>
      </c>
      <c r="ED16">
        <f t="shared" si="65"/>
        <v>0</v>
      </c>
      <c r="EE16">
        <f>IF(AND(OR('King Node Model'!$A$8="Neg",N($BG$72)=1),$AG16="R",ISNUMBER($EB16),$EB16&lt;=$BG$7,$AB16&gt;0,$EC16&gt;0,$AB16=$EC16),1,0)</f>
        <v>0</v>
      </c>
      <c r="EF16">
        <f>IF(AND(OR('King Node Model'!$A$8="Neg",N($BG$72)=1),$AG16="S",ISNUMBER($EB16),$EB16&lt;=$BG$7,$AB16&gt;0,$ED16&gt;0,$AB16=$ED16),1,0)</f>
        <v>0</v>
      </c>
      <c r="EI16">
        <v>1</v>
      </c>
      <c r="EJ16">
        <f>IF($AA16="",0,IF(SUMPRODUCT(($AA$9:$AA$55&gt;=$AT16)*($AA$9:$AA$55&lt;=$AU16)*($DT$9:$DT$55=1))+SUMPRODUCT(($DT$9:$DT$55=1)*($AT$9:$AT$55&lt;=$AA16)*($AU$9:$AU$55&gt;=$AA16))+($DT16=1)+AND(OR('King Node Model'!$A$8="Neg",N($BG$72)=1),ISNUMBER(SEARCH("LOW",'Master Dashboard'!$M$5)),ISNUMBER(SEARCH("BUY",'Master Dashboard'!$G$8)),'King Node Model'!$T$23='King Node Model'!$B$23,$AA16&gt;='King Node Model'!$T$23,$AA16&lt;='King Node Model'!$T$23+5)*1&gt;0,1,0))</f>
        <v>0</v>
      </c>
      <c r="EM16">
        <f t="shared" si="66"/>
        <v>0</v>
      </c>
      <c r="EN16">
        <v>0</v>
      </c>
      <c r="EO16">
        <f t="shared" si="67"/>
        <v>0</v>
      </c>
      <c r="EP16">
        <f t="shared" si="68"/>
        <v>0</v>
      </c>
      <c r="EQ16" t="str">
        <f t="shared" si="69"/>
        <v>WEAKENING · Pos gamma ↓ · thinning the ceiling (sub-threshold)</v>
      </c>
      <c r="ES16" t="str">
        <f>IF(AND(ISNUMBER(AA16),ISNUMBER(AF16),ABS(AA16-'King Node Model'!$B$4)&lt;=$BG$7),ABS(AF16),"")</f>
        <v/>
      </c>
      <c r="ET16">
        <v>0</v>
      </c>
      <c r="EU16" s="218">
        <f>IF(AND(OR('King Node Model'!$A$8="Neg",N($BG$72)=1),ISNUMBER($AA15),ISNUMBER($AA16),ISNUMBER($AA17),ISNUMBER($AB15),ISNUMBER($AB16),ISNUMBER($AB17),ISNUMBER($AF16),$AB16&gt;0,$AB15&lt;0,$AB17&lt;0,$AF16&lt;0),1,0)</f>
        <v>0</v>
      </c>
      <c r="EW16">
        <f>IF(OR(N($MY16)=1,N($JM16)=1),0,N($NE16))</f>
        <v>0</v>
      </c>
      <c r="EX16">
        <f>IF(AND(OR('King Node Model'!$A$8="Neg",N($BG$72)=1),ISNUMBER($AA16),OR(AND($AA16='King Node Model'!$F$24,OR(AND($AG16="S",$F$4="High",IF($BG$80&lt;&gt;"",UPPER($BG$80),$D$5)="DOWN"),AND($AG16="R",$F$4="Low",IF($BG$80&lt;&gt;"",UPPER($BG$80),$D$5)="UP"))),$GV16=1)),1,0)</f>
        <v>0</v>
      </c>
      <c r="EY16">
        <f>IFERROR(IF(AND($DC16=1,$AB16&lt;0,$AC16&gt;=(1+$FA$6)*INDEX($AC$9:$AC$55,8-1),$AC16&gt;=(1+$FA$6)*INDEX($AC$9:$AC$55,8+1),$AC16&gt;=IFERROR(INDEX($AC$9:$AC$55,8-2),0),$AC16&gt;=IFERROR(INDEX($AC$9:$AC$55,8+2),0)),1,0),0)</f>
        <v>0</v>
      </c>
      <c r="FA16" t="str">
        <f>IF(NOT(ISNUMBER($AA16)),"",IFERROR(IF(AND($AC16=MAX($AC$9:$AC$55),$AB16=MIN($AB$9:$AB$55)),"DOM",IF(AND($DC15=1,$DC16=1,$DC17=1,INDEX($AC$9:$AC$55,8-1)&lt;=(1-$FA$6)*$AC16,INDEX($AC$9:$AC$55,8-1)&lt;=(1-$FA$6)*INDEX($AC$9:$AC$55,8-2)),"GAP↑",IF(AND($DC17=1,$DC16=1,INDEX($AC$9:$AC$55,8+1)&lt;=(1-$FA$6)*$AC16,INDEX($AC$9:$AC$55,8+1)&lt;=(1-$FA$6)*INDEX($AC$9:$AC$55,8+2)),"GAP↓",IF($CZ16=1,"dEdge Cliff",IF($GY16=1,"γWall",IF(AND($DC16=1,$AB16&lt;0,$AC16&gt;=(1+$FA$6)*INDEX($AC$9:$AC$55,8-1),$AC16&gt;=(1+$FA$6)*INDEX($AC$9:$AC$55,8+1)),"PEAK-",IF($GZ16=1,"γSh Edge",IF($HL16=1,"Trough",IF($HN16=1,"PEAK+",IF($GF16=1,"Cluster","")))))))))),""))</f>
        <v>γWall</v>
      </c>
      <c r="FB16" t="str">
        <f t="shared" si="70"/>
        <v/>
      </c>
      <c r="FC16" t="str">
        <f t="shared" si="71"/>
        <v/>
      </c>
      <c r="FD16">
        <f>IF(AND(ISNUMBER($AA16),ISNUMBER('King Node Model'!$AP$17),ISNUMBER('King Node Model'!$AQ$17),$AA16&gt;=MIN('King Node Model'!$AP$17,'King Node Model'!$AQ$17),$AA16&lt;=MAX('King Node Model'!$AP$17,'King Node Model'!$AQ$17),IFERROR(INDEX($AC$9:$AC$55,MATCH('King Node Model'!$AL$42,$AA$9:$AA$55,0)),0)&gt;0,$AC16&gt;=(1-$FA$6)*IFERROR(INDEX($AC$9:$AC$55,MATCH('King Node Model'!$AL$42,$AA$9:$AA$55,0)),0),$AC16&lt;=(1+$FA$6)*IFERROR(INDEX($AC$9:$AC$55,MATCH('King Node Model'!$AL$42,$AA$9:$AA$55,0)),0)),1,0)</f>
        <v>0</v>
      </c>
      <c r="FE16">
        <f>IF($AA16='King Node Model'!$AL$42,1,IF(AND($FD16=1,$FE15=1),1,0))</f>
        <v>0</v>
      </c>
      <c r="FF16">
        <f>IF($AA16='King Node Model'!$AL$42,1,IF(AND($FD16=1,$FF17=1),1,0))</f>
        <v>0</v>
      </c>
      <c r="FG16" t="str">
        <f>IF(OR($FE16=1,$FF16=1),8,"")</f>
        <v/>
      </c>
      <c r="FJ16">
        <f>IF(AND($CW$2=1,ISNUMBER($AA16),ISNUMBER($CW$3),ISNUMBER($CW$4),$AA16&gt;=MIN($CW$3,$CW$4),$AA16&lt;=MAX($CW$3,$CW$4),IFERROR(INDEX($AC$9:$AC$55,MATCH('King Node Model'!$AP$67,$AA$9:$AA$55,0)),0)&gt;0,$AC16&gt;=(1-$FA$6)*IFERROR(INDEX($AC$9:$AC$55,MATCH('King Node Model'!$AP$67,$AA$9:$AA$55,0)),0),$AC16&lt;=(1+$FA$6)*IFERROR(INDEX($AC$9:$AC$55,MATCH('King Node Model'!$AP$67,$AA$9:$AA$55,0)),0)),1,0)</f>
        <v>0</v>
      </c>
      <c r="FK16">
        <f>IF(AND($CW$2=1,$AA16='King Node Model'!$AP$67),1,IF(AND($FJ16=1,$FK15=1),1,0))</f>
        <v>0</v>
      </c>
      <c r="FL16">
        <f>IF(AND($CW$2=1,$AA16='King Node Model'!$AP$67),1,IF(AND($FJ16=1,$FL17=1),1,0))</f>
        <v>0</v>
      </c>
      <c r="FM16" t="str">
        <f>IF(OR($FK16=1,$FL16=1),8,"")</f>
        <v/>
      </c>
      <c r="FN16">
        <v>0</v>
      </c>
      <c r="FR16" t="str">
        <f t="shared" si="72"/>
        <v/>
      </c>
      <c r="FS16">
        <f t="shared" si="188"/>
        <v>0</v>
      </c>
      <c r="FT16">
        <f t="shared" si="73"/>
        <v>0.60908990033203692</v>
      </c>
      <c r="FU16">
        <f t="shared" si="74"/>
        <v>351467</v>
      </c>
      <c r="FV16">
        <f>IF($FW16=0,"",IF(OR($FW15=0,SIGN(IFERROR($BC16*1,0))&lt;&gt;SIGN(IFERROR($BC15*1,0)),$GH16=1,$GH15=1),MAX($FV$9:$FV15)+1,$FV15))</f>
        <v>1</v>
      </c>
      <c r="FW16">
        <f t="shared" si="75"/>
        <v>1</v>
      </c>
      <c r="FX16">
        <f t="shared" si="76"/>
        <v>351467</v>
      </c>
      <c r="FY16">
        <f t="shared" si="77"/>
        <v>1</v>
      </c>
      <c r="FZ16">
        <f t="shared" si="189"/>
        <v>1</v>
      </c>
      <c r="GA16">
        <f t="shared" si="78"/>
        <v>1</v>
      </c>
      <c r="GB16">
        <f t="shared" si="79"/>
        <v>1</v>
      </c>
      <c r="GC16">
        <f t="shared" si="80"/>
        <v>351467</v>
      </c>
      <c r="GD16">
        <f t="shared" si="81"/>
        <v>7850</v>
      </c>
      <c r="GE16">
        <f t="shared" si="82"/>
        <v>7850</v>
      </c>
      <c r="GF16">
        <f t="shared" si="83"/>
        <v>0</v>
      </c>
      <c r="GH16">
        <f>IFERROR(IF(AND($AC16&gt;=(1+$FA$6)*INDEX($AC$9:$AC$55,8-1),$AC16&gt;=(1+$FA$6)*INDEX($AC$9:$AC$55,8+1)),1,0),0)</f>
        <v>1</v>
      </c>
      <c r="GK16">
        <v>0</v>
      </c>
      <c r="GO16">
        <v>0</v>
      </c>
      <c r="GP16">
        <v>0</v>
      </c>
      <c r="GQ16">
        <f t="shared" si="84"/>
        <v>0</v>
      </c>
      <c r="GR16">
        <f t="shared" si="85"/>
        <v>0</v>
      </c>
      <c r="GS16">
        <f>IF(AND($EY16=1,$AA16&lt;&gt;'King Node Model'!$B$23),0,IF(OR($GQ16=1,$GR16=1),1,IF($DC16=1,IF(OR('King Node Model'!$A$8="Neg",N($BG$72)=1),IF(OR(AND($AC16=MAX($AC$9:$AC$55),$AB16=MIN($AB$9:$AB$55)),$AN16=1,$EE16=1,$EF16=1,$EX16=1,$GV16=1),1,0),1),0)))</f>
        <v>0</v>
      </c>
      <c r="GT16">
        <f>IFERROR(IF(AND(OR('King Node Model'!$A$8="Neg",N($BG$72)=1),$EU15=1,$AG16="R",ISNUMBER($AA16),ISNUMBER($AF16),$AF16&lt;&gt;0,$AA16&gt;$B$4-$BG$9,$AA16-$B$4&lt;=$BG$47,IF($KC16="UP",SIGN($AF16),IF($KC16="DOWN",-SIGN($AF16),0))&lt;&gt;1),1,0),0)</f>
        <v>0</v>
      </c>
      <c r="GU16" t="str">
        <f t="shared" si="86"/>
        <v/>
      </c>
      <c r="GV16">
        <f t="shared" si="87"/>
        <v>0</v>
      </c>
      <c r="GW16">
        <f t="shared" si="88"/>
        <v>74.609999999999673</v>
      </c>
      <c r="GX16" t="str">
        <f t="shared" si="89"/>
        <v/>
      </c>
      <c r="GY16">
        <f t="shared" si="90"/>
        <v>1</v>
      </c>
      <c r="GZ16">
        <f t="shared" si="91"/>
        <v>0</v>
      </c>
      <c r="HA16">
        <v>1</v>
      </c>
      <c r="HF16">
        <f>IFERROR(IF(AND($GZ16=1,'King Node Model'!$A$8="Pos",$D$5="UP",$CF16=-1,$AJ16&lt;&gt;1),1,0),0)</f>
        <v>0</v>
      </c>
      <c r="HG16">
        <f t="shared" si="92"/>
        <v>0</v>
      </c>
      <c r="HH16" t="str">
        <f>IF($GZ16=1,"",IFERROR(IF(NOT(ISNUMBER($AA16)),"",IF($EY16=1,"",IF($GF16=1,IF($GD16=$GE16,"",$GD16),IF(OR(AND($DC15=1,$DC16=1,$DC17=1,INDEX($AC$9:$AC$55,8-1)&lt;=(1-$FA$6)*$AC16,INDEX($AC$9:$AC$55,8-1)&lt;=(1-$FA$6)*INDEX($AC$9:$AC$55,8-2)),AND($DC17=1,$DC16=1,INDEX($AC$9:$AC$55,8+1)&lt;=(1-$FA$6)*$AC16,INDEX($AC$9:$AC$55,8+1)&lt;=(1-$FA$6)*INDEX($AC$9:$AC$55,8+2)),AND($DC16=1,OR(INDEX($DC$9:$DC$55,8-1)=0,INDEX($DC$9:$DC$55,8+1)=0))),IF(MIN($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MAX($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MIN($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f>
        <v/>
      </c>
      <c r="HI16" t="str">
        <f>IF($GZ16=1,"",IFERROR(IF(NOT(ISNUMBER($AA16)),"",IF($EY16=1,"",IF($GF16=1,IF($GD16=$GE16,"",$GE16),IF(OR(AND($DC15=1,$DC16=1,$DC17=1,INDEX($AC$9:$AC$55,8-1)&lt;=(1-$FA$6)*$AC16,INDEX($AC$9:$AC$55,8-1)&lt;=(1-$FA$6)*INDEX($AC$9:$AC$55,8-2)),AND($DC17=1,$DC16=1,INDEX($AC$9:$AC$55,8+1)&lt;=(1-$FA$6)*$AC16,INDEX($AC$9:$AC$55,8+1)&lt;=(1-$FA$6)*INDEX($AC$9:$AC$55,8+2)),AND($DC16=1,OR(INDEX($DC$9:$DC$55,8-1)=0,INDEX($DC$9:$DC$55,8+1)=0))),IF(MIN($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MAX($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MAX($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f>
        <v/>
      </c>
      <c r="HL16">
        <f t="shared" si="93"/>
        <v>0</v>
      </c>
      <c r="HM16">
        <f>IFERROR(IF(AND($HL16=1,NOT(OR($AA16='King Node Model'!$T$22,$AA16='King Node Model'!$T$23,$AA16='King Node Model'!$F$24,AND($AG16="S",COUNTIF('Master Dashboard'!$AN$16:$AN$18,$AA16)&gt;0),AND($AG16="R",COUNTIF('Master Dashboard'!$AN$13:$AN$15,$AA16)&gt;0)))),1,0),0)</f>
        <v>0</v>
      </c>
      <c r="HN16">
        <f t="shared" si="94"/>
        <v>0</v>
      </c>
      <c r="HO16">
        <f t="shared" si="95"/>
        <v>0</v>
      </c>
      <c r="HP16">
        <f t="shared" si="96"/>
        <v>1</v>
      </c>
      <c r="HQ16" t="str">
        <f>IF(NOT(ISNUMBER($AA16)),"",IFERROR(TRIM(IF(N($MY16)=1,"DEXLEAN ","")&amp;IF(N($IZ16)=1,"DEXCAP ","")&amp;IF(AND($AG16="S",UPPER('King Node Model'!$L$5)="HIGH",$KC16="DOWN",N($AF16)&gt;0,$AA16='King Node Model'!$AN$70,$IY16="SELL"),"CHOPEDGEIV ","")&amp;IF(N($IS16)=1,"NOREV ","")&amp;IF(N($JY16)=1,"VFLAT ","")&amp;IF(N($KR16)=1,"GDEXVANNA ","")&amp;IF(N($LD16)=1,"KGSUPFAIL ","")&amp;IF(N($LE16)=1,"KGRESLEAK ","")&amp;IF(N($MH16)=1,"ZIGZAG ","")&amp;IF(N($KK16)=1,"DATAGAP ","")&amp;IF(N($KA16)&lt;&gt;0,"ACCUNDERCW ","")&amp;IF(AND($AG16="S",$HF16=1),"EDGE ","")&amp;IF(AND($HM16=1,'King Node Model'!$A$8="Pos",N($BG$72)&lt;&gt;1),"TROUGH ","")&amp;IF(AND($EU16=1,N($JZ16)&lt;&gt;1),"BUMP ","")&amp;IF(AND($GT16=1,N($JZ16)&lt;&gt;1),"SANDWICH ","")&amp;IF(AND($EX16&lt;&gt;1,OR('King Node Model'!$A$8="Neg",N($BG$72)=1),OR(AND(ISNUMBER($AC16),$AC16=MAX($AC$9:$AC$55)),AND(ISNUMBER($AB16),$AB16=MIN($AB$9:$AB$55))),NOT(AND(AND(ISNUMBER($AC16),$AC16=MAX($AC$9:$AC$55)),AND(ISNUMBER($AB16),$AB16=MIN($AB$9:$AB$55)))),$AG16="S",N($AB16)&lt;0,NOT(COUNTIF('Master Dashboard'!$AN$16:$AN$18,$AA16)&gt;0),NOT(AND(OR('King Node Model'!$A$8="Neg",N($BG$72)=1),ISNUMBER($AB16),$AB16=MIN($AB$9:$AB$55),$AA16=$BG$105))),"ACCEL ","")&amp;IF(AND($EX16&lt;&gt;1,ISNUMBER($AA16),OR('King Node Model'!$A$8="Neg",N($BG$72)=1),$EY16=1,NOT(AND($AG16="S",COUNTIF('Master Dashboard'!$AN$16:$AN$18,$AA16)&gt;0)),NOT(AND($AA16='King Node Model'!$B$23,IF($AG16="S",OR($AA16='King Node Model'!$C$24,COUNTIF('Master Dashboard'!$AN$16:$AN$18,$AA16)&gt;0),OR($AA16='King Node Model'!$C$23,COUNTIF('Master Dashboard'!$AN$13:$AN$15,$AA16)&gt;0)))),NOT(AND($EX16&lt;&gt;1,OR('King Node Model'!$A$8="Neg",N($BG$72)=1),OR(AND(ISNUMBER($AC16),$AC16=MAX($AC$9:$AC$55)),AND(ISNUMBER($AB16),$AB16=MIN($AB$9:$AB$55))),NOT(AND(AND(ISNUMBER($AC16),$AC16=MAX($AC$9:$AC$55)),AND(ISNUMBER($AB16),$AB16=MIN($AB$9:$AB$55)))),$AG16="S",N($AB16)&lt;0,NOT(COUNTIF('Master Dashboard'!$AN$16:$AN$18,$AA16)&gt;0)))),"AMPLIFY ","")&amp;IF(AND($AG16="S",OR('King Node Model'!$A$8="Neg",N($BG$72)=1),$AJ16&lt;&gt;1,N($MT16)&lt;&gt;1,NOT(AND(N($LR16)=1,N($MB16)=1)),ISNUMBER(SEARCH("ACCEL building",$CG16))),"ZACCEL ","")&amp;IF(AND($AG16="S",OR('King Node Model'!$A$8="Neg",N($BG$72)=1),$AA16='King Node Model'!$B$23,NOT(AND(AND(ISNUMBER($AC16),$AC16=MAX($AC$9:$AC$55)),AND(ISNUMBER($AB16),$AB16=MIN($AB$9:$AB$55)))),$EJ16&lt;&gt;1),"KINGACC ","")&amp;IF(AND($AG16="S",OR('King Node Model'!$A$8="Neg",N($BG$72)=1),ABS(N($AA16)-N('King Node Model'!$B$23))&lt;=$BG$107,NOT(AND(SUMPRODUCT((ABS($AF$9:$AF$55)&lt;=ABS(N($AF16)))*1)/COUNT($AF$9:$AF$55)&gt;=0.66,OR(ISNUMBER(SEARCH("firmer resistance",$CG16)),ISNUMBER(SEARCH("STRENGTHENING",$CG16)),ISNUMBER(SEARCH("firmer support",$CG16))))),NOT(AND(N($AB16)&gt;0,SUMPRODUCT((ABS($AB$9:$AB$55)&lt;=ABS(N($AB16)))*1)/COUNT($AB$9:$AB$55)&gt;=0.66)),$EJ16&lt;&gt;1,$AJ16&lt;&gt;1,COUNTIF('Master Dashboard'!$AN$16:$AN$18,$AA16)=0,NOT(AND($AG16="S",OR('King Node Model'!$A$8="Neg",N($BG$72)=1),$AA16='King Node Model'!$B$23,NOT(AND(AND(ISNUMBER($AC16),$AC16=MAX($AC$9:$AC$55)),AND(ISNUMBER($AB16),$AB16=MIN($AB$9:$AB$55)))),$EJ16&lt;&gt;1))),"KINGNODE ","")&amp;IF(AND($AG16="R",NOT(AND(AND(ISNUMBER($AC16),$AC16=MAX($AC$9:$AC$55)),AND(ISNUMBER($AB16),$AB16=MIN($AB$9:$AB$55)))),UPPER('King Node Model'!$L$5)="LOW",$KC16="DOWN",N($AF16)&gt;0),"LOWIVFALL ","")&amp;IF(AND($AG16="R",NOT(AND(AND(ISNUMBER($AC16),$AC16=MAX($AC$9:$AC$55)),AND(ISNUMBER($AB16),$AB16=MIN($AB$9:$AB$55)))),UPPER('King Node Model'!$L$5)="HIGH",$KC16="DOWN",N($AF16)&gt;0,IFERROR(MATCH($AA16,$W$9:$W$14,0)&gt;=4,FALSE)),"HIGHIVFALL ","")&amp;IF(AND($AG16="R",N($BG$99)=1),"SPOTUPVOLUP ","")&amp;IF(AND($AG16="R",ISNUMBER(SEARCH("5/5",'Master Dashboard'!$E$29)),OR(ISNUMBER(SEARCH("WEAKENING",$EQ16)),ISNUMBER(SEARCH("Pos gamma ↓",$EQ16)),ISNUMBER(SEARCH("thinning the ceiling",$EQ16)))),"SQUEEZE ","")&amp;IF(N($JU16)=1,"DEDGECLIFF ","")&amp;IF(N($KT16)=1,"DEXDRAIN ","")&amp;IF(N($HW16)&lt;&gt;0,"DEXDROP ","")&amp;IF(N($HX16)&lt;&gt;0,"PEAK+ ","")&amp;IF(N($IF16)=1,"CHOP ","")&amp;IF(N($IQ16)=1,"CONTESTED ","")&amp;IF(N($IW16)=1,"VSELL ","")&amp;IF(N($JK16)=1,"VBUYRES ","")&amp;IF(N($JL16)=1,"DOMFLAT ","")&amp;IF(N($JM16)=1,"DOMPULL ","")&amp;IF(N($JP16)=1,"OIZOMMA ","")&amp;IF(AND(N($JQ16)=1,N($JZ16)&lt;&gt;1),"OIDEX ","")),""))</f>
        <v>LOWIVFALL VBUYRES</v>
      </c>
      <c r="HS16">
        <f>IFERROR(IF(AND($DC16=1,OR(AND($AG16="R",INDEX($DC$9:$DC$55,7)=0,INDEX($DC$9:$DC$55,9)=1,INDEX($DC$9:$DC$55,10)=1),AND($AG16="S",INDEX($DC$9:$DC$55,9)=0,INDEX($DC$9:$DC$55,7)=1,INDEX($DC$9:$DC$55,6)=1))),1,0),0)</f>
        <v>0</v>
      </c>
      <c r="HT16">
        <f t="shared" si="97"/>
        <v>0</v>
      </c>
      <c r="HU16">
        <v>0</v>
      </c>
      <c r="HV16">
        <v>0</v>
      </c>
      <c r="HW16">
        <f>IFERROR(IF(OR(NOT(ISNUMBER($AA16)),'King Node Model'!$A$8&lt;&gt;"Pos",N($BG$72)=1,ABS(N($AE16))&lt;$BG$113,N($AV16)=1,$FA16="DOM",$AA16='King Node Model'!$T$23,AND(N($BG$116)=1,$AA16='King Node Model'!$F$24),NOT(ISNUMBER($KU16)),NOT(ISNUMBER($KV16))),0,IF(AND($AG16="S",COUNTIF('Master Dashboard'!$AN$16:$AN$18,$AA16)=0,$KU16&gt;=$BG$114,$KU16&gt;=$KV16+$BG$115,NOT(AND(N($AN17)=1,N($KV16)&lt;0)),N($AE16)&lt;=0),1,IF(AND($AG16="R",COUNTIF('Master Dashboard'!$AN$13:$AN$15,$AA16)=0,$KV16&gt;=$BG$114,$KV16&gt;=$KU16+$BG$115,NOT(AND(N($AN15)=1,N($KU16)&lt;0))),-1,0))),0)</f>
        <v>0</v>
      </c>
      <c r="HX16">
        <f>IFERROR(IF(AND(ISNUMBER($AA16),$FA16="PEAK+",N($AN16)&lt;&gt;1,NOT(AND('King Node Model'!$A$8="Pos",OR($AA16='King Node Model'!$T$22,$AA16='King Node Model'!$T$23,$AA16='King Node Model'!$F$24))),IF($AG16="S",COUNTIF('Master Dashboard'!$AN$16:$AN$18,$AA16)=0,IF($AG16="R",COUNTIF('Master Dashboard'!$AN$13:$AN$15,$AA16)=0,FALSE))),1,0),0)</f>
        <v>0</v>
      </c>
      <c r="HY16">
        <f t="shared" si="98"/>
        <v>-20.644768750136542</v>
      </c>
      <c r="HZ16">
        <v>0</v>
      </c>
      <c r="IA16">
        <f>IFERROR(IF(AND(IF($BG$44=1,OR(ISNUMBER(SEARCH("Choppy",'King Node Model'!$S$38)),'King Node Model'!$S$52&lt;&gt;"",'King Node Model'!$A$8="Pos"),TRUE()),OR($DC16=1,$DC15=1,$DC17=1),ABS($AA16-$B$4)&lt;=$BG$7,ABS($AA16-$BG$28)&gt;=$BG$45,OR(AND($AA16&gt;$BG$28,$AG16="R"),AND($AA16&lt;$BG$28,$AG16="S",N($BG$154)=1)),ABS(IF($AA16&gt;$BG$28,$AE17,$AE15))&gt;=$BG$43,ABS(N(IF($AA16&gt;$BG$28,$AE15,$AE17)))&lt;=$BG$153*ABS(IF($AA16&gt;$BG$28,$AE17,$AE15)),IF(ISNUMBER($HZ16),$HZ16=1,AND(ISNUMBER($HY16),$HY16&gt;=$BG$42))),1,0),0)</f>
        <v>0</v>
      </c>
      <c r="IB16">
        <f t="shared" si="99"/>
        <v>0</v>
      </c>
      <c r="IC16" t="str">
        <f>IF(NOT(ISNUMBER($AA16)),"",IFERROR(MID(IF(AND($AC16=MAX($AC$9:$AC$55),$AB16=MIN($AB$9:$AB$55))," · DOM","")&amp;IF(AND($DC15=1,$DC16=1,$DC17=1,INDEX($AC$9:$AC$55,8-1)&lt;=(1-$FA$6)*$AC16,INDEX($AC$9:$AC$55,8-1)&lt;=(1-$FA$6)*INDEX($AC$9:$AC$55,8-2))," · GAP↑ → "&amp;INDEX($AA$9:$AA$55,8-2),"")&amp;IF(AND($DC17=1,$DC16=1,INDEX($AC$9:$AC$55,8+1)&lt;=(1-$FA$6)*$AC16,INDEX($AC$9:$AC$55,8+1)&lt;=(1-$FA$6)*INDEX($AC$9:$AC$55,8+2))," · GAP↓ → "&amp;INDEX($AA$9:$AA$55,8+2),"")&amp;IF($CZ16=1," · dEdge Cliff","")&amp;IF($GY16=1," · γWall","")&amp;IF(AND($DC16=1,$AB16&lt;0,$AC16&gt;=(1+$FA$6)*INDEX($AC$9:$AC$55,8-1),$AC16&gt;=(1+$FA$6)*INDEX($AC$9:$AC$55,8+1))," · PEAK-","")&amp;IF($GZ16=1," · γSh Edge","")&amp;IF($HL16=1," · Trough","")&amp;IF($HN16=1," · PEAK+","")&amp;IF($GF16=1," · Cluster",""),FIND(" · ",IF(AND($AC16=MAX($AC$9:$AC$55),$AB16=MIN($AB$9:$AB$55))," · DOM","")&amp;IF(AND($DC15=1,$DC16=1,$DC17=1,INDEX($AC$9:$AC$55,8-1)&lt;=(1-$FA$6)*$AC16,INDEX($AC$9:$AC$55,8-1)&lt;=(1-$FA$6)*INDEX($AC$9:$AC$55,8-2))," · GAP↑ → "&amp;INDEX($AA$9:$AA$55,8-2),"")&amp;IF(AND($DC17=1,$DC16=1,INDEX($AC$9:$AC$55,8+1)&lt;=(1-$FA$6)*$AC16,INDEX($AC$9:$AC$55,8+1)&lt;=(1-$FA$6)*INDEX($AC$9:$AC$55,8+2))," · GAP↓ → "&amp;INDEX($AA$9:$AA$55,8+2),"")&amp;IF($CZ16=1," · dEdge Cliff","")&amp;IF($GY16=1," · γWall","")&amp;IF(AND($DC16=1,$AB16&lt;0,$AC16&gt;=(1+$FA$6)*INDEX($AC$9:$AC$55,8-1),$AC16&gt;=(1+$FA$6)*INDEX($AC$9:$AC$55,8+1))," · PEAK-","")&amp;IF($GZ16=1," · γSh Edge","")&amp;IF($HL16=1," · Trough","")&amp;IF($HN16=1," · PEAK+","")&amp;IF($GF16=1," · Cluster",""),2),999),""))</f>
        <v/>
      </c>
      <c r="ID16" t="str">
        <f>IF(NOT(ISNUMBER($AA16)),"",IFERROR(MID(IF(AND($AC16=MAX($AC$9:$AC$55),$AB16=MIN($AB$9:$AB$55))," · DOM","")&amp;IF(AND($DC15=1,$DC16=1,$DC17=1,INDEX($AC$9:$AC$55,8-1)&lt;=(1-$FA$6)*$AC16,INDEX($AC$9:$AC$55,8-1)&lt;=(1-$FA$6)*INDEX($AC$9:$AC$55,8-2))," · GAP↑ → "&amp;INDEX($AA$9:$AA$55,8-2),"")&amp;IF(AND($DC17=1,$DC16=1,INDEX($AC$9:$AC$55,8+1)&lt;=(1-$FA$6)*$AC16,INDEX($AC$9:$AC$55,8+1)&lt;=(1-$FA$6)*INDEX($AC$9:$AC$55,8+2))," · GAP↓ → "&amp;INDEX($AA$9:$AA$55,8+2),"")&amp;IF($CZ16=1," · dEdge Cliff","")&amp;IF($GY16=1," · γWall","")&amp;IF(AND($DC16=1,$AB16&lt;0,$AC16&gt;=(1+$FA$6)*INDEX($AC$9:$AC$55,8-1),$AC16&gt;=(1+$FA$6)*INDEX($AC$9:$AC$55,8+1))," · PEAK-","")&amp;IF($GZ16=1," · γSh Edge","")&amp;IF($HL16=1," · Trough","")&amp;IF($HN16=1," · PEAK+","")&amp;IF(AND(NOT($HN16=1),NOT(AND($DC16=1,$AB16&lt;0)),N($GY16)&lt;&gt;1,N($GF16)&lt;&gt;1,N($GZ16)&lt;&gt;1,N($HL16)&lt;&gt;1,N($CZ16)&lt;&gt;1,NOT(AND($AC16=MAX($AC$9:$AC$55),$AB16=MIN($AB$9:$AB$55))),$AC16&gt;=(1+$FA$6)*INDEX($AC$9:$AC$55,8-1),$AC16&gt;=(1+$FA$6)*INDEX($AC$9:$AC$55,8+1))," · Knoll","")&amp;IF($GF16=1," · Cluster",""),4,999),""))</f>
        <v>γWall</v>
      </c>
      <c r="IF16">
        <f t="shared" si="100"/>
        <v>0</v>
      </c>
      <c r="IG16">
        <f>IFERROR(IF(AND(ISNUMBER($AA16),'King Node Model'!$A$8="Pos",OR($AG16="S",$AG16="R"),$IN16="interior",COUNTIF(IF($AG16="S",'Master Dashboard'!$AN$16:$AN$18,'Master Dashboard'!$AN$13:$AN$15),$AA16)=0,$AA16&lt;&gt;'King Node Model'!$T$22,$AA16&lt;&gt;'King Node Model'!$T$23,$AA16&lt;&gt;'King Node Model'!$F$24),1,0),0)</f>
        <v>0</v>
      </c>
      <c r="IH16">
        <f t="shared" si="101"/>
        <v>0</v>
      </c>
      <c r="II16">
        <f t="shared" si="190"/>
        <v>0</v>
      </c>
      <c r="IJ16">
        <f t="shared" si="102"/>
        <v>0</v>
      </c>
      <c r="IK16">
        <f t="shared" si="103"/>
        <v>0</v>
      </c>
      <c r="IL16">
        <f t="shared" si="191"/>
        <v>0</v>
      </c>
      <c r="IM16">
        <f t="shared" si="104"/>
        <v>0</v>
      </c>
      <c r="IN16" t="str">
        <f t="shared" si="105"/>
        <v/>
      </c>
      <c r="IO16">
        <v>0</v>
      </c>
      <c r="IP16">
        <v>0</v>
      </c>
      <c r="IQ16">
        <f>IFERROR(IF($AG16="S",IF(OR(COUNTIF($W$9:$W$14,$AA16)&gt;0,COUNTIF('King Node Model'!$AL$42:'King Node Model'!$AL$43,$AA16)&gt;0),1,0),IF($AG16="R",IF(OR(COUNTIF($W$18:$W$23,$AA16)&gt;0,COUNTIF('King Node Model'!$AL$49:'King Node Model'!$AL$50,$AA16)&gt;0),1,0),0)),0)</f>
        <v>0</v>
      </c>
      <c r="IS16">
        <f>IF(AND(ISNUMBER($AA16),N($AN16)&lt;&gt;1,N($LR16)&lt;&gt;1,OR(N($EN16)&lt;&gt;1,AND('King Node Model'!$A$8&lt;&gt;"Neg",N($BG$72)&lt;&gt;1)),$AA16&lt;&gt;'King Node Model'!$T$22,$AA16&lt;&gt;'King Node Model'!$T$23,$AA16&lt;&gt;'King Node Model'!$F$24,NOT(AND($AG16="S",COUNTIF('Master Dashboard'!$AN$16:$AN$18,$AA16)&gt;0)),NOT(AND($AG16="R",COUNTIF('Master Dashboard'!$AN$13:$AN$15,$AA16)&gt;0)),NOT(AND('King Node Model'!$A$8&lt;&gt;"Neg",N($BG$72)&lt;&gt;1,COUNTIF('Master Dashboard'!$AN$13:$AN$18,$AA16)&gt;0))),1,0)</f>
        <v>0</v>
      </c>
      <c r="IT16">
        <v>1</v>
      </c>
      <c r="IU16">
        <f>IF(AND(ISNUMBER($AA16),$AA16='King Node Model'!$F$24,$AA16&gt;$GJ$3,N($AD16)&lt;0,$F$4="High"),1,0)</f>
        <v>0</v>
      </c>
      <c r="IV16" t="str">
        <f>""</f>
        <v/>
      </c>
      <c r="IW16">
        <f>IFERROR(IF(AND(ISNUMBER($AA16),NOT(AND(N($LR16)=1,N($MB16)=1)),$AG16="S",OR('King Node Model'!$A$8="Neg",N($BG$72)=1),$JV16="SELL",ABS(N($AD16))&gt;=$BG$94,NOT(AND(N($AD16)&gt;0,N($BG$78)=1,MEDIAN($AA16-$BG$82,$B$4,$AA16+$BG$83)=$B$4))),1,0),0)</f>
        <v>0</v>
      </c>
      <c r="IX16">
        <f>IFERROR(IF(AND(ISNUMBER($AA16),$AG16="S",OR('King Node Model'!$A$8="Neg",N($BG$72)=1),N($AD16)&gt;0,N($BG$78)=1,MEDIAN($AA16-$BG$82,$B$4,$AA16+$BG$83)=$B$4),1,0),0)</f>
        <v>0</v>
      </c>
      <c r="IY16" t="str">
        <f t="shared" si="106"/>
        <v>SELL</v>
      </c>
      <c r="IZ16">
        <f>IFERROR(IF(AND(ISNUMBER($AA16),$FA16&lt;&gt;"DOM",$AA16&lt;&gt;'King Node Model'!$F$24,OR(AND($AG16="S",COUNTIF('Master Dashboard'!$AN$16:$AN$18,$AA16)=0,N(INDEX($AE$9:$AE$55,MATCH($AA16+$BG$84,$AA$9:$AA$55,0)))&lt;=-$BG$85),AND($AG16="R",COUNTIF('Master Dashboard'!$AN$13:$AN$15,$AA16)=0,N(INDEX($AE$9:$AE$55,MATCH($AA16-$BG$84,$AA$9:$AA$55,0)))&gt;=$BG$85))),1,0),0)</f>
        <v>0</v>
      </c>
      <c r="JC16">
        <f t="shared" si="108"/>
        <v>0</v>
      </c>
      <c r="JD16" t="str">
        <f t="shared" si="193"/>
        <v>P</v>
      </c>
      <c r="JE16">
        <f>IF(ISNUMBER($AA16),N(IFERROR(INDEX('King Node Model'!$L$29:$L$75,MATCH($AA16,'King Node Model'!$A$29:$A$75,0)),0)),"")</f>
        <v>1342</v>
      </c>
      <c r="JF16">
        <f>IF(ISNUMBER($AA16),N(IFERROR(INDEX('King Node Model'!$K$29:$K$75,MATCH($AA16,'King Node Model'!$A$29:$A$75,0)),0)),"")</f>
        <v>5524</v>
      </c>
      <c r="JG16">
        <f t="shared" si="109"/>
        <v>0.24293989862418539</v>
      </c>
      <c r="JH16">
        <f t="shared" si="110"/>
        <v>4.1162444113263783</v>
      </c>
      <c r="JI16">
        <f t="shared" si="111"/>
        <v>0</v>
      </c>
      <c r="JJ16" t="str">
        <f t="shared" si="112"/>
        <v/>
      </c>
      <c r="JK16">
        <f t="shared" si="113"/>
        <v>1</v>
      </c>
      <c r="JL16">
        <f t="shared" si="114"/>
        <v>0</v>
      </c>
      <c r="JM16">
        <f t="shared" si="115"/>
        <v>0</v>
      </c>
      <c r="JN16">
        <f t="shared" si="116"/>
        <v>0</v>
      </c>
      <c r="JO16">
        <f t="shared" si="117"/>
        <v>0</v>
      </c>
      <c r="JP16">
        <f t="shared" si="118"/>
        <v>0</v>
      </c>
      <c r="JQ16">
        <f t="shared" si="119"/>
        <v>0</v>
      </c>
      <c r="JR16">
        <v>0</v>
      </c>
      <c r="JS16">
        <f>IFERROR(IF(AND(ISNUMBER($AA16),'King Node Model'!$A$8="Pos",OR($AG16="S",$AG16="R"),N($AB16)&gt;0,N($HP16)&lt;&gt;1,OR(AND($KC16="DOWN",N($AF16)&lt;0,N($AF16)=MIN($AF$9:$AF$55),-N($AF16)&gt;=MAX($AF$9:$AF$55)),AND($KC16="UP",N($AF16)&gt;0,N($AF16)=MAX($AF$9:$AF$55),N($AF16)&gt;=-MIN($AF$9:$AF$55)))),1,0),0)</f>
        <v>0</v>
      </c>
      <c r="JT16">
        <v>0</v>
      </c>
      <c r="JU16">
        <f>IFERROR(IF(AND(N($BG$109)=1,ISNUMBER($AA16),'King Node Model'!$A$8="Pos",N($CZ16)=1,N($AB16)&gt;0),1,0),0)</f>
        <v>0</v>
      </c>
      <c r="JV16" t="str">
        <f t="shared" si="120"/>
        <v>BUY</v>
      </c>
      <c r="JW16">
        <f t="shared" si="121"/>
        <v>0</v>
      </c>
      <c r="JX16">
        <f t="shared" si="122"/>
        <v>0</v>
      </c>
      <c r="JY16">
        <f t="shared" si="123"/>
        <v>0</v>
      </c>
      <c r="JZ16">
        <f t="shared" si="124"/>
        <v>0</v>
      </c>
      <c r="KA16">
        <f t="shared" si="125"/>
        <v>0</v>
      </c>
      <c r="KB16">
        <f t="shared" si="126"/>
        <v>0</v>
      </c>
      <c r="KC16" t="str">
        <f t="shared" si="127"/>
        <v>DOWN</v>
      </c>
      <c r="KE16" t="str">
        <f t="shared" si="128"/>
        <v>Now: strengthening the ceiling (IV rising) · if IV falls: weakens the ceiling · expected on arrival: WEAKENS ✗</v>
      </c>
      <c r="KF16" t="str">
        <f t="shared" si="129"/>
        <v>BUY</v>
      </c>
      <c r="KG16">
        <f t="shared" si="192"/>
        <v>0</v>
      </c>
      <c r="KH16" t="str">
        <f t="shared" si="130"/>
        <v/>
      </c>
      <c r="KI16" t="str">
        <f t="shared" si="131"/>
        <v/>
      </c>
      <c r="KJ16">
        <f t="shared" si="132"/>
        <v>0</v>
      </c>
      <c r="KK16">
        <f t="shared" si="133"/>
        <v>0</v>
      </c>
      <c r="KL16">
        <f t="shared" si="134"/>
        <v>0</v>
      </c>
      <c r="KM16">
        <f t="shared" si="135"/>
        <v>0</v>
      </c>
      <c r="KN16">
        <f t="shared" si="136"/>
        <v>0</v>
      </c>
      <c r="KO16">
        <v>0</v>
      </c>
      <c r="KP16">
        <f t="shared" si="137"/>
        <v>0</v>
      </c>
      <c r="KQ16">
        <f t="shared" si="138"/>
        <v>0</v>
      </c>
      <c r="KR16">
        <f t="shared" si="139"/>
        <v>0</v>
      </c>
      <c r="KS16">
        <f t="shared" si="140"/>
        <v>0</v>
      </c>
      <c r="KT16">
        <f t="shared" si="141"/>
        <v>0</v>
      </c>
      <c r="KU16">
        <f>IF(AND(ISNUMBER($AA16),ISNUMBER($AE16),ISNUMBER($AE15),N($AE16)&lt;&gt;0),($AE16-$AE15)/$AE16,"")</f>
      </c>
      <c r="KV16">
        <f>IF(AND(ISNUMBER($AA16),ISNUMBER($AE16),ISNUMBER($AE17),N($AE16)&lt;&gt;0),($AE16-$AE17)/$AE16,"")</f>
      </c>
      <c r="KW16">
        <f>IFERROR(IF(OR(NOT(ISNUMBER($AA16)),'King Node Model'!$A$8&lt;&gt;"Pos",N($BG$72)=1,ABS(N($AE16))&lt;$BG$113,$FA16="DOM",$AA16='King Node Model'!$T$23,AND(N($BG$116)=1,$AA16='King Node Model'!$F$24),NOT(ISNUMBER($KU16)),NOT(ISNUMBER($KV16))),0,IF(AND($AG16="S",COUNTIF('Master Dashboard'!$AN$16:$AN$18,$AA16)=0,$KU16&gt;=$BG$114,$KU16&gt;=$KV16+$BG$115),1,IF(AND($AG16="R",COUNTIF('Master Dashboard'!$AN$13:$AN$15,$AA16)=0,$KV16&gt;=$BG$114,$KV16&gt;=$KU16+$BG$115),-1,0))),0)</f>
        <v>0</v>
      </c>
      <c r="KX16">
        <f t="shared" si="144"/>
        <v>0</v>
      </c>
      <c r="KY16">
        <f t="shared" si="145"/>
        <v>0</v>
      </c>
      <c r="KZ16">
        <f t="shared" si="146"/>
        <v>0</v>
      </c>
      <c r="LA16">
        <f t="shared" si="147"/>
        <v>0</v>
      </c>
      <c r="LB16">
        <f t="shared" si="148"/>
        <v>0</v>
      </c>
      <c r="LC16">
        <f t="shared" si="149"/>
        <v>0</v>
      </c>
      <c r="LD16">
        <f t="shared" si="150"/>
        <v>0</v>
      </c>
      <c r="LE16">
        <f t="shared" si="151"/>
        <v>0</v>
      </c>
      <c r="LF16">
        <f t="shared" si="152"/>
        <v>0</v>
      </c>
      <c r="LG16" t="str">
        <f t="shared" si="153"/>
        <v/>
      </c>
      <c r="LH16" t="str">
        <f t="shared" si="154"/>
        <v/>
      </c>
      <c r="LI16" t="str">
        <f t="shared" si="155"/>
        <v/>
      </c>
      <c r="LJ16" t="str">
        <f t="shared" si="156"/>
        <v/>
      </c>
      <c r="LK16" t="str">
        <f t="shared" si="157"/>
        <v/>
      </c>
      <c r="LL16">
        <f t="shared" si="158"/>
        <v>0</v>
      </c>
      <c r="LM16">
        <f t="shared" si="159"/>
        <v>0</v>
      </c>
      <c r="LN16">
        <f t="shared" si="160"/>
        <v>0</v>
      </c>
      <c r="LO16">
        <v>0</v>
      </c>
      <c r="LP16">
        <f t="shared" si="161"/>
        <v>0</v>
      </c>
      <c r="LQ16" t="str">
        <f t="shared" si="162"/>
        <v/>
      </c>
      <c r="LR16">
        <f t="shared" si="163"/>
        <v>0</v>
      </c>
      <c r="LS16">
        <f t="shared" si="164"/>
        <v>0</v>
      </c>
      <c r="LT16">
        <f t="shared" si="165"/>
        <v>1</v>
      </c>
      <c r="LU16">
        <f t="shared" si="166"/>
        <v>-990746</v>
      </c>
      <c r="LV16">
        <f t="shared" si="167"/>
        <v>0</v>
      </c>
      <c r="LW16">
        <f t="shared" si="168"/>
        <v>0</v>
      </c>
      <c r="LX16">
        <f t="shared" si="169"/>
        <v>0</v>
      </c>
      <c r="LY16">
        <f t="shared" si="170"/>
        <v>0</v>
      </c>
      <c r="LZ16">
        <f t="shared" si="171"/>
        <v>0</v>
      </c>
      <c r="MA16">
        <f t="shared" si="172"/>
        <v>0</v>
      </c>
      <c r="MB16">
        <v>0</v>
      </c>
      <c r="MC16">
        <f t="shared" si="173"/>
        <v>1</v>
      </c>
      <c r="MD16">
        <f t="shared" si="174"/>
        <v>1</v>
      </c>
      <c r="ME16">
        <f t="shared" si="175"/>
        <v>0</v>
      </c>
      <c r="MF16">
        <f t="shared" si="176"/>
        <v>0</v>
      </c>
      <c r="MG16">
        <f t="shared" si="177"/>
        <v>0</v>
      </c>
      <c r="MH16">
        <f t="shared" si="178"/>
        <v>0</v>
      </c>
      <c r="MI16" t="str">
        <f t="shared" si="179"/>
        <v/>
      </c>
      <c r="MJ16">
        <f t="shared" si="180"/>
        <v>0</v>
      </c>
      <c r="MK16">
        <f t="shared" si="181"/>
        <v>0</v>
      </c>
      <c r="ML16">
        <f>IF(AND(OR('King Node Model'!$A$8="Neg",N($BG$72)=1),ISNUMBER($AA16),$AG16="R",N($AB16)&lt;0),IF(AND($AA15=$AA16+5,N($AB15)&gt;0,$AA14=$AA16+10,N($AB14)&lt;0),1,IF(AND($AA15=$AA16+5,N($AB15)&gt;0,$AA14=$AA16+10,N($AB14)&gt;0,$AA13=$AA16+15,N($AB13)&lt;0),2,IF(AND($AA15=$AA16+5,N($AB15)&gt;0,$AA14=$AA16+10,N($AB14)&gt;0,$AA13=$AA16+15,N($AB13)&gt;0,$AA12=$AA16+20,N($AB12)&lt;0),3,IF(AND($AA15=$AA16+5,N($AB15)&gt;0,$AA14=$AA16+10,N($AB14)&gt;0,$AA13=$AA16+15,N($AB13)&gt;0,$AA12=$AA16+20,N($AB12)&gt;0,$AA11=$AA16+25,N($AB11)&lt;0),4,0)))),0)</f>
      </c>
      <c r="MM16">
        <f>IF(AND(OR('King Node Model'!$A$8="Neg",N($BG$72)=1),ISNUMBER($AA16),$AG16="S",N($AB16)&lt;0),IF(AND($AA17=$AA16-5,N($AB17)&gt;0,$AA18=$AA16-10,N($AB18)&lt;0),1,IF(AND($AA17=$AA16-5,N($AB17)&gt;0,$AA18=$AA16-10,N($AB18)&gt;0,$AA19=$AA16-15,N($AB19)&lt;0),2,IF(AND($AA17=$AA16-5,N($AB17)&gt;0,$AA18=$AA16-10,N($AB18)&gt;0,$AA19=$AA16-15,N($AB19)&gt;0,$AA20=$AA16-20,N($AB20)&lt;0),3,IF(AND($AA17=$AA16-5,N($AB17)&gt;0,$AA18=$AA16-10,N($AB18)&gt;0,$AA19=$AA16-15,N($AB19)&gt;0,$AA20=$AA16-20,N($AB20)&gt;0,$AA21=$AA16-25,N($AB21)&lt;0),4,0)))),0)</f>
      </c>
      <c r="MN16">
        <f>IF(N($ML16)&gt;0,$AA16,0)</f>
      </c>
      <c r="MO16">
        <f>IF(N($MM16)&gt;0,$AA16,0)</f>
      </c>
      <c r="MP16">
        <f>IF(AND(OR('King Node Model'!$A$8="Neg",N($BG$72)=1),ISNUMBER($BG$155),$AA16=$BG$155,N($NC16)=1),2,IF(AND(OR('King Node Model'!$A$8="Neg",N($BG$72)=1),ISNUMBER($BG$156),$AA16=$BG$156,N($ND16)=1),1,0))</f>
      </c>
      <c r="MQ16">
        <f>IF(ABS(AE16)&lt;=0,0,IF($AG16="R",IF(ISNUMBER(AE15),IF((ABS(AE15)-ABS(AE16))/ABS(AE16)&lt;-0.4,1,0),0),IF(ISNUMBER(AE17),IF((ABS(AE17)-ABS(AE16))/ABS(AE16)&lt;-0.4,1,0),0)))</f>
      </c>
      <c r="MR16">
        <f>IF(OR(N($MQ16)&lt;&gt;1,N($BG$157)&lt;&gt;1,NOT(ISNUMBER($KU16)),NOT(ISNUMBER($KV16))),0,IF(OR(AND($AG16="S",OR(AND($KU16&gt;=$BG$114,$KU16&gt;=$KV16+$BG$115),AND($KU16&gt;1,$KV16&lt;=1,$KV16&gt;=$BG$114))),AND($AG16="R",OR(AND($KV16&gt;=$BG$114,$KV16&gt;=$KU16+$BG$115),AND($KV16&gt;1,$KU16&lt;=1,$KU16&gt;=$BG$114)))),1,0))</f>
      </c>
      <c r="MS16" t="str">
        <f>IF(AND(N($MR16)=1,N($NA16)&lt;&gt;1),"• DEX falls off more sharply "&amp;IF($AG16="S","above (","below (")&amp;TEXT(IF($AG16="S",$KU16,$KV16),"0%")&amp;") than "&amp;IF($AG16="S","below (","above (")&amp;TEXT(IF($AG16="S",$KV16,$KU16),"0%")&amp;") — Dex↓ not counted",IF(N($MW16)=1,"• Shoulder of the "&amp;IF($AG16="R",$AA17,$AA15)&amp;" wall — own DEX "&amp;TEXT($AE16/1000,"+#,##0;-#,##0")&amp;"K is "&amp;TEXT(ABS($AE16)/ABS(IF($AG16="R",$AE17,$AE15)),"0%")&amp;" of "&amp;TEXT(IF($AG16="R",$AE17,$AE15)/1000,"+#,##0;-#,##0")&amp;"K, Dex↓ not counted",""))</f>
      </c>
      <c r="MT16">
        <f>IF(AND(ISNUMBER($AA16),$AG16="S",ISNUMBER($AB16),$AB16=MIN($AB$9:$AB$55),$AA16=$BG$105,$JV16="BUY",ABS(N($AD16))&gt;=$BG$158),1,0)</f>
      </c>
      <c r="MU16" t="str">
        <f>IF(N($MY16)=1,"",IF(OR(N($MT16)=1,AND(OR('King Node Model'!$A$8="Neg",N($BG$72)=1),$AG16="S",ISNUMBER($AB16),$AB16=MIN($AB$9:$AB$55),$AA16=$BG$105)),"• Min GEX + Max Zomma (no reversal flag required) — accelerant warning not applied; zomma acceleration warning only within "&amp;$BG$98&amp;" pts of the level, and not when vanna buying is "&amp;TEXT($BG$158/1000,"0")&amp;"K or more"&amp;CHAR(10)&amp;IF(N($MT16)=1,"• Max Zomma and vanna buying ("&amp;TEXT(N($AD16)/1000,"+#,##0;-#,##0")&amp;"K) make this level safe","• Max Zomma is what makes this level safe"),"")&amp;$NB16&amp;$NI16)</f>
      </c>
      <c r="MV16" t="str">
        <f>IF(AND(ISNUMBER($AA16),OR($AA16=$BG$118,$AA16=$BG$119)),IF(N($AZ16)*IF($AG16="R",1,-1)&gt;0,"✓",IF(N($AZ16)*IF($AG16="R",1,-1)&lt;0,"✗","")),"")</f>
      </c>
      <c r="MW16">
        <f>IF(AND(N($MQ16)=1,N($BG$159)&gt;0,ISNUMBER(IF($AG16="R",$AE17,$AE15)),N(IF($AG16="R",$AE17,$AE15))&lt;&gt;0),IF(ABS(N($AE16))&lt;$BG$159*ABS(IF($AG16="R",$AE17,$AE15)),1,0),0)</f>
      </c>
      <c r="MX16">
        <f>IF(AND(ISNUMBER($AA16),$AA16=$BG$121,$AG16="R",N($AE16)&lt;0,OR(COUNTIF('King Node Model'!$AL$42:$AL$44,$AA16)=0,N($HP16)=1),N($NC16)=1),2,IF(AND(ISNUMBER($AA16),$AA16=$BG$120,$AG16="S",N($AE16)&gt;0,OR(COUNTIF('King Node Model'!$AL$49:$AL$51,$AA16)=0,N($HP16)=1),N($ND16)=1),1,0))</f>
      </c>
      <c r="MY16">
        <f>IF(AND(N($NA16)=1,NOT(AND(AND($AG16="S",ISNUMBER($AB16),$AB16=MIN($AB$9:$AB$55),$AA16=$BG$105),IFERROR(INDEX($AG$9:$AG$55,MATCH('King Node Model'!$B$23,$AA$9:$AA$55,0)),"")="R")),N($AV16)&lt;&gt;1),1,0)</f>
      </c>
      <c r="MZ16" t="str">
        <f>IF(N($MY16)&lt;&gt;1,"","• DEX falls off more sharply "&amp;IF($AG16="S","above (","below (")&amp;TEXT(IF($AG16="S",$KU16,$KV16),"0%")&amp;") than "&amp;IF($AG16="S","below (","above (")&amp;TEXT(IF($AG16="S",$KV16,$KU16),"0%")&amp;") — path of least resistance "&amp;IF($AG16="S","down","up")&amp;IF(N($AZ16)*IF($AG16="R",1,-1)&lt;0,CHAR(10)&amp;"• Speed against — GEX gets more negative as price "&amp;IF($AG16="R","rises","falls")&amp;" into it (speed "&amp;TEXT(N($AZ16),"#,##0;−#,##0")&amp;")","")&amp;IF(OR(N($NG16)=1,N($JC16)=1),CHAR(10)&amp;"• "&amp;IF(N($JC16)=1,"DOM with vanna BUY "&amp;TEXT(N($AD16)/1000,"+#,##0;−#,##0")&amp;"K","Put wall + Max Zomma + DOM")&amp;" backs the level, but it does not outweigh DEX"&amp;IF(N($AZ16)*IF($AG16="R",1,-1)&lt;0," and speed",""),IF(AND($AG16="S",ISNUMBER($AB16),$AB16=MIN($AB$9:$AB$55),$AA16=$BG$105),CHAR(10)&amp;"• Min GEX + Max Zomma backs the level, but it does not outweigh DEX"&amp;IF(N($AZ16)*IF($AG16="R",1,-1)&lt;0," and speed",""),IF(OR(N($JI16)=1,AND(N($GV16)=1,N($JK16)&lt;&gt;1,N($IW16)&lt;&gt;1),N($JC16)=1,AND($AA16='King Node Model'!$F$24,N($JN16)&lt;&gt;1,OR($AG16="R",AND($AG16="S",$F$4="High",IF($BG$80&lt;&gt;"",UPPER($BG$80),$D$5)="UP")))),CHAR(10)&amp;"• Vanna "&amp;IF($AG16="S","BUY ","SELL ")&amp;TEXT(N($AD16)/1000,"+#,##0;−#,##0")&amp;"K backs the level, but it does not outweigh DEX"&amp;IF(N($AZ16)*IF($AG16="R",1,-1)&lt;0," and speed",""),"")))&amp;IF(N($NE16)=1,CHAR(10)&amp;"• Buy-lean max-node exemption not applied — DEX leans against the level",""))</f>
      </c>
      <c r="NA16">
        <f>IF(AND(OR('King Node Model'!$A$8="Neg",N($BG$72)=1),ISNUMBER($AA16),ABS(N($AE16))&gt;=$BG$152,ISNUMBER($KU16),ISNUMBER($KV16)),IF(OR(AND($AG16="S",OR(AND($KU16&gt;=$BG$114,$KU16&gt;=$KV16+$BG$115),AND($KU16&gt;1,$KV16&lt;=1,$KV16&gt;=$BG$114))),AND($AG16="R",OR(AND($KV16&gt;=$BG$114,$KV16&gt;=$KU16+$BG$115),AND($KV16&gt;1,$KU16&lt;=1,$KU16&gt;=$BG$114)))),1,0),0)</f>
      </c>
      <c r="NB16" t="str">
        <f>IF(AND(N($NA16)=1,AND(AND($AG16="S",ISNUMBER($AB16),$AB16=MIN($AB$9:$AB$55),$AA16=$BG$105),IFERROR(INDEX($AG$9:$AG$55,MATCH('King Node Model'!$B$23,$AA$9:$AA$55,0)),"")="R")),CHAR(10)&amp;"• DEX falls off more sharply above ("&amp;TEXT($KU16,"0%")&amp;") than below ("&amp;TEXT($KV16,"0%")&amp;") — DEX-lean warning not applied: Min GEX + Max Zomma support with Max Gamma "&amp;'King Node Model'!$B$23&amp;" above (Dex↓ not counted)",IF(AND(OR(N($NA16)=1,N($NF16)=1),N($AV16)=1),IF(AND(OR('King Node Model'!$A$8="Neg",N($BG$72)=1),$AG16="S",ISNUMBER($AB16),$AB16=MIN($AB$9:$AB$55),$AA16=$BG$105),CHAR(10),"")&amp;"• DEX falls off more sharply "&amp;IF($AG16="S","above (","below (")&amp;TEXT(IF($AG16="S",$KU16,$KV16),"0%")&amp;") than "&amp;IF($AG16="S","below (","above (")&amp;TEXT(IF($AG16="S",$KV16,$KU16),"0%")&amp;") — DEX lean does not apply to iDex (isolated DEX)",""))</f>
      </c>
      <c r="NC16">
        <f>IF(OR($BG$163=1,AND($BG$161&gt;0,$BG$162&lt;99999,ISNUMBER($AA16),$AA16&lt;$BG$162)),1,0)</f>
      </c>
      <c r="ND16">
        <f>IF(OR($BG$163=-1,AND($BG$161&gt;0,$BG$162&lt;99999,ISNUMBER($AA16),$AA16&gt;$BG$161)),1,0)</f>
      </c>
      <c r="NE16">
        <f>IF(AND(OR('King Node Model'!$A$8="Neg",N($BG$72)=1),ISNUMBER(SEARCH("LOW",'Master Dashboard'!$M$5)),ISNUMBER(SEARCH("BUY",'Master Dashboard'!$G$8)),'King Node Model'!$T$23='King Node Model'!$B$23,OR($AA16='King Node Model'!$T$23,AND($AG16="R",$AA16='King Node Model'!$T$23+5)),OR(AND($AG16="S",$JV16="BUY"),AND($AG16="R",$JV16="SELL"))),1,0)</f>
      </c>
      <c r="NF16">
        <f>IFERROR(IF(OR(NOT(ISNUMBER($AA16)),'King Node Model'!$A$8&lt;&gt;"Pos",N($BG$72)=1,ABS(N($AE16))&lt;$BG$113,$FA16="DOM",$AA16='King Node Model'!$T$23,AND(N($BG$116)=1,$AA16='King Node Model'!$F$24),NOT(ISNUMBER($KU16)),NOT(ISNUMBER($KV16))),0,IF(AND($AG16="S",COUNTIF('Master Dashboard'!$AN$16:$AN$18,$AA16)=0,$KU16&gt;=$BG$114,$KU16&gt;=$KV16+$BG$115,NOT(AND(N($AN17)=1,N($KV16)&lt;0)),N($AE16)&lt;=0),1,IF(AND($AG16="R",COUNTIF('Master Dashboard'!$AN$13:$AN$15,$AA16)=0,$KV16&gt;=$BG$114,$KV16&gt;=$KU16+$BG$115,NOT(AND(N($AN15)=1,N($KU16)&lt;0))),-1,0))),0)</f>
      </c>
      <c r="NG16">
        <f t="shared" si="202"/>
      </c>
      <c r="NI16" t="str">
        <f>IF(AND(ISNUMBER($BG$165),ISNUMBER($AA16)),IF(OR(AND($AG16="S",$AA16&gt;$BG$165,$AA16-$BG$165&lt;=5),AND($AG16="R",$AA16&lt;$BG$165,$BG$165-$AA16&lt;=5)),IF(OR(AND(OR('King Node Model'!$A$8="Neg",N($BG$72)=1),$AG16="S",ISNUMBER($AB16),$AB16=MIN($AB$9:$AB$55),$AA16=$BG$105),$NB16&lt;&gt;""),CHAR(10),"")&amp;"• DOM forming at "&amp;$BG$165&amp;" (gamma "&amp;TEXT($BG$166,"0%")&amp;" of max) — price may be pulled to the node",""),"")</f>
      </c>
      <c r="NJ16">
        <f>IF(LEN($NI16)&gt;0,1,0)</f>
      </c>
    </row>
    <row r="17" spans="1:349" ht="15" customHeight="1" x14ac:dyDescent="0.25">
      <c r="A17" s="175" t="s">
        <v>33</v>
      </c>
      <c r="B17" s="175" t="s">
        <v>35</v>
      </c>
      <c r="C17" s="175" t="s">
        <v>36</v>
      </c>
      <c r="D17" s="175" t="s">
        <v>37</v>
      </c>
      <c r="E17" s="175" t="s">
        <v>1126</v>
      </c>
      <c r="F17" s="176" t="s">
        <v>1071</v>
      </c>
      <c r="G17" s="176" t="s">
        <v>15</v>
      </c>
      <c r="AA17" s="181">
        <f>'King Node Model'!A37</f>
        <v>7845</v>
      </c>
      <c r="AB17" s="276">
        <f>'King Node Model'!C37</f>
        <v>92046</v>
      </c>
      <c r="AC17" s="181">
        <f>ABS('King Node Model'!B37)</f>
        <v>101575</v>
      </c>
      <c r="AD17" s="276">
        <f>'King Node Model'!F37</f>
        <v>410142</v>
      </c>
      <c r="AE17" s="276">
        <f>'King Node Model'!E37</f>
        <v>-45773</v>
      </c>
      <c r="AF17" s="276">
        <f>'King Node Model'!D37</f>
        <v>1960978</v>
      </c>
      <c r="AG17" s="181" t="str">
        <f t="shared" si="6"/>
        <v>R</v>
      </c>
      <c r="AH17" s="181">
        <f t="shared" si="7"/>
        <v>16</v>
      </c>
      <c r="AI17" s="181" t="str">
        <f t="shared" si="8"/>
        <v>SELL</v>
      </c>
      <c r="AJ17" s="181">
        <f t="shared" si="9"/>
        <v>0</v>
      </c>
      <c r="AK17" s="181">
        <f>IF(ABS(N($AE17))&gt;=$BG$85,1,0)</f>
      </c>
      <c r="AL17" s="181">
        <f t="shared" si="10"/>
        <v>0</v>
      </c>
      <c r="AM17" s="181">
        <f t="shared" si="11"/>
        <v>2</v>
      </c>
      <c r="AN17" s="181">
        <f t="shared" si="12"/>
        <v>0</v>
      </c>
      <c r="AO17" s="1">
        <f t="shared" si="13"/>
        <v>45773</v>
      </c>
      <c r="AP17" s="1" t="str">
        <f t="shared" si="14"/>
        <v/>
      </c>
      <c r="AQ17" s="1">
        <f t="shared" si="15"/>
        <v>1960978</v>
      </c>
      <c r="AR17" s="181">
        <f t="shared" si="16"/>
        <v>0.21817312461897045</v>
      </c>
      <c r="AS17" s="181">
        <f t="shared" si="17"/>
        <v>12</v>
      </c>
      <c r="AT17" s="181" t="str">
        <f t="shared" si="18"/>
        <v/>
      </c>
      <c r="AU17" s="181" t="str">
        <f t="shared" si="19"/>
        <v/>
      </c>
      <c r="AV17" s="218">
        <f t="shared" si="183"/>
        <v>0</v>
      </c>
      <c r="AW17" s="181">
        <f>ABS('King Node Model'!G37)</f>
        <v>201</v>
      </c>
      <c r="AX17" s="181">
        <f t="shared" si="20"/>
        <v>0</v>
      </c>
      <c r="AY17" s="181">
        <f t="shared" si="21"/>
        <v>0</v>
      </c>
      <c r="AZ17" s="276">
        <f>'King Node Model'!I37</f>
        <v>1751</v>
      </c>
      <c r="BA17" s="181">
        <f t="shared" si="22"/>
        <v>0</v>
      </c>
      <c r="BB17" s="181" t="str">
        <f t="shared" si="23"/>
        <v>R12</v>
      </c>
      <c r="BC17" s="10">
        <f>'King Node Model'!C37</f>
        <v>92046</v>
      </c>
      <c r="BD17" s="218">
        <f t="shared" si="184"/>
        <v>0</v>
      </c>
      <c r="BE17" s="218">
        <f t="shared" si="185"/>
        <v>0</v>
      </c>
      <c r="BF17" s="218" t="s">
        <v>1220</v>
      </c>
      <c r="BG17">
        <v>0.3</v>
      </c>
      <c r="BI17" s="218">
        <f t="shared" si="186"/>
        <v>0</v>
      </c>
      <c r="BJ17" s="218">
        <f t="shared" si="187"/>
        <v>0</v>
      </c>
      <c r="BK17" s="218">
        <f t="shared" si="24"/>
        <v>0</v>
      </c>
      <c r="BL17" s="10">
        <f>'King Node Model'!H37</f>
        <v>8</v>
      </c>
      <c r="BM17" s="218">
        <f t="shared" si="25"/>
        <v>34</v>
      </c>
      <c r="BN17" s="218">
        <f t="shared" si="26"/>
        <v>26</v>
      </c>
      <c r="BO17" s="218">
        <f t="shared" si="27"/>
        <v>0</v>
      </c>
      <c r="BP17" s="218">
        <f t="shared" si="28"/>
        <v>0</v>
      </c>
      <c r="BQ17" t="str">
        <f t="shared" si="29"/>
        <v/>
      </c>
      <c r="BR17" t="str">
        <f t="shared" si="30"/>
        <v/>
      </c>
      <c r="BS17" s="218">
        <f t="shared" si="31"/>
        <v>0</v>
      </c>
      <c r="BT17" t="str">
        <f t="shared" si="32"/>
        <v/>
      </c>
      <c r="BU17" t="str">
        <f t="shared" si="33"/>
        <v/>
      </c>
      <c r="BV17" s="218">
        <f t="shared" si="34"/>
        <v>410142</v>
      </c>
      <c r="BW17" s="218">
        <f t="shared" si="35"/>
        <v>45773</v>
      </c>
      <c r="BX17" s="218">
        <f>IF(AND(ISNUMBER(BC17),BC17&gt;=$BG$160,OR('King Node Model'!$A$8="Neg",N($BG$72)=1)),1,0)</f>
        <v>1</v>
      </c>
      <c r="BY17" s="218">
        <f t="shared" si="36"/>
        <v>0</v>
      </c>
      <c r="BZ17" s="218">
        <f t="shared" si="37"/>
        <v>0</v>
      </c>
      <c r="CA17" t="str">
        <f t="shared" si="38"/>
        <v/>
      </c>
      <c r="CB17" s="218">
        <f>IF(AND(ISNUMBER('King Node Model'!$D$27),AG17&lt;&gt;"",AA17='King Node Model'!$D$27),1,0)</f>
        <v>0</v>
      </c>
      <c r="CC17" s="218">
        <f>IF(OR('King Node Model'!$A$8="Neg",N($BG$72)=1),$BG$14*IF(ISNUMBER('King Node Model'!$D$26),MAX(0,1-ABS(AA17-'King Node Model'!$D$26)/$BG$18),0)+$BG$15*IFERROR(BV17/MAX($BV$9:$BV$55),0)+$BG$16*IFERROR(BW17/MAX($BW$9:$BW$55),0)+$BG$17*IFERROR(AC17/$S$11,0)*MAX(0,1+$BG$21*CF17),AR17)</f>
        <v>0.467422490382567</v>
      </c>
      <c r="CD17" s="218">
        <f>IF(OR('King Node Model'!$A$8="Neg",N($BG$72)=1),IF(AND(AG17&lt;&gt;"",ABS(AA17-$B$4)&lt;=$BG$7,OR(AX17=0,$D$5&lt;&gt;"UP"),AY17=0,BK17&lt;&gt;1,CI17=0,AM17&gt;=$BG$20,AC17&gt;$BG$19),1,0),IF(AND(BS17=1,(COUNTIF($W$9:$W$14,AA17)+COUNTIF($W$18:$W$23,AA17))&gt;0,CI17=0,AM17&gt;=$BG$20,AC17&gt;$BG$19),1,0))</f>
        <v>0</v>
      </c>
      <c r="CE17" t="str">
        <f t="shared" si="39"/>
        <v/>
      </c>
      <c r="CF17" s="218">
        <f t="shared" si="40"/>
        <v>0</v>
      </c>
      <c r="CG17" t="str">
        <f t="shared" si="41"/>
        <v/>
      </c>
      <c r="CH17" t="str">
        <f t="shared" si="42"/>
        <v>Dormant</v>
      </c>
      <c r="CI17" s="218">
        <f t="shared" si="43"/>
        <v>0</v>
      </c>
      <c r="CJ17" s="218">
        <f t="shared" si="44"/>
        <v>387420489</v>
      </c>
      <c r="CK17" s="218">
        <f t="shared" si="45"/>
        <v>0</v>
      </c>
      <c r="CL17" s="218">
        <f t="shared" si="46"/>
        <v>0</v>
      </c>
      <c r="CR17" s="394" t="s">
        <v>1125</v>
      </c>
      <c r="CS17" s="218">
        <f>SUMPRODUCT(($CK$9:$CK$55=1)*1)</f>
        <v>1</v>
      </c>
      <c r="CU17" s="218">
        <f>IF(AND(AND('King Node Model'!$A$8&lt;&gt;"Neg",N($BG$72)&lt;&gt;1),SUMPRODUCT(($AG$9:$AG$55="S")*ISNUMBER($AT$9:$AT$55)*ISNUMBER($AU$9:$AU$55)*($AT$9:$AT$55&lt;&gt;$AU$9:$AU$55)*($AT$9:$AT$55&lt;=$AA17)*($AU$9:$AU$55&gt;=$AA17))&gt;0),0,IF(AND(OR($AA17='King Node Model'!$T$22,$AA17='King Node Model'!$F$24),$AG17="R",COUNTIF($W$9:$W$14,$AA17)&gt;0),1,IF(AND($FN17=1,$EU17&lt;&gt;1,$EM17&lt;&gt;1,$BK17&lt;&gt;1,$DH17&lt;&gt;1,$AG17="R",COUNTIF($W$9:$W$14,$AA17)&gt;0),1,IF($EU17=1,0,IF($EM17=1,0,IF(AND(OR($EE17=1,$GV17=1,AND($EL$7=1,$AA17='King Node Model'!$D$26,$EI17=1),AND(OR($AA17='King Node Model'!$T$22,$AA17='King Node Model'!$T$23),$AN17=1,OR($AX17=0,$D$5&lt;&gt;"UP"))),OR(NOT(OR('King Node Model'!$A$8="Neg",N($BG$72)=1)),$GV17=1,AND(OR($AA17='King Node Model'!$T$22,$AA17='King Node Model'!$T$23),$AN17=1,OR($AX17=0,$D$5&lt;&gt;"UP")),AND($AM17&gt;=$BG$20,$AC17&gt;IF($CZ17=1,$BG$48,$BG$19)))),1,IF($DH17=1,0,IF(AND($DC17=1,$GS17&lt;&gt;1,AND('King Node Model'!$A$8&lt;&gt;"Neg",N($BG$72)&lt;&gt;1)),0,IF(AND($EY17=1,NOT(OR('King Node Model'!$A$8="Neg",$BG$72=1)),$AA17&lt;&gt;'King Node Model'!$B$23),0,IF(AND($GS17=1,$AG17="R",OR($CI17=0,$EE17=1,$EX17=1,$GV17=1),COUNTIF($W$9:$W$14,$AA17)&gt;0,ABS($AA17-$B$4)&lt;=$BG$7,$BK17&lt;&gt;1,$AM17&gt;=$BG$20,$AC17&gt;IF($CZ17=1,$BG$48,$BG$19)),1,IF(OR('King Node Model'!$A$8="Neg",N($BG$72)=1),IF(AND(OR($AM17&gt;=$BG$20,$AA17='King Node Model'!$D$26,$GV17=1),$AG17="R",COUNTIF($W$9:$W$14,$AA17)&gt;0,ABS($AA17-$B$4)&lt;=$BG$7,OR($AX17=0,$D$5&lt;&gt;"UP"),$BK17&lt;&gt;1,OR(OR($CI17=0,$AJ17=1),AND($EI17=1,$LA17=1,COUNTIF($W$9:$W$11,$AA17)&gt;0,$AN17=1,OR($AX17=0,$D$5&lt;&gt;"UP"))),$AM17&gt;=$BG$20,$AC17&gt;IF($CZ17=1,$BG$48,$BG$19),OR($AN17=1,N($LR17)=1,$AA17='King Node Model'!$D$26,AND($BY17=1,$AA17&gt;$B$4),$BX17=1,$CF17=1,$CF17=1,AND(OR($AA17=$CP$4,$AA17=$CP$5,$AA17=$CP$6,$AA17=$CP$7),ABS($AA17-$B$4)&lt;=30),AND($AX17=1,$D$5="DOWN"))),1,0),IF(AND(OR($AM17&gt;=3,$AA17='King Node Model'!$D$26,$GV17=1),$AG17="R",COUNTIF($W$9:$W$14,$AA17)&gt;0,ABS($AA17-$B$4)&lt;=$BG$7,OR($AX17=0,$D$5&lt;&gt;"UP"),$BK17&lt;&gt;1,OR($CI17=0,$AJ17=1),$AM17&gt;=$BG$20,$AC17&gt;IF($CZ17=1,$BG$48,$BG$19),OR($AC17&gt;=MAX($AC$9:$AC$55),$BC17&gt;0,$AA17='King Node Model'!$D$26,AND(OR($AA17=$CP$4,$AA17=$CP$5,$AA17=$CP$6,$AA17=$CP$7),ABS($AA17-$B$4)&lt;=30),$CF17=1,$AN17=1,AND($AX17=1,$D$5="DOWN"))),1,0))))))))))))</f>
        <v>0</v>
      </c>
      <c r="CV17" s="218">
        <f>IF(AND(OR('King Node Model'!$A$8="Neg",N($BG$72)=1),$AG17="S",N($LR17)=1,N($MB17)=1),1,IF(AND(AND('King Node Model'!$A$8&lt;&gt;"Neg",N($BG$72)&lt;&gt;1),SUMPRODUCT(($AG$9:$AG$55="R")*ISNUMBER($AT$9:$AT$55)*ISNUMBER($AU$9:$AU$55)*($AT$9:$AT$55&lt;&gt;$AU$9:$AU$55)*($AT$9:$AT$55&lt;=$AA17)*($AU$9:$AU$55&gt;=$AA17))&gt;0,NOT(AND(N($LC17)=1,$AA17='King Node Model'!$B$23))),0,IF(AND($AA17='King Node Model'!$F$24,$AG17="S",COUNTIF($W$18:$W$23,$AA17)&gt;0),1,IF(AND($FN17=1,$EU17&lt;&gt;1,$EM17&lt;&gt;1,$DH17&lt;&gt;1,$AG17="S",COUNTIF($W$18:$W$23,$AA17)&gt;0),1,IF($EU17=1,0,IF(AND(OR($EF17=1,$GV17=1,AND(OR($AA17='King Node Model'!$T$22,$AA17='King Node Model'!$T$23,AND($AG17="S",COUNTIF('Master Dashboard'!$AN$16:$AN$18,$AA17)&gt;0)),$AN17=1,OR($AX17=0,$D$5&lt;&gt;"UP"))),OR(NOT(OR('King Node Model'!$A$8="Neg",N($BG$72)=1)),$GV17=1,AND(OR($AA17='King Node Model'!$T$22,$AA17='King Node Model'!$T$23,AND($AG17="S",COUNTIF('Master Dashboard'!$AN$16:$AN$18,$AA17)&gt;0)),$AN17=1,OR($AX17=0,$D$5&lt;&gt;"UP")),AND($AM17&gt;=$BG$20,$AC17&gt;IF($CZ17=1,$BG$48,$BG$19)))),1,IF($DH17=1,0,IF(AND($DC17=1,$GS17&lt;&gt;1,AND('King Node Model'!$A$8&lt;&gt;"Neg",N($BG$72)&lt;&gt;1)),0,IF(AND($EY17=1,NOT(OR('King Node Model'!$A$8="Neg",$BG$72=1)),$AA17&lt;&gt;'King Node Model'!$B$23,COUNTIF('Master Dashboard'!$AN$16:$AN$18,$AA17)=0),0,IF(AND($GS17=1,$AG17="S",OR($CI17=0,$EF17=1,$EX17=1,$GV17=1),COUNTIF($W$18:$W$23,$AA17)&gt;0,ABS($AA17-$B$4)&lt;=$BG$7,$BK17&lt;&gt;1,$AM17&gt;=$BG$20,$AC17&gt;IF($CZ17=1,$BG$48,$BG$19)),1,IF(OR('King Node Model'!$A$8="Neg",N($BG$72)=1),IF(AND(OR(OR($AM17&gt;=$BG$20,N($LR17)=1),$AA17='King Node Model'!$D$26,$GV17=1),$AG17="S",COUNTIF($W$18:$W$23,$AA17)&gt;0,ABS($AA17-$B$4)&lt;=$BG$7,OR($AX17=0,$D$5&lt;&gt;"UP"),$BK17&lt;&gt;1,OR($CI17=0,$AJ17=1,AND(N($LR17)=1,N($MB17)=1),N($MT17)=1),OR($AM17&gt;=$BG$20,N($LR17)=1),$AC17&gt;IF($CZ17=1,$BG$48,$BG$19),OR($AB17&gt;0,$AN17=1,N($MT17)=1,N($LR17)=1,$AA17='King Node Model'!$D$26,AND($BY17=1,$AA17&lt;$B$4),$BX17=1,$CF17=1,$CF17=1,AND(OR($AA17=$CP$4,$AA17=$CP$5,$AA17=$CP$6,$AA17=$CP$7),ABS($AA17-$B$4)&lt;=30),AND($AX17=1,$D$5="DOWN"))),1,0),IF(AND(OR($AM17&gt;=3,$AA17='King Node Model'!$D$26,$GV17=1),$AG17="S",COUNTIF($W$18:$W$23,$AA17)&gt;0,ABS($AA17-$B$4)&lt;=$BG$7,OR($AX17=0,$D$5&lt;&gt;"UP"),$BK17&lt;&gt;1,OR($CI17=0,$AJ17=1,AND(N($LR17)=1,N($MB17)=1),N($MT17)=1),$AM17&gt;=$BG$20,$AC17&gt;IF($CZ17=1,$BG$48,$BG$19),OR($AC17&gt;=MAX($AC$9:$AC$55),$BC17&gt;0,N($MT17)=1,$AA17='King Node Model'!$D$26,AND(OR($AA17=$CP$4,$AA17=$CP$5,$AA17=$CP$6,$AA17=$CP$7),ABS($AA17-$B$4)&lt;=30),$CF17=1,$AN17=1,AND($AX17=1,$D$5="DOWN"))),1,0))))))))))))</f>
        <v>0</v>
      </c>
      <c r="CX17" s="218">
        <f t="shared" si="48"/>
        <v>0</v>
      </c>
      <c r="CY17" t="str">
        <f t="shared" si="49"/>
        <v/>
      </c>
      <c r="CZ17" s="218">
        <f t="shared" si="50"/>
        <v>0</v>
      </c>
      <c r="DA17" t="str">
        <f t="shared" si="51"/>
        <v/>
      </c>
      <c r="DB17" t="str">
        <f t="shared" si="52"/>
        <v/>
      </c>
      <c r="DC17" s="218">
        <f t="shared" si="53"/>
        <v>0</v>
      </c>
      <c r="DD17" s="218">
        <f t="shared" si="54"/>
        <v>0</v>
      </c>
      <c r="DE17" s="218">
        <f t="shared" si="55"/>
        <v>0</v>
      </c>
      <c r="DF17" t="str">
        <f t="shared" si="56"/>
        <v/>
      </c>
      <c r="DG17" t="str">
        <f t="shared" si="57"/>
        <v/>
      </c>
      <c r="DH17" s="218">
        <f t="shared" si="58"/>
        <v>0</v>
      </c>
      <c r="DI17">
        <v>1</v>
      </c>
      <c r="DJ17">
        <v>1</v>
      </c>
      <c r="DK17">
        <v>59026</v>
      </c>
      <c r="DL17">
        <v>0</v>
      </c>
      <c r="DM17" t="str">
        <f>IF(AND($CV17=1,$AG17="S"),IF(AND(OR('King Node Model'!$A$8="Neg",N($BG$72)=1),'King Node Model'!$S$52=""),IF(OR(N($AN17)=1,N($LR17)=1,$AB17&gt;0,$AJ17=1,N($JO17)=1,AND(NOT($AE17&gt;0),NOT(IFERROR(AND(ISNUMBER($BC17),ISNUMBER($BC16),($BC17&gt;=0)&lt;&gt;($BC16&gt;=0)),FALSE())),OR(AND($BM17&lt;=6,$BN17&lt;=6),ABS($AA17-'King Node Model'!$T$23)&lt;=5,$LA17=1))),1,0),1),"")</f>
        <v/>
      </c>
      <c r="DN17" t="str">
        <f t="shared" si="59"/>
        <v/>
      </c>
      <c r="DO17" t="str">
        <f t="shared" si="60"/>
        <v>W-list</v>
      </c>
      <c r="DP17" t="str">
        <f>IF(AND(OR('King Node Model'!$A$8="Neg",N($BG$72)=1),$AG17="S",ISNUMBER($AT17),ISNUMBER($AU17),$AT17&lt;&gt;$AU17,$AA17=$AT17),IF(AND(SUMPRODUCT(($AA$9:$AA$55&gt;=$AT17)*($AA$9:$AA$55&lt;=$AU17)*($AB$9:$AB$55&gt;0))&gt;0,SUMPRODUCT(($AA$9:$AA$55&gt;=$AT17)*($AA$9:$AA$55&lt;=$AU17)*($DM$9:$DM$55=1))&gt;0,SUMPRODUCT(($AA$9:$AA$55&gt;=$AT17)*($AA$9:$AA$55&lt;=$AU17)*(COUNTIF($W$18:$W$20,$AA$9:$AA$55)&gt;0))&gt;0),1,0),"")</f>
        <v/>
      </c>
      <c r="DS17">
        <v>0</v>
      </c>
      <c r="DT17">
        <v>0</v>
      </c>
      <c r="DU17" t="str">
        <f>IF('King Node Model'!$A$8&lt;&gt;"Pos","",IF(OR($AA17="",NOT(ISNUMBER($AA17)),ABS($AA17-$B$4)&gt;$BG$7),"",TEXT($AA17,"0")&amp;" | "&amp;IF($AG17="","unclassified",IF($AG17&lt;&gt;IF($AA17&gt;$B$4,"R","S"),"orphan: in "&amp;$AG17&amp;"-list, "&amp;IF($AA17&lt;$B$4,"below","above")&amp;" spot",IF(IF($AG17="R",COUNTIF($W$9:$W$14,$AA17),COUNTIF($W$18:$W$23,$AA17))=0,"not in "&amp;$AG17&amp;"-list",IF($DH17=1,"absorbed into shelf box",IF($BK17=1,"absorbed: adjacent reversal",IF($CI17=1,"accel-accelerant",IF($AC17&lt;=$BG$19,"below gamma-floor",IF($AM17&lt;$BG$20,"confluence "&amp;TEXT($AM17,"0")&amp;" &lt; "&amp;TEXT($BG$20,"0"),IF(AND($AX17=1,$D$5="UP"),"accelerant in up-move",IF(NOT(OR($AC17&gt;=MAX($AC$9:$AC$55),$BC17&gt;0,$AA17='King Node Model'!$D$26,AND(OR($AA17=$CP$4,$AA17=$CP$5,$AA17=$CP$6,$AA17=$CP$7),ABS($AA17-$B$4)&lt;=30),ISNUMBER(SEARCH("STRENGTHENING",$CG17)),$AN17=1,AND($AX17=1,$D$5="DOWN"))),"no surface flag","-&gt; qualifies"))))))))))))</f>
        <v/>
      </c>
      <c r="DV17" s="218">
        <f t="shared" si="61"/>
        <v>99999</v>
      </c>
      <c r="DW17" s="218">
        <f t="shared" si="62"/>
        <v>99999</v>
      </c>
      <c r="DX17" t="str">
        <f>IF('King Node Model'!$A$8&lt;&gt;"Pos","",IF(AND($DV17&lt;99999,$DV17=MIN($DV$9:$DV$55),$DG17&gt;$AA17),"R-box: "&amp;TEXT($AA17,"0")&amp;"-"&amp;TEXT($DG17,"0"),IF(AND($DW17&lt;99999,$DW17=MIN($DW$9:$DW$55),$DF17&lt;$AA17),"S-box: "&amp;TEXT($DF17,"0")&amp;"-"&amp;TEXT($AA17,"0"),"")))</f>
        <v/>
      </c>
      <c r="EB17">
        <f t="shared" si="63"/>
        <v>69.609999999999673</v>
      </c>
      <c r="EC17">
        <f t="shared" si="64"/>
        <v>538591</v>
      </c>
      <c r="ED17">
        <f t="shared" si="65"/>
        <v>0</v>
      </c>
      <c r="EE17">
        <f>IF(AND(OR('King Node Model'!$A$8="Neg",N($BG$72)=1),$AG17="R",ISNUMBER($EB17),$EB17&lt;=$BG$7,$AB17&gt;0,$EC17&gt;0,$AB17=$EC17),1,0)</f>
        <v>0</v>
      </c>
      <c r="EF17">
        <f>IF(AND(OR('King Node Model'!$A$8="Neg",N($BG$72)=1),$AG17="S",ISNUMBER($EB17),$EB17&lt;=$BG$7,$AB17&gt;0,$ED17&gt;0,$AB17=$ED17),1,0)</f>
        <v>0</v>
      </c>
      <c r="EI17">
        <v>1</v>
      </c>
      <c r="EJ17">
        <f>IF($AA17="",0,IF(SUMPRODUCT(($AA$9:$AA$55&gt;=$AT17)*($AA$9:$AA$55&lt;=$AU17)*($DT$9:$DT$55=1))+SUMPRODUCT(($DT$9:$DT$55=1)*($AT$9:$AT$55&lt;=$AA17)*($AU$9:$AU$55&gt;=$AA17))+($DT17=1)+AND(OR('King Node Model'!$A$8="Neg",N($BG$72)=1),ISNUMBER(SEARCH("LOW",'Master Dashboard'!$M$5)),ISNUMBER(SEARCH("BUY",'Master Dashboard'!$G$8)),'King Node Model'!$T$23='King Node Model'!$B$23,$AA17&gt;='King Node Model'!$T$23,$AA17&lt;='King Node Model'!$T$23+5)*1&gt;0,1,0))</f>
        <v>0</v>
      </c>
      <c r="EM17">
        <f t="shared" si="66"/>
        <v>0</v>
      </c>
      <c r="EN17">
        <v>0</v>
      </c>
      <c r="EO17">
        <f t="shared" si="67"/>
        <v>0</v>
      </c>
      <c r="EP17">
        <f t="shared" si="68"/>
        <v>0</v>
      </c>
      <c r="EQ17" t="str">
        <f t="shared" si="69"/>
        <v>thinning the ceiling (magnitude weak)</v>
      </c>
      <c r="ES17" t="str">
        <f>IF(AND(ISNUMBER(AA17),ISNUMBER(AF17),ABS(AA17-'King Node Model'!$B$4)&lt;=$BG$7),ABS(AF17),"")</f>
        <v/>
      </c>
      <c r="ET17">
        <v>0</v>
      </c>
      <c r="EU17" s="218">
        <f>IF(AND(OR('King Node Model'!$A$8="Neg",N($BG$72)=1),ISNUMBER($AA16),ISNUMBER($AA17),ISNUMBER($AA18),ISNUMBER($AB16),ISNUMBER($AB17),ISNUMBER($AB18),ISNUMBER($AF17),$AB17&gt;0,$AB16&lt;0,$AB18&lt;0,$AF17&lt;0),1,0)</f>
        <v>0</v>
      </c>
      <c r="EW17">
        <f>IF(OR(N($MY17)=1,N($JM17)=1),0,N($NE17))</f>
        <v>0</v>
      </c>
      <c r="EX17">
        <f>IF(AND(OR('King Node Model'!$A$8="Neg",N($BG$72)=1),ISNUMBER($AA17),OR(AND($AA17='King Node Model'!$F$24,OR(AND($AG17="S",$F$4="High",IF($BG$80&lt;&gt;"",UPPER($BG$80),$D$5)="DOWN"),AND($AG17="R",$F$4="Low",IF($BG$80&lt;&gt;"",UPPER($BG$80),$D$5)="UP"))),$GV17=1)),1,0)</f>
        <v>0</v>
      </c>
      <c r="EY17">
        <f>IFERROR(IF(AND($DC17=1,$AB17&lt;0,$AC17&gt;=(1+$FA$6)*INDEX($AC$9:$AC$55,9-1),$AC17&gt;=(1+$FA$6)*INDEX($AC$9:$AC$55,9+1),$AC17&gt;=IFERROR(INDEX($AC$9:$AC$55,9-2),0),$AC17&gt;=IFERROR(INDEX($AC$9:$AC$55,9+2),0)),1,0),0)</f>
        <v>0</v>
      </c>
      <c r="FA17" t="str">
        <f>IF(NOT(ISNUMBER($AA17)),"",IFERROR(IF(AND($AC17=MAX($AC$9:$AC$55),$AB17=MIN($AB$9:$AB$55)),"DOM",IF(AND($DC16=1,$DC17=1,$DC18=1,INDEX($AC$9:$AC$55,9-1)&lt;=(1-$FA$6)*$AC17,INDEX($AC$9:$AC$55,9-1)&lt;=(1-$FA$6)*INDEX($AC$9:$AC$55,9-2)),"GAP↑",IF(AND($DC18=1,$DC17=1,INDEX($AC$9:$AC$55,9+1)&lt;=(1-$FA$6)*$AC17,INDEX($AC$9:$AC$55,9+1)&lt;=(1-$FA$6)*INDEX($AC$9:$AC$55,9+2)),"GAP↓",IF($CZ17=1,"dEdge Cliff",IF($GY17=1,"γWall",IF(AND($DC17=1,$AB17&lt;0,$AC17&gt;=(1+$FA$6)*INDEX($AC$9:$AC$55,9-1),$AC17&gt;=(1+$FA$6)*INDEX($AC$9:$AC$55,9+1)),"PEAK-",IF($GZ17=1,"γSh Edge",IF($HL17=1,"Trough",IF($HN17=1,"PEAK+",IF($GF17=1,"Cluster","")))))))))),""))</f>
        <v/>
      </c>
      <c r="FB17" t="str">
        <f t="shared" si="70"/>
        <v/>
      </c>
      <c r="FC17" t="str">
        <f t="shared" si="71"/>
        <v/>
      </c>
      <c r="FD17">
        <f>IF(AND(ISNUMBER($AA17),ISNUMBER('King Node Model'!$AP$17),ISNUMBER('King Node Model'!$AQ$17),$AA17&gt;=MIN('King Node Model'!$AP$17,'King Node Model'!$AQ$17),$AA17&lt;=MAX('King Node Model'!$AP$17,'King Node Model'!$AQ$17),IFERROR(INDEX($AC$9:$AC$55,MATCH('King Node Model'!$AL$42,$AA$9:$AA$55,0)),0)&gt;0,$AC17&gt;=(1-$FA$6)*IFERROR(INDEX($AC$9:$AC$55,MATCH('King Node Model'!$AL$42,$AA$9:$AA$55,0)),0),$AC17&lt;=(1+$FA$6)*IFERROR(INDEX($AC$9:$AC$55,MATCH('King Node Model'!$AL$42,$AA$9:$AA$55,0)),0)),1,0)</f>
        <v>0</v>
      </c>
      <c r="FE17">
        <f>IF($AA17='King Node Model'!$AL$42,1,IF(AND($FD17=1,$FE16=1),1,0))</f>
        <v>0</v>
      </c>
      <c r="FF17">
        <f>IF($AA17='King Node Model'!$AL$42,1,IF(AND($FD17=1,$FF18=1),1,0))</f>
        <v>0</v>
      </c>
      <c r="FG17" t="str">
        <f>IF(OR($FE17=1,$FF17=1),9,"")</f>
        <v/>
      </c>
      <c r="FJ17">
        <f>IF(AND($CW$2=1,ISNUMBER($AA17),ISNUMBER($CW$3),ISNUMBER($CW$4),$AA17&gt;=MIN($CW$3,$CW$4),$AA17&lt;=MAX($CW$3,$CW$4),IFERROR(INDEX($AC$9:$AC$55,MATCH('King Node Model'!$AP$67,$AA$9:$AA$55,0)),0)&gt;0,$AC17&gt;=(1-$FA$6)*IFERROR(INDEX($AC$9:$AC$55,MATCH('King Node Model'!$AP$67,$AA$9:$AA$55,0)),0),$AC17&lt;=(1+$FA$6)*IFERROR(INDEX($AC$9:$AC$55,MATCH('King Node Model'!$AP$67,$AA$9:$AA$55,0)),0)),1,0)</f>
        <v>0</v>
      </c>
      <c r="FK17">
        <f>IF(AND($CW$2=1,$AA17='King Node Model'!$AP$67),1,IF(AND($FJ17=1,$FK16=1),1,0))</f>
        <v>0</v>
      </c>
      <c r="FL17">
        <f>IF(AND($CW$2=1,$AA17='King Node Model'!$AP$67),1,IF(AND($FJ17=1,$FL18=1),1,0))</f>
        <v>0</v>
      </c>
      <c r="FM17" t="str">
        <f>IF(OR($FK17=1,$FL17=1),9,"")</f>
        <v/>
      </c>
      <c r="FN17">
        <v>0</v>
      </c>
      <c r="FR17" t="str">
        <f t="shared" si="72"/>
        <v/>
      </c>
      <c r="FS17">
        <f t="shared" si="188"/>
        <v>0</v>
      </c>
      <c r="FT17">
        <f t="shared" si="73"/>
        <v>0.90618754614816643</v>
      </c>
      <c r="FU17">
        <f t="shared" si="74"/>
        <v>101575</v>
      </c>
      <c r="FV17" t="str">
        <f>IF($FW17=0,"",IF(OR($FW16=0,SIGN(IFERROR($BC17*1,0))&lt;&gt;SIGN(IFERROR($BC16*1,0)),$GH17=1,$GH16=1),MAX($FV$9:$FV16)+1,$FV16))</f>
        <v/>
      </c>
      <c r="FW17">
        <f t="shared" si="75"/>
        <v>0</v>
      </c>
      <c r="FX17" t="str">
        <f t="shared" si="76"/>
        <v/>
      </c>
      <c r="FY17">
        <f t="shared" si="77"/>
        <v>0</v>
      </c>
      <c r="FZ17">
        <f t="shared" si="189"/>
        <v>0</v>
      </c>
      <c r="GA17">
        <f t="shared" si="78"/>
        <v>0</v>
      </c>
      <c r="GB17" t="str">
        <f t="shared" si="79"/>
        <v/>
      </c>
      <c r="GC17" t="str">
        <f t="shared" si="80"/>
        <v/>
      </c>
      <c r="GD17" t="str">
        <f t="shared" si="81"/>
        <v/>
      </c>
      <c r="GE17" t="str">
        <f t="shared" si="82"/>
        <v/>
      </c>
      <c r="GF17">
        <f t="shared" si="83"/>
        <v>0</v>
      </c>
      <c r="GH17">
        <f>IFERROR(IF(AND($AC17&gt;=(1+$FA$6)*INDEX($AC$9:$AC$55,9-1),$AC17&gt;=(1+$FA$6)*INDEX($AC$9:$AC$55,9+1)),1,0),0)</f>
        <v>0</v>
      </c>
      <c r="GK17">
        <v>0</v>
      </c>
      <c r="GO17">
        <v>0</v>
      </c>
      <c r="GP17">
        <v>0</v>
      </c>
      <c r="GQ17">
        <f t="shared" si="84"/>
        <v>0</v>
      </c>
      <c r="GR17">
        <f t="shared" si="85"/>
        <v>0</v>
      </c>
      <c r="GS17">
        <f>IF(AND($EY17=1,$AA17&lt;&gt;'King Node Model'!$B$23),0,IF(OR($GQ17=1,$GR17=1),1,IF($DC17=1,IF(OR('King Node Model'!$A$8="Neg",N($BG$72)=1),IF(OR(AND($AC17=MAX($AC$9:$AC$55),$AB17=MIN($AB$9:$AB$55)),$AN17=1,$EE17=1,$EF17=1,$EX17=1,$GV17=1),1,0),1),0)))</f>
        <v>0</v>
      </c>
      <c r="GT17">
        <f>IFERROR(IF(AND(OR('King Node Model'!$A$8="Neg",N($BG$72)=1),$EU16=1,$AG17="R",ISNUMBER($AA17),ISNUMBER($AF17),$AF17&lt;&gt;0,$AA17&gt;$B$4-$BG$9,$AA17-$B$4&lt;=$BG$47,IF($KC17="UP",SIGN($AF17),IF($KC17="DOWN",-SIGN($AF17),0))&lt;&gt;1),1,0),0)</f>
        <v>0</v>
      </c>
      <c r="GU17" t="str">
        <f t="shared" si="86"/>
        <v/>
      </c>
      <c r="GV17">
        <f t="shared" si="87"/>
        <v>0</v>
      </c>
      <c r="GW17">
        <f t="shared" si="88"/>
        <v>69.609999999999673</v>
      </c>
      <c r="GX17" t="str">
        <f t="shared" si="89"/>
        <v/>
      </c>
      <c r="GY17">
        <f t="shared" si="90"/>
        <v>0</v>
      </c>
      <c r="GZ17">
        <f t="shared" si="91"/>
        <v>0</v>
      </c>
      <c r="HA17">
        <v>0</v>
      </c>
      <c r="HF17">
        <f>IFERROR(IF(AND($GZ17=1,'King Node Model'!$A$8="Pos",$D$5="UP",$CF17=-1,$AJ17&lt;&gt;1),1,0),0)</f>
        <v>0</v>
      </c>
      <c r="HG17">
        <f t="shared" si="92"/>
        <v>0</v>
      </c>
      <c r="HH17" t="str">
        <f>IF($GZ17=1,"",IFERROR(IF(NOT(ISNUMBER($AA17)),"",IF($EY17=1,"",IF($GF17=1,IF($GD17=$GE17,"",$GD17),IF(OR(AND($DC16=1,$DC17=1,$DC18=1,INDEX($AC$9:$AC$55,9-1)&lt;=(1-$FA$6)*$AC17,INDEX($AC$9:$AC$55,9-1)&lt;=(1-$FA$6)*INDEX($AC$9:$AC$55,9-2)),AND($DC18=1,$DC17=1,INDEX($AC$9:$AC$55,9+1)&lt;=(1-$FA$6)*$AC17,INDEX($AC$9:$AC$55,9+1)&lt;=(1-$FA$6)*INDEX($AC$9:$AC$55,9+2)),AND($DC17=1,OR(INDEX($DC$9:$DC$55,9-1)=0,INDEX($DC$9:$DC$55,9+1)=0))),IF(MIN($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MAX($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MIN($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f>
        <v/>
      </c>
      <c r="HI17" t="str">
        <f>IF($GZ17=1,"",IFERROR(IF(NOT(ISNUMBER($AA17)),"",IF($EY17=1,"",IF($GF17=1,IF($GD17=$GE17,"",$GE17),IF(OR(AND($DC16=1,$DC17=1,$DC18=1,INDEX($AC$9:$AC$55,9-1)&lt;=(1-$FA$6)*$AC17,INDEX($AC$9:$AC$55,9-1)&lt;=(1-$FA$6)*INDEX($AC$9:$AC$55,9-2)),AND($DC18=1,$DC17=1,INDEX($AC$9:$AC$55,9+1)&lt;=(1-$FA$6)*$AC17,INDEX($AC$9:$AC$55,9+1)&lt;=(1-$FA$6)*INDEX($AC$9:$AC$55,9+2)),AND($DC17=1,OR(INDEX($DC$9:$DC$55,9-1)=0,INDEX($DC$9:$DC$55,9+1)=0))),IF(MIN($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MAX($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MAX($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f>
        <v/>
      </c>
      <c r="HL17">
        <f t="shared" si="93"/>
        <v>0</v>
      </c>
      <c r="HM17">
        <f>IFERROR(IF(AND($HL17=1,NOT(OR($AA17='King Node Model'!$T$22,$AA17='King Node Model'!$T$23,$AA17='King Node Model'!$F$24,AND($AG17="S",COUNTIF('Master Dashboard'!$AN$16:$AN$18,$AA17)&gt;0),AND($AG17="R",COUNTIF('Master Dashboard'!$AN$13:$AN$15,$AA17)&gt;0)))),1,0),0)</f>
        <v>0</v>
      </c>
      <c r="HN17">
        <f t="shared" si="94"/>
        <v>0</v>
      </c>
      <c r="HO17">
        <f t="shared" si="95"/>
        <v>0</v>
      </c>
      <c r="HP17">
        <f t="shared" si="96"/>
        <v>1</v>
      </c>
      <c r="HQ17" t="str">
        <f>IF(NOT(ISNUMBER($AA17)),"",IFERROR(TRIM(IF(N($MY17)=1,"DEXLEAN ","")&amp;IF(N($IZ17)=1,"DEXCAP ","")&amp;IF(AND($AG17="S",UPPER('King Node Model'!$L$5)="HIGH",$KC17="DOWN",N($AF17)&gt;0,$AA17='King Node Model'!$AN$70,$IY17="SELL"),"CHOPEDGEIV ","")&amp;IF(N($IS17)=1,"NOREV ","")&amp;IF(N($JY17)=1,"VFLAT ","")&amp;IF(N($KR17)=1,"GDEXVANNA ","")&amp;IF(N($LD17)=1,"KGSUPFAIL ","")&amp;IF(N($LE17)=1,"KGRESLEAK ","")&amp;IF(N($MH17)=1,"ZIGZAG ","")&amp;IF(N($KK17)=1,"DATAGAP ","")&amp;IF(N($KA17)&lt;&gt;0,"ACCUNDERCW ","")&amp;IF(AND($AG17="S",$HF17=1),"EDGE ","")&amp;IF(AND($HM17=1,'King Node Model'!$A$8="Pos",N($BG$72)&lt;&gt;1),"TROUGH ","")&amp;IF(AND($EU17=1,N($JZ17)&lt;&gt;1),"BUMP ","")&amp;IF(AND($GT17=1,N($JZ17)&lt;&gt;1),"SANDWICH ","")&amp;IF(AND($EX17&lt;&gt;1,OR('King Node Model'!$A$8="Neg",N($BG$72)=1),OR(AND(ISNUMBER($AC17),$AC17=MAX($AC$9:$AC$55)),AND(ISNUMBER($AB17),$AB17=MIN($AB$9:$AB$55))),NOT(AND(AND(ISNUMBER($AC17),$AC17=MAX($AC$9:$AC$55)),AND(ISNUMBER($AB17),$AB17=MIN($AB$9:$AB$55)))),$AG17="S",N($AB17)&lt;0,NOT(COUNTIF('Master Dashboard'!$AN$16:$AN$18,$AA17)&gt;0),NOT(AND(OR('King Node Model'!$A$8="Neg",N($BG$72)=1),ISNUMBER($AB17),$AB17=MIN($AB$9:$AB$55),$AA17=$BG$105))),"ACCEL ","")&amp;IF(AND($EX17&lt;&gt;1,ISNUMBER($AA17),OR('King Node Model'!$A$8="Neg",N($BG$72)=1),$EY17=1,NOT(AND($AG17="S",COUNTIF('Master Dashboard'!$AN$16:$AN$18,$AA17)&gt;0)),NOT(AND($AA17='King Node Model'!$B$23,IF($AG17="S",OR($AA17='King Node Model'!$C$24,COUNTIF('Master Dashboard'!$AN$16:$AN$18,$AA17)&gt;0),OR($AA17='King Node Model'!$C$23,COUNTIF('Master Dashboard'!$AN$13:$AN$15,$AA17)&gt;0)))),NOT(AND($EX17&lt;&gt;1,OR('King Node Model'!$A$8="Neg",N($BG$72)=1),OR(AND(ISNUMBER($AC17),$AC17=MAX($AC$9:$AC$55)),AND(ISNUMBER($AB17),$AB17=MIN($AB$9:$AB$55))),NOT(AND(AND(ISNUMBER($AC17),$AC17=MAX($AC$9:$AC$55)),AND(ISNUMBER($AB17),$AB17=MIN($AB$9:$AB$55)))),$AG17="S",N($AB17)&lt;0,NOT(COUNTIF('Master Dashboard'!$AN$16:$AN$18,$AA17)&gt;0)))),"AMPLIFY ","")&amp;IF(AND($AG17="S",OR('King Node Model'!$A$8="Neg",N($BG$72)=1),$AJ17&lt;&gt;1,N($MT17)&lt;&gt;1,NOT(AND(N($LR17)=1,N($MB17)=1)),ISNUMBER(SEARCH("ACCEL building",$CG17))),"ZACCEL ","")&amp;IF(AND($AG17="S",OR('King Node Model'!$A$8="Neg",N($BG$72)=1),$AA17='King Node Model'!$B$23,NOT(AND(AND(ISNUMBER($AC17),$AC17=MAX($AC$9:$AC$55)),AND(ISNUMBER($AB17),$AB17=MIN($AB$9:$AB$55)))),$EJ17&lt;&gt;1),"KINGACC ","")&amp;IF(AND($AG17="S",OR('King Node Model'!$A$8="Neg",N($BG$72)=1),ABS(N($AA17)-N('King Node Model'!$B$23))&lt;=$BG$107,NOT(AND(SUMPRODUCT((ABS($AF$9:$AF$55)&lt;=ABS(N($AF17)))*1)/COUNT($AF$9:$AF$55)&gt;=0.66,OR(ISNUMBER(SEARCH("firmer resistance",$CG17)),ISNUMBER(SEARCH("STRENGTHENING",$CG17)),ISNUMBER(SEARCH("firmer support",$CG17))))),NOT(AND(N($AB17)&gt;0,SUMPRODUCT((ABS($AB$9:$AB$55)&lt;=ABS(N($AB17)))*1)/COUNT($AB$9:$AB$55)&gt;=0.66)),$EJ17&lt;&gt;1,$AJ17&lt;&gt;1,COUNTIF('Master Dashboard'!$AN$16:$AN$18,$AA17)=0,NOT(AND($AG17="S",OR('King Node Model'!$A$8="Neg",N($BG$72)=1),$AA17='King Node Model'!$B$23,NOT(AND(AND(ISNUMBER($AC17),$AC17=MAX($AC$9:$AC$55)),AND(ISNUMBER($AB17),$AB17=MIN($AB$9:$AB$55)))),$EJ17&lt;&gt;1))),"KINGNODE ","")&amp;IF(AND($AG17="R",NOT(AND(AND(ISNUMBER($AC17),$AC17=MAX($AC$9:$AC$55)),AND(ISNUMBER($AB17),$AB17=MIN($AB$9:$AB$55)))),UPPER('King Node Model'!$L$5)="LOW",$KC17="DOWN",N($AF17)&gt;0),"LOWIVFALL ","")&amp;IF(AND($AG17="R",NOT(AND(AND(ISNUMBER($AC17),$AC17=MAX($AC$9:$AC$55)),AND(ISNUMBER($AB17),$AB17=MIN($AB$9:$AB$55)))),UPPER('King Node Model'!$L$5)="HIGH",$KC17="DOWN",N($AF17)&gt;0,IFERROR(MATCH($AA17,$W$9:$W$14,0)&gt;=4,FALSE)),"HIGHIVFALL ","")&amp;IF(AND($AG17="R",N($BG$99)=1),"SPOTUPVOLUP ","")&amp;IF(AND($AG17="R",ISNUMBER(SEARCH("5/5",'Master Dashboard'!$E$29)),OR(ISNUMBER(SEARCH("WEAKENING",$EQ17)),ISNUMBER(SEARCH("Pos gamma ↓",$EQ17)),ISNUMBER(SEARCH("thinning the ceiling",$EQ17)))),"SQUEEZE ","")&amp;IF(N($JU17)=1,"DEDGECLIFF ","")&amp;IF(N($KT17)=1,"DEXDRAIN ","")&amp;IF(N($HW17)&lt;&gt;0,"DEXDROP ","")&amp;IF(N($HX17)&lt;&gt;0,"PEAK+ ","")&amp;IF(N($IF17)=1,"CHOP ","")&amp;IF(N($IQ17)=1,"CONTESTED ","")&amp;IF(N($IW17)=1,"VSELL ","")&amp;IF(N($JK17)=1,"VBUYRES ","")&amp;IF(N($JL17)=1,"DOMFLAT ","")&amp;IF(N($JM17)=1,"DOMPULL ","")&amp;IF(N($JP17)=1,"OIZOMMA ","")&amp;IF(AND(N($JQ17)=1,N($JZ17)&lt;&gt;1),"OIDEX ","")),""))</f>
        <v>NOREV LOWIVFALL VBUYRES</v>
      </c>
      <c r="HS17">
        <f>IFERROR(IF(AND($DC17=1,OR(AND($AG17="R",INDEX($DC$9:$DC$55,8)=0,INDEX($DC$9:$DC$55,10)=1,INDEX($DC$9:$DC$55,11)=1),AND($AG17="S",INDEX($DC$9:$DC$55,10)=0,INDEX($DC$9:$DC$55,8)=1,INDEX($DC$9:$DC$55,7)=1))),1,0),0)</f>
        <v>0</v>
      </c>
      <c r="HT17">
        <f t="shared" si="97"/>
        <v>0</v>
      </c>
      <c r="HU17">
        <v>0</v>
      </c>
      <c r="HV17">
        <v>0</v>
      </c>
      <c r="HW17">
        <f>IFERROR(IF(OR(NOT(ISNUMBER($AA17)),'King Node Model'!$A$8&lt;&gt;"Pos",N($BG$72)=1,ABS(N($AE17))&lt;$BG$113,N($AV17)=1,$FA17="DOM",$AA17='King Node Model'!$T$23,AND(N($BG$116)=1,$AA17='King Node Model'!$F$24),NOT(ISNUMBER($KU17)),NOT(ISNUMBER($KV17))),0,IF(AND($AG17="S",COUNTIF('Master Dashboard'!$AN$16:$AN$18,$AA17)=0,$KU17&gt;=$BG$114,$KU17&gt;=$KV17+$BG$115,NOT(AND(N($AN18)=1,N($KV17)&lt;0)),N($AE17)&lt;=0),1,IF(AND($AG17="R",COUNTIF('Master Dashboard'!$AN$13:$AN$15,$AA17)=0,$KV17&gt;=$BG$114,$KV17&gt;=$KU17+$BG$115,NOT(AND(N($AN16)=1,N($KU17)&lt;0))),-1,0))),0)</f>
        <v>0</v>
      </c>
      <c r="HX17">
        <f>IFERROR(IF(AND(ISNUMBER($AA17),$FA17="PEAK+",N($AN17)&lt;&gt;1,NOT(AND('King Node Model'!$A$8="Pos",OR($AA17='King Node Model'!$T$22,$AA17='King Node Model'!$T$23,$AA17='King Node Model'!$F$24))),IF($AG17="S",COUNTIF('Master Dashboard'!$AN$16:$AN$18,$AA17)=0,IF($AG17="R",COUNTIF('Master Dashboard'!$AN$13:$AN$15,$AA17)=0,FALSE))),1,0),0)</f>
        <v>0</v>
      </c>
      <c r="HY17">
        <f t="shared" si="98"/>
        <v>0.73363322121483687</v>
      </c>
      <c r="HZ17">
        <v>1</v>
      </c>
      <c r="IA17">
        <f>IFERROR(IF(AND(IF($BG$44=1,OR(ISNUMBER(SEARCH("Choppy",'King Node Model'!$S$38)),'King Node Model'!$S$52&lt;&gt;"",'King Node Model'!$A$8="Pos"),TRUE()),OR($DC17=1,$DC16=1,$DC18=1),ABS($AA17-$B$4)&lt;=$BG$7,ABS($AA17-$BG$28)&gt;=$BG$45,OR(AND($AA17&gt;$BG$28,$AG17="R"),AND($AA17&lt;$BG$28,$AG17="S",N($BG$154)=1)),ABS(IF($AA17&gt;$BG$28,$AE18,$AE16))&gt;=$BG$43,ABS(N(IF($AA17&gt;$BG$28,$AE16,$AE18)))&lt;=$BG$153*ABS(IF($AA17&gt;$BG$28,$AE18,$AE16)),IF(ISNUMBER($HZ17),$HZ17=1,AND(ISNUMBER($HY17),$HY17&gt;=$BG$42))),1,0),0)</f>
        <v>0</v>
      </c>
      <c r="IB17">
        <f t="shared" si="99"/>
        <v>0</v>
      </c>
      <c r="IC17" t="str">
        <f>IF(NOT(ISNUMBER($AA17)),"",IFERROR(MID(IF(AND($AC17=MAX($AC$9:$AC$55),$AB17=MIN($AB$9:$AB$55))," · DOM","")&amp;IF(AND($DC16=1,$DC17=1,$DC18=1,INDEX($AC$9:$AC$55,9-1)&lt;=(1-$FA$6)*$AC17,INDEX($AC$9:$AC$55,9-1)&lt;=(1-$FA$6)*INDEX($AC$9:$AC$55,9-2))," · GAP↑ → "&amp;INDEX($AA$9:$AA$55,9-2),"")&amp;IF(AND($DC18=1,$DC17=1,INDEX($AC$9:$AC$55,9+1)&lt;=(1-$FA$6)*$AC17,INDEX($AC$9:$AC$55,9+1)&lt;=(1-$FA$6)*INDEX($AC$9:$AC$55,9+2))," · GAP↓ → "&amp;INDEX($AA$9:$AA$55,9+2),"")&amp;IF($CZ17=1," · dEdge Cliff","")&amp;IF($GY17=1," · γWall","")&amp;IF(AND($DC17=1,$AB17&lt;0,$AC17&gt;=(1+$FA$6)*INDEX($AC$9:$AC$55,9-1),$AC17&gt;=(1+$FA$6)*INDEX($AC$9:$AC$55,9+1))," · PEAK-","")&amp;IF($GZ17=1," · γSh Edge","")&amp;IF($HL17=1," · Trough","")&amp;IF($HN17=1," · PEAK+","")&amp;IF($GF17=1," · Cluster",""),FIND(" · ",IF(AND($AC17=MAX($AC$9:$AC$55),$AB17=MIN($AB$9:$AB$55))," · DOM","")&amp;IF(AND($DC16=1,$DC17=1,$DC18=1,INDEX($AC$9:$AC$55,9-1)&lt;=(1-$FA$6)*$AC17,INDEX($AC$9:$AC$55,9-1)&lt;=(1-$FA$6)*INDEX($AC$9:$AC$55,9-2))," · GAP↑ → "&amp;INDEX($AA$9:$AA$55,9-2),"")&amp;IF(AND($DC18=1,$DC17=1,INDEX($AC$9:$AC$55,9+1)&lt;=(1-$FA$6)*$AC17,INDEX($AC$9:$AC$55,9+1)&lt;=(1-$FA$6)*INDEX($AC$9:$AC$55,9+2))," · GAP↓ → "&amp;INDEX($AA$9:$AA$55,9+2),"")&amp;IF($CZ17=1," · dEdge Cliff","")&amp;IF($GY17=1," · γWall","")&amp;IF(AND($DC17=1,$AB17&lt;0,$AC17&gt;=(1+$FA$6)*INDEX($AC$9:$AC$55,9-1),$AC17&gt;=(1+$FA$6)*INDEX($AC$9:$AC$55,9+1))," · PEAK-","")&amp;IF($GZ17=1," · γSh Edge","")&amp;IF($HL17=1," · Trough","")&amp;IF($HN17=1," · PEAK+","")&amp;IF($GF17=1," · Cluster",""),2),999),""))</f>
        <v/>
      </c>
      <c r="ID17" t="str">
        <f>IF(NOT(ISNUMBER($AA17)),"",IFERROR(MID(IF(AND($AC17=MAX($AC$9:$AC$55),$AB17=MIN($AB$9:$AB$55))," · DOM","")&amp;IF(AND($DC16=1,$DC17=1,$DC18=1,INDEX($AC$9:$AC$55,9-1)&lt;=(1-$FA$6)*$AC17,INDEX($AC$9:$AC$55,9-1)&lt;=(1-$FA$6)*INDEX($AC$9:$AC$55,9-2))," · GAP↑ → "&amp;INDEX($AA$9:$AA$55,9-2),"")&amp;IF(AND($DC18=1,$DC17=1,INDEX($AC$9:$AC$55,9+1)&lt;=(1-$FA$6)*$AC17,INDEX($AC$9:$AC$55,9+1)&lt;=(1-$FA$6)*INDEX($AC$9:$AC$55,9+2))," · GAP↓ → "&amp;INDEX($AA$9:$AA$55,9+2),"")&amp;IF($CZ17=1," · dEdge Cliff","")&amp;IF($GY17=1," · γWall","")&amp;IF(AND($DC17=1,$AB17&lt;0,$AC17&gt;=(1+$FA$6)*INDEX($AC$9:$AC$55,9-1),$AC17&gt;=(1+$FA$6)*INDEX($AC$9:$AC$55,9+1))," · PEAK-","")&amp;IF($GZ17=1," · γSh Edge","")&amp;IF($HL17=1," · Trough","")&amp;IF($HN17=1," · PEAK+","")&amp;IF(AND(NOT($HN17=1),NOT(AND($DC17=1,$AB17&lt;0)),N($GY17)&lt;&gt;1,N($GF17)&lt;&gt;1,N($GZ17)&lt;&gt;1,N($HL17)&lt;&gt;1,N($CZ17)&lt;&gt;1,NOT(AND($AC17=MAX($AC$9:$AC$55),$AB17=MIN($AB$9:$AB$55))),$AC17&gt;=(1+$FA$6)*INDEX($AC$9:$AC$55,9-1),$AC17&gt;=(1+$FA$6)*INDEX($AC$9:$AC$55,9+1))," · Knoll","")&amp;IF($GF17=1," · Cluster",""),4,999),""))</f>
        <v/>
      </c>
      <c r="IF17">
        <f t="shared" si="100"/>
        <v>0</v>
      </c>
      <c r="IG17">
        <f>IFERROR(IF(AND(ISNUMBER($AA17),'King Node Model'!$A$8="Pos",OR($AG17="S",$AG17="R"),$IN17="interior",COUNTIF(IF($AG17="S",'Master Dashboard'!$AN$16:$AN$18,'Master Dashboard'!$AN$13:$AN$15),$AA17)=0,$AA17&lt;&gt;'King Node Model'!$T$22,$AA17&lt;&gt;'King Node Model'!$T$23,$AA17&lt;&gt;'King Node Model'!$F$24),1,0),0)</f>
        <v>0</v>
      </c>
      <c r="IH17">
        <f t="shared" si="101"/>
        <v>0</v>
      </c>
      <c r="II17">
        <f t="shared" si="190"/>
        <v>0</v>
      </c>
      <c r="IJ17">
        <f t="shared" si="102"/>
        <v>0</v>
      </c>
      <c r="IK17">
        <f t="shared" si="103"/>
        <v>0</v>
      </c>
      <c r="IL17">
        <f t="shared" si="191"/>
        <v>0</v>
      </c>
      <c r="IM17">
        <f t="shared" si="104"/>
        <v>0</v>
      </c>
      <c r="IN17" t="str">
        <f t="shared" si="105"/>
        <v/>
      </c>
      <c r="IO17">
        <v>0</v>
      </c>
      <c r="IP17">
        <v>0</v>
      </c>
      <c r="IQ17">
        <f>IFERROR(IF($AG17="S",IF(OR(COUNTIF($W$9:$W$14,$AA17)&gt;0,COUNTIF('King Node Model'!$AL$42:'King Node Model'!$AL$43,$AA17)&gt;0),1,0),IF($AG17="R",IF(OR(COUNTIF($W$18:$W$23,$AA17)&gt;0,COUNTIF('King Node Model'!$AL$49:'King Node Model'!$AL$50,$AA17)&gt;0),1,0),0)),0)</f>
        <v>0</v>
      </c>
      <c r="IS17">
        <f>IF(AND(ISNUMBER($AA17),N($AN17)&lt;&gt;1,N($LR17)&lt;&gt;1,OR(N($EN17)&lt;&gt;1,AND('King Node Model'!$A$8&lt;&gt;"Neg",N($BG$72)&lt;&gt;1)),$AA17&lt;&gt;'King Node Model'!$T$22,$AA17&lt;&gt;'King Node Model'!$T$23,$AA17&lt;&gt;'King Node Model'!$F$24,NOT(AND($AG17="S",COUNTIF('Master Dashboard'!$AN$16:$AN$18,$AA17)&gt;0)),NOT(AND($AG17="R",COUNTIF('Master Dashboard'!$AN$13:$AN$15,$AA17)&gt;0)),NOT(AND('King Node Model'!$A$8&lt;&gt;"Neg",N($BG$72)&lt;&gt;1,COUNTIF('Master Dashboard'!$AN$13:$AN$18,$AA17)&gt;0))),1,0)</f>
        <v>1</v>
      </c>
      <c r="IT17">
        <v>0</v>
      </c>
      <c r="IU17">
        <f>IF(AND(ISNUMBER($AA17),$AA17='King Node Model'!$F$24,$AA17&gt;$GJ$3,N($AD17)&lt;0,$F$4="High"),1,0)</f>
        <v>0</v>
      </c>
      <c r="IV17" t="str">
        <f>""</f>
        <v/>
      </c>
      <c r="IW17">
        <f>IFERROR(IF(AND(ISNUMBER($AA17),NOT(AND(N($LR17)=1,N($MB17)=1)),$AG17="S",OR('King Node Model'!$A$8="Neg",N($BG$72)=1),$JV17="SELL",ABS(N($AD17))&gt;=$BG$94,NOT(AND(N($AD17)&gt;0,N($BG$78)=1,MEDIAN($AA17-$BG$82,$B$4,$AA17+$BG$83)=$B$4))),1,0),0)</f>
        <v>0</v>
      </c>
      <c r="IX17">
        <f>IFERROR(IF(AND(ISNUMBER($AA17),$AG17="S",OR('King Node Model'!$A$8="Neg",N($BG$72)=1),N($AD17)&gt;0,N($BG$78)=1,MEDIAN($AA17-$BG$82,$B$4,$AA17+$BG$83)=$B$4),1,0),0)</f>
        <v>0</v>
      </c>
      <c r="IY17" t="str">
        <f t="shared" si="106"/>
        <v>SELL</v>
      </c>
      <c r="IZ17">
        <f>IFERROR(IF(AND(ISNUMBER($AA17),$FA17&lt;&gt;"DOM",$AA17&lt;&gt;'King Node Model'!$F$24,OR(AND($AG17="S",COUNTIF('Master Dashboard'!$AN$16:$AN$18,$AA17)=0,N(INDEX($AE$9:$AE$55,MATCH($AA17+$BG$84,$AA$9:$AA$55,0)))&lt;=-$BG$85),AND($AG17="R",COUNTIF('Master Dashboard'!$AN$13:$AN$15,$AA17)=0,N(INDEX($AE$9:$AE$55,MATCH($AA17-$BG$84,$AA$9:$AA$55,0)))&gt;=$BG$85))),1,0),0)</f>
        <v>0</v>
      </c>
      <c r="JC17">
        <f t="shared" si="108"/>
        <v>0</v>
      </c>
      <c r="JD17" t="str">
        <f t="shared" si="193"/>
        <v>C</v>
      </c>
      <c r="JE17">
        <f>IF(ISNUMBER($AA17),N(IFERROR(INDEX('King Node Model'!$L$29:$L$75,MATCH($AA17,'King Node Model'!$A$29:$A$75,0)),0)),"")</f>
        <v>78</v>
      </c>
      <c r="JF17">
        <f>IF(ISNUMBER($AA17),N(IFERROR(INDEX('King Node Model'!$K$29:$K$75,MATCH($AA17,'King Node Model'!$A$29:$A$75,0)),0)),"")</f>
        <v>1585</v>
      </c>
      <c r="JG17">
        <f t="shared" si="109"/>
        <v>4.9211356466876972E-2</v>
      </c>
      <c r="JH17">
        <f t="shared" si="110"/>
        <v>20.320512820512821</v>
      </c>
      <c r="JI17">
        <f t="shared" si="111"/>
        <v>0</v>
      </c>
      <c r="JJ17" t="str">
        <f t="shared" si="112"/>
        <v>Hollow</v>
      </c>
      <c r="JK17">
        <f t="shared" si="113"/>
        <v>1</v>
      </c>
      <c r="JL17">
        <f t="shared" si="114"/>
        <v>0</v>
      </c>
      <c r="JM17">
        <f t="shared" si="115"/>
        <v>0</v>
      </c>
      <c r="JN17">
        <f t="shared" si="116"/>
        <v>0</v>
      </c>
      <c r="JO17">
        <f t="shared" si="117"/>
        <v>0</v>
      </c>
      <c r="JP17">
        <f t="shared" si="118"/>
        <v>0</v>
      </c>
      <c r="JQ17">
        <f t="shared" si="119"/>
        <v>0</v>
      </c>
      <c r="JR17">
        <v>0</v>
      </c>
      <c r="JS17">
        <f>IFERROR(IF(AND(ISNUMBER($AA17),'King Node Model'!$A$8="Pos",OR($AG17="S",$AG17="R"),N($AB17)&gt;0,N($HP17)&lt;&gt;1,OR(AND($KC17="DOWN",N($AF17)&lt;0,N($AF17)=MIN($AF$9:$AF$55),-N($AF17)&gt;=MAX($AF$9:$AF$55)),AND($KC17="UP",N($AF17)&gt;0,N($AF17)=MAX($AF$9:$AF$55),N($AF17)&gt;=-MIN($AF$9:$AF$55)))),1,0),0)</f>
        <v>0</v>
      </c>
      <c r="JT17">
        <v>0</v>
      </c>
      <c r="JU17">
        <f>IFERROR(IF(AND(N($BG$109)=1,ISNUMBER($AA17),'King Node Model'!$A$8="Pos",N($CZ17)=1,N($AB17)&gt;0),1,0),0)</f>
        <v>0</v>
      </c>
      <c r="JV17" t="str">
        <f t="shared" si="120"/>
        <v>BUY</v>
      </c>
      <c r="JW17">
        <f t="shared" si="121"/>
        <v>0</v>
      </c>
      <c r="JX17">
        <f t="shared" si="122"/>
        <v>0</v>
      </c>
      <c r="JY17">
        <f t="shared" si="123"/>
        <v>0</v>
      </c>
      <c r="JZ17">
        <f t="shared" si="124"/>
        <v>0</v>
      </c>
      <c r="KA17">
        <f t="shared" si="125"/>
        <v>0</v>
      </c>
      <c r="KB17">
        <f t="shared" si="126"/>
        <v>0</v>
      </c>
      <c r="KC17" t="str">
        <f t="shared" si="127"/>
        <v>DOWN</v>
      </c>
      <c r="KE17" t="str">
        <f t="shared" si="128"/>
        <v>Now: strengthening the ceiling (IV rising) · if IV falls: weakens the ceiling · expected on arrival: WEAKENS ✗</v>
      </c>
      <c r="KF17" t="str">
        <f t="shared" si="129"/>
        <v>BUY</v>
      </c>
      <c r="KG17">
        <f t="shared" si="192"/>
        <v>0</v>
      </c>
      <c r="KH17" t="str">
        <f t="shared" si="130"/>
        <v/>
      </c>
      <c r="KI17" t="str">
        <f t="shared" si="131"/>
        <v/>
      </c>
      <c r="KJ17">
        <f t="shared" si="132"/>
        <v>0</v>
      </c>
      <c r="KK17">
        <f t="shared" si="133"/>
        <v>0</v>
      </c>
      <c r="KL17">
        <f t="shared" si="134"/>
        <v>0</v>
      </c>
      <c r="KM17">
        <f t="shared" si="135"/>
        <v>0</v>
      </c>
      <c r="KN17">
        <f t="shared" si="136"/>
        <v>0</v>
      </c>
      <c r="KO17">
        <v>0</v>
      </c>
      <c r="KP17">
        <f t="shared" si="137"/>
        <v>0</v>
      </c>
      <c r="KQ17">
        <f t="shared" si="138"/>
        <v>0</v>
      </c>
      <c r="KR17">
        <f t="shared" si="139"/>
        <v>0</v>
      </c>
      <c r="KS17">
        <f t="shared" si="140"/>
        <v>0</v>
      </c>
      <c r="KT17">
        <f t="shared" si="141"/>
        <v>0</v>
      </c>
      <c r="KU17">
        <f>IF(AND(ISNUMBER($AA17),ISNUMBER($AE17),ISNUMBER($AE16),N($AE17)&lt;&gt;0),($AE17-$AE16)/$AE17,"")</f>
      </c>
      <c r="KV17">
        <f>IF(AND(ISNUMBER($AA17),ISNUMBER($AE17),ISNUMBER($AE18),N($AE17)&lt;&gt;0),($AE17-$AE18)/$AE17,"")</f>
      </c>
      <c r="KW17">
        <f>IFERROR(IF(OR(NOT(ISNUMBER($AA17)),'King Node Model'!$A$8&lt;&gt;"Pos",N($BG$72)=1,ABS(N($AE17))&lt;$BG$113,$FA17="DOM",$AA17='King Node Model'!$T$23,AND(N($BG$116)=1,$AA17='King Node Model'!$F$24),NOT(ISNUMBER($KU17)),NOT(ISNUMBER($KV17))),0,IF(AND($AG17="S",COUNTIF('Master Dashboard'!$AN$16:$AN$18,$AA17)=0,$KU17&gt;=$BG$114,$KU17&gt;=$KV17+$BG$115),1,IF(AND($AG17="R",COUNTIF('Master Dashboard'!$AN$13:$AN$15,$AA17)=0,$KV17&gt;=$BG$114,$KV17&gt;=$KU17+$BG$115),-1,0))),0)</f>
        <v>0</v>
      </c>
      <c r="KX17">
        <f t="shared" si="144"/>
        <v>0</v>
      </c>
      <c r="KY17">
        <f t="shared" si="145"/>
        <v>0</v>
      </c>
      <c r="KZ17">
        <f t="shared" si="146"/>
        <v>0</v>
      </c>
      <c r="LA17">
        <f t="shared" si="147"/>
        <v>0</v>
      </c>
      <c r="LB17">
        <f t="shared" si="148"/>
        <v>0</v>
      </c>
      <c r="LC17">
        <f t="shared" si="149"/>
        <v>0</v>
      </c>
      <c r="LD17">
        <f t="shared" si="150"/>
        <v>0</v>
      </c>
      <c r="LE17">
        <f t="shared" si="151"/>
        <v>0</v>
      </c>
      <c r="LF17">
        <f t="shared" si="152"/>
        <v>0</v>
      </c>
      <c r="LG17" t="str">
        <f t="shared" si="153"/>
        <v/>
      </c>
      <c r="LH17" t="str">
        <f t="shared" si="154"/>
        <v/>
      </c>
      <c r="LI17" t="str">
        <f t="shared" si="155"/>
        <v/>
      </c>
      <c r="LJ17" t="str">
        <f t="shared" si="156"/>
        <v/>
      </c>
      <c r="LK17" t="str">
        <f t="shared" si="157"/>
        <v/>
      </c>
      <c r="LL17">
        <f t="shared" si="158"/>
        <v>0</v>
      </c>
      <c r="LM17">
        <f t="shared" si="159"/>
        <v>0</v>
      </c>
      <c r="LN17">
        <f t="shared" si="160"/>
        <v>0</v>
      </c>
      <c r="LO17">
        <v>0</v>
      </c>
      <c r="LP17">
        <f t="shared" si="161"/>
        <v>0</v>
      </c>
      <c r="LQ17" t="str">
        <f t="shared" si="162"/>
        <v/>
      </c>
      <c r="LR17">
        <f t="shared" si="163"/>
        <v>0</v>
      </c>
      <c r="LS17">
        <f t="shared" si="164"/>
        <v>0</v>
      </c>
      <c r="LT17">
        <f t="shared" si="165"/>
        <v>0</v>
      </c>
      <c r="LU17">
        <f t="shared" si="166"/>
        <v>0</v>
      </c>
      <c r="LV17">
        <f t="shared" si="167"/>
        <v>0</v>
      </c>
      <c r="LW17">
        <f t="shared" si="168"/>
        <v>0</v>
      </c>
      <c r="LX17">
        <f t="shared" si="169"/>
        <v>0</v>
      </c>
      <c r="LY17">
        <f t="shared" si="170"/>
        <v>0</v>
      </c>
      <c r="LZ17">
        <f t="shared" si="171"/>
        <v>0</v>
      </c>
      <c r="MA17">
        <f t="shared" si="172"/>
        <v>0</v>
      </c>
      <c r="MB17">
        <v>0</v>
      </c>
      <c r="MC17">
        <f t="shared" si="173"/>
        <v>1</v>
      </c>
      <c r="MD17">
        <f t="shared" si="174"/>
        <v>1</v>
      </c>
      <c r="ME17">
        <f t="shared" si="175"/>
        <v>0</v>
      </c>
      <c r="MF17">
        <f t="shared" si="176"/>
        <v>0</v>
      </c>
      <c r="MG17">
        <f t="shared" si="177"/>
        <v>0</v>
      </c>
      <c r="MH17">
        <f t="shared" si="178"/>
        <v>0</v>
      </c>
      <c r="MI17" t="str">
        <f t="shared" si="179"/>
        <v/>
      </c>
      <c r="MJ17">
        <f t="shared" si="180"/>
        <v>0</v>
      </c>
      <c r="MK17">
        <f t="shared" si="181"/>
        <v>0</v>
      </c>
      <c r="ML17">
        <f>IF(AND(OR('King Node Model'!$A$8="Neg",N($BG$72)=1),ISNUMBER($AA17),$AG17="R",N($AB17)&lt;0),IF(AND($AA16=$AA17+5,N($AB16)&gt;0,$AA15=$AA17+10,N($AB15)&lt;0),1,IF(AND($AA16=$AA17+5,N($AB16)&gt;0,$AA15=$AA17+10,N($AB15)&gt;0,$AA14=$AA17+15,N($AB14)&lt;0),2,IF(AND($AA16=$AA17+5,N($AB16)&gt;0,$AA15=$AA17+10,N($AB15)&gt;0,$AA14=$AA17+15,N($AB14)&gt;0,$AA13=$AA17+20,N($AB13)&lt;0),3,IF(AND($AA16=$AA17+5,N($AB16)&gt;0,$AA15=$AA17+10,N($AB15)&gt;0,$AA14=$AA17+15,N($AB14)&gt;0,$AA13=$AA17+20,N($AB13)&gt;0,$AA12=$AA17+25,N($AB12)&lt;0),4,0)))),0)</f>
      </c>
      <c r="MM17">
        <f>IF(AND(OR('King Node Model'!$A$8="Neg",N($BG$72)=1),ISNUMBER($AA17),$AG17="S",N($AB17)&lt;0),IF(AND($AA18=$AA17-5,N($AB18)&gt;0,$AA19=$AA17-10,N($AB19)&lt;0),1,IF(AND($AA18=$AA17-5,N($AB18)&gt;0,$AA19=$AA17-10,N($AB19)&gt;0,$AA20=$AA17-15,N($AB20)&lt;0),2,IF(AND($AA18=$AA17-5,N($AB18)&gt;0,$AA19=$AA17-10,N($AB19)&gt;0,$AA20=$AA17-15,N($AB20)&gt;0,$AA21=$AA17-20,N($AB21)&lt;0),3,IF(AND($AA18=$AA17-5,N($AB18)&gt;0,$AA19=$AA17-10,N($AB19)&gt;0,$AA20=$AA17-15,N($AB20)&gt;0,$AA21=$AA17-20,N($AB21)&gt;0,$AA22=$AA17-25,N($AB22)&lt;0),4,0)))),0)</f>
      </c>
      <c r="MN17">
        <f>IF(N($ML17)&gt;0,$AA17,0)</f>
      </c>
      <c r="MO17">
        <f>IF(N($MM17)&gt;0,$AA17,0)</f>
      </c>
      <c r="MP17">
        <f>IF(AND(OR('King Node Model'!$A$8="Neg",N($BG$72)=1),ISNUMBER($BG$155),$AA17=$BG$155,N($NC17)=1),2,IF(AND(OR('King Node Model'!$A$8="Neg",N($BG$72)=1),ISNUMBER($BG$156),$AA17=$BG$156,N($ND17)=1),1,0))</f>
      </c>
      <c r="MQ17">
        <f>IF(ABS(AE17)&lt;=0,0,IF($AG17="R",IF(ISNUMBER(AE16),IF((ABS(AE16)-ABS(AE17))/ABS(AE17)&lt;-0.4,1,0),0),IF(ISNUMBER(AE18),IF((ABS(AE18)-ABS(AE17))/ABS(AE17)&lt;-0.4,1,0),0)))</f>
      </c>
      <c r="MR17">
        <f>IF(OR(N($MQ17)&lt;&gt;1,N($BG$157)&lt;&gt;1,NOT(ISNUMBER($KU17)),NOT(ISNUMBER($KV17))),0,IF(OR(AND($AG17="S",OR(AND($KU17&gt;=$BG$114,$KU17&gt;=$KV17+$BG$115),AND($KU17&gt;1,$KV17&lt;=1,$KV17&gt;=$BG$114))),AND($AG17="R",OR(AND($KV17&gt;=$BG$114,$KV17&gt;=$KU17+$BG$115),AND($KV17&gt;1,$KU17&lt;=1,$KU17&gt;=$BG$114)))),1,0))</f>
      </c>
      <c r="MS17" t="str">
        <f>IF(AND(N($MR17)=1,N($NA17)&lt;&gt;1),"• DEX falls off more sharply "&amp;IF($AG17="S","above (","below (")&amp;TEXT(IF($AG17="S",$KU17,$KV17),"0%")&amp;") than "&amp;IF($AG17="S","below (","above (")&amp;TEXT(IF($AG17="S",$KV17,$KU17),"0%")&amp;") — Dex↓ not counted",IF(N($MW17)=1,"• Shoulder of the "&amp;IF($AG17="R",$AA18,$AA16)&amp;" wall — own DEX "&amp;TEXT($AE17/1000,"+#,##0;-#,##0")&amp;"K is "&amp;TEXT(ABS($AE17)/ABS(IF($AG17="R",$AE18,$AE16)),"0%")&amp;" of "&amp;TEXT(IF($AG17="R",$AE18,$AE16)/1000,"+#,##0;-#,##0")&amp;"K, Dex↓ not counted",""))</f>
      </c>
      <c r="MT17">
        <f>IF(AND(ISNUMBER($AA17),$AG17="S",ISNUMBER($AB17),$AB17=MIN($AB$9:$AB$55),$AA17=$BG$105,$JV17="BUY",ABS(N($AD17))&gt;=$BG$158),1,0)</f>
      </c>
      <c r="MU17" t="str">
        <f>IF(N($MY17)=1,"",IF(OR(N($MT17)=1,AND(OR('King Node Model'!$A$8="Neg",N($BG$72)=1),$AG17="S",ISNUMBER($AB17),$AB17=MIN($AB$9:$AB$55),$AA17=$BG$105)),"• Min GEX + Max Zomma (no reversal flag required) — accelerant warning not applied; zomma acceleration warning only within "&amp;$BG$98&amp;" pts of the level, and not when vanna buying is "&amp;TEXT($BG$158/1000,"0")&amp;"K or more"&amp;CHAR(10)&amp;IF(N($MT17)=1,"• Max Zomma and vanna buying ("&amp;TEXT(N($AD17)/1000,"+#,##0;-#,##0")&amp;"K) make this level safe","• Max Zomma is what makes this level safe"),"")&amp;$NB17&amp;$NI17)</f>
      </c>
      <c r="MV17" t="str">
        <f>IF(AND(ISNUMBER($AA17),OR($AA17=$BG$118,$AA17=$BG$119)),IF(N($AZ17)*IF($AG17="R",1,-1)&gt;0,"✓",IF(N($AZ17)*IF($AG17="R",1,-1)&lt;0,"✗","")),"")</f>
      </c>
      <c r="MW17">
        <f>IF(AND(N($MQ17)=1,N($BG$159)&gt;0,ISNUMBER(IF($AG17="R",$AE18,$AE16)),N(IF($AG17="R",$AE18,$AE16))&lt;&gt;0),IF(ABS(N($AE17))&lt;$BG$159*ABS(IF($AG17="R",$AE18,$AE16)),1,0),0)</f>
      </c>
      <c r="MX17">
        <f>IF(AND(ISNUMBER($AA17),$AA17=$BG$121,$AG17="R",N($AE17)&lt;0,OR(COUNTIF('King Node Model'!$AL$42:$AL$44,$AA17)=0,N($HP17)=1),N($NC17)=1),2,IF(AND(ISNUMBER($AA17),$AA17=$BG$120,$AG17="S",N($AE17)&gt;0,OR(COUNTIF('King Node Model'!$AL$49:$AL$51,$AA17)=0,N($HP17)=1),N($ND17)=1),1,0))</f>
      </c>
      <c r="MY17">
        <f>IF(AND(N($NA17)=1,NOT(AND(AND($AG17="S",ISNUMBER($AB17),$AB17=MIN($AB$9:$AB$55),$AA17=$BG$105),IFERROR(INDEX($AG$9:$AG$55,MATCH('King Node Model'!$B$23,$AA$9:$AA$55,0)),"")="R")),N($AV17)&lt;&gt;1),1,0)</f>
      </c>
      <c r="MZ17" t="str">
        <f>IF(N($MY17)&lt;&gt;1,"","• DEX falls off more sharply "&amp;IF($AG17="S","above (","below (")&amp;TEXT(IF($AG17="S",$KU17,$KV17),"0%")&amp;") than "&amp;IF($AG17="S","below (","above (")&amp;TEXT(IF($AG17="S",$KV17,$KU17),"0%")&amp;") — path of least resistance "&amp;IF($AG17="S","down","up")&amp;IF(N($AZ17)*IF($AG17="R",1,-1)&lt;0,CHAR(10)&amp;"• Speed against — GEX gets more negative as price "&amp;IF($AG17="R","rises","falls")&amp;" into it (speed "&amp;TEXT(N($AZ17),"#,##0;−#,##0")&amp;")","")&amp;IF(OR(N($NG17)=1,N($JC17)=1),CHAR(10)&amp;"• "&amp;IF(N($JC17)=1,"DOM with vanna BUY "&amp;TEXT(N($AD17)/1000,"+#,##0;−#,##0")&amp;"K","Put wall + Max Zomma + DOM")&amp;" backs the level, but it does not outweigh DEX"&amp;IF(N($AZ17)*IF($AG17="R",1,-1)&lt;0," and speed",""),IF(AND($AG17="S",ISNUMBER($AB17),$AB17=MIN($AB$9:$AB$55),$AA17=$BG$105),CHAR(10)&amp;"• Min GEX + Max Zomma backs the level, but it does not outweigh DEX"&amp;IF(N($AZ17)*IF($AG17="R",1,-1)&lt;0," and speed",""),IF(OR(N($JI17)=1,AND(N($GV17)=1,N($JK17)&lt;&gt;1,N($IW17)&lt;&gt;1),N($JC17)=1,AND($AA17='King Node Model'!$F$24,N($JN17)&lt;&gt;1,OR($AG17="R",AND($AG17="S",$F$4="High",IF($BG$80&lt;&gt;"",UPPER($BG$80),$D$5)="UP")))),CHAR(10)&amp;"• Vanna "&amp;IF($AG17="S","BUY ","SELL ")&amp;TEXT(N($AD17)/1000,"+#,##0;−#,##0")&amp;"K backs the level, but it does not outweigh DEX"&amp;IF(N($AZ17)*IF($AG17="R",1,-1)&lt;0," and speed",""),"")))&amp;IF(N($NE17)=1,CHAR(10)&amp;"• Buy-lean max-node exemption not applied — DEX leans against the level",""))</f>
      </c>
      <c r="NA17">
        <f>IF(AND(OR('King Node Model'!$A$8="Neg",N($BG$72)=1),ISNUMBER($AA17),ABS(N($AE17))&gt;=$BG$152,ISNUMBER($KU17),ISNUMBER($KV17)),IF(OR(AND($AG17="S",OR(AND($KU17&gt;=$BG$114,$KU17&gt;=$KV17+$BG$115),AND($KU17&gt;1,$KV17&lt;=1,$KV17&gt;=$BG$114))),AND($AG17="R",OR(AND($KV17&gt;=$BG$114,$KV17&gt;=$KU17+$BG$115),AND($KV17&gt;1,$KU17&lt;=1,$KU17&gt;=$BG$114)))),1,0),0)</f>
      </c>
      <c r="NB17" t="str">
        <f>IF(AND(N($NA17)=1,AND(AND($AG17="S",ISNUMBER($AB17),$AB17=MIN($AB$9:$AB$55),$AA17=$BG$105),IFERROR(INDEX($AG$9:$AG$55,MATCH('King Node Model'!$B$23,$AA$9:$AA$55,0)),"")="R")),CHAR(10)&amp;"• DEX falls off more sharply above ("&amp;TEXT($KU17,"0%")&amp;") than below ("&amp;TEXT($KV17,"0%")&amp;") — DEX-lean warning not applied: Min GEX + Max Zomma support with Max Gamma "&amp;'King Node Model'!$B$23&amp;" above (Dex↓ not counted)",IF(AND(OR(N($NA17)=1,N($NF17)=1),N($AV17)=1),IF(AND(OR('King Node Model'!$A$8="Neg",N($BG$72)=1),$AG17="S",ISNUMBER($AB17),$AB17=MIN($AB$9:$AB$55),$AA17=$BG$105),CHAR(10),"")&amp;"• DEX falls off more sharply "&amp;IF($AG17="S","above (","below (")&amp;TEXT(IF($AG17="S",$KU17,$KV17),"0%")&amp;") than "&amp;IF($AG17="S","below (","above (")&amp;TEXT(IF($AG17="S",$KV17,$KU17),"0%")&amp;") — DEX lean does not apply to iDex (isolated DEX)",""))</f>
      </c>
      <c r="NC17">
        <f>IF(OR($BG$163=1,AND($BG$161&gt;0,$BG$162&lt;99999,ISNUMBER($AA17),$AA17&lt;$BG$162)),1,0)</f>
      </c>
      <c r="ND17">
        <f>IF(OR($BG$163=-1,AND($BG$161&gt;0,$BG$162&lt;99999,ISNUMBER($AA17),$AA17&gt;$BG$161)),1,0)</f>
      </c>
      <c r="NE17">
        <f>IF(AND(OR('King Node Model'!$A$8="Neg",N($BG$72)=1),ISNUMBER(SEARCH("LOW",'Master Dashboard'!$M$5)),ISNUMBER(SEARCH("BUY",'Master Dashboard'!$G$8)),'King Node Model'!$T$23='King Node Model'!$B$23,OR($AA17='King Node Model'!$T$23,AND($AG17="R",$AA17='King Node Model'!$T$23+5)),OR(AND($AG17="S",$JV17="BUY"),AND($AG17="R",$JV17="SELL"))),1,0)</f>
      </c>
      <c r="NF17">
        <f>IFERROR(IF(OR(NOT(ISNUMBER($AA17)),'King Node Model'!$A$8&lt;&gt;"Pos",N($BG$72)=1,ABS(N($AE17))&lt;$BG$113,$FA17="DOM",$AA17='King Node Model'!$T$23,AND(N($BG$116)=1,$AA17='King Node Model'!$F$24),NOT(ISNUMBER($KU17)),NOT(ISNUMBER($KV17))),0,IF(AND($AG17="S",COUNTIF('Master Dashboard'!$AN$16:$AN$18,$AA17)=0,$KU17&gt;=$BG$114,$KU17&gt;=$KV17+$BG$115,NOT(AND(N($AN18)=1,N($KV17)&lt;0)),N($AE17)&lt;=0),1,IF(AND($AG17="R",COUNTIF('Master Dashboard'!$AN$13:$AN$15,$AA17)=0,$KV17&gt;=$BG$114,$KV17&gt;=$KU17+$BG$115,NOT(AND(N($AN16)=1,N($KU17)&lt;0))),-1,0))),0)</f>
      </c>
      <c r="NG17">
        <f t="shared" si="202"/>
      </c>
      <c r="NI17" t="str">
        <f>IF(AND(ISNUMBER($BG$165),ISNUMBER($AA17)),IF(OR(AND($AG17="S",$AA17&gt;$BG$165,$AA17-$BG$165&lt;=5),AND($AG17="R",$AA17&lt;$BG$165,$BG$165-$AA17&lt;=5)),IF(OR(AND(OR('King Node Model'!$A$8="Neg",N($BG$72)=1),$AG17="S",ISNUMBER($AB17),$AB17=MIN($AB$9:$AB$55),$AA17=$BG$105),$NB17&lt;&gt;""),CHAR(10),"")&amp;"• DOM forming at "&amp;$BG$165&amp;" (gamma "&amp;TEXT($BG$166,"0%")&amp;" of max) — price may be pulled to the node",""),"")</f>
      </c>
      <c r="NJ17">
        <f>IF(LEN($NI17)&gt;0,1,0)</f>
      </c>
    </row>
    <row r="18" spans="1:349" ht="15" customHeight="1" x14ac:dyDescent="0.25">
      <c r="A18" s="219" t="str">
        <f t="shared" ref="A18:A23" si="194">(IFERROR(IF($CQ18="","",TEXT($CQ18,"0")&amp;IF(AND(INDEX($AN$9:$AN$55,MATCH($CQ18,$AA$9:$AA$55,0))=1,INDEX($AT$9:$AT$55,MATCH($CQ18,$AA$9:$AA$55,0))&lt;&gt;INDEX($AU$9:$AU$55,MATCH($CQ18,$AA$9:$AA$55,0)),$CQ18&lt;&gt;'King Node Model'!$AN$70,IFERROR(INDEX($IB$9:$IB$55,MATCH($CQ18,$AA$9:$AA$55,0)),0)&lt;&gt;1),IF(OR('King Node Model'!$A$8="Neg",N($BG$72)=1),""," (box "&amp;TEXT(INDEX($AT$9:$AT$55,MATCH($CQ18,$AA$9:$AA$55,0)),"0")&amp;"-"&amp;TEXT(INDEX($AU$9:$AU$55,MATCH($CQ18,$AA$9:$AA$55,0)),"0")&amp;")"),"")),""))&amp;IF(OR($CQ18=$CP$4,$CQ18=$CP$5,$CQ18=$CP$6,$CQ18=$CP$7)," ☄","")&amp;IF($CQ18=$CP$1," ◆","")&amp;IF(OR($CQ18=$CP$2,$CQ18=$CP$3)," ★","")&amp;IF(AND($EL$7=1,$CQ18='King Node Model'!$D$26)," Ⓕ","")&amp;IF($CQ18='King Node Model'!$F$24," ⟂","")&amp;IF(IFERROR(INDEX($GV$9:$GV$55,MATCH($CQ18,$AA$9:$AA$55,0)),0)=1," Ⓥ"&amp;IF(IFERROR(INDEX($ET$9:$ET$55,MATCH($CQ18,$AA$9:$AA$55,0)),0)=1,"+",""),"")</f>
        <v>7775</v>
      </c>
      <c r="B18" s="220">
        <f>IFERROR(INDEX('King Node Model'!$C$29:$C$75,MATCH(IF($W18="",$V18,$W18),'King Node Model'!$A$29:$A$75,0)),"")</f>
        <v>-49207</v>
      </c>
      <c r="C18" s="221" t="str">
        <f t="shared" ref="C18:C23" si="195">IF(IF($W18="",$V18,$W18)="","",TRIM(SUBSTITUTE(SUBSTITUTE(SUBSTITUTE(SUBSTITUTE(SUBSTITUTE(SUBSTITUTE(SUBSTITUTE(SUBSTITUTE(SUBSTITUTE(SUBSTITUTE(SUBSTITUTE(SUBSTITUTE(" "&amp;(IF(IFERROR(OR(INDEX($GK$9:$GK$55,MATCH(IF($W18="",$V18,$W18),$AA$9:$AA$55,0))=1,AND(INDEX($GK$9:$GK$55,MATCH(IF($W18="",$V18,$W18),$AA$9:$AA$55,0))="",INDEX($AH$9:$AH$55,MATCH(IF($W18="",$V18,$W18),$AA$9:$AA$55,0))&lt;&gt;"",INDEX($AH$9:$AH$55,MATCH(IF($W18="",$V18,$W18),$AA$9:$AA$55,0))&lt;=$GL$2)),FALSE),"Gam ","")&amp;IF(IFERROR(OR(AND(INDEX($AG$9:$AG$55,MATCH(IF($W18="",$V18,$W18),$AA$9:$AA$55,0))="R",INDEX($JV$9:$JV$55,MATCH(IF($W18="",$V18,$W18),$AA$9:$AA$55,0))="SELL"),AND(INDEX($AG$9:$AG$55,MATCH(IF($W18="",$V18,$W18),$AA$9:$AA$55,0))="S",INDEX($JV$9:$JV$55,MATCH(IF($W18="",$V18,$W18),$AA$9:$AA$55,0))="BUY")),FALSE),"Vex ","")&amp;IF(IFERROR(AND(INDEX($AK$9:$AK$55,MATCH(IF($W18="",$V18,$W18),$AA$9:$AA$55,0))=1,OR(AND(INDEX($AG$9:$AG$55,MATCH(IF($W18="",$V18,$W18),$AA$9:$AA$55,0))="R",INDEX($AE$9:$AE$55,MATCH(IF($W18="",$V18,$W18),$AA$9:$AA$55,0))&lt;0),AND(INDEX($AG$9:$AG$55,MATCH(IF($W18="",$V18,$W18),$AA$9:$AA$55,0))="S",INDEX($AE$9:$AE$55,MATCH(IF($W18="",$V18,$W18),$AA$9:$AA$55,0))&gt;0))),FALSE),"Dex ","")&amp;IF(IFERROR(INDEX($LA$9:$LA$55,MATCH(IF($W18="",$V18,$W18),$AA$9:$AA$55,0))=1,FALSE),"Zom ","")&amp;IF(IFERROR(INDEX($BA$9:$BA$55,MATCH(IF($W18="",$V18,$W18),$AA$9:$AA$55,0))=1,FALSE),"Spd ","")&amp;IFERROR(INDEX($LK$9:$LK$55,MATCH(IF($W18="",$V18,$W18),$AA$9:$AA$55,0)),"")&amp;IF(IFERROR(INDEX($LR$9:$LR$55,MATCH(IF($W18="",$V18,$W18),$AA$9:$AA$55,0))=1,FALSE),"SAND ","")&amp;IF(IFERROR(INDEX($AJ$9:$AJ$55,MATCH(IF($W18="",$V18,$W18),$AA$9:$AA$55,0))=1,FALSE),"Dex↓ ","")&amp;IF(IFERROR(AND(INDEX($AV$9:$AV$55,MATCH(IF($W18="",$V18,$W18),$AA$9:$AA$55,0))=1,INDEX($KG$9:$KG$55,MATCH(IF($W18="",$V18,$W18),$AA$9:$AA$55,0))&lt;&gt;1),FALSE),"iDex ","")&amp;IF(IFERROR(INDEX($KG$9:$KG$55,MATCH(IF($W18="",$V18,$W18),$AA$9:$AA$55,0))=1,FALSE),"gDex ","")&amp;IF(IFERROR(OR(INDEX($BD$9:$BD$55,MATCH(IF($W18="",$V18,$W18),$AA$9:$AA$55,0))=1,INDEX($GZ$9:$GZ$55,MATCH(IF($W18="",$V18,$W18),$AA$9:$AA$55,0))=1,AND(INDEX($GY$9:$GY$55,MATCH(IF($W18="",$V18,$W18),$AA$9:$AA$55,0))=1,'King Node Model'!$A$8="Pos")),FALSE),"γSh ","")&amp;IF(IFERROR(OR(INDEX($JX$9:$JX$55,MATCH(IF($W18="",$V18,$W18),$AA$9:$AA$55,0))=1,INDEX($JX$9:$JX$55,MATCH(IF($W18="",$V18,$W18),$AA$9:$AA$55,0))=1),FALSE),"Zsh ","")&amp;IF(IFERROR(INDEX($BI$9:$BI$55,MATCH(IF($W18="",$V18,$W18),$AA$9:$AA$55,0))=1,FALSE),"Vxi ","")&amp;IF(IFERROR(INDEX($BJ$9:$BJ$55,MATCH(IF($W18="",$V18,$W18),$AA$9:$AA$55,0))=1,FALSE),"Spi ","")&amp;IF(IFERROR(INDEX($BO$9:$BO$55,MATCH(IF($W18="",$V18,$W18),$AA$9:$AA$55,0))=1,FALSE),"Vgf ","")&amp;IF(IFERROR(INDEX($BX$9:$BX$55,MATCH(IF($W18="",$V18,$W18),$AA$9:$AA$55,0))=1,FALSE),"Gxp ","")&amp;IF(IFERROR(INDEX($BY$9:$BY$55,MATCH(IF($W18="",$V18,$W18),$AA$9:$AA$55,0))=1,FALSE),"Gfx ","")&amp;IF(IFERROR(INDEX($CB$9:$CB$55,MATCH(IF($W18="",$V18,$W18),$AA$9:$AA$55,0))=1,FALSE),"ZG ","")&amp;IF(IFERROR(INDEX($CZ$9:$CZ$55,MATCH(IF($W18="",$V18,$W18),$AA$9:$AA$55,0))=1,FALSE),"dEdge ","")&amp;IF(IFERROR(INDEX($DS$9:$DS$55,MATCH(IF($W18="",$V18,$W18),$AA$9:$AA$55,0))=1,FALSE),"oEdge ","")&amp;IF(IFERROR(INDEX($JD$9:$JD$55,MATCH(IF($W18="",$V18,$W18),$AA$9:$AA$55,0)),"")="P","P-OI ",IF(IFERROR(INDEX($JD$9:$JD$55,MATCH(IF($W18="",$V18,$W18),$AA$9:$AA$55,0)),"")="C","C-OI ","")))&amp;" ",IF(IFERROR(INDEX($KK$9:$KK$55,MATCH(IF($W18="",$V18,$W18),$AA$9:$AA$55,0)),0)=1," Dex↓ ",CHAR(1))," "),IF(IFERROR(INDEX($KK$9:$KK$55,MATCH(IF($W18="",$V18,$W18),$AA$9:$AA$55,0)),0)=1," γSh ",CHAR(1))," "),IF(IFERROR(INDEX($KK$9:$KK$55,MATCH(IF($W18="",$V18,$W18),$AA$9:$AA$55,0)),0)=1," Zsh ",CHAR(1))," "),IF(IFERROR(INDEX($KK$9:$KK$55,MATCH(IF($W18="",$V18,$W18),$AA$9:$AA$55,0)),0)=1," dEdge ",CHAR(1))," "),IF(IFERROR(INDEX($KK$9:$KK$55,MATCH(IF($W18="",$V18,$W18),$AA$9:$AA$55,0)),0)=1," oEdge ",CHAR(1))," "),IF(IFERROR(INDEX($KK$9:$KK$55,MATCH(IF($W18="",$V18,$W18),$AA$9:$AA$55,0)),0)=1," iDex ",CHAR(1))," "),IF(IFERROR(INDEX($KK$9:$KK$55,MATCH(IF($W18="",$V18,$W18),$AA$9:$AA$55,0)),0)=1," gDex ",CHAR(1))," "),IF(IFERROR(INDEX($KK$9:$KK$55,MATCH(IF($W18="",$V18,$W18),$AA$9:$AA$55,0)),0)=1," Vxi ",CHAR(1))," "),IF(IFERROR(INDEX($KK$9:$KK$55,MATCH(IF($W18="",$V18,$W18),$AA$9:$AA$55,0)),0)=1," Spi ",CHAR(1))," "),IF(IFERROR(INDEX($KJ$9:$KJ$55,MATCH(IF($W18="",$V18,$W18),$AA$9:$AA$55,0)),0)=1," Gxp ",CHAR(1))," "),IF(IFERROR(INDEX($KL$9:$KL$55,MATCH(IF($W18="",$V18,$W18),$AA$9:$AA$55,0)),0)=1," P-OI ",CHAR(1))," "),IF(IFERROR(INDEX($KL$9:$KL$55,MATCH(IF($W18="",$V18,$W18),$AA$9:$AA$55,0)),0)=1," C-OI ",CHAR(1))," ")))</f>
        <v>iDex Vgf ZG dEdge C-OI</v>
      </c>
      <c r="D18" s="221">
        <f t="shared" ref="D18:D23" si="196">IF(IF($W18="",$V18,$W18)="","",INDEX($AM$9:$AM$55,MATCH(IF($W18="",$V18,$W18),$AA$9:$AA$55,0)))</f>
        <v>5</v>
      </c>
      <c r="E18" s="221" t="str">
        <f t="shared" ref="E18:E23" si="197">IF(IF($W18="",$V18,$W18)="","",IF(OR(INDEX($AN$9:$AN$55,MATCH(IF($W18="",$V18,$W18),$AA$9:$AA$55,0))=1,IF($W18="",$V18,$W18)='King Node Model'!$B$23),"REVERSAL",""))</f>
        <v>REVERSAL</v>
      </c>
      <c r="F18" s="222" t="str">
        <f t="shared" ref="F18:F23" si="198">IF(IF($W18="",$V18,$W18)="","",IF(INDEX($AY$9:$AY$55,MATCH(IF($W18="",$V18,$W18),$AA$9:$AA$55,0))=1,"ACCELERANT",IF(INDEX($AX$9:$AX$55,MATCH(IF($W18="",$V18,$W18),$AA$9:$AA$55,0))=1,IF($D$5="UP","FRAGILE",IF($D$5="DOWN","VOMMA BID","stable")),"stable")))</f>
        <v>stable</v>
      </c>
      <c r="G18" s="411" t="str">
        <f t="shared" ref="G18:G23" si="199">IF(IF($W18="",$V18,$W18)="","",IFERROR(IF(INDEX($CG$9:$CG$55,MATCH(IF($W18="",$V18,$W18),$AA$9:$AA$55,0))="","Dormant",INDEX($CG$9:$CG$55,MATCH(IF($W18="",$V18,$W18),$AA$9:$AA$55,0))),"Dormant"))</f>
        <v>Dormant</v>
      </c>
      <c r="V18" s="1">
        <f>IFERROR(INDEX($AA$9:$AA$55,MATCH("S1",$BB$9:$BB$55,0)),"")</f>
        <v>7775</v>
      </c>
      <c r="W18">
        <v>7775</v>
      </c>
      <c r="AA18" s="181">
        <f>'King Node Model'!A38</f>
        <v>7840</v>
      </c>
      <c r="AB18" s="276">
        <f>'King Node Model'!C38</f>
        <v>225627</v>
      </c>
      <c r="AC18" s="181">
        <f>ABS('King Node Model'!B38)</f>
        <v>265851</v>
      </c>
      <c r="AD18" s="276">
        <f>'King Node Model'!F38</f>
        <v>975051</v>
      </c>
      <c r="AE18" s="276">
        <f>'King Node Model'!E38</f>
        <v>-171842</v>
      </c>
      <c r="AF18" s="276">
        <f>'King Node Model'!D38</f>
        <v>4659837</v>
      </c>
      <c r="AG18" s="181" t="str">
        <f t="shared" si="6"/>
        <v>R</v>
      </c>
      <c r="AH18" s="181">
        <f t="shared" si="7"/>
        <v>13</v>
      </c>
      <c r="AI18" s="181" t="str">
        <f t="shared" si="8"/>
        <v>SELL</v>
      </c>
      <c r="AJ18" s="181">
        <f t="shared" si="9"/>
        <v>1</v>
      </c>
      <c r="AK18" s="181">
        <f>IF(ABS(N($AE18))&gt;=$BG$85,1,0)</f>
      </c>
      <c r="AL18" s="181">
        <f t="shared" si="10"/>
        <v>0</v>
      </c>
      <c r="AM18" s="181">
        <f t="shared" si="11"/>
        <v>2</v>
      </c>
      <c r="AN18" s="181">
        <f t="shared" si="12"/>
        <v>0</v>
      </c>
      <c r="AO18" s="1">
        <f t="shared" si="13"/>
        <v>171842</v>
      </c>
      <c r="AP18" s="1" t="str">
        <f t="shared" si="14"/>
        <v/>
      </c>
      <c r="AQ18" s="1">
        <f t="shared" si="15"/>
        <v>4659837</v>
      </c>
      <c r="AR18" s="181">
        <f t="shared" si="16"/>
        <v>0.24756429587081383</v>
      </c>
      <c r="AS18" s="181">
        <f t="shared" si="17"/>
        <v>11</v>
      </c>
      <c r="AT18" s="181" t="str">
        <f t="shared" si="18"/>
        <v/>
      </c>
      <c r="AU18" s="181" t="str">
        <f t="shared" si="19"/>
        <v/>
      </c>
      <c r="AV18" s="218">
        <f t="shared" si="183"/>
        <v>0</v>
      </c>
      <c r="AW18" s="181">
        <f>ABS('King Node Model'!G38)</f>
        <v>496</v>
      </c>
      <c r="AX18" s="181">
        <f t="shared" si="20"/>
        <v>0</v>
      </c>
      <c r="AY18" s="181">
        <f t="shared" si="21"/>
        <v>0</v>
      </c>
      <c r="AZ18" s="276">
        <f>'King Node Model'!I38</f>
        <v>4356</v>
      </c>
      <c r="BA18" s="181">
        <f t="shared" si="22"/>
        <v>0</v>
      </c>
      <c r="BB18" s="181" t="str">
        <f t="shared" si="23"/>
        <v>R11</v>
      </c>
      <c r="BC18" s="10">
        <f>'King Node Model'!C38</f>
        <v>225627</v>
      </c>
      <c r="BD18" s="218">
        <f t="shared" si="184"/>
        <v>0</v>
      </c>
      <c r="BE18" s="218">
        <f t="shared" si="185"/>
        <v>1</v>
      </c>
      <c r="BF18" s="218" t="s">
        <v>1221</v>
      </c>
      <c r="BG18">
        <v>60</v>
      </c>
      <c r="BI18" s="218">
        <f t="shared" si="186"/>
        <v>0</v>
      </c>
      <c r="BJ18" s="218">
        <f t="shared" si="187"/>
        <v>0</v>
      </c>
      <c r="BK18" s="218">
        <f t="shared" si="24"/>
        <v>0</v>
      </c>
      <c r="BL18" s="10">
        <f>'King Node Model'!H38</f>
        <v>19</v>
      </c>
      <c r="BM18" s="218">
        <f t="shared" si="25"/>
        <v>27</v>
      </c>
      <c r="BN18" s="218">
        <f t="shared" si="26"/>
        <v>12</v>
      </c>
      <c r="BO18" s="218">
        <f t="shared" si="27"/>
        <v>0</v>
      </c>
      <c r="BP18" s="218">
        <f t="shared" si="28"/>
        <v>0</v>
      </c>
      <c r="BQ18" t="str">
        <f t="shared" si="29"/>
        <v/>
      </c>
      <c r="BR18" t="str">
        <f t="shared" si="30"/>
        <v/>
      </c>
      <c r="BS18" s="218">
        <f t="shared" si="31"/>
        <v>0</v>
      </c>
      <c r="BT18" t="str">
        <f t="shared" si="32"/>
        <v/>
      </c>
      <c r="BU18" t="str">
        <f t="shared" si="33"/>
        <v/>
      </c>
      <c r="BV18" s="218">
        <f t="shared" si="34"/>
        <v>975051</v>
      </c>
      <c r="BW18" s="218">
        <f t="shared" si="35"/>
        <v>171842</v>
      </c>
      <c r="BX18" s="218">
        <f>IF(AND(ISNUMBER(BC18),BC18&gt;=$BG$160,OR('King Node Model'!$A$8="Neg",N($BG$72)=1)),1,0)</f>
        <v>1</v>
      </c>
      <c r="BY18" s="218">
        <f t="shared" si="36"/>
        <v>0</v>
      </c>
      <c r="BZ18" s="218">
        <f t="shared" si="37"/>
        <v>0</v>
      </c>
      <c r="CA18" t="str">
        <f t="shared" si="38"/>
        <v/>
      </c>
      <c r="CB18" s="218">
        <f>IF(AND(ISNUMBER('King Node Model'!$D$27),AG18&lt;&gt;"",AA18='King Node Model'!$D$27),1,0)</f>
        <v>0</v>
      </c>
      <c r="CC18" s="218">
        <f>IF(OR('King Node Model'!$A$8="Neg",N($BG$72)=1),$BG$14*IF(ISNUMBER('King Node Model'!$D$26),MAX(0,1-ABS(AA18-'King Node Model'!$D$26)/$BG$18),0)+$BG$15*IFERROR(BV18/MAX($BV$9:$BV$55),0)+$BG$16*IFERROR(BW18/MAX($BW$9:$BW$55),0)+$BG$17*IFERROR(AC18/$S$11,0)*MAX(0,1+$BG$21*CF18),AR18)</f>
        <v>0.75859977772763965</v>
      </c>
      <c r="CD18" s="218">
        <f>IF(OR('King Node Model'!$A$8="Neg",N($BG$72)=1),IF(AND(AG18&lt;&gt;"",ABS(AA18-$B$4)&lt;=$BG$7,OR(AX18=0,$D$5&lt;&gt;"UP"),AY18=0,BK18&lt;&gt;1,CI18=0,AM18&gt;=$BG$20,AC18&gt;$BG$19),1,0),IF(AND(BS18=1,(COUNTIF($W$9:$W$14,AA18)+COUNTIF($W$18:$W$23,AA18))&gt;0,CI18=0,AM18&gt;=$BG$20,AC18&gt;$BG$19),1,0))</f>
        <v>0</v>
      </c>
      <c r="CE18" t="str">
        <f t="shared" si="39"/>
        <v/>
      </c>
      <c r="CF18" s="218">
        <f t="shared" si="40"/>
        <v>0</v>
      </c>
      <c r="CG18" t="str">
        <f t="shared" si="41"/>
        <v/>
      </c>
      <c r="CH18" t="str">
        <f t="shared" si="42"/>
        <v>Dormant</v>
      </c>
      <c r="CI18" s="218">
        <f t="shared" si="43"/>
        <v>0</v>
      </c>
      <c r="CJ18" s="218">
        <f t="shared" si="44"/>
        <v>387420489</v>
      </c>
      <c r="CK18" s="218">
        <f t="shared" si="45"/>
        <v>0</v>
      </c>
      <c r="CL18" s="218">
        <f t="shared" si="46"/>
        <v>0</v>
      </c>
      <c r="CQ18" s="218">
        <f t="shared" ref="CQ18:CQ23" si="200">IF($W18="",$V18,$W18)</f>
        <v>7775</v>
      </c>
      <c r="CR18" s="394" t="s">
        <v>1168</v>
      </c>
      <c r="CS18" s="218">
        <f>SUMPRODUCT(MAX(($CK$9:$CK$55=1)*ABS(IFERROR($BC$9:$BC$55*1,0))))</f>
        <v>225627</v>
      </c>
      <c r="CU18" s="218">
        <f>IF(AND(AND('King Node Model'!$A$8&lt;&gt;"Neg",N($BG$72)&lt;&gt;1),SUMPRODUCT(($AG$9:$AG$55="S")*ISNUMBER($AT$9:$AT$55)*ISNUMBER($AU$9:$AU$55)*($AT$9:$AT$55&lt;&gt;$AU$9:$AU$55)*($AT$9:$AT$55&lt;=$AA18)*($AU$9:$AU$55&gt;=$AA18))&gt;0),0,IF(AND(OR($AA18='King Node Model'!$T$22,$AA18='King Node Model'!$F$24),$AG18="R",COUNTIF($W$9:$W$14,$AA18)&gt;0),1,IF(AND($FN18=1,$EU18&lt;&gt;1,$EM18&lt;&gt;1,$BK18&lt;&gt;1,$DH18&lt;&gt;1,$AG18="R",COUNTIF($W$9:$W$14,$AA18)&gt;0),1,IF($EU18=1,0,IF($EM18=1,0,IF(AND(OR($EE18=1,$GV18=1,AND($EL$7=1,$AA18='King Node Model'!$D$26,$EI18=1),AND(OR($AA18='King Node Model'!$T$22,$AA18='King Node Model'!$T$23),$AN18=1,OR($AX18=0,$D$5&lt;&gt;"UP"))),OR(NOT(OR('King Node Model'!$A$8="Neg",N($BG$72)=1)),$GV18=1,AND(OR($AA18='King Node Model'!$T$22,$AA18='King Node Model'!$T$23),$AN18=1,OR($AX18=0,$D$5&lt;&gt;"UP")),AND($AM18&gt;=$BG$20,$AC18&gt;IF($CZ18=1,$BG$48,$BG$19)))),1,IF($DH18=1,0,IF(AND($DC18=1,$GS18&lt;&gt;1,AND('King Node Model'!$A$8&lt;&gt;"Neg",N($BG$72)&lt;&gt;1)),0,IF(AND($EY18=1,NOT(OR('King Node Model'!$A$8="Neg",$BG$72=1)),$AA18&lt;&gt;'King Node Model'!$B$23),0,IF(AND($GS18=1,$AG18="R",OR($CI18=0,$EE18=1,$EX18=1,$GV18=1),COUNTIF($W$9:$W$14,$AA18)&gt;0,ABS($AA18-$B$4)&lt;=$BG$7,$BK18&lt;&gt;1,$AM18&gt;=$BG$20,$AC18&gt;IF($CZ18=1,$BG$48,$BG$19)),1,IF(OR('King Node Model'!$A$8="Neg",N($BG$72)=1),IF(AND(OR($AM18&gt;=$BG$20,$AA18='King Node Model'!$D$26,$GV18=1),$AG18="R",COUNTIF($W$9:$W$14,$AA18)&gt;0,ABS($AA18-$B$4)&lt;=$BG$7,OR($AX18=0,$D$5&lt;&gt;"UP"),$BK18&lt;&gt;1,OR(OR($CI18=0,$AJ18=1),AND($EI18=1,$LA18=1,COUNTIF($W$9:$W$11,$AA18)&gt;0,$AN18=1,OR($AX18=0,$D$5&lt;&gt;"UP"))),$AM18&gt;=$BG$20,$AC18&gt;IF($CZ18=1,$BG$48,$BG$19),OR($AN18=1,N($LR18)=1,$AA18='King Node Model'!$D$26,AND($BY18=1,$AA18&gt;$B$4),$BX18=1,$CF18=1,$CF18=1,AND(OR($AA18=$CP$4,$AA18=$CP$5,$AA18=$CP$6,$AA18=$CP$7),ABS($AA18-$B$4)&lt;=30),AND($AX18=1,$D$5="DOWN"))),1,0),IF(AND(OR($AM18&gt;=3,$AA18='King Node Model'!$D$26,$GV18=1),$AG18="R",COUNTIF($W$9:$W$14,$AA18)&gt;0,ABS($AA18-$B$4)&lt;=$BG$7,OR($AX18=0,$D$5&lt;&gt;"UP"),$BK18&lt;&gt;1,OR($CI18=0,$AJ18=1),$AM18&gt;=$BG$20,$AC18&gt;IF($CZ18=1,$BG$48,$BG$19),OR($AC18&gt;=MAX($AC$9:$AC$55),$BC18&gt;0,$AA18='King Node Model'!$D$26,AND(OR($AA18=$CP$4,$AA18=$CP$5,$AA18=$CP$6,$AA18=$CP$7),ABS($AA18-$B$4)&lt;=30),$CF18=1,$AN18=1,AND($AX18=1,$D$5="DOWN"))),1,0))))))))))))</f>
        <v>0</v>
      </c>
      <c r="CV18" s="218">
        <f>IF(AND(OR('King Node Model'!$A$8="Neg",N($BG$72)=1),$AG18="S",N($LR18)=1,N($MB18)=1),1,IF(AND(AND('King Node Model'!$A$8&lt;&gt;"Neg",N($BG$72)&lt;&gt;1),SUMPRODUCT(($AG$9:$AG$55="R")*ISNUMBER($AT$9:$AT$55)*ISNUMBER($AU$9:$AU$55)*($AT$9:$AT$55&lt;&gt;$AU$9:$AU$55)*($AT$9:$AT$55&lt;=$AA18)*($AU$9:$AU$55&gt;=$AA18))&gt;0,NOT(AND(N($LC18)=1,$AA18='King Node Model'!$B$23))),0,IF(AND($AA18='King Node Model'!$F$24,$AG18="S",COUNTIF($W$18:$W$23,$AA18)&gt;0),1,IF(AND($FN18=1,$EU18&lt;&gt;1,$EM18&lt;&gt;1,$DH18&lt;&gt;1,$AG18="S",COUNTIF($W$18:$W$23,$AA18)&gt;0),1,IF($EU18=1,0,IF(AND(OR($EF18=1,$GV18=1,AND(OR($AA18='King Node Model'!$T$22,$AA18='King Node Model'!$T$23,AND($AG18="S",COUNTIF('Master Dashboard'!$AN$16:$AN$18,$AA18)&gt;0)),$AN18=1,OR($AX18=0,$D$5&lt;&gt;"UP"))),OR(NOT(OR('King Node Model'!$A$8="Neg",N($BG$72)=1)),$GV18=1,AND(OR($AA18='King Node Model'!$T$22,$AA18='King Node Model'!$T$23,AND($AG18="S",COUNTIF('Master Dashboard'!$AN$16:$AN$18,$AA18)&gt;0)),$AN18=1,OR($AX18=0,$D$5&lt;&gt;"UP")),AND($AM18&gt;=$BG$20,$AC18&gt;IF($CZ18=1,$BG$48,$BG$19)))),1,IF($DH18=1,0,IF(AND($DC18=1,$GS18&lt;&gt;1,AND('King Node Model'!$A$8&lt;&gt;"Neg",N($BG$72)&lt;&gt;1)),0,IF(AND($EY18=1,NOT(OR('King Node Model'!$A$8="Neg",$BG$72=1)),$AA18&lt;&gt;'King Node Model'!$B$23,COUNTIF('Master Dashboard'!$AN$16:$AN$18,$AA18)=0),0,IF(AND($GS18=1,$AG18="S",OR($CI18=0,$EF18=1,$EX18=1,$GV18=1),COUNTIF($W$18:$W$23,$AA18)&gt;0,ABS($AA18-$B$4)&lt;=$BG$7,$BK18&lt;&gt;1,$AM18&gt;=$BG$20,$AC18&gt;IF($CZ18=1,$BG$48,$BG$19)),1,IF(OR('King Node Model'!$A$8="Neg",N($BG$72)=1),IF(AND(OR(OR($AM18&gt;=$BG$20,N($LR18)=1),$AA18='King Node Model'!$D$26,$GV18=1),$AG18="S",COUNTIF($W$18:$W$23,$AA18)&gt;0,ABS($AA18-$B$4)&lt;=$BG$7,OR($AX18=0,$D$5&lt;&gt;"UP"),$BK18&lt;&gt;1,OR($CI18=0,$AJ18=1,AND(N($LR18)=1,N($MB18)=1),N($MT18)=1),OR($AM18&gt;=$BG$20,N($LR18)=1),$AC18&gt;IF($CZ18=1,$BG$48,$BG$19),OR($AB18&gt;0,$AN18=1,N($MT18)=1,N($LR18)=1,$AA18='King Node Model'!$D$26,AND($BY18=1,$AA18&lt;$B$4),$BX18=1,$CF18=1,$CF18=1,AND(OR($AA18=$CP$4,$AA18=$CP$5,$AA18=$CP$6,$AA18=$CP$7),ABS($AA18-$B$4)&lt;=30),AND($AX18=1,$D$5="DOWN"))),1,0),IF(AND(OR($AM18&gt;=3,$AA18='King Node Model'!$D$26,$GV18=1),$AG18="S",COUNTIF($W$18:$W$23,$AA18)&gt;0,ABS($AA18-$B$4)&lt;=$BG$7,OR($AX18=0,$D$5&lt;&gt;"UP"),$BK18&lt;&gt;1,OR($CI18=0,$AJ18=1,AND(N($LR18)=1,N($MB18)=1),N($MT18)=1),$AM18&gt;=$BG$20,$AC18&gt;IF($CZ18=1,$BG$48,$BG$19),OR($AC18&gt;=MAX($AC$9:$AC$55),$BC18&gt;0,N($MT18)=1,$AA18='King Node Model'!$D$26,AND(OR($AA18=$CP$4,$AA18=$CP$5,$AA18=$CP$6,$AA18=$CP$7),ABS($AA18-$B$4)&lt;=30),$CF18=1,$AN18=1,AND($AX18=1,$D$5="DOWN"))),1,0))))))))))))</f>
        <v>0</v>
      </c>
      <c r="CX18" s="218">
        <f t="shared" si="48"/>
        <v>0</v>
      </c>
      <c r="CY18" t="str">
        <f t="shared" si="49"/>
        <v/>
      </c>
      <c r="CZ18" s="218">
        <f t="shared" si="50"/>
        <v>0</v>
      </c>
      <c r="DA18" t="str">
        <f t="shared" si="51"/>
        <v/>
      </c>
      <c r="DB18" t="str">
        <f t="shared" si="52"/>
        <v/>
      </c>
      <c r="DC18" s="218">
        <f t="shared" si="53"/>
        <v>0</v>
      </c>
      <c r="DD18" s="218">
        <f t="shared" si="54"/>
        <v>0</v>
      </c>
      <c r="DE18" s="218">
        <f t="shared" si="55"/>
        <v>0</v>
      </c>
      <c r="DF18" t="str">
        <f t="shared" si="56"/>
        <v/>
      </c>
      <c r="DG18" t="str">
        <f t="shared" si="57"/>
        <v/>
      </c>
      <c r="DH18" s="218">
        <f t="shared" si="58"/>
        <v>0</v>
      </c>
      <c r="DI18">
        <v>1</v>
      </c>
      <c r="DJ18">
        <v>1</v>
      </c>
      <c r="DK18">
        <v>216412</v>
      </c>
      <c r="DL18">
        <v>0</v>
      </c>
      <c r="DM18" t="str">
        <f>IF(AND($CV18=1,$AG18="S"),IF(AND(OR('King Node Model'!$A$8="Neg",N($BG$72)=1),'King Node Model'!$S$52=""),IF(OR(N($AN18)=1,N($LR18)=1,$AB18&gt;0,$AJ18=1,N($JO18)=1,AND(NOT($AE18&gt;0),NOT(IFERROR(AND(ISNUMBER($BC18),ISNUMBER($BC17),($BC18&gt;=0)&lt;&gt;($BC17&gt;=0)),FALSE())),OR(AND($BM18&lt;=6,$BN18&lt;=6),ABS($AA18-'King Node Model'!$T$23)&lt;=5,$LA18=1))),1,0),1),"")</f>
        <v/>
      </c>
      <c r="DN18" t="str">
        <f t="shared" si="59"/>
        <v/>
      </c>
      <c r="DO18" t="str">
        <f t="shared" si="60"/>
        <v>W-list</v>
      </c>
      <c r="DP18" t="str">
        <f>IF(AND(OR('King Node Model'!$A$8="Neg",N($BG$72)=1),$AG18="S",ISNUMBER($AT18),ISNUMBER($AU18),$AT18&lt;&gt;$AU18,$AA18=$AT18),IF(AND(SUMPRODUCT(($AA$9:$AA$55&gt;=$AT18)*($AA$9:$AA$55&lt;=$AU18)*($AB$9:$AB$55&gt;0))&gt;0,SUMPRODUCT(($AA$9:$AA$55&gt;=$AT18)*($AA$9:$AA$55&lt;=$AU18)*($DM$9:$DM$55=1))&gt;0,SUMPRODUCT(($AA$9:$AA$55&gt;=$AT18)*($AA$9:$AA$55&lt;=$AU18)*(COUNTIF($W$18:$W$20,$AA$9:$AA$55)&gt;0))&gt;0),1,0),"")</f>
        <v/>
      </c>
      <c r="DS18">
        <v>0</v>
      </c>
      <c r="DT18">
        <v>0</v>
      </c>
      <c r="DU18" t="str">
        <f>IF('King Node Model'!$A$8&lt;&gt;"Pos","",IF(OR($AA18="",NOT(ISNUMBER($AA18)),ABS($AA18-$B$4)&gt;$BG$7),"",TEXT($AA18,"0")&amp;" | "&amp;IF($AG18="","unclassified",IF($AG18&lt;&gt;IF($AA18&gt;$B$4,"R","S"),"orphan: in "&amp;$AG18&amp;"-list, "&amp;IF($AA18&lt;$B$4,"below","above")&amp;" spot",IF(IF($AG18="R",COUNTIF($W$9:$W$14,$AA18),COUNTIF($W$18:$W$23,$AA18))=0,"not in "&amp;$AG18&amp;"-list",IF($DH18=1,"absorbed into shelf box",IF($BK18=1,"absorbed: adjacent reversal",IF($CI18=1,"accel-accelerant",IF($AC18&lt;=$BG$19,"below gamma-floor",IF($AM18&lt;$BG$20,"confluence "&amp;TEXT($AM18,"0")&amp;" &lt; "&amp;TEXT($BG$20,"0"),IF(AND($AX18=1,$D$5="UP"),"accelerant in up-move",IF(NOT(OR($AC18&gt;=MAX($AC$9:$AC$55),$BC18&gt;0,$AA18='King Node Model'!$D$26,AND(OR($AA18=$CP$4,$AA18=$CP$5,$AA18=$CP$6,$AA18=$CP$7),ABS($AA18-$B$4)&lt;=30),ISNUMBER(SEARCH("STRENGTHENING",$CG18)),$AN18=1,AND($AX18=1,$D$5="DOWN"))),"no surface flag","-&gt; qualifies"))))))))))))</f>
        <v/>
      </c>
      <c r="DV18" s="218">
        <f t="shared" si="61"/>
        <v>99999</v>
      </c>
      <c r="DW18" s="218">
        <f t="shared" si="62"/>
        <v>99999</v>
      </c>
      <c r="DX18" t="str">
        <f>IF('King Node Model'!$A$8&lt;&gt;"Pos","",IF(AND($DV18&lt;99999,$DV18=MIN($DV$9:$DV$55),$DG18&gt;$AA18),"R-box: "&amp;TEXT($AA18,"0")&amp;"-"&amp;TEXT($DG18,"0"),IF(AND($DW18&lt;99999,$DW18=MIN($DW$9:$DW$55),$DF18&lt;$AA18),"S-box: "&amp;TEXT($DF18,"0")&amp;"-"&amp;TEXT($AA18,"0"),"")))</f>
        <v/>
      </c>
      <c r="EB18">
        <f t="shared" si="63"/>
        <v>64.609999999999673</v>
      </c>
      <c r="EC18">
        <f t="shared" si="64"/>
        <v>538591</v>
      </c>
      <c r="ED18">
        <f t="shared" si="65"/>
        <v>0</v>
      </c>
      <c r="EE18">
        <f>IF(AND(OR('King Node Model'!$A$8="Neg",N($BG$72)=1),$AG18="R",ISNUMBER($EB18),$EB18&lt;=$BG$7,$AB18&gt;0,$EC18&gt;0,$AB18=$EC18),1,0)</f>
        <v>0</v>
      </c>
      <c r="EF18">
        <f>IF(AND(OR('King Node Model'!$A$8="Neg",N($BG$72)=1),$AG18="S",ISNUMBER($EB18),$EB18&lt;=$BG$7,$AB18&gt;0,$ED18&gt;0,$AB18=$ED18),1,0)</f>
        <v>0</v>
      </c>
      <c r="EI18">
        <v>1</v>
      </c>
      <c r="EJ18">
        <f>IF($AA18="",0,IF(SUMPRODUCT(($AA$9:$AA$55&gt;=$AT18)*($AA$9:$AA$55&lt;=$AU18)*($DT$9:$DT$55=1))+SUMPRODUCT(($DT$9:$DT$55=1)*($AT$9:$AT$55&lt;=$AA18)*($AU$9:$AU$55&gt;=$AA18))+($DT18=1)+AND(OR('King Node Model'!$A$8="Neg",N($BG$72)=1),ISNUMBER(SEARCH("LOW",'Master Dashboard'!$M$5)),ISNUMBER(SEARCH("BUY",'Master Dashboard'!$G$8)),'King Node Model'!$T$23='King Node Model'!$B$23,$AA18&gt;='King Node Model'!$T$23,$AA18&lt;='King Node Model'!$T$23+5)*1&gt;0,1,0))</f>
        <v>0</v>
      </c>
      <c r="EM18">
        <f t="shared" si="66"/>
        <v>0</v>
      </c>
      <c r="EN18">
        <v>0</v>
      </c>
      <c r="EO18">
        <f t="shared" si="67"/>
        <v>0</v>
      </c>
      <c r="EP18">
        <f t="shared" si="68"/>
        <v>0</v>
      </c>
      <c r="EQ18" t="str">
        <f t="shared" si="69"/>
        <v>WEAKENING · Pos gamma ↓ · thinning the ceiling (sub-threshold)</v>
      </c>
      <c r="ES18" t="str">
        <f>IF(AND(ISNUMBER(AA18),ISNUMBER(AF18),ABS(AA18-'King Node Model'!$B$4)&lt;=$BG$7),ABS(AF18),"")</f>
        <v/>
      </c>
      <c r="ET18">
        <v>0</v>
      </c>
      <c r="EU18" s="218">
        <f>IF(AND(OR('King Node Model'!$A$8="Neg",N($BG$72)=1),ISNUMBER($AA17),ISNUMBER($AA18),ISNUMBER($AA19),ISNUMBER($AB17),ISNUMBER($AB18),ISNUMBER($AB19),ISNUMBER($AF18),$AB18&gt;0,$AB17&lt;0,$AB19&lt;0,$AF18&lt;0),1,0)</f>
        <v>0</v>
      </c>
      <c r="EW18">
        <f>IF(OR(N($MY18)=1,N($JM18)=1),0,N($NE18))</f>
        <v>0</v>
      </c>
      <c r="EX18">
        <f>IF(AND(OR('King Node Model'!$A$8="Neg",N($BG$72)=1),ISNUMBER($AA18),OR(AND($AA18='King Node Model'!$F$24,OR(AND($AG18="S",$F$4="High",IF($BG$80&lt;&gt;"",UPPER($BG$80),$D$5)="DOWN"),AND($AG18="R",$F$4="Low",IF($BG$80&lt;&gt;"",UPPER($BG$80),$D$5)="UP"))),$GV18=1)),1,0)</f>
        <v>0</v>
      </c>
      <c r="EY18">
        <f>IFERROR(IF(AND($DC18=1,$AB18&lt;0,$AC18&gt;=(1+$FA$6)*INDEX($AC$9:$AC$55,10-1),$AC18&gt;=(1+$FA$6)*INDEX($AC$9:$AC$55,10+1),$AC18&gt;=IFERROR(INDEX($AC$9:$AC$55,10-2),0),$AC18&gt;=IFERROR(INDEX($AC$9:$AC$55,10+2),0)),1,0),0)</f>
        <v>0</v>
      </c>
      <c r="FA18" t="str">
        <f>IF(NOT(ISNUMBER($AA18)),"",IFERROR(IF(AND($AC18=MAX($AC$9:$AC$55),$AB18=MIN($AB$9:$AB$55)),"DOM",IF(AND($DC17=1,$DC18=1,$DC19=1,INDEX($AC$9:$AC$55,10-1)&lt;=(1-$FA$6)*$AC18,INDEX($AC$9:$AC$55,10-1)&lt;=(1-$FA$6)*INDEX($AC$9:$AC$55,10-2)),"GAP↑",IF(AND($DC19=1,$DC18=1,INDEX($AC$9:$AC$55,10+1)&lt;=(1-$FA$6)*$AC18,INDEX($AC$9:$AC$55,10+1)&lt;=(1-$FA$6)*INDEX($AC$9:$AC$55,10+2)),"GAP↓",IF($CZ18=1,"dEdge Cliff",IF($GY18=1,"γWall",IF(AND($DC18=1,$AB18&lt;0,$AC18&gt;=(1+$FA$6)*INDEX($AC$9:$AC$55,10-1),$AC18&gt;=(1+$FA$6)*INDEX($AC$9:$AC$55,10+1)),"PEAK-",IF($GZ18=1,"γSh Edge",IF($HL18=1,"Trough",IF($HN18=1,"PEAK+",IF($GF18=1,"Cluster","")))))))))),""))</f>
        <v/>
      </c>
      <c r="FB18" t="str">
        <f t="shared" si="70"/>
        <v/>
      </c>
      <c r="FC18" t="str">
        <f t="shared" si="71"/>
        <v/>
      </c>
      <c r="FD18">
        <f>IF(AND(ISNUMBER($AA18),ISNUMBER('King Node Model'!$AP$17),ISNUMBER('King Node Model'!$AQ$17),$AA18&gt;=MIN('King Node Model'!$AP$17,'King Node Model'!$AQ$17),$AA18&lt;=MAX('King Node Model'!$AP$17,'King Node Model'!$AQ$17),IFERROR(INDEX($AC$9:$AC$55,MATCH('King Node Model'!$AL$42,$AA$9:$AA$55,0)),0)&gt;0,$AC18&gt;=(1-$FA$6)*IFERROR(INDEX($AC$9:$AC$55,MATCH('King Node Model'!$AL$42,$AA$9:$AA$55,0)),0),$AC18&lt;=(1+$FA$6)*IFERROR(INDEX($AC$9:$AC$55,MATCH('King Node Model'!$AL$42,$AA$9:$AA$55,0)),0)),1,0)</f>
        <v>0</v>
      </c>
      <c r="FE18">
        <f>IF($AA18='King Node Model'!$AL$42,1,IF(AND($FD18=1,$FE17=1),1,0))</f>
        <v>0</v>
      </c>
      <c r="FF18">
        <f>IF($AA18='King Node Model'!$AL$42,1,IF(AND($FD18=1,$FF19=1),1,0))</f>
        <v>0</v>
      </c>
      <c r="FG18" t="str">
        <f>IF(OR($FE18=1,$FF18=1),10,"")</f>
        <v/>
      </c>
      <c r="FJ18">
        <f>IF(AND($CW$2=1,ISNUMBER($AA18),ISNUMBER($CW$3),ISNUMBER($CW$4),$AA18&gt;=MIN($CW$3,$CW$4),$AA18&lt;=MAX($CW$3,$CW$4),IFERROR(INDEX($AC$9:$AC$55,MATCH('King Node Model'!$AP$67,$AA$9:$AA$55,0)),0)&gt;0,$AC18&gt;=(1-$FA$6)*IFERROR(INDEX($AC$9:$AC$55,MATCH('King Node Model'!$AP$67,$AA$9:$AA$55,0)),0),$AC18&lt;=(1+$FA$6)*IFERROR(INDEX($AC$9:$AC$55,MATCH('King Node Model'!$AP$67,$AA$9:$AA$55,0)),0)),1,0)</f>
        <v>0</v>
      </c>
      <c r="FK18">
        <f>IF(AND($CW$2=1,$AA18='King Node Model'!$AP$67),1,IF(AND($FJ18=1,$FK17=1),1,0))</f>
        <v>0</v>
      </c>
      <c r="FL18">
        <f>IF(AND($CW$2=1,$AA18='King Node Model'!$AP$67),1,IF(AND($FJ18=1,$FL19=1),1,0))</f>
        <v>0</v>
      </c>
      <c r="FM18" t="str">
        <f>IF(OR($FK18=1,$FL18=1),10,"")</f>
        <v/>
      </c>
      <c r="FN18">
        <v>0</v>
      </c>
      <c r="FR18" t="str">
        <f t="shared" si="72"/>
        <v/>
      </c>
      <c r="FS18">
        <f t="shared" si="188"/>
        <v>0</v>
      </c>
      <c r="FT18">
        <f t="shared" si="73"/>
        <v>0.84869720256835601</v>
      </c>
      <c r="FU18">
        <f t="shared" si="74"/>
        <v>265851</v>
      </c>
      <c r="FV18" t="str">
        <f>IF($FW18=0,"",IF(OR($FW17=0,SIGN(IFERROR($BC18*1,0))&lt;&gt;SIGN(IFERROR($BC17*1,0)),$GH18=1,$GH17=1),MAX($FV$9:$FV17)+1,$FV17))</f>
        <v/>
      </c>
      <c r="FW18">
        <f t="shared" si="75"/>
        <v>0</v>
      </c>
      <c r="FX18" t="str">
        <f t="shared" si="76"/>
        <v/>
      </c>
      <c r="FY18">
        <f t="shared" si="77"/>
        <v>0</v>
      </c>
      <c r="FZ18">
        <f t="shared" si="189"/>
        <v>0</v>
      </c>
      <c r="GA18">
        <f t="shared" si="78"/>
        <v>0</v>
      </c>
      <c r="GB18" t="str">
        <f t="shared" si="79"/>
        <v/>
      </c>
      <c r="GC18" t="str">
        <f t="shared" si="80"/>
        <v/>
      </c>
      <c r="GD18" t="str">
        <f t="shared" si="81"/>
        <v/>
      </c>
      <c r="GE18" t="str">
        <f t="shared" si="82"/>
        <v/>
      </c>
      <c r="GF18">
        <f t="shared" si="83"/>
        <v>0</v>
      </c>
      <c r="GH18">
        <f>IFERROR(IF(AND($AC18&gt;=(1+$FA$6)*INDEX($AC$9:$AC$55,10-1),$AC18&gt;=(1+$FA$6)*INDEX($AC$9:$AC$55,10+1)),1,0),0)</f>
        <v>0</v>
      </c>
      <c r="GK18">
        <v>0</v>
      </c>
      <c r="GO18">
        <v>0</v>
      </c>
      <c r="GP18">
        <v>0</v>
      </c>
      <c r="GQ18">
        <f t="shared" si="84"/>
        <v>0</v>
      </c>
      <c r="GR18">
        <f t="shared" si="85"/>
        <v>0</v>
      </c>
      <c r="GS18">
        <f>IF(AND($EY18=1,$AA18&lt;&gt;'King Node Model'!$B$23),0,IF(OR($GQ18=1,$GR18=1),1,IF($DC18=1,IF(OR('King Node Model'!$A$8="Neg",N($BG$72)=1),IF(OR(AND($AC18=MAX($AC$9:$AC$55),$AB18=MIN($AB$9:$AB$55)),$AN18=1,$EE18=1,$EF18=1,$EX18=1,$GV18=1),1,0),1),0)))</f>
        <v>0</v>
      </c>
      <c r="GT18">
        <f>IFERROR(IF(AND(OR('King Node Model'!$A$8="Neg",N($BG$72)=1),$EU17=1,$AG18="R",ISNUMBER($AA18),ISNUMBER($AF18),$AF18&lt;&gt;0,$AA18&gt;$B$4-$BG$9,$AA18-$B$4&lt;=$BG$47,IF($KC18="UP",SIGN($AF18),IF($KC18="DOWN",-SIGN($AF18),0))&lt;&gt;1),1,0),0)</f>
        <v>0</v>
      </c>
      <c r="GU18" t="str">
        <f t="shared" si="86"/>
        <v/>
      </c>
      <c r="GV18">
        <f t="shared" si="87"/>
        <v>0</v>
      </c>
      <c r="GW18">
        <f t="shared" si="88"/>
        <v>64.609999999999673</v>
      </c>
      <c r="GX18" t="str">
        <f t="shared" si="89"/>
        <v/>
      </c>
      <c r="GY18">
        <f t="shared" si="90"/>
        <v>0</v>
      </c>
      <c r="GZ18">
        <f t="shared" si="91"/>
        <v>0</v>
      </c>
      <c r="HA18">
        <v>0</v>
      </c>
      <c r="HF18">
        <f>IFERROR(IF(AND($GZ18=1,'King Node Model'!$A$8="Pos",$D$5="UP",$CF18=-1,$AJ18&lt;&gt;1),1,0),0)</f>
        <v>0</v>
      </c>
      <c r="HG18">
        <f t="shared" si="92"/>
        <v>0</v>
      </c>
      <c r="HH18" t="str">
        <f>IF($GZ18=1,"",IFERROR(IF(NOT(ISNUMBER($AA18)),"",IF($EY18=1,"",IF($GF18=1,IF($GD18=$GE18,"",$GD18),IF(OR(AND($DC17=1,$DC18=1,$DC19=1,INDEX($AC$9:$AC$55,10-1)&lt;=(1-$FA$6)*$AC18,INDEX($AC$9:$AC$55,10-1)&lt;=(1-$FA$6)*INDEX($AC$9:$AC$55,10-2)),AND($DC19=1,$DC18=1,INDEX($AC$9:$AC$55,10+1)&lt;=(1-$FA$6)*$AC18,INDEX($AC$9:$AC$55,10+1)&lt;=(1-$FA$6)*INDEX($AC$9:$AC$55,10+2)),AND($DC18=1,OR(INDEX($DC$9:$DC$55,10-1)=0,INDEX($DC$9:$DC$55,10+1)=0))),IF(MIN($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MAX($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MIN($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f>
        <v/>
      </c>
      <c r="HI18" t="str">
        <f>IF($GZ18=1,"",IFERROR(IF(NOT(ISNUMBER($AA18)),"",IF($EY18=1,"",IF($GF18=1,IF($GD18=$GE18,"",$GE18),IF(OR(AND($DC17=1,$DC18=1,$DC19=1,INDEX($AC$9:$AC$55,10-1)&lt;=(1-$FA$6)*$AC18,INDEX($AC$9:$AC$55,10-1)&lt;=(1-$FA$6)*INDEX($AC$9:$AC$55,10-2)),AND($DC19=1,$DC18=1,INDEX($AC$9:$AC$55,10+1)&lt;=(1-$FA$6)*$AC18,INDEX($AC$9:$AC$55,10+1)&lt;=(1-$FA$6)*INDEX($AC$9:$AC$55,10+2)),AND($DC18=1,OR(INDEX($DC$9:$DC$55,10-1)=0,INDEX($DC$9:$DC$55,10+1)=0))),IF(MIN($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MAX($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MAX($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f>
        <v/>
      </c>
      <c r="HL18">
        <f t="shared" si="93"/>
        <v>0</v>
      </c>
      <c r="HM18">
        <f>IFERROR(IF(AND($HL18=1,NOT(OR($AA18='King Node Model'!$T$22,$AA18='King Node Model'!$T$23,$AA18='King Node Model'!$F$24,AND($AG18="S",COUNTIF('Master Dashboard'!$AN$16:$AN$18,$AA18)&gt;0),AND($AG18="R",COUNTIF('Master Dashboard'!$AN$13:$AN$15,$AA18)&gt;0)))),1,0),0)</f>
        <v>0</v>
      </c>
      <c r="HN18">
        <f t="shared" si="94"/>
        <v>0</v>
      </c>
      <c r="HO18">
        <f t="shared" si="95"/>
        <v>0</v>
      </c>
      <c r="HP18">
        <f t="shared" si="96"/>
        <v>1</v>
      </c>
      <c r="HQ18" t="str">
        <f>IF(NOT(ISNUMBER($AA18)),"",IFERROR(TRIM(IF(N($MY18)=1,"DEXLEAN ","")&amp;IF(N($IZ18)=1,"DEXCAP ","")&amp;IF(AND($AG18="S",UPPER('King Node Model'!$L$5)="HIGH",$KC18="DOWN",N($AF18)&gt;0,$AA18='King Node Model'!$AN$70,$IY18="SELL"),"CHOPEDGEIV ","")&amp;IF(N($IS18)=1,"NOREV ","")&amp;IF(N($JY18)=1,"VFLAT ","")&amp;IF(N($KR18)=1,"GDEXVANNA ","")&amp;IF(N($LD18)=1,"KGSUPFAIL ","")&amp;IF(N($LE18)=1,"KGRESLEAK ","")&amp;IF(N($MH18)=1,"ZIGZAG ","")&amp;IF(N($KK18)=1,"DATAGAP ","")&amp;IF(N($KA18)&lt;&gt;0,"ACCUNDERCW ","")&amp;IF(AND($AG18="S",$HF18=1),"EDGE ","")&amp;IF(AND($HM18=1,'King Node Model'!$A$8="Pos",N($BG$72)&lt;&gt;1),"TROUGH ","")&amp;IF(AND($EU18=1,N($JZ18)&lt;&gt;1),"BUMP ","")&amp;IF(AND($GT18=1,N($JZ18)&lt;&gt;1),"SANDWICH ","")&amp;IF(AND($EX18&lt;&gt;1,OR('King Node Model'!$A$8="Neg",N($BG$72)=1),OR(AND(ISNUMBER($AC18),$AC18=MAX($AC$9:$AC$55)),AND(ISNUMBER($AB18),$AB18=MIN($AB$9:$AB$55))),NOT(AND(AND(ISNUMBER($AC18),$AC18=MAX($AC$9:$AC$55)),AND(ISNUMBER($AB18),$AB18=MIN($AB$9:$AB$55)))),$AG18="S",N($AB18)&lt;0,NOT(COUNTIF('Master Dashboard'!$AN$16:$AN$18,$AA18)&gt;0),NOT(AND(OR('King Node Model'!$A$8="Neg",N($BG$72)=1),ISNUMBER($AB18),$AB18=MIN($AB$9:$AB$55),$AA18=$BG$105))),"ACCEL ","")&amp;IF(AND($EX18&lt;&gt;1,ISNUMBER($AA18),OR('King Node Model'!$A$8="Neg",N($BG$72)=1),$EY18=1,NOT(AND($AG18="S",COUNTIF('Master Dashboard'!$AN$16:$AN$18,$AA18)&gt;0)),NOT(AND($AA18='King Node Model'!$B$23,IF($AG18="S",OR($AA18='King Node Model'!$C$24,COUNTIF('Master Dashboard'!$AN$16:$AN$18,$AA18)&gt;0),OR($AA18='King Node Model'!$C$23,COUNTIF('Master Dashboard'!$AN$13:$AN$15,$AA18)&gt;0)))),NOT(AND($EX18&lt;&gt;1,OR('King Node Model'!$A$8="Neg",N($BG$72)=1),OR(AND(ISNUMBER($AC18),$AC18=MAX($AC$9:$AC$55)),AND(ISNUMBER($AB18),$AB18=MIN($AB$9:$AB$55))),NOT(AND(AND(ISNUMBER($AC18),$AC18=MAX($AC$9:$AC$55)),AND(ISNUMBER($AB18),$AB18=MIN($AB$9:$AB$55)))),$AG18="S",N($AB18)&lt;0,NOT(COUNTIF('Master Dashboard'!$AN$16:$AN$18,$AA18)&gt;0)))),"AMPLIFY ","")&amp;IF(AND($AG18="S",OR('King Node Model'!$A$8="Neg",N($BG$72)=1),$AJ18&lt;&gt;1,N($MT18)&lt;&gt;1,NOT(AND(N($LR18)=1,N($MB18)=1)),ISNUMBER(SEARCH("ACCEL building",$CG18))),"ZACCEL ","")&amp;IF(AND($AG18="S",OR('King Node Model'!$A$8="Neg",N($BG$72)=1),$AA18='King Node Model'!$B$23,NOT(AND(AND(ISNUMBER($AC18),$AC18=MAX($AC$9:$AC$55)),AND(ISNUMBER($AB18),$AB18=MIN($AB$9:$AB$55)))),$EJ18&lt;&gt;1),"KINGACC ","")&amp;IF(AND($AG18="S",OR('King Node Model'!$A$8="Neg",N($BG$72)=1),ABS(N($AA18)-N('King Node Model'!$B$23))&lt;=$BG$107,NOT(AND(SUMPRODUCT((ABS($AF$9:$AF$55)&lt;=ABS(N($AF18)))*1)/COUNT($AF$9:$AF$55)&gt;=0.66,OR(ISNUMBER(SEARCH("firmer resistance",$CG18)),ISNUMBER(SEARCH("STRENGTHENING",$CG18)),ISNUMBER(SEARCH("firmer support",$CG18))))),NOT(AND(N($AB18)&gt;0,SUMPRODUCT((ABS($AB$9:$AB$55)&lt;=ABS(N($AB18)))*1)/COUNT($AB$9:$AB$55)&gt;=0.66)),$EJ18&lt;&gt;1,$AJ18&lt;&gt;1,COUNTIF('Master Dashboard'!$AN$16:$AN$18,$AA18)=0,NOT(AND($AG18="S",OR('King Node Model'!$A$8="Neg",N($BG$72)=1),$AA18='King Node Model'!$B$23,NOT(AND(AND(ISNUMBER($AC18),$AC18=MAX($AC$9:$AC$55)),AND(ISNUMBER($AB18),$AB18=MIN($AB$9:$AB$55)))),$EJ18&lt;&gt;1))),"KINGNODE ","")&amp;IF(AND($AG18="R",NOT(AND(AND(ISNUMBER($AC18),$AC18=MAX($AC$9:$AC$55)),AND(ISNUMBER($AB18),$AB18=MIN($AB$9:$AB$55)))),UPPER('King Node Model'!$L$5)="LOW",$KC18="DOWN",N($AF18)&gt;0),"LOWIVFALL ","")&amp;IF(AND($AG18="R",NOT(AND(AND(ISNUMBER($AC18),$AC18=MAX($AC$9:$AC$55)),AND(ISNUMBER($AB18),$AB18=MIN($AB$9:$AB$55)))),UPPER('King Node Model'!$L$5)="HIGH",$KC18="DOWN",N($AF18)&gt;0,IFERROR(MATCH($AA18,$W$9:$W$14,0)&gt;=4,FALSE)),"HIGHIVFALL ","")&amp;IF(AND($AG18="R",N($BG$99)=1),"SPOTUPVOLUP ","")&amp;IF(AND($AG18="R",ISNUMBER(SEARCH("5/5",'Master Dashboard'!$E$29)),OR(ISNUMBER(SEARCH("WEAKENING",$EQ18)),ISNUMBER(SEARCH("Pos gamma ↓",$EQ18)),ISNUMBER(SEARCH("thinning the ceiling",$EQ18)))),"SQUEEZE ","")&amp;IF(N($JU18)=1,"DEDGECLIFF ","")&amp;IF(N($KT18)=1,"DEXDRAIN ","")&amp;IF(N($HW18)&lt;&gt;0,"DEXDROP ","")&amp;IF(N($HX18)&lt;&gt;0,"PEAK+ ","")&amp;IF(N($IF18)=1,"CHOP ","")&amp;IF(N($IQ18)=1,"CONTESTED ","")&amp;IF(N($IW18)=1,"VSELL ","")&amp;IF(N($JK18)=1,"VBUYRES ","")&amp;IF(N($JL18)=1,"DOMFLAT ","")&amp;IF(N($JM18)=1,"DOMPULL ","")&amp;IF(N($JP18)=1,"OIZOMMA ","")&amp;IF(AND(N($JQ18)=1,N($JZ18)&lt;&gt;1),"OIDEX ","")),""))</f>
        <v>NOREV LOWIVFALL VBUYRES</v>
      </c>
      <c r="HR18" t="str">
        <f>IF(AND(ISNUMBER($W18),OR('King Node Model'!$A$8&lt;&gt;"Pos",N($BG$72)=1,IFERROR(INDEX($AM$9:$AM$55,MATCH($W18,$AA$9:$AA$55,0)),0)&gt;=$BG$20),$E18="REVERSAL",OR($F18="stable",$F18="VOMMA BID"),$W18&lt;&gt;'King Node Model'!$AL$49,$W18&lt;&gt;'King Node Model'!$AL$50,IFERROR(INDEX($HP$9:$HP$55,MATCH($W18,$AA$9:$AA$55,0)),1)=0),ABS($W18-'King Node Model'!$B$4),"")</f>
        <v/>
      </c>
      <c r="HS18">
        <f>IFERROR(IF(AND($DC18=1,OR(AND($AG18="R",INDEX($DC$9:$DC$55,9)=0,INDEX($DC$9:$DC$55,11)=1,INDEX($DC$9:$DC$55,12)=1),AND($AG18="S",INDEX($DC$9:$DC$55,11)=0,INDEX($DC$9:$DC$55,9)=1,INDEX($DC$9:$DC$55,8)=1))),1,0),0)</f>
        <v>0</v>
      </c>
      <c r="HT18">
        <f t="shared" si="97"/>
        <v>0</v>
      </c>
      <c r="HU18">
        <v>0</v>
      </c>
      <c r="HV18">
        <v>0</v>
      </c>
      <c r="HW18">
        <f>IFERROR(IF(OR(NOT(ISNUMBER($AA18)),'King Node Model'!$A$8&lt;&gt;"Pos",N($BG$72)=1,ABS(N($AE18))&lt;$BG$113,N($AV18)=1,$FA18="DOM",$AA18='King Node Model'!$T$23,AND(N($BG$116)=1,$AA18='King Node Model'!$F$24),NOT(ISNUMBER($KU18)),NOT(ISNUMBER($KV18))),0,IF(AND($AG18="S",COUNTIF('Master Dashboard'!$AN$16:$AN$18,$AA18)=0,$KU18&gt;=$BG$114,$KU18&gt;=$KV18+$BG$115,NOT(AND(N($AN19)=1,N($KV18)&lt;0)),N($AE18)&lt;=0),1,IF(AND($AG18="R",COUNTIF('Master Dashboard'!$AN$13:$AN$15,$AA18)=0,$KV18&gt;=$BG$114,$KV18&gt;=$KU18+$BG$115,NOT(AND(N($AN17)=1,N($KU18)&lt;0))),-1,0))),0)</f>
        <v>0</v>
      </c>
      <c r="HX18">
        <f>IFERROR(IF(AND(ISNUMBER($AA18),$FA18="PEAK+",N($AN18)&lt;&gt;1,NOT(AND('King Node Model'!$A$8="Pos",OR($AA18='King Node Model'!$T$22,$AA18='King Node Model'!$T$23,$AA18='King Node Model'!$F$24))),IF($AG18="S",COUNTIF('Master Dashboard'!$AN$16:$AN$18,$AA18)=0,IF($AG18="R",COUNTIF('Master Dashboard'!$AN$13:$AN$15,$AA18)=0,FALSE))),1,0),0)</f>
        <v>0</v>
      </c>
      <c r="HY18">
        <f t="shared" si="98"/>
        <v>0.10420109367099166</v>
      </c>
      <c r="HZ18">
        <v>0</v>
      </c>
      <c r="IA18">
        <f>IFERROR(IF(AND(IF($BG$44=1,OR(ISNUMBER(SEARCH("Choppy",'King Node Model'!$S$38)),'King Node Model'!$S$52&lt;&gt;"",'King Node Model'!$A$8="Pos"),TRUE()),OR($DC18=1,$DC17=1,$DC19=1),ABS($AA18-$B$4)&lt;=$BG$7,ABS($AA18-$BG$28)&gt;=$BG$45,OR(AND($AA18&gt;$BG$28,$AG18="R"),AND($AA18&lt;$BG$28,$AG18="S",N($BG$154)=1)),ABS(IF($AA18&gt;$BG$28,$AE19,$AE17))&gt;=$BG$43,ABS(N(IF($AA18&gt;$BG$28,$AE17,$AE19)))&lt;=$BG$153*ABS(IF($AA18&gt;$BG$28,$AE19,$AE17)),IF(ISNUMBER($HZ18),$HZ18=1,AND(ISNUMBER($HY18),$HY18&gt;=$BG$42))),1,0),0)</f>
        <v>0</v>
      </c>
      <c r="IB18">
        <f t="shared" si="99"/>
        <v>1</v>
      </c>
      <c r="IC18" t="str">
        <f>IF(NOT(ISNUMBER($AA18)),"",IFERROR(MID(IF(AND($AC18=MAX($AC$9:$AC$55),$AB18=MIN($AB$9:$AB$55))," · DOM","")&amp;IF(AND($DC17=1,$DC18=1,$DC19=1,INDEX($AC$9:$AC$55,10-1)&lt;=(1-$FA$6)*$AC18,INDEX($AC$9:$AC$55,10-1)&lt;=(1-$FA$6)*INDEX($AC$9:$AC$55,10-2))," · GAP↑ → "&amp;INDEX($AA$9:$AA$55,10-2),"")&amp;IF(AND($DC19=1,$DC18=1,INDEX($AC$9:$AC$55,10+1)&lt;=(1-$FA$6)*$AC18,INDEX($AC$9:$AC$55,10+1)&lt;=(1-$FA$6)*INDEX($AC$9:$AC$55,10+2))," · GAP↓ → "&amp;INDEX($AA$9:$AA$55,10+2),"")&amp;IF($CZ18=1," · dEdge Cliff","")&amp;IF($GY18=1," · γWall","")&amp;IF(AND($DC18=1,$AB18&lt;0,$AC18&gt;=(1+$FA$6)*INDEX($AC$9:$AC$55,10-1),$AC18&gt;=(1+$FA$6)*INDEX($AC$9:$AC$55,10+1))," · PEAK-","")&amp;IF($GZ18=1," · γSh Edge","")&amp;IF($HL18=1," · Trough","")&amp;IF($HN18=1," · PEAK+","")&amp;IF($GF18=1," · Cluster",""),FIND(" · ",IF(AND($AC18=MAX($AC$9:$AC$55),$AB18=MIN($AB$9:$AB$55))," · DOM","")&amp;IF(AND($DC17=1,$DC18=1,$DC19=1,INDEX($AC$9:$AC$55,10-1)&lt;=(1-$FA$6)*$AC18,INDEX($AC$9:$AC$55,10-1)&lt;=(1-$FA$6)*INDEX($AC$9:$AC$55,10-2))," · GAP↑ → "&amp;INDEX($AA$9:$AA$55,10-2),"")&amp;IF(AND($DC19=1,$DC18=1,INDEX($AC$9:$AC$55,10+1)&lt;=(1-$FA$6)*$AC18,INDEX($AC$9:$AC$55,10+1)&lt;=(1-$FA$6)*INDEX($AC$9:$AC$55,10+2))," · GAP↓ → "&amp;INDEX($AA$9:$AA$55,10+2),"")&amp;IF($CZ18=1," · dEdge Cliff","")&amp;IF($GY18=1," · γWall","")&amp;IF(AND($DC18=1,$AB18&lt;0,$AC18&gt;=(1+$FA$6)*INDEX($AC$9:$AC$55,10-1),$AC18&gt;=(1+$FA$6)*INDEX($AC$9:$AC$55,10+1))," · PEAK-","")&amp;IF($GZ18=1," · γSh Edge","")&amp;IF($HL18=1," · Trough","")&amp;IF($HN18=1," · PEAK+","")&amp;IF($GF18=1," · Cluster",""),2),999),""))</f>
        <v/>
      </c>
      <c r="ID18" t="str">
        <f>IF(NOT(ISNUMBER($AA18)),"",IFERROR(MID(IF(AND($AC18=MAX($AC$9:$AC$55),$AB18=MIN($AB$9:$AB$55))," · DOM","")&amp;IF(AND($DC17=1,$DC18=1,$DC19=1,INDEX($AC$9:$AC$55,10-1)&lt;=(1-$FA$6)*$AC18,INDEX($AC$9:$AC$55,10-1)&lt;=(1-$FA$6)*INDEX($AC$9:$AC$55,10-2))," · GAP↑ → "&amp;INDEX($AA$9:$AA$55,10-2),"")&amp;IF(AND($DC19=1,$DC18=1,INDEX($AC$9:$AC$55,10+1)&lt;=(1-$FA$6)*$AC18,INDEX($AC$9:$AC$55,10+1)&lt;=(1-$FA$6)*INDEX($AC$9:$AC$55,10+2))," · GAP↓ → "&amp;INDEX($AA$9:$AA$55,10+2),"")&amp;IF($CZ18=1," · dEdge Cliff","")&amp;IF($GY18=1," · γWall","")&amp;IF(AND($DC18=1,$AB18&lt;0,$AC18&gt;=(1+$FA$6)*INDEX($AC$9:$AC$55,10-1),$AC18&gt;=(1+$FA$6)*INDEX($AC$9:$AC$55,10+1))," · PEAK-","")&amp;IF($GZ18=1," · γSh Edge","")&amp;IF($HL18=1," · Trough","")&amp;IF($HN18=1," · PEAK+","")&amp;IF(AND(NOT($HN18=1),NOT(AND($DC18=1,$AB18&lt;0)),N($GY18)&lt;&gt;1,N($GF18)&lt;&gt;1,N($GZ18)&lt;&gt;1,N($HL18)&lt;&gt;1,N($CZ18)&lt;&gt;1,NOT(AND($AC18=MAX($AC$9:$AC$55),$AB18=MIN($AB$9:$AB$55))),$AC18&gt;=(1+$FA$6)*INDEX($AC$9:$AC$55,10-1),$AC18&gt;=(1+$FA$6)*INDEX($AC$9:$AC$55,10+1))," · Knoll","")&amp;IF($GF18=1," · Cluster",""),4,999),""))</f>
        <v/>
      </c>
      <c r="IF18">
        <f t="shared" si="100"/>
        <v>0</v>
      </c>
      <c r="IG18">
        <f>IFERROR(IF(AND(ISNUMBER($AA18),'King Node Model'!$A$8="Pos",OR($AG18="S",$AG18="R"),$IN18="interior",COUNTIF(IF($AG18="S",'Master Dashboard'!$AN$16:$AN$18,'Master Dashboard'!$AN$13:$AN$15),$AA18)=0,$AA18&lt;&gt;'King Node Model'!$T$22,$AA18&lt;&gt;'King Node Model'!$T$23,$AA18&lt;&gt;'King Node Model'!$F$24),1,0),0)</f>
        <v>0</v>
      </c>
      <c r="IH18">
        <f t="shared" si="101"/>
        <v>0</v>
      </c>
      <c r="II18">
        <f t="shared" si="190"/>
        <v>0</v>
      </c>
      <c r="IJ18">
        <f t="shared" si="102"/>
        <v>0</v>
      </c>
      <c r="IK18">
        <f t="shared" si="103"/>
        <v>0</v>
      </c>
      <c r="IL18">
        <f t="shared" si="191"/>
        <v>0</v>
      </c>
      <c r="IM18">
        <f t="shared" si="104"/>
        <v>0</v>
      </c>
      <c r="IN18" t="str">
        <f t="shared" si="105"/>
        <v/>
      </c>
      <c r="IO18">
        <v>0</v>
      </c>
      <c r="IP18">
        <v>0</v>
      </c>
      <c r="IQ18">
        <f>IFERROR(IF($AG18="S",IF(OR(COUNTIF($W$9:$W$14,$AA18)&gt;0,COUNTIF('King Node Model'!$AL$42:'King Node Model'!$AL$43,$AA18)&gt;0),1,0),IF($AG18="R",IF(OR(COUNTIF($W$18:$W$23,$AA18)&gt;0,COUNTIF('King Node Model'!$AL$49:'King Node Model'!$AL$50,$AA18)&gt;0),1,0),0)),0)</f>
        <v>0</v>
      </c>
      <c r="IR18" t="str">
        <f>IFERROR(IF(AND(ISNUMBER($W18),OR('King Node Model'!$A$8&lt;&gt;"Pos",N($BG$72)=1,IFERROR(INDEX($AM$9:$AM$55,MATCH($W18,$AA$9:$AA$55,0)),0)&gt;=$BG$20),COUNTIF('King Node Model'!$AL$49:'King Node Model'!$AL$50,$W18)=0),ABS($W18-$B$4),""),"")</f>
        <v/>
      </c>
      <c r="IS18">
        <f>IF(AND(ISNUMBER($AA18),N($AN18)&lt;&gt;1,N($LR18)&lt;&gt;1,OR(N($EN18)&lt;&gt;1,AND('King Node Model'!$A$8&lt;&gt;"Neg",N($BG$72)&lt;&gt;1)),$AA18&lt;&gt;'King Node Model'!$T$22,$AA18&lt;&gt;'King Node Model'!$T$23,$AA18&lt;&gt;'King Node Model'!$F$24,NOT(AND($AG18="S",COUNTIF('Master Dashboard'!$AN$16:$AN$18,$AA18)&gt;0)),NOT(AND($AG18="R",COUNTIF('Master Dashboard'!$AN$13:$AN$15,$AA18)&gt;0)),NOT(AND('King Node Model'!$A$8&lt;&gt;"Neg",N($BG$72)&lt;&gt;1,COUNTIF('Master Dashboard'!$AN$13:$AN$18,$AA18)&gt;0))),1,0)</f>
        <v>1</v>
      </c>
      <c r="IT18">
        <v>0</v>
      </c>
      <c r="IU18">
        <f>IF(AND(ISNUMBER($AA18),$AA18='King Node Model'!$F$24,$AA18&gt;$GJ$3,N($AD18)&lt;0,$F$4="High"),1,0)</f>
        <v>0</v>
      </c>
      <c r="IV18" t="str">
        <f>""</f>
        <v/>
      </c>
      <c r="IW18">
        <f>IFERROR(IF(AND(ISNUMBER($AA18),NOT(AND(N($LR18)=1,N($MB18)=1)),$AG18="S",OR('King Node Model'!$A$8="Neg",N($BG$72)=1),$JV18="SELL",ABS(N($AD18))&gt;=$BG$94,NOT(AND(N($AD18)&gt;0,N($BG$78)=1,MEDIAN($AA18-$BG$82,$B$4,$AA18+$BG$83)=$B$4))),1,0),0)</f>
        <v>0</v>
      </c>
      <c r="IX18">
        <f>IFERROR(IF(AND(ISNUMBER($AA18),$AG18="S",OR('King Node Model'!$A$8="Neg",N($BG$72)=1),N($AD18)&gt;0,N($BG$78)=1,MEDIAN($AA18-$BG$82,$B$4,$AA18+$BG$83)=$B$4),1,0),0)</f>
        <v>0</v>
      </c>
      <c r="IY18" t="str">
        <f t="shared" si="106"/>
        <v>SELL</v>
      </c>
      <c r="IZ18">
        <f>IFERROR(IF(AND(ISNUMBER($AA18),$FA18&lt;&gt;"DOM",$AA18&lt;&gt;'King Node Model'!$F$24,OR(AND($AG18="S",COUNTIF('Master Dashboard'!$AN$16:$AN$18,$AA18)=0,N(INDEX($AE$9:$AE$55,MATCH($AA18+$BG$84,$AA$9:$AA$55,0)))&lt;=-$BG$85),AND($AG18="R",COUNTIF('Master Dashboard'!$AN$13:$AN$15,$AA18)=0,N(INDEX($AE$9:$AE$55,MATCH($AA18-$BG$84,$AA$9:$AA$55,0)))&gt;=$BG$85))),1,0),0)</f>
        <v>0</v>
      </c>
      <c r="JA18" t="str">
        <f t="shared" ref="JA18:JA23" si="201">IF(AND(ISNUMBER($IR18),IFERROR(INDEX($HP$9:$HP$55,MATCH($W18,$AA$9:$AA$55,0)),1)=0),$IR18,"")</f>
        <v/>
      </c>
      <c r="JC18">
        <f t="shared" si="108"/>
        <v>0</v>
      </c>
      <c r="JD18" t="str">
        <f t="shared" si="193"/>
        <v/>
      </c>
      <c r="JE18">
        <f>IF(ISNUMBER($AA18),N(IFERROR(INDEX('King Node Model'!$L$29:$L$75,MATCH($AA18,'King Node Model'!$A$29:$A$75,0)),0)),"")</f>
        <v>270</v>
      </c>
      <c r="JF18">
        <f>IF(ISNUMBER($AA18),N(IFERROR(INDEX('King Node Model'!$K$29:$K$75,MATCH($AA18,'King Node Model'!$A$29:$A$75,0)),0)),"")</f>
        <v>3299</v>
      </c>
      <c r="JG18">
        <f t="shared" si="109"/>
        <v>8.184298272203698E-2</v>
      </c>
      <c r="JH18">
        <f t="shared" si="110"/>
        <v>12.218518518518518</v>
      </c>
      <c r="JI18">
        <f t="shared" si="111"/>
        <v>0</v>
      </c>
      <c r="JJ18" t="str">
        <f t="shared" si="112"/>
        <v>Crest</v>
      </c>
      <c r="JK18">
        <f t="shared" si="113"/>
        <v>1</v>
      </c>
      <c r="JL18">
        <f t="shared" si="114"/>
        <v>0</v>
      </c>
      <c r="JM18">
        <f t="shared" si="115"/>
        <v>0</v>
      </c>
      <c r="JN18">
        <f t="shared" si="116"/>
        <v>0</v>
      </c>
      <c r="JO18">
        <f t="shared" si="117"/>
        <v>0</v>
      </c>
      <c r="JP18">
        <f t="shared" si="118"/>
        <v>0</v>
      </c>
      <c r="JQ18">
        <f t="shared" si="119"/>
        <v>0</v>
      </c>
      <c r="JR18">
        <v>0</v>
      </c>
      <c r="JS18">
        <f>IFERROR(IF(AND(ISNUMBER($AA18),'King Node Model'!$A$8="Pos",OR($AG18="S",$AG18="R"),N($AB18)&gt;0,N($HP18)&lt;&gt;1,OR(AND($KC18="DOWN",N($AF18)&lt;0,N($AF18)=MIN($AF$9:$AF$55),-N($AF18)&gt;=MAX($AF$9:$AF$55)),AND($KC18="UP",N($AF18)&gt;0,N($AF18)=MAX($AF$9:$AF$55),N($AF18)&gt;=-MIN($AF$9:$AF$55)))),1,0),0)</f>
        <v>0</v>
      </c>
      <c r="JT18">
        <v>0</v>
      </c>
      <c r="JU18">
        <f>IFERROR(IF(AND(N($BG$109)=1,ISNUMBER($AA18),'King Node Model'!$A$8="Pos",N($CZ18)=1,N($AB18)&gt;0),1,0),0)</f>
        <v>0</v>
      </c>
      <c r="JV18" t="str">
        <f t="shared" si="120"/>
        <v>BUY</v>
      </c>
      <c r="JW18">
        <f t="shared" si="121"/>
        <v>0</v>
      </c>
      <c r="JX18">
        <f t="shared" si="122"/>
        <v>0</v>
      </c>
      <c r="JY18">
        <f t="shared" si="123"/>
        <v>0</v>
      </c>
      <c r="JZ18">
        <f t="shared" si="124"/>
        <v>0</v>
      </c>
      <c r="KA18">
        <f t="shared" si="125"/>
        <v>0</v>
      </c>
      <c r="KB18">
        <f t="shared" si="126"/>
        <v>0</v>
      </c>
      <c r="KC18" t="str">
        <f t="shared" si="127"/>
        <v>DOWN</v>
      </c>
      <c r="KE18" t="str">
        <f t="shared" si="128"/>
        <v>Now: strengthening the ceiling (IV rising) · if IV falls: weakens the ceiling · expected on arrival: WEAKENS ✗</v>
      </c>
      <c r="KF18" t="str">
        <f t="shared" si="129"/>
        <v>BUY</v>
      </c>
      <c r="KG18">
        <f t="shared" si="192"/>
        <v>0</v>
      </c>
      <c r="KH18" t="str">
        <f t="shared" si="130"/>
        <v/>
      </c>
      <c r="KI18" t="str">
        <f t="shared" si="131"/>
        <v/>
      </c>
      <c r="KJ18">
        <f t="shared" si="132"/>
        <v>0</v>
      </c>
      <c r="KK18">
        <f t="shared" si="133"/>
        <v>0</v>
      </c>
      <c r="KL18">
        <f t="shared" si="134"/>
        <v>0</v>
      </c>
      <c r="KM18">
        <f t="shared" si="135"/>
        <v>0</v>
      </c>
      <c r="KN18">
        <f t="shared" si="136"/>
        <v>0</v>
      </c>
      <c r="KO18">
        <v>0</v>
      </c>
      <c r="KP18">
        <f t="shared" si="137"/>
        <v>0</v>
      </c>
      <c r="KQ18">
        <f t="shared" si="138"/>
        <v>0</v>
      </c>
      <c r="KR18">
        <f t="shared" si="139"/>
        <v>0</v>
      </c>
      <c r="KS18">
        <f t="shared" si="140"/>
        <v>0</v>
      </c>
      <c r="KT18">
        <f t="shared" si="141"/>
        <v>0</v>
      </c>
      <c r="KU18">
        <f>IF(AND(ISNUMBER($AA18),ISNUMBER($AE18),ISNUMBER($AE17),N($AE18)&lt;&gt;0),($AE18-$AE17)/$AE18,"")</f>
      </c>
      <c r="KV18">
        <f>IF(AND(ISNUMBER($AA18),ISNUMBER($AE18),ISNUMBER($AE19),N($AE18)&lt;&gt;0),($AE18-$AE19)/$AE18,"")</f>
      </c>
      <c r="KW18">
        <f>IFERROR(IF(OR(NOT(ISNUMBER($AA18)),'King Node Model'!$A$8&lt;&gt;"Pos",N($BG$72)=1,ABS(N($AE18))&lt;$BG$113,$FA18="DOM",$AA18='King Node Model'!$T$23,AND(N($BG$116)=1,$AA18='King Node Model'!$F$24),NOT(ISNUMBER($KU18)),NOT(ISNUMBER($KV18))),0,IF(AND($AG18="S",COUNTIF('Master Dashboard'!$AN$16:$AN$18,$AA18)=0,$KU18&gt;=$BG$114,$KU18&gt;=$KV18+$BG$115),1,IF(AND($AG18="R",COUNTIF('Master Dashboard'!$AN$13:$AN$15,$AA18)=0,$KV18&gt;=$BG$114,$KV18&gt;=$KU18+$BG$115),-1,0))),0)</f>
        <v>0</v>
      </c>
      <c r="KX18">
        <f t="shared" si="144"/>
        <v>0</v>
      </c>
      <c r="KY18">
        <f t="shared" si="145"/>
        <v>0</v>
      </c>
      <c r="KZ18">
        <f t="shared" si="146"/>
        <v>0</v>
      </c>
      <c r="LA18">
        <f t="shared" si="147"/>
        <v>0</v>
      </c>
      <c r="LB18">
        <f t="shared" si="148"/>
        <v>0</v>
      </c>
      <c r="LC18">
        <f t="shared" si="149"/>
        <v>0</v>
      </c>
      <c r="LD18">
        <f t="shared" si="150"/>
        <v>0</v>
      </c>
      <c r="LE18">
        <f t="shared" si="151"/>
        <v>0</v>
      </c>
      <c r="LF18">
        <f t="shared" si="152"/>
        <v>0</v>
      </c>
      <c r="LG18" t="str">
        <f t="shared" si="153"/>
        <v/>
      </c>
      <c r="LH18" t="str">
        <f t="shared" si="154"/>
        <v/>
      </c>
      <c r="LI18" t="str">
        <f t="shared" si="155"/>
        <v/>
      </c>
      <c r="LJ18" t="str">
        <f t="shared" si="156"/>
        <v/>
      </c>
      <c r="LK18" t="str">
        <f t="shared" si="157"/>
        <v/>
      </c>
      <c r="LL18">
        <f t="shared" si="158"/>
        <v>0</v>
      </c>
      <c r="LM18">
        <f t="shared" si="159"/>
        <v>0</v>
      </c>
      <c r="LN18">
        <f t="shared" si="160"/>
        <v>0</v>
      </c>
      <c r="LO18">
        <v>0</v>
      </c>
      <c r="LP18">
        <f t="shared" si="161"/>
        <v>0</v>
      </c>
      <c r="LQ18" t="str">
        <f t="shared" si="162"/>
        <v/>
      </c>
      <c r="LR18">
        <f t="shared" si="163"/>
        <v>0</v>
      </c>
      <c r="LS18">
        <f t="shared" si="164"/>
        <v>0</v>
      </c>
      <c r="LT18">
        <f t="shared" si="165"/>
        <v>0</v>
      </c>
      <c r="LU18">
        <f t="shared" si="166"/>
        <v>0</v>
      </c>
      <c r="LV18">
        <f t="shared" si="167"/>
        <v>0</v>
      </c>
      <c r="LW18">
        <f t="shared" si="168"/>
        <v>0</v>
      </c>
      <c r="LX18">
        <f t="shared" si="169"/>
        <v>0</v>
      </c>
      <c r="LY18">
        <f t="shared" si="170"/>
        <v>0</v>
      </c>
      <c r="LZ18">
        <f t="shared" si="171"/>
        <v>0</v>
      </c>
      <c r="MA18">
        <f t="shared" si="172"/>
        <v>0</v>
      </c>
      <c r="MB18">
        <v>0</v>
      </c>
      <c r="MC18">
        <f t="shared" si="173"/>
        <v>1</v>
      </c>
      <c r="MD18">
        <f t="shared" si="174"/>
        <v>1</v>
      </c>
      <c r="ME18">
        <f t="shared" si="175"/>
        <v>0</v>
      </c>
      <c r="MF18">
        <f t="shared" si="176"/>
        <v>0</v>
      </c>
      <c r="MG18">
        <f t="shared" si="177"/>
        <v>0</v>
      </c>
      <c r="MH18">
        <f t="shared" si="178"/>
        <v>0</v>
      </c>
      <c r="MI18" t="str">
        <f t="shared" si="179"/>
        <v/>
      </c>
      <c r="MJ18">
        <f t="shared" si="180"/>
        <v>0</v>
      </c>
      <c r="MK18">
        <f t="shared" si="181"/>
        <v>0</v>
      </c>
      <c r="ML18">
        <f>IF(AND(OR('King Node Model'!$A$8="Neg",N($BG$72)=1),ISNUMBER($AA18),$AG18="R",N($AB18)&lt;0),IF(AND($AA17=$AA18+5,N($AB17)&gt;0,$AA16=$AA18+10,N($AB16)&lt;0),1,IF(AND($AA17=$AA18+5,N($AB17)&gt;0,$AA16=$AA18+10,N($AB16)&gt;0,$AA15=$AA18+15,N($AB15)&lt;0),2,IF(AND($AA17=$AA18+5,N($AB17)&gt;0,$AA16=$AA18+10,N($AB16)&gt;0,$AA15=$AA18+15,N($AB15)&gt;0,$AA14=$AA18+20,N($AB14)&lt;0),3,IF(AND($AA17=$AA18+5,N($AB17)&gt;0,$AA16=$AA18+10,N($AB16)&gt;0,$AA15=$AA18+15,N($AB15)&gt;0,$AA14=$AA18+20,N($AB14)&gt;0,$AA13=$AA18+25,N($AB13)&lt;0),4,0)))),0)</f>
      </c>
      <c r="MM18">
        <f>IF(AND(OR('King Node Model'!$A$8="Neg",N($BG$72)=1),ISNUMBER($AA18),$AG18="S",N($AB18)&lt;0),IF(AND($AA19=$AA18-5,N($AB19)&gt;0,$AA20=$AA18-10,N($AB20)&lt;0),1,IF(AND($AA19=$AA18-5,N($AB19)&gt;0,$AA20=$AA18-10,N($AB20)&gt;0,$AA21=$AA18-15,N($AB21)&lt;0),2,IF(AND($AA19=$AA18-5,N($AB19)&gt;0,$AA20=$AA18-10,N($AB20)&gt;0,$AA21=$AA18-15,N($AB21)&gt;0,$AA22=$AA18-20,N($AB22)&lt;0),3,IF(AND($AA19=$AA18-5,N($AB19)&gt;0,$AA20=$AA18-10,N($AB20)&gt;0,$AA21=$AA18-15,N($AB21)&gt;0,$AA22=$AA18-20,N($AB22)&gt;0,$AA23=$AA18-25,N($AB23)&lt;0),4,0)))),0)</f>
      </c>
      <c r="MN18">
        <f>IF(N($ML18)&gt;0,$AA18,0)</f>
      </c>
      <c r="MO18">
        <f>IF(N($MM18)&gt;0,$AA18,0)</f>
      </c>
      <c r="MP18">
        <f>IF(AND(OR('King Node Model'!$A$8="Neg",N($BG$72)=1),ISNUMBER($BG$155),$AA18=$BG$155,N($NC18)=1),2,IF(AND(OR('King Node Model'!$A$8="Neg",N($BG$72)=1),ISNUMBER($BG$156),$AA18=$BG$156,N($ND18)=1),1,0))</f>
      </c>
      <c r="MQ18">
        <f>IF(ABS(AE18)&lt;=0,0,IF($AG18="R",IF(ISNUMBER(AE17),IF((ABS(AE17)-ABS(AE18))/ABS(AE18)&lt;-0.4,1,0),0),IF(ISNUMBER(AE19),IF((ABS(AE19)-ABS(AE18))/ABS(AE18)&lt;-0.4,1,0),0)))</f>
      </c>
      <c r="MR18">
        <f>IF(OR(N($MQ18)&lt;&gt;1,N($BG$157)&lt;&gt;1,NOT(ISNUMBER($KU18)),NOT(ISNUMBER($KV18))),0,IF(OR(AND($AG18="S",OR(AND($KU18&gt;=$BG$114,$KU18&gt;=$KV18+$BG$115),AND($KU18&gt;1,$KV18&lt;=1,$KV18&gt;=$BG$114))),AND($AG18="R",OR(AND($KV18&gt;=$BG$114,$KV18&gt;=$KU18+$BG$115),AND($KV18&gt;1,$KU18&lt;=1,$KU18&gt;=$BG$114)))),1,0))</f>
      </c>
      <c r="MS18" t="str">
        <f>IF(AND(N($MR18)=1,N($NA18)&lt;&gt;1),"• DEX falls off more sharply "&amp;IF($AG18="S","above (","below (")&amp;TEXT(IF($AG18="S",$KU18,$KV18),"0%")&amp;") than "&amp;IF($AG18="S","below (","above (")&amp;TEXT(IF($AG18="S",$KV18,$KU18),"0%")&amp;") — Dex↓ not counted",IF(N($MW18)=1,"• Shoulder of the "&amp;IF($AG18="R",$AA19,$AA17)&amp;" wall — own DEX "&amp;TEXT($AE18/1000,"+#,##0;-#,##0")&amp;"K is "&amp;TEXT(ABS($AE18)/ABS(IF($AG18="R",$AE19,$AE17)),"0%")&amp;" of "&amp;TEXT(IF($AG18="R",$AE19,$AE17)/1000,"+#,##0;-#,##0")&amp;"K, Dex↓ not counted",""))</f>
      </c>
      <c r="MT18">
        <f>IF(AND(ISNUMBER($AA18),$AG18="S",ISNUMBER($AB18),$AB18=MIN($AB$9:$AB$55),$AA18=$BG$105,$JV18="BUY",ABS(N($AD18))&gt;=$BG$158),1,0)</f>
      </c>
      <c r="MU18" t="str">
        <f>IF(N($MY18)=1,"",IF(OR(N($MT18)=1,AND(OR('King Node Model'!$A$8="Neg",N($BG$72)=1),$AG18="S",ISNUMBER($AB18),$AB18=MIN($AB$9:$AB$55),$AA18=$BG$105)),"• Min GEX + Max Zomma (no reversal flag required) — accelerant warning not applied; zomma acceleration warning only within "&amp;$BG$98&amp;" pts of the level, and not when vanna buying is "&amp;TEXT($BG$158/1000,"0")&amp;"K or more"&amp;CHAR(10)&amp;IF(N($MT18)=1,"• Max Zomma and vanna buying ("&amp;TEXT(N($AD18)/1000,"+#,##0;-#,##0")&amp;"K) make this level safe","• Max Zomma is what makes this level safe"),"")&amp;$NB18&amp;$NI18)</f>
      </c>
      <c r="MV18" t="str">
        <f>IF(AND(ISNUMBER($AA18),OR($AA18=$BG$118,$AA18=$BG$119)),IF(N($AZ18)*IF($AG18="R",1,-1)&gt;0,"✓",IF(N($AZ18)*IF($AG18="R",1,-1)&lt;0,"✗","")),"")</f>
      </c>
      <c r="MW18">
        <f>IF(AND(N($MQ18)=1,N($BG$159)&gt;0,ISNUMBER(IF($AG18="R",$AE19,$AE17)),N(IF($AG18="R",$AE19,$AE17))&lt;&gt;0),IF(ABS(N($AE18))&lt;$BG$159*ABS(IF($AG18="R",$AE19,$AE17)),1,0),0)</f>
      </c>
      <c r="MX18">
        <f>IF(AND(ISNUMBER($AA18),$AA18=$BG$121,$AG18="R",N($AE18)&lt;0,OR(COUNTIF('King Node Model'!$AL$42:$AL$44,$AA18)=0,N($HP18)=1),N($NC18)=1),2,IF(AND(ISNUMBER($AA18),$AA18=$BG$120,$AG18="S",N($AE18)&gt;0,OR(COUNTIF('King Node Model'!$AL$49:$AL$51,$AA18)=0,N($HP18)=1),N($ND18)=1),1,0))</f>
      </c>
      <c r="MY18">
        <f>IF(AND(N($NA18)=1,NOT(AND(AND($AG18="S",ISNUMBER($AB18),$AB18=MIN($AB$9:$AB$55),$AA18=$BG$105),IFERROR(INDEX($AG$9:$AG$55,MATCH('King Node Model'!$B$23,$AA$9:$AA$55,0)),"")="R")),N($AV18)&lt;&gt;1),1,0)</f>
      </c>
      <c r="MZ18" t="str">
        <f>IF(N($MY18)&lt;&gt;1,"","• DEX falls off more sharply "&amp;IF($AG18="S","above (","below (")&amp;TEXT(IF($AG18="S",$KU18,$KV18),"0%")&amp;") than "&amp;IF($AG18="S","below (","above (")&amp;TEXT(IF($AG18="S",$KV18,$KU18),"0%")&amp;") — path of least resistance "&amp;IF($AG18="S","down","up")&amp;IF(N($AZ18)*IF($AG18="R",1,-1)&lt;0,CHAR(10)&amp;"• Speed against — GEX gets more negative as price "&amp;IF($AG18="R","rises","falls")&amp;" into it (speed "&amp;TEXT(N($AZ18),"#,##0;−#,##0")&amp;")","")&amp;IF(OR(N($NG18)=1,N($JC18)=1),CHAR(10)&amp;"• "&amp;IF(N($JC18)=1,"DOM with vanna BUY "&amp;TEXT(N($AD18)/1000,"+#,##0;−#,##0")&amp;"K","Put wall + Max Zomma + DOM")&amp;" backs the level, but it does not outweigh DEX"&amp;IF(N($AZ18)*IF($AG18="R",1,-1)&lt;0," and speed",""),IF(AND($AG18="S",ISNUMBER($AB18),$AB18=MIN($AB$9:$AB$55),$AA18=$BG$105),CHAR(10)&amp;"• Min GEX + Max Zomma backs the level, but it does not outweigh DEX"&amp;IF(N($AZ18)*IF($AG18="R",1,-1)&lt;0," and speed",""),IF(OR(N($JI18)=1,AND(N($GV18)=1,N($JK18)&lt;&gt;1,N($IW18)&lt;&gt;1),N($JC18)=1,AND($AA18='King Node Model'!$F$24,N($JN18)&lt;&gt;1,OR($AG18="R",AND($AG18="S",$F$4="High",IF($BG$80&lt;&gt;"",UPPER($BG$80),$D$5)="UP")))),CHAR(10)&amp;"• Vanna "&amp;IF($AG18="S","BUY ","SELL ")&amp;TEXT(N($AD18)/1000,"+#,##0;−#,##0")&amp;"K backs the level, but it does not outweigh DEX"&amp;IF(N($AZ18)*IF($AG18="R",1,-1)&lt;0," and speed",""),"")))&amp;IF(N($NE18)=1,CHAR(10)&amp;"• Buy-lean max-node exemption not applied — DEX leans against the level",""))</f>
      </c>
      <c r="NA18">
        <f>IF(AND(OR('King Node Model'!$A$8="Neg",N($BG$72)=1),ISNUMBER($AA18),ABS(N($AE18))&gt;=$BG$152,ISNUMBER($KU18),ISNUMBER($KV18)),IF(OR(AND($AG18="S",OR(AND($KU18&gt;=$BG$114,$KU18&gt;=$KV18+$BG$115),AND($KU18&gt;1,$KV18&lt;=1,$KV18&gt;=$BG$114))),AND($AG18="R",OR(AND($KV18&gt;=$BG$114,$KV18&gt;=$KU18+$BG$115),AND($KV18&gt;1,$KU18&lt;=1,$KU18&gt;=$BG$114)))),1,0),0)</f>
      </c>
      <c r="NB18" t="str">
        <f>IF(AND(N($NA18)=1,AND(AND($AG18="S",ISNUMBER($AB18),$AB18=MIN($AB$9:$AB$55),$AA18=$BG$105),IFERROR(INDEX($AG$9:$AG$55,MATCH('King Node Model'!$B$23,$AA$9:$AA$55,0)),"")="R")),CHAR(10)&amp;"• DEX falls off more sharply above ("&amp;TEXT($KU18,"0%")&amp;") than below ("&amp;TEXT($KV18,"0%")&amp;") — DEX-lean warning not applied: Min GEX + Max Zomma support with Max Gamma "&amp;'King Node Model'!$B$23&amp;" above (Dex↓ not counted)",IF(AND(OR(N($NA18)=1,N($NF18)=1),N($AV18)=1),IF(AND(OR('King Node Model'!$A$8="Neg",N($BG$72)=1),$AG18="S",ISNUMBER($AB18),$AB18=MIN($AB$9:$AB$55),$AA18=$BG$105),CHAR(10),"")&amp;"• DEX falls off more sharply "&amp;IF($AG18="S","above (","below (")&amp;TEXT(IF($AG18="S",$KU18,$KV18),"0%")&amp;") than "&amp;IF($AG18="S","below (","above (")&amp;TEXT(IF($AG18="S",$KV18,$KU18),"0%")&amp;") — DEX lean does not apply to iDex (isolated DEX)",""))</f>
      </c>
      <c r="NC18">
        <f>IF(OR($BG$163=1,AND($BG$161&gt;0,$BG$162&lt;99999,ISNUMBER($AA18),$AA18&lt;$BG$162)),1,0)</f>
      </c>
      <c r="ND18">
        <f>IF(OR($BG$163=-1,AND($BG$161&gt;0,$BG$162&lt;99999,ISNUMBER($AA18),$AA18&gt;$BG$161)),1,0)</f>
      </c>
      <c r="NE18">
        <f>IF(AND(OR('King Node Model'!$A$8="Neg",N($BG$72)=1),ISNUMBER(SEARCH("LOW",'Master Dashboard'!$M$5)),ISNUMBER(SEARCH("BUY",'Master Dashboard'!$G$8)),'King Node Model'!$T$23='King Node Model'!$B$23,OR($AA18='King Node Model'!$T$23,AND($AG18="R",$AA18='King Node Model'!$T$23+5)),OR(AND($AG18="S",$JV18="BUY"),AND($AG18="R",$JV18="SELL"))),1,0)</f>
      </c>
      <c r="NF18">
        <f>IFERROR(IF(OR(NOT(ISNUMBER($AA18)),'King Node Model'!$A$8&lt;&gt;"Pos",N($BG$72)=1,ABS(N($AE18))&lt;$BG$113,$FA18="DOM",$AA18='King Node Model'!$T$23,AND(N($BG$116)=1,$AA18='King Node Model'!$F$24),NOT(ISNUMBER($KU18)),NOT(ISNUMBER($KV18))),0,IF(AND($AG18="S",COUNTIF('Master Dashboard'!$AN$16:$AN$18,$AA18)=0,$KU18&gt;=$BG$114,$KU18&gt;=$KV18+$BG$115,NOT(AND(N($AN19)=1,N($KV18)&lt;0)),N($AE18)&lt;=0),1,IF(AND($AG18="R",COUNTIF('Master Dashboard'!$AN$13:$AN$15,$AA18)=0,$KV18&gt;=$BG$114,$KV18&gt;=$KU18+$BG$115,NOT(AND(N($AN17)=1,N($KU18)&lt;0))),-1,0))),0)</f>
      </c>
      <c r="NG18">
        <f t="shared" si="202"/>
      </c>
      <c r="NI18" t="str">
        <f>IF(AND(ISNUMBER($BG$165),ISNUMBER($AA18)),IF(OR(AND($AG18="S",$AA18&gt;$BG$165,$AA18-$BG$165&lt;=5),AND($AG18="R",$AA18&lt;$BG$165,$BG$165-$AA18&lt;=5)),IF(OR(AND(OR('King Node Model'!$A$8="Neg",N($BG$72)=1),$AG18="S",ISNUMBER($AB18),$AB18=MIN($AB$9:$AB$55),$AA18=$BG$105),$NB18&lt;&gt;""),CHAR(10),"")&amp;"• DOM forming at "&amp;$BG$165&amp;" (gamma "&amp;TEXT($BG$166,"0%")&amp;" of max) — price may be pulled to the node",""),"")</f>
      </c>
      <c r="NJ18">
        <f>IF(LEN($NI18)&gt;0,1,0)</f>
      </c>
    </row>
    <row r="19" spans="1:349" ht="15" customHeight="1" x14ac:dyDescent="0.25">
      <c r="A19" s="223" t="str">
        <f t="shared" si="194"/>
        <v>7765</v>
      </c>
      <c r="B19" s="224">
        <f>IFERROR(INDEX('King Node Model'!$C$29:$C$75,MATCH(IF($W19="",$V19,$W19),'King Node Model'!$A$29:$A$75,0)),"")</f>
        <v>-1477513</v>
      </c>
      <c r="C19" s="225" t="str">
        <f t="shared" si="195"/>
        <v>Zom Dex↓ Zsh P-OI</v>
      </c>
      <c r="D19" s="225">
        <f t="shared" si="196"/>
        <v>4</v>
      </c>
      <c r="E19" s="225" t="str">
        <f t="shared" si="197"/>
        <v>REVERSAL</v>
      </c>
      <c r="F19" s="226" t="str">
        <f t="shared" si="198"/>
        <v>stable</v>
      </c>
      <c r="G19" s="411" t="str">
        <f t="shared" si="199"/>
        <v>ACCEL fading · Neg gamma ↓ (firmer support)</v>
      </c>
      <c r="V19" s="1">
        <f>IFERROR(INDEX($AA$9:$AA$55,MATCH("S2",$BB$9:$BB$55,0)),"")</f>
        <v>7750</v>
      </c>
      <c r="W19">
        <v>7765</v>
      </c>
      <c r="AA19" s="181">
        <f>'King Node Model'!A39</f>
        <v>7835</v>
      </c>
      <c r="AB19" s="276">
        <f>'King Node Model'!C39</f>
        <v>176610</v>
      </c>
      <c r="AC19" s="181">
        <f>ABS('King Node Model'!B39)</f>
        <v>229319</v>
      </c>
      <c r="AD19" s="276">
        <f>'King Node Model'!F39</f>
        <v>738128</v>
      </c>
      <c r="AE19" s="276">
        <f>'King Node Model'!E39</f>
        <v>-191831</v>
      </c>
      <c r="AF19" s="276">
        <f>'King Node Model'!D39</f>
        <v>3518356</v>
      </c>
      <c r="AG19" s="181" t="str">
        <f t="shared" si="6"/>
        <v>R</v>
      </c>
      <c r="AH19" s="181">
        <f t="shared" si="7"/>
        <v>14</v>
      </c>
      <c r="AI19" s="181" t="str">
        <f t="shared" si="8"/>
        <v>SELL</v>
      </c>
      <c r="AJ19" s="181">
        <f t="shared" si="9"/>
        <v>0</v>
      </c>
      <c r="AK19" s="181">
        <f>IF(ABS(N($AE19))&gt;=$BG$85,1,0)</f>
      </c>
      <c r="AL19" s="181">
        <f t="shared" si="10"/>
        <v>0</v>
      </c>
      <c r="AM19" s="181">
        <f t="shared" si="11"/>
        <v>1</v>
      </c>
      <c r="AN19" s="181">
        <f t="shared" si="12"/>
        <v>0</v>
      </c>
      <c r="AO19" s="1">
        <f t="shared" si="13"/>
        <v>191831</v>
      </c>
      <c r="AP19" s="1" t="str">
        <f t="shared" si="14"/>
        <v/>
      </c>
      <c r="AQ19" s="1">
        <f t="shared" si="15"/>
        <v>3518356</v>
      </c>
      <c r="AR19" s="181">
        <f t="shared" si="16"/>
        <v>0.14102823297561098</v>
      </c>
      <c r="AS19" s="181" t="str">
        <f t="shared" si="17"/>
        <v/>
      </c>
      <c r="AT19" s="181" t="str">
        <f t="shared" si="18"/>
        <v/>
      </c>
      <c r="AU19" s="181" t="str">
        <f t="shared" si="19"/>
        <v/>
      </c>
      <c r="AV19" s="218">
        <f t="shared" si="183"/>
        <v>0</v>
      </c>
      <c r="AW19" s="181">
        <f>ABS('King Node Model'!G39)</f>
        <v>400</v>
      </c>
      <c r="AX19" s="181">
        <f t="shared" si="20"/>
        <v>0</v>
      </c>
      <c r="AY19" s="181">
        <f t="shared" si="21"/>
        <v>0</v>
      </c>
      <c r="AZ19" s="276">
        <f>'King Node Model'!I39</f>
        <v>3463</v>
      </c>
      <c r="BA19" s="181">
        <f t="shared" si="22"/>
        <v>0</v>
      </c>
      <c r="BB19" s="181" t="str">
        <f t="shared" si="23"/>
        <v/>
      </c>
      <c r="BC19" s="10">
        <f>'King Node Model'!C39</f>
        <v>176610</v>
      </c>
      <c r="BD19" s="218">
        <f t="shared" si="184"/>
        <v>0</v>
      </c>
      <c r="BE19" s="218">
        <f t="shared" si="185"/>
        <v>0</v>
      </c>
      <c r="BF19" s="336" t="s">
        <v>1222</v>
      </c>
      <c r="BG19" s="414">
        <f>IF(OR('King Node Model'!$A$8="Neg",N($BG$72)=1),$BG$12,$BG$10)</f>
        <v>250000</v>
      </c>
      <c r="BI19" s="218">
        <f t="shared" si="186"/>
        <v>0</v>
      </c>
      <c r="BJ19" s="218">
        <f t="shared" si="187"/>
        <v>0</v>
      </c>
      <c r="BK19" s="218">
        <f t="shared" si="24"/>
        <v>1</v>
      </c>
      <c r="BL19" s="10">
        <f>'King Node Model'!H39</f>
        <v>16</v>
      </c>
      <c r="BM19" s="218">
        <f t="shared" si="25"/>
        <v>29</v>
      </c>
      <c r="BN19" s="218">
        <f t="shared" si="26"/>
        <v>17</v>
      </c>
      <c r="BO19" s="218">
        <f t="shared" si="27"/>
        <v>0</v>
      </c>
      <c r="BP19" s="218">
        <f t="shared" si="28"/>
        <v>0</v>
      </c>
      <c r="BQ19" t="str">
        <f t="shared" si="29"/>
        <v/>
      </c>
      <c r="BR19" t="str">
        <f t="shared" si="30"/>
        <v/>
      </c>
      <c r="BS19" s="218">
        <f t="shared" si="31"/>
        <v>0</v>
      </c>
      <c r="BT19" t="str">
        <f t="shared" si="32"/>
        <v/>
      </c>
      <c r="BU19" t="str">
        <f t="shared" si="33"/>
        <v/>
      </c>
      <c r="BV19" s="218">
        <f t="shared" si="34"/>
        <v>738128</v>
      </c>
      <c r="BW19" s="218">
        <f t="shared" si="35"/>
        <v>191831</v>
      </c>
      <c r="BX19" s="218">
        <f>IF(AND(ISNUMBER(BC19),BC19&gt;=$BG$160,OR('King Node Model'!$A$8="Neg",N($BG$72)=1)),1,0)</f>
        <v>1</v>
      </c>
      <c r="BY19" s="218">
        <f t="shared" si="36"/>
        <v>0</v>
      </c>
      <c r="BZ19" s="218">
        <f t="shared" si="37"/>
        <v>0</v>
      </c>
      <c r="CA19" t="str">
        <f t="shared" si="38"/>
        <v/>
      </c>
      <c r="CB19" s="218">
        <f>IF(AND(ISNUMBER('King Node Model'!$D$27),AG19&lt;&gt;"",AA19='King Node Model'!$D$27),1,0)</f>
        <v>0</v>
      </c>
      <c r="CC19" s="218">
        <f>IF(OR('King Node Model'!$A$8="Neg",N($BG$72)=1),$BG$14*IF(ISNUMBER('King Node Model'!$D$26),MAX(0,1-ABS(AA19-'King Node Model'!$D$26)/$BG$18),0)+$BG$15*IFERROR(BV19/MAX($BV$9:$BV$55),0)+$BG$16*IFERROR(BW19/MAX($BW$9:$BW$55),0)+$BG$17*IFERROR(AC19/$S$11,0)*MAX(0,1+$BG$21*CF19),AR19)</f>
        <v>0.78181562501959667</v>
      </c>
      <c r="CD19" s="218">
        <f>IF(OR('King Node Model'!$A$8="Neg",N($BG$72)=1),IF(AND(AG19&lt;&gt;"",ABS(AA19-$B$4)&lt;=$BG$7,OR(AX19=0,$D$5&lt;&gt;"UP"),AY19=0,BK19&lt;&gt;1,CI19=0,AM19&gt;=$BG$20,AC19&gt;$BG$19),1,0),IF(AND(BS19=1,(COUNTIF($W$9:$W$14,AA19)+COUNTIF($W$18:$W$23,AA19))&gt;0,CI19=0,AM19&gt;=$BG$20,AC19&gt;$BG$19),1,0))</f>
        <v>0</v>
      </c>
      <c r="CE19" t="str">
        <f t="shared" si="39"/>
        <v/>
      </c>
      <c r="CF19" s="218">
        <f t="shared" si="40"/>
        <v>0</v>
      </c>
      <c r="CG19" t="str">
        <f t="shared" si="41"/>
        <v/>
      </c>
      <c r="CH19" t="str">
        <f t="shared" si="42"/>
        <v>Dormant</v>
      </c>
      <c r="CI19" s="218">
        <f t="shared" si="43"/>
        <v>0</v>
      </c>
      <c r="CJ19" s="218">
        <f t="shared" si="44"/>
        <v>387420489</v>
      </c>
      <c r="CK19" s="218">
        <f t="shared" si="45"/>
        <v>0</v>
      </c>
      <c r="CL19" s="218">
        <f t="shared" si="46"/>
        <v>0</v>
      </c>
      <c r="CQ19" s="218">
        <f t="shared" si="200"/>
        <v>7765</v>
      </c>
      <c r="CR19" s="394" t="s">
        <v>1223</v>
      </c>
      <c r="CS19" s="218">
        <f>CM2</f>
        <v>1</v>
      </c>
      <c r="CT19">
        <v>1</v>
      </c>
      <c r="CU19" s="218">
        <f>IF(AND(AND('King Node Model'!$A$8&lt;&gt;"Neg",N($BG$72)&lt;&gt;1),SUMPRODUCT(($AG$9:$AG$55="S")*ISNUMBER($AT$9:$AT$55)*ISNUMBER($AU$9:$AU$55)*($AT$9:$AT$55&lt;&gt;$AU$9:$AU$55)*($AT$9:$AT$55&lt;=$AA19)*($AU$9:$AU$55&gt;=$AA19))&gt;0),0,IF(AND(OR($AA19='King Node Model'!$T$22,$AA19='King Node Model'!$F$24),$AG19="R",COUNTIF($W$9:$W$14,$AA19)&gt;0),1,IF(AND($FN19=1,$EU19&lt;&gt;1,$EM19&lt;&gt;1,$BK19&lt;&gt;1,$DH19&lt;&gt;1,$AG19="R",COUNTIF($W$9:$W$14,$AA19)&gt;0),1,IF($EU19=1,0,IF($EM19=1,0,IF(AND(OR($EE19=1,$GV19=1,AND($EL$7=1,$AA19='King Node Model'!$D$26,$EI19=1),AND(OR($AA19='King Node Model'!$T$22,$AA19='King Node Model'!$T$23),$AN19=1,OR($AX19=0,$D$5&lt;&gt;"UP"))),OR(NOT(OR('King Node Model'!$A$8="Neg",N($BG$72)=1)),$GV19=1,AND(OR($AA19='King Node Model'!$T$22,$AA19='King Node Model'!$T$23),$AN19=1,OR($AX19=0,$D$5&lt;&gt;"UP")),AND($AM19&gt;=$BG$20,$AC19&gt;IF($CZ19=1,$BG$48,$BG$19)))),1,IF($DH19=1,0,IF(AND($DC19=1,$GS19&lt;&gt;1,AND('King Node Model'!$A$8&lt;&gt;"Neg",N($BG$72)&lt;&gt;1)),0,IF(AND($EY19=1,NOT(OR('King Node Model'!$A$8="Neg",$BG$72=1)),$AA19&lt;&gt;'King Node Model'!$B$23),0,IF(AND($GS19=1,$AG19="R",OR($CI19=0,$EE19=1,$EX19=1,$GV19=1),COUNTIF($W$9:$W$14,$AA19)&gt;0,ABS($AA19-$B$4)&lt;=$BG$7,$BK19&lt;&gt;1,$AM19&gt;=$BG$20,$AC19&gt;IF($CZ19=1,$BG$48,$BG$19)),1,IF(OR('King Node Model'!$A$8="Neg",N($BG$72)=1),IF(AND(OR($AM19&gt;=$BG$20,$AA19='King Node Model'!$D$26,$GV19=1),$AG19="R",COUNTIF($W$9:$W$14,$AA19)&gt;0,ABS($AA19-$B$4)&lt;=$BG$7,OR($AX19=0,$D$5&lt;&gt;"UP"),$BK19&lt;&gt;1,OR(OR($CI19=0,$AJ19=1),AND($EI19=1,$LA19=1,COUNTIF($W$9:$W$11,$AA19)&gt;0,$AN19=1,OR($AX19=0,$D$5&lt;&gt;"UP"))),$AM19&gt;=$BG$20,$AC19&gt;IF($CZ19=1,$BG$48,$BG$19),OR($AN19=1,N($LR19)=1,$AA19='King Node Model'!$D$26,AND($BY19=1,$AA19&gt;$B$4),$BX19=1,$CF19=1,$CF19=1,AND(OR($AA19=$CP$4,$AA19=$CP$5,$AA19=$CP$6,$AA19=$CP$7),ABS($AA19-$B$4)&lt;=30),AND($AX19=1,$D$5="DOWN"))),1,0),IF(AND(OR($AM19&gt;=3,$AA19='King Node Model'!$D$26,$GV19=1),$AG19="R",COUNTIF($W$9:$W$14,$AA19)&gt;0,ABS($AA19-$B$4)&lt;=$BG$7,OR($AX19=0,$D$5&lt;&gt;"UP"),$BK19&lt;&gt;1,OR($CI19=0,$AJ19=1),$AM19&gt;=$BG$20,$AC19&gt;IF($CZ19=1,$BG$48,$BG$19),OR($AC19&gt;=MAX($AC$9:$AC$55),$BC19&gt;0,$AA19='King Node Model'!$D$26,AND(OR($AA19=$CP$4,$AA19=$CP$5,$AA19=$CP$6,$AA19=$CP$7),ABS($AA19-$B$4)&lt;=30),$CF19=1,$AN19=1,AND($AX19=1,$D$5="DOWN"))),1,0))))))))))))</f>
        <v>0</v>
      </c>
      <c r="CV19" s="218">
        <f>IF(AND(OR('King Node Model'!$A$8="Neg",N($BG$72)=1),$AG19="S",N($LR19)=1,N($MB19)=1),1,IF(AND(AND('King Node Model'!$A$8&lt;&gt;"Neg",N($BG$72)&lt;&gt;1),SUMPRODUCT(($AG$9:$AG$55="R")*ISNUMBER($AT$9:$AT$55)*ISNUMBER($AU$9:$AU$55)*($AT$9:$AT$55&lt;&gt;$AU$9:$AU$55)*($AT$9:$AT$55&lt;=$AA19)*($AU$9:$AU$55&gt;=$AA19))&gt;0,NOT(AND(N($LC19)=1,$AA19='King Node Model'!$B$23))),0,IF(AND($AA19='King Node Model'!$F$24,$AG19="S",COUNTIF($W$18:$W$23,$AA19)&gt;0),1,IF(AND($FN19=1,$EU19&lt;&gt;1,$EM19&lt;&gt;1,$DH19&lt;&gt;1,$AG19="S",COUNTIF($W$18:$W$23,$AA19)&gt;0),1,IF($EU19=1,0,IF(AND(OR($EF19=1,$GV19=1,AND(OR($AA19='King Node Model'!$T$22,$AA19='King Node Model'!$T$23,AND($AG19="S",COUNTIF('Master Dashboard'!$AN$16:$AN$18,$AA19)&gt;0)),$AN19=1,OR($AX19=0,$D$5&lt;&gt;"UP"))),OR(NOT(OR('King Node Model'!$A$8="Neg",N($BG$72)=1)),$GV19=1,AND(OR($AA19='King Node Model'!$T$22,$AA19='King Node Model'!$T$23,AND($AG19="S",COUNTIF('Master Dashboard'!$AN$16:$AN$18,$AA19)&gt;0)),$AN19=1,OR($AX19=0,$D$5&lt;&gt;"UP")),AND($AM19&gt;=$BG$20,$AC19&gt;IF($CZ19=1,$BG$48,$BG$19)))),1,IF($DH19=1,0,IF(AND($DC19=1,$GS19&lt;&gt;1,AND('King Node Model'!$A$8&lt;&gt;"Neg",N($BG$72)&lt;&gt;1)),0,IF(AND($EY19=1,NOT(OR('King Node Model'!$A$8="Neg",$BG$72=1)),$AA19&lt;&gt;'King Node Model'!$B$23,COUNTIF('Master Dashboard'!$AN$16:$AN$18,$AA19)=0),0,IF(AND($GS19=1,$AG19="S",OR($CI19=0,$EF19=1,$EX19=1,$GV19=1),COUNTIF($W$18:$W$23,$AA19)&gt;0,ABS($AA19-$B$4)&lt;=$BG$7,$BK19&lt;&gt;1,$AM19&gt;=$BG$20,$AC19&gt;IF($CZ19=1,$BG$48,$BG$19)),1,IF(OR('King Node Model'!$A$8="Neg",N($BG$72)=1),IF(AND(OR(OR($AM19&gt;=$BG$20,N($LR19)=1),$AA19='King Node Model'!$D$26,$GV19=1),$AG19="S",COUNTIF($W$18:$W$23,$AA19)&gt;0,ABS($AA19-$B$4)&lt;=$BG$7,OR($AX19=0,$D$5&lt;&gt;"UP"),$BK19&lt;&gt;1,OR($CI19=0,$AJ19=1,AND(N($LR19)=1,N($MB19)=1),N($MT19)=1),OR($AM19&gt;=$BG$20,N($LR19)=1),$AC19&gt;IF($CZ19=1,$BG$48,$BG$19),OR($AB19&gt;0,$AN19=1,N($MT19)=1,N($LR19)=1,$AA19='King Node Model'!$D$26,AND($BY19=1,$AA19&lt;$B$4),$BX19=1,$CF19=1,$CF19=1,AND(OR($AA19=$CP$4,$AA19=$CP$5,$AA19=$CP$6,$AA19=$CP$7),ABS($AA19-$B$4)&lt;=30),AND($AX19=1,$D$5="DOWN"))),1,0),IF(AND(OR($AM19&gt;=3,$AA19='King Node Model'!$D$26,$GV19=1),$AG19="S",COUNTIF($W$18:$W$23,$AA19)&gt;0,ABS($AA19-$B$4)&lt;=$BG$7,OR($AX19=0,$D$5&lt;&gt;"UP"),$BK19&lt;&gt;1,OR($CI19=0,$AJ19=1,AND(N($LR19)=1,N($MB19)=1),N($MT19)=1),$AM19&gt;=$BG$20,$AC19&gt;IF($CZ19=1,$BG$48,$BG$19),OR($AC19&gt;=MAX($AC$9:$AC$55),$BC19&gt;0,N($MT19)=1,$AA19='King Node Model'!$D$26,AND(OR($AA19=$CP$4,$AA19=$CP$5,$AA19=$CP$6,$AA19=$CP$7),ABS($AA19-$B$4)&lt;=30),$CF19=1,$AN19=1,AND($AX19=1,$D$5="DOWN"))),1,0))))))))))))</f>
        <v>0</v>
      </c>
      <c r="CX19" s="218">
        <f t="shared" si="48"/>
        <v>0</v>
      </c>
      <c r="CY19" t="str">
        <f t="shared" si="49"/>
        <v/>
      </c>
      <c r="CZ19" s="218">
        <f t="shared" si="50"/>
        <v>0</v>
      </c>
      <c r="DA19" t="str">
        <f t="shared" si="51"/>
        <v/>
      </c>
      <c r="DB19" t="str">
        <f t="shared" si="52"/>
        <v/>
      </c>
      <c r="DC19" s="218">
        <f t="shared" si="53"/>
        <v>0</v>
      </c>
      <c r="DD19" s="218">
        <f t="shared" si="54"/>
        <v>0</v>
      </c>
      <c r="DE19" s="218">
        <f t="shared" si="55"/>
        <v>0</v>
      </c>
      <c r="DF19" t="str">
        <f t="shared" si="56"/>
        <v/>
      </c>
      <c r="DG19" t="str">
        <f t="shared" si="57"/>
        <v/>
      </c>
      <c r="DH19" s="218">
        <f t="shared" si="58"/>
        <v>0</v>
      </c>
      <c r="DI19">
        <v>1</v>
      </c>
      <c r="DJ19">
        <v>1</v>
      </c>
      <c r="DK19">
        <v>786306</v>
      </c>
      <c r="DL19">
        <v>0</v>
      </c>
      <c r="DM19" t="str">
        <f>IF(AND($CV19=1,$AG19="S"),IF(AND(OR('King Node Model'!$A$8="Neg",N($BG$72)=1),'King Node Model'!$S$52=""),IF(OR(N($AN19)=1,N($LR19)=1,$AB19&gt;0,$AJ19=1,N($JO19)=1,AND(NOT($AE19&gt;0),NOT(IFERROR(AND(ISNUMBER($BC19),ISNUMBER($BC18),($BC19&gt;=0)&lt;&gt;($BC18&gt;=0)),FALSE())),OR(AND($BM19&lt;=6,$BN19&lt;=6),ABS($AA19-'King Node Model'!$T$23)&lt;=5,$LA19=1))),1,0),1),"")</f>
        <v/>
      </c>
      <c r="DN19" t="str">
        <f t="shared" si="59"/>
        <v/>
      </c>
      <c r="DO19" t="str">
        <f t="shared" si="60"/>
        <v>W-list</v>
      </c>
      <c r="DP19" t="str">
        <f>IF(AND(OR('King Node Model'!$A$8="Neg",N($BG$72)=1),$AG19="S",ISNUMBER($AT19),ISNUMBER($AU19),$AT19&lt;&gt;$AU19,$AA19=$AT19),IF(AND(SUMPRODUCT(($AA$9:$AA$55&gt;=$AT19)*($AA$9:$AA$55&lt;=$AU19)*($AB$9:$AB$55&gt;0))&gt;0,SUMPRODUCT(($AA$9:$AA$55&gt;=$AT19)*($AA$9:$AA$55&lt;=$AU19)*($DM$9:$DM$55=1))&gt;0,SUMPRODUCT(($AA$9:$AA$55&gt;=$AT19)*($AA$9:$AA$55&lt;=$AU19)*(COUNTIF($W$18:$W$20,$AA$9:$AA$55)&gt;0))&gt;0),1,0),"")</f>
        <v/>
      </c>
      <c r="DS19">
        <v>0</v>
      </c>
      <c r="DT19">
        <v>0</v>
      </c>
      <c r="DU19" t="str">
        <f>IF('King Node Model'!$A$8&lt;&gt;"Pos","",IF(OR($AA19="",NOT(ISNUMBER($AA19)),ABS($AA19-$B$4)&gt;$BG$7),"",TEXT($AA19,"0")&amp;" | "&amp;IF($AG19="","unclassified",IF($AG19&lt;&gt;IF($AA19&gt;$B$4,"R","S"),"orphan: in "&amp;$AG19&amp;"-list, "&amp;IF($AA19&lt;$B$4,"below","above")&amp;" spot",IF(IF($AG19="R",COUNTIF($W$9:$W$14,$AA19),COUNTIF($W$18:$W$23,$AA19))=0,"not in "&amp;$AG19&amp;"-list",IF($DH19=1,"absorbed into shelf box",IF($BK19=1,"absorbed: adjacent reversal",IF($CI19=1,"accel-accelerant",IF($AC19&lt;=$BG$19,"below gamma-floor",IF($AM19&lt;$BG$20,"confluence "&amp;TEXT($AM19,"0")&amp;" &lt; "&amp;TEXT($BG$20,"0"),IF(AND($AX19=1,$D$5="UP"),"accelerant in up-move",IF(NOT(OR($AC19&gt;=MAX($AC$9:$AC$55),$BC19&gt;0,$AA19='King Node Model'!$D$26,AND(OR($AA19=$CP$4,$AA19=$CP$5,$AA19=$CP$6,$AA19=$CP$7),ABS($AA19-$B$4)&lt;=30),ISNUMBER(SEARCH("STRENGTHENING",$CG19)),$AN19=1,AND($AX19=1,$D$5="DOWN"))),"no surface flag","-&gt; qualifies"))))))))))))</f>
        <v/>
      </c>
      <c r="DV19" s="218">
        <f t="shared" si="61"/>
        <v>99999</v>
      </c>
      <c r="DW19" s="218">
        <f t="shared" si="62"/>
        <v>99999</v>
      </c>
      <c r="DX19" t="str">
        <f>IF('King Node Model'!$A$8&lt;&gt;"Pos","",IF(AND($DV19&lt;99999,$DV19=MIN($DV$9:$DV$55),$DG19&gt;$AA19),"R-box: "&amp;TEXT($AA19,"0")&amp;"-"&amp;TEXT($DG19,"0"),IF(AND($DW19&lt;99999,$DW19=MIN($DW$9:$DW$55),$DF19&lt;$AA19),"S-box: "&amp;TEXT($DF19,"0")&amp;"-"&amp;TEXT($AA19,"0"),"")))</f>
        <v/>
      </c>
      <c r="EB19">
        <f t="shared" si="63"/>
        <v>59.609999999999673</v>
      </c>
      <c r="EC19">
        <f t="shared" si="64"/>
        <v>538591</v>
      </c>
      <c r="ED19">
        <f t="shared" si="65"/>
        <v>0</v>
      </c>
      <c r="EE19">
        <f>IF(AND(OR('King Node Model'!$A$8="Neg",N($BG$72)=1),$AG19="R",ISNUMBER($EB19),$EB19&lt;=$BG$7,$AB19&gt;0,$EC19&gt;0,$AB19=$EC19),1,0)</f>
        <v>0</v>
      </c>
      <c r="EF19">
        <f>IF(AND(OR('King Node Model'!$A$8="Neg",N($BG$72)=1),$AG19="S",ISNUMBER($EB19),$EB19&lt;=$BG$7,$AB19&gt;0,$ED19&gt;0,$AB19=$ED19),1,0)</f>
        <v>0</v>
      </c>
      <c r="EI19">
        <v>1</v>
      </c>
      <c r="EJ19">
        <f>IF($AA19="",0,IF(SUMPRODUCT(($AA$9:$AA$55&gt;=$AT19)*($AA$9:$AA$55&lt;=$AU19)*($DT$9:$DT$55=1))+SUMPRODUCT(($DT$9:$DT$55=1)*($AT$9:$AT$55&lt;=$AA19)*($AU$9:$AU$55&gt;=$AA19))+($DT19=1)+AND(OR('King Node Model'!$A$8="Neg",N($BG$72)=1),ISNUMBER(SEARCH("LOW",'Master Dashboard'!$M$5)),ISNUMBER(SEARCH("BUY",'Master Dashboard'!$G$8)),'King Node Model'!$T$23='King Node Model'!$B$23,$AA19&gt;='King Node Model'!$T$23,$AA19&lt;='King Node Model'!$T$23+5)*1&gt;0,1,0))</f>
        <v>0</v>
      </c>
      <c r="EM19">
        <f t="shared" si="66"/>
        <v>0</v>
      </c>
      <c r="EN19">
        <v>0</v>
      </c>
      <c r="EO19">
        <f t="shared" si="67"/>
        <v>0</v>
      </c>
      <c r="EP19">
        <f t="shared" si="68"/>
        <v>0</v>
      </c>
      <c r="EQ19" t="str">
        <f t="shared" si="69"/>
        <v>WEAKENING · Pos gamma ↓ · thinning the ceiling (sub-threshold)</v>
      </c>
      <c r="ES19" t="str">
        <f>IF(AND(ISNUMBER(AA19),ISNUMBER(AF19),ABS(AA19-'King Node Model'!$B$4)&lt;=$BG$7),ABS(AF19),"")</f>
        <v/>
      </c>
      <c r="ET19">
        <v>0</v>
      </c>
      <c r="EU19" s="218">
        <f>IF(AND(OR('King Node Model'!$A$8="Neg",N($BG$72)=1),ISNUMBER($AA18),ISNUMBER($AA19),ISNUMBER($AA20),ISNUMBER($AB18),ISNUMBER($AB19),ISNUMBER($AB20),ISNUMBER($AF19),$AB19&gt;0,$AB18&lt;0,$AB20&lt;0,$AF19&lt;0),1,0)</f>
        <v>0</v>
      </c>
      <c r="EW19">
        <f>IF(OR(N($MY19)=1,N($JM19)=1),0,N($NE19))</f>
        <v>0</v>
      </c>
      <c r="EX19">
        <f>IF(AND(OR('King Node Model'!$A$8="Neg",N($BG$72)=1),ISNUMBER($AA19),OR(AND($AA19='King Node Model'!$F$24,OR(AND($AG19="S",$F$4="High",IF($BG$80&lt;&gt;"",UPPER($BG$80),$D$5)="DOWN"),AND($AG19="R",$F$4="Low",IF($BG$80&lt;&gt;"",UPPER($BG$80),$D$5)="UP"))),$GV19=1)),1,0)</f>
        <v>0</v>
      </c>
      <c r="EY19">
        <f>IFERROR(IF(AND($DC19=1,$AB19&lt;0,$AC19&gt;=(1+$FA$6)*INDEX($AC$9:$AC$55,11-1),$AC19&gt;=(1+$FA$6)*INDEX($AC$9:$AC$55,11+1),$AC19&gt;=IFERROR(INDEX($AC$9:$AC$55,11-2),0),$AC19&gt;=IFERROR(INDEX($AC$9:$AC$55,11+2),0)),1,0),0)</f>
        <v>0</v>
      </c>
      <c r="FA19" t="str">
        <f>IF(NOT(ISNUMBER($AA19)),"",IFERROR(IF(AND($AC19=MAX($AC$9:$AC$55),$AB19=MIN($AB$9:$AB$55)),"DOM",IF(AND($DC18=1,$DC19=1,$DC20=1,INDEX($AC$9:$AC$55,11-1)&lt;=(1-$FA$6)*$AC19,INDEX($AC$9:$AC$55,11-1)&lt;=(1-$FA$6)*INDEX($AC$9:$AC$55,11-2)),"GAP↑",IF(AND($DC20=1,$DC19=1,INDEX($AC$9:$AC$55,11+1)&lt;=(1-$FA$6)*$AC19,INDEX($AC$9:$AC$55,11+1)&lt;=(1-$FA$6)*INDEX($AC$9:$AC$55,11+2)),"GAP↓",IF($CZ19=1,"dEdge Cliff",IF($GY19=1,"γWall",IF(AND($DC19=1,$AB19&lt;0,$AC19&gt;=(1+$FA$6)*INDEX($AC$9:$AC$55,11-1),$AC19&gt;=(1+$FA$6)*INDEX($AC$9:$AC$55,11+1)),"PEAK-",IF($GZ19=1,"γSh Edge",IF($HL19=1,"Trough",IF($HN19=1,"PEAK+",IF($GF19=1,"Cluster","")))))))))),""))</f>
        <v/>
      </c>
      <c r="FB19" t="str">
        <f t="shared" si="70"/>
        <v/>
      </c>
      <c r="FC19" t="str">
        <f t="shared" si="71"/>
        <v/>
      </c>
      <c r="FD19">
        <f>IF(AND(ISNUMBER($AA19),ISNUMBER('King Node Model'!$AP$17),ISNUMBER('King Node Model'!$AQ$17),$AA19&gt;=MIN('King Node Model'!$AP$17,'King Node Model'!$AQ$17),$AA19&lt;=MAX('King Node Model'!$AP$17,'King Node Model'!$AQ$17),IFERROR(INDEX($AC$9:$AC$55,MATCH('King Node Model'!$AL$42,$AA$9:$AA$55,0)),0)&gt;0,$AC19&gt;=(1-$FA$6)*IFERROR(INDEX($AC$9:$AC$55,MATCH('King Node Model'!$AL$42,$AA$9:$AA$55,0)),0),$AC19&lt;=(1+$FA$6)*IFERROR(INDEX($AC$9:$AC$55,MATCH('King Node Model'!$AL$42,$AA$9:$AA$55,0)),0)),1,0)</f>
        <v>0</v>
      </c>
      <c r="FE19">
        <f>IF($AA19='King Node Model'!$AL$42,1,IF(AND($FD19=1,$FE18=1),1,0))</f>
        <v>0</v>
      </c>
      <c r="FF19">
        <f>IF($AA19='King Node Model'!$AL$42,1,IF(AND($FD19=1,$FF20=1),1,0))</f>
        <v>0</v>
      </c>
      <c r="FG19" t="str">
        <f>IF(OR($FE19=1,$FF19=1),11,"")</f>
        <v/>
      </c>
      <c r="FJ19">
        <f>IF(AND($CW$2=1,ISNUMBER($AA19),ISNUMBER($CW$3),ISNUMBER($CW$4),$AA19&gt;=MIN($CW$3,$CW$4),$AA19&lt;=MAX($CW$3,$CW$4),IFERROR(INDEX($AC$9:$AC$55,MATCH('King Node Model'!$AP$67,$AA$9:$AA$55,0)),0)&gt;0,$AC19&gt;=(1-$FA$6)*IFERROR(INDEX($AC$9:$AC$55,MATCH('King Node Model'!$AP$67,$AA$9:$AA$55,0)),0),$AC19&lt;=(1+$FA$6)*IFERROR(INDEX($AC$9:$AC$55,MATCH('King Node Model'!$AP$67,$AA$9:$AA$55,0)),0)),1,0)</f>
        <v>0</v>
      </c>
      <c r="FK19">
        <f>IF(AND($CW$2=1,$AA19='King Node Model'!$AP$67),1,IF(AND($FJ19=1,$FK18=1),1,0))</f>
        <v>0</v>
      </c>
      <c r="FL19">
        <f>IF(AND($CW$2=1,$AA19='King Node Model'!$AP$67),1,IF(AND($FJ19=1,$FL20=1),1,0))</f>
        <v>0</v>
      </c>
      <c r="FM19" t="str">
        <f>IF(OR($FK19=1,$FL19=1),11,"")</f>
        <v/>
      </c>
      <c r="FN19">
        <v>0</v>
      </c>
      <c r="FR19" t="str">
        <f t="shared" si="72"/>
        <v/>
      </c>
      <c r="FS19">
        <f t="shared" si="188"/>
        <v>0</v>
      </c>
      <c r="FT19">
        <f t="shared" si="73"/>
        <v>0.77014987855345607</v>
      </c>
      <c r="FU19">
        <f t="shared" si="74"/>
        <v>229319</v>
      </c>
      <c r="FV19" t="str">
        <f>IF($FW19=0,"",IF(OR($FW18=0,SIGN(IFERROR($BC19*1,0))&lt;&gt;SIGN(IFERROR($BC18*1,0)),$GH19=1,$GH18=1),MAX($FV$9:$FV18)+1,$FV18))</f>
        <v/>
      </c>
      <c r="FW19">
        <f t="shared" si="75"/>
        <v>0</v>
      </c>
      <c r="FX19" t="str">
        <f t="shared" si="76"/>
        <v/>
      </c>
      <c r="FY19">
        <f t="shared" si="77"/>
        <v>0</v>
      </c>
      <c r="FZ19">
        <f t="shared" si="189"/>
        <v>0</v>
      </c>
      <c r="GA19">
        <f t="shared" si="78"/>
        <v>0</v>
      </c>
      <c r="GB19" t="str">
        <f t="shared" si="79"/>
        <v/>
      </c>
      <c r="GC19" t="str">
        <f t="shared" si="80"/>
        <v/>
      </c>
      <c r="GD19" t="str">
        <f t="shared" si="81"/>
        <v/>
      </c>
      <c r="GE19" t="str">
        <f t="shared" si="82"/>
        <v/>
      </c>
      <c r="GF19">
        <f t="shared" si="83"/>
        <v>0</v>
      </c>
      <c r="GH19">
        <f>IFERROR(IF(AND($AC19&gt;=(1+$FA$6)*INDEX($AC$9:$AC$55,11-1),$AC19&gt;=(1+$FA$6)*INDEX($AC$9:$AC$55,11+1)),1,0),0)</f>
        <v>0</v>
      </c>
      <c r="GK19">
        <v>0</v>
      </c>
      <c r="GO19">
        <v>0</v>
      </c>
      <c r="GP19">
        <v>0</v>
      </c>
      <c r="GQ19">
        <f t="shared" si="84"/>
        <v>0</v>
      </c>
      <c r="GR19">
        <f t="shared" si="85"/>
        <v>0</v>
      </c>
      <c r="GS19">
        <f>IF(AND($EY19=1,$AA19&lt;&gt;'King Node Model'!$B$23),0,IF(OR($GQ19=1,$GR19=1),1,IF($DC19=1,IF(OR('King Node Model'!$A$8="Neg",N($BG$72)=1),IF(OR(AND($AC19=MAX($AC$9:$AC$55),$AB19=MIN($AB$9:$AB$55)),$AN19=1,$EE19=1,$EF19=1,$EX19=1,$GV19=1),1,0),1),0)))</f>
        <v>0</v>
      </c>
      <c r="GT19">
        <f>IFERROR(IF(AND(OR('King Node Model'!$A$8="Neg",N($BG$72)=1),$EU18=1,$AG19="R",ISNUMBER($AA19),ISNUMBER($AF19),$AF19&lt;&gt;0,$AA19&gt;$B$4-$BG$9,$AA19-$B$4&lt;=$BG$47,IF($KC19="UP",SIGN($AF19),IF($KC19="DOWN",-SIGN($AF19),0))&lt;&gt;1),1,0),0)</f>
        <v>0</v>
      </c>
      <c r="GU19" t="str">
        <f t="shared" si="86"/>
        <v/>
      </c>
      <c r="GV19">
        <f t="shared" si="87"/>
        <v>0</v>
      </c>
      <c r="GW19">
        <f t="shared" si="88"/>
        <v>59.609999999999673</v>
      </c>
      <c r="GX19" t="str">
        <f t="shared" si="89"/>
        <v/>
      </c>
      <c r="GY19">
        <f t="shared" si="90"/>
        <v>0</v>
      </c>
      <c r="GZ19">
        <f t="shared" si="91"/>
        <v>0</v>
      </c>
      <c r="HA19">
        <v>0</v>
      </c>
      <c r="HF19">
        <f>IFERROR(IF(AND($GZ19=1,'King Node Model'!$A$8="Pos",$D$5="UP",$CF19=-1,$AJ19&lt;&gt;1),1,0),0)</f>
        <v>0</v>
      </c>
      <c r="HG19">
        <f t="shared" si="92"/>
        <v>0</v>
      </c>
      <c r="HH19" t="str">
        <f>IF($GZ19=1,"",IFERROR(IF(NOT(ISNUMBER($AA19)),"",IF($EY19=1,"",IF($GF19=1,IF($GD19=$GE19,"",$GD19),IF(OR(AND($DC18=1,$DC19=1,$DC20=1,INDEX($AC$9:$AC$55,11-1)&lt;=(1-$FA$6)*$AC19,INDEX($AC$9:$AC$55,11-1)&lt;=(1-$FA$6)*INDEX($AC$9:$AC$55,11-2)),AND($DC20=1,$DC19=1,INDEX($AC$9:$AC$55,11+1)&lt;=(1-$FA$6)*$AC19,INDEX($AC$9:$AC$55,11+1)&lt;=(1-$FA$6)*INDEX($AC$9:$AC$55,11+2)),AND($DC19=1,OR(INDEX($DC$9:$DC$55,11-1)=0,INDEX($DC$9:$DC$55,11+1)=0))),IF(MIN($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MAX($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MIN($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f>
        <v/>
      </c>
      <c r="HI19" t="str">
        <f>IF($GZ19=1,"",IFERROR(IF(NOT(ISNUMBER($AA19)),"",IF($EY19=1,"",IF($GF19=1,IF($GD19=$GE19,"",$GE19),IF(OR(AND($DC18=1,$DC19=1,$DC20=1,INDEX($AC$9:$AC$55,11-1)&lt;=(1-$FA$6)*$AC19,INDEX($AC$9:$AC$55,11-1)&lt;=(1-$FA$6)*INDEX($AC$9:$AC$55,11-2)),AND($DC20=1,$DC19=1,INDEX($AC$9:$AC$55,11+1)&lt;=(1-$FA$6)*$AC19,INDEX($AC$9:$AC$55,11+1)&lt;=(1-$FA$6)*INDEX($AC$9:$AC$55,11+2)),AND($DC19=1,OR(INDEX($DC$9:$DC$55,11-1)=0,INDEX($DC$9:$DC$55,11+1)=0))),IF(MIN($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MAX($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MAX($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f>
        <v/>
      </c>
      <c r="HL19">
        <f t="shared" si="93"/>
        <v>0</v>
      </c>
      <c r="HM19">
        <f>IFERROR(IF(AND($HL19=1,NOT(OR($AA19='King Node Model'!$T$22,$AA19='King Node Model'!$T$23,$AA19='King Node Model'!$F$24,AND($AG19="S",COUNTIF('Master Dashboard'!$AN$16:$AN$18,$AA19)&gt;0),AND($AG19="R",COUNTIF('Master Dashboard'!$AN$13:$AN$15,$AA19)&gt;0)))),1,0),0)</f>
        <v>0</v>
      </c>
      <c r="HN19">
        <f t="shared" si="94"/>
        <v>0</v>
      </c>
      <c r="HO19">
        <f t="shared" si="95"/>
        <v>0</v>
      </c>
      <c r="HP19">
        <f t="shared" si="96"/>
        <v>1</v>
      </c>
      <c r="HQ19" t="str">
        <f>IF(NOT(ISNUMBER($AA19)),"",IFERROR(TRIM(IF(N($MY19)=1,"DEXLEAN ","")&amp;IF(N($IZ19)=1,"DEXCAP ","")&amp;IF(AND($AG19="S",UPPER('King Node Model'!$L$5)="HIGH",$KC19="DOWN",N($AF19)&gt;0,$AA19='King Node Model'!$AN$70,$IY19="SELL"),"CHOPEDGEIV ","")&amp;IF(N($IS19)=1,"NOREV ","")&amp;IF(N($JY19)=1,"VFLAT ","")&amp;IF(N($KR19)=1,"GDEXVANNA ","")&amp;IF(N($LD19)=1,"KGSUPFAIL ","")&amp;IF(N($LE19)=1,"KGRESLEAK ","")&amp;IF(N($MH19)=1,"ZIGZAG ","")&amp;IF(N($KK19)=1,"DATAGAP ","")&amp;IF(N($KA19)&lt;&gt;0,"ACCUNDERCW ","")&amp;IF(AND($AG19="S",$HF19=1),"EDGE ","")&amp;IF(AND($HM19=1,'King Node Model'!$A$8="Pos",N($BG$72)&lt;&gt;1),"TROUGH ","")&amp;IF(AND($EU19=1,N($JZ19)&lt;&gt;1),"BUMP ","")&amp;IF(AND($GT19=1,N($JZ19)&lt;&gt;1),"SANDWICH ","")&amp;IF(AND($EX19&lt;&gt;1,OR('King Node Model'!$A$8="Neg",N($BG$72)=1),OR(AND(ISNUMBER($AC19),$AC19=MAX($AC$9:$AC$55)),AND(ISNUMBER($AB19),$AB19=MIN($AB$9:$AB$55))),NOT(AND(AND(ISNUMBER($AC19),$AC19=MAX($AC$9:$AC$55)),AND(ISNUMBER($AB19),$AB19=MIN($AB$9:$AB$55)))),$AG19="S",N($AB19)&lt;0,NOT(COUNTIF('Master Dashboard'!$AN$16:$AN$18,$AA19)&gt;0),NOT(AND(OR('King Node Model'!$A$8="Neg",N($BG$72)=1),ISNUMBER($AB19),$AB19=MIN($AB$9:$AB$55),$AA19=$BG$105))),"ACCEL ","")&amp;IF(AND($EX19&lt;&gt;1,ISNUMBER($AA19),OR('King Node Model'!$A$8="Neg",N($BG$72)=1),$EY19=1,NOT(AND($AG19="S",COUNTIF('Master Dashboard'!$AN$16:$AN$18,$AA19)&gt;0)),NOT(AND($AA19='King Node Model'!$B$23,IF($AG19="S",OR($AA19='King Node Model'!$C$24,COUNTIF('Master Dashboard'!$AN$16:$AN$18,$AA19)&gt;0),OR($AA19='King Node Model'!$C$23,COUNTIF('Master Dashboard'!$AN$13:$AN$15,$AA19)&gt;0)))),NOT(AND($EX19&lt;&gt;1,OR('King Node Model'!$A$8="Neg",N($BG$72)=1),OR(AND(ISNUMBER($AC19),$AC19=MAX($AC$9:$AC$55)),AND(ISNUMBER($AB19),$AB19=MIN($AB$9:$AB$55))),NOT(AND(AND(ISNUMBER($AC19),$AC19=MAX($AC$9:$AC$55)),AND(ISNUMBER($AB19),$AB19=MIN($AB$9:$AB$55)))),$AG19="S",N($AB19)&lt;0,NOT(COUNTIF('Master Dashboard'!$AN$16:$AN$18,$AA19)&gt;0)))),"AMPLIFY ","")&amp;IF(AND($AG19="S",OR('King Node Model'!$A$8="Neg",N($BG$72)=1),$AJ19&lt;&gt;1,N($MT19)&lt;&gt;1,NOT(AND(N($LR19)=1,N($MB19)=1)),ISNUMBER(SEARCH("ACCEL building",$CG19))),"ZACCEL ","")&amp;IF(AND($AG19="S",OR('King Node Model'!$A$8="Neg",N($BG$72)=1),$AA19='King Node Model'!$B$23,NOT(AND(AND(ISNUMBER($AC19),$AC19=MAX($AC$9:$AC$55)),AND(ISNUMBER($AB19),$AB19=MIN($AB$9:$AB$55)))),$EJ19&lt;&gt;1),"KINGACC ","")&amp;IF(AND($AG19="S",OR('King Node Model'!$A$8="Neg",N($BG$72)=1),ABS(N($AA19)-N('King Node Model'!$B$23))&lt;=$BG$107,NOT(AND(SUMPRODUCT((ABS($AF$9:$AF$55)&lt;=ABS(N($AF19)))*1)/COUNT($AF$9:$AF$55)&gt;=0.66,OR(ISNUMBER(SEARCH("firmer resistance",$CG19)),ISNUMBER(SEARCH("STRENGTHENING",$CG19)),ISNUMBER(SEARCH("firmer support",$CG19))))),NOT(AND(N($AB19)&gt;0,SUMPRODUCT((ABS($AB$9:$AB$55)&lt;=ABS(N($AB19)))*1)/COUNT($AB$9:$AB$55)&gt;=0.66)),$EJ19&lt;&gt;1,$AJ19&lt;&gt;1,COUNTIF('Master Dashboard'!$AN$16:$AN$18,$AA19)=0,NOT(AND($AG19="S",OR('King Node Model'!$A$8="Neg",N($BG$72)=1),$AA19='King Node Model'!$B$23,NOT(AND(AND(ISNUMBER($AC19),$AC19=MAX($AC$9:$AC$55)),AND(ISNUMBER($AB19),$AB19=MIN($AB$9:$AB$55)))),$EJ19&lt;&gt;1))),"KINGNODE ","")&amp;IF(AND($AG19="R",NOT(AND(AND(ISNUMBER($AC19),$AC19=MAX($AC$9:$AC$55)),AND(ISNUMBER($AB19),$AB19=MIN($AB$9:$AB$55)))),UPPER('King Node Model'!$L$5)="LOW",$KC19="DOWN",N($AF19)&gt;0),"LOWIVFALL ","")&amp;IF(AND($AG19="R",NOT(AND(AND(ISNUMBER($AC19),$AC19=MAX($AC$9:$AC$55)),AND(ISNUMBER($AB19),$AB19=MIN($AB$9:$AB$55)))),UPPER('King Node Model'!$L$5)="HIGH",$KC19="DOWN",N($AF19)&gt;0,IFERROR(MATCH($AA19,$W$9:$W$14,0)&gt;=4,FALSE)),"HIGHIVFALL ","")&amp;IF(AND($AG19="R",N($BG$99)=1),"SPOTUPVOLUP ","")&amp;IF(AND($AG19="R",ISNUMBER(SEARCH("5/5",'Master Dashboard'!$E$29)),OR(ISNUMBER(SEARCH("WEAKENING",$EQ19)),ISNUMBER(SEARCH("Pos gamma ↓",$EQ19)),ISNUMBER(SEARCH("thinning the ceiling",$EQ19)))),"SQUEEZE ","")&amp;IF(N($JU19)=1,"DEDGECLIFF ","")&amp;IF(N($KT19)=1,"DEXDRAIN ","")&amp;IF(N($HW19)&lt;&gt;0,"DEXDROP ","")&amp;IF(N($HX19)&lt;&gt;0,"PEAK+ ","")&amp;IF(N($IF19)=1,"CHOP ","")&amp;IF(N($IQ19)=1,"CONTESTED ","")&amp;IF(N($IW19)=1,"VSELL ","")&amp;IF(N($JK19)=1,"VBUYRES ","")&amp;IF(N($JL19)=1,"DOMFLAT ","")&amp;IF(N($JM19)=1,"DOMPULL ","")&amp;IF(N($JP19)=1,"OIZOMMA ","")&amp;IF(AND(N($JQ19)=1,N($JZ19)&lt;&gt;1),"OIDEX ","")),""))</f>
        <v>NOREV LOWIVFALL VBUYRES</v>
      </c>
      <c r="HR19" t="str">
        <f>IF(AND(ISNUMBER($W19),OR('King Node Model'!$A$8&lt;&gt;"Pos",N($BG$72)=1,IFERROR(INDEX($AM$9:$AM$55,MATCH($W19,$AA$9:$AA$55,0)),0)&gt;=$BG$20),$E19="REVERSAL",OR($F19="stable",$F19="VOMMA BID"),$W19&lt;&gt;'King Node Model'!$AL$49,$W19&lt;&gt;'King Node Model'!$AL$50,IFERROR(INDEX($HP$9:$HP$55,MATCH($W19,$AA$9:$AA$55,0)),1)=0),ABS($W19-'King Node Model'!$B$4),"")</f>
        <v/>
      </c>
      <c r="HS19">
        <f>IFERROR(IF(AND($DC19=1,OR(AND($AG19="R",INDEX($DC$9:$DC$55,10)=0,INDEX($DC$9:$DC$55,12)=1,INDEX($DC$9:$DC$55,13)=1),AND($AG19="S",INDEX($DC$9:$DC$55,12)=0,INDEX($DC$9:$DC$55,10)=1,INDEX($DC$9:$DC$55,9)=1))),1,0),0)</f>
        <v>0</v>
      </c>
      <c r="HT19">
        <f t="shared" si="97"/>
        <v>0</v>
      </c>
      <c r="HU19">
        <v>0</v>
      </c>
      <c r="HV19">
        <v>0</v>
      </c>
      <c r="HW19">
        <f>IFERROR(IF(OR(NOT(ISNUMBER($AA19)),'King Node Model'!$A$8&lt;&gt;"Pos",N($BG$72)=1,ABS(N($AE19))&lt;$BG$113,N($AV19)=1,$FA19="DOM",$AA19='King Node Model'!$T$23,AND(N($BG$116)=1,$AA19='King Node Model'!$F$24),NOT(ISNUMBER($KU19)),NOT(ISNUMBER($KV19))),0,IF(AND($AG19="S",COUNTIF('Master Dashboard'!$AN$16:$AN$18,$AA19)=0,$KU19&gt;=$BG$114,$KU19&gt;=$KV19+$BG$115,NOT(AND(N($AN20)=1,N($KV19)&lt;0)),N($AE19)&lt;=0),1,IF(AND($AG19="R",COUNTIF('Master Dashboard'!$AN$13:$AN$15,$AA19)=0,$KV19&gt;=$BG$114,$KV19&gt;=$KU19+$BG$115,NOT(AND(N($AN18)=1,N($KU19)&lt;0))),-1,0))),0)</f>
        <v>0</v>
      </c>
      <c r="HX19">
        <f>IFERROR(IF(AND(ISNUMBER($AA19),$FA19="PEAK+",N($AN19)&lt;&gt;1,NOT(AND('King Node Model'!$A$8="Pos",OR($AA19='King Node Model'!$T$22,$AA19='King Node Model'!$T$23,$AA19='King Node Model'!$F$24))),IF($AG19="S",COUNTIF('Master Dashboard'!$AN$16:$AN$18,$AA19)=0,IF($AG19="R",COUNTIF('Master Dashboard'!$AN$13:$AN$15,$AA19)=0,FALSE))),1,0),0)</f>
        <v>0</v>
      </c>
      <c r="HY19">
        <f t="shared" si="98"/>
        <v>0.44206791245546428</v>
      </c>
      <c r="HZ19">
        <v>0</v>
      </c>
      <c r="IA19">
        <f>IFERROR(IF(AND(IF($BG$44=1,OR(ISNUMBER(SEARCH("Choppy",'King Node Model'!$S$38)),'King Node Model'!$S$52&lt;&gt;"",'King Node Model'!$A$8="Pos"),TRUE()),OR($DC19=1,$DC18=1,$DC20=1),ABS($AA19-$B$4)&lt;=$BG$7,ABS($AA19-$BG$28)&gt;=$BG$45,OR(AND($AA19&gt;$BG$28,$AG19="R"),AND($AA19&lt;$BG$28,$AG19="S",N($BG$154)=1)),ABS(IF($AA19&gt;$BG$28,$AE20,$AE18))&gt;=$BG$43,ABS(N(IF($AA19&gt;$BG$28,$AE18,$AE20)))&lt;=$BG$153*ABS(IF($AA19&gt;$BG$28,$AE20,$AE18)),IF(ISNUMBER($HZ19),$HZ19=1,AND(ISNUMBER($HY19),$HY19&gt;=$BG$42))),1,0),0)</f>
        <v>0</v>
      </c>
      <c r="IB19">
        <f t="shared" si="99"/>
        <v>0</v>
      </c>
      <c r="IC19" t="str">
        <f>IF(NOT(ISNUMBER($AA19)),"",IFERROR(MID(IF(AND($AC19=MAX($AC$9:$AC$55),$AB19=MIN($AB$9:$AB$55))," · DOM","")&amp;IF(AND($DC18=1,$DC19=1,$DC20=1,INDEX($AC$9:$AC$55,11-1)&lt;=(1-$FA$6)*$AC19,INDEX($AC$9:$AC$55,11-1)&lt;=(1-$FA$6)*INDEX($AC$9:$AC$55,11-2))," · GAP↑ → "&amp;INDEX($AA$9:$AA$55,11-2),"")&amp;IF(AND($DC20=1,$DC19=1,INDEX($AC$9:$AC$55,11+1)&lt;=(1-$FA$6)*$AC19,INDEX($AC$9:$AC$55,11+1)&lt;=(1-$FA$6)*INDEX($AC$9:$AC$55,11+2))," · GAP↓ → "&amp;INDEX($AA$9:$AA$55,11+2),"")&amp;IF($CZ19=1," · dEdge Cliff","")&amp;IF($GY19=1," · γWall","")&amp;IF(AND($DC19=1,$AB19&lt;0,$AC19&gt;=(1+$FA$6)*INDEX($AC$9:$AC$55,11-1),$AC19&gt;=(1+$FA$6)*INDEX($AC$9:$AC$55,11+1))," · PEAK-","")&amp;IF($GZ19=1," · γSh Edge","")&amp;IF($HL19=1," · Trough","")&amp;IF($HN19=1," · PEAK+","")&amp;IF($GF19=1," · Cluster",""),FIND(" · ",IF(AND($AC19=MAX($AC$9:$AC$55),$AB19=MIN($AB$9:$AB$55))," · DOM","")&amp;IF(AND($DC18=1,$DC19=1,$DC20=1,INDEX($AC$9:$AC$55,11-1)&lt;=(1-$FA$6)*$AC19,INDEX($AC$9:$AC$55,11-1)&lt;=(1-$FA$6)*INDEX($AC$9:$AC$55,11-2))," · GAP↑ → "&amp;INDEX($AA$9:$AA$55,11-2),"")&amp;IF(AND($DC20=1,$DC19=1,INDEX($AC$9:$AC$55,11+1)&lt;=(1-$FA$6)*$AC19,INDEX($AC$9:$AC$55,11+1)&lt;=(1-$FA$6)*INDEX($AC$9:$AC$55,11+2))," · GAP↓ → "&amp;INDEX($AA$9:$AA$55,11+2),"")&amp;IF($CZ19=1," · dEdge Cliff","")&amp;IF($GY19=1," · γWall","")&amp;IF(AND($DC19=1,$AB19&lt;0,$AC19&gt;=(1+$FA$6)*INDEX($AC$9:$AC$55,11-1),$AC19&gt;=(1+$FA$6)*INDEX($AC$9:$AC$55,11+1))," · PEAK-","")&amp;IF($GZ19=1," · γSh Edge","")&amp;IF($HL19=1," · Trough","")&amp;IF($HN19=1," · PEAK+","")&amp;IF($GF19=1," · Cluster",""),2),999),""))</f>
        <v/>
      </c>
      <c r="ID19" t="str">
        <f>IF(NOT(ISNUMBER($AA19)),"",IFERROR(MID(IF(AND($AC19=MAX($AC$9:$AC$55),$AB19=MIN($AB$9:$AB$55))," · DOM","")&amp;IF(AND($DC18=1,$DC19=1,$DC20=1,INDEX($AC$9:$AC$55,11-1)&lt;=(1-$FA$6)*$AC19,INDEX($AC$9:$AC$55,11-1)&lt;=(1-$FA$6)*INDEX($AC$9:$AC$55,11-2))," · GAP↑ → "&amp;INDEX($AA$9:$AA$55,11-2),"")&amp;IF(AND($DC20=1,$DC19=1,INDEX($AC$9:$AC$55,11+1)&lt;=(1-$FA$6)*$AC19,INDEX($AC$9:$AC$55,11+1)&lt;=(1-$FA$6)*INDEX($AC$9:$AC$55,11+2))," · GAP↓ → "&amp;INDEX($AA$9:$AA$55,11+2),"")&amp;IF($CZ19=1," · dEdge Cliff","")&amp;IF($GY19=1," · γWall","")&amp;IF(AND($DC19=1,$AB19&lt;0,$AC19&gt;=(1+$FA$6)*INDEX($AC$9:$AC$55,11-1),$AC19&gt;=(1+$FA$6)*INDEX($AC$9:$AC$55,11+1))," · PEAK-","")&amp;IF($GZ19=1," · γSh Edge","")&amp;IF($HL19=1," · Trough","")&amp;IF($HN19=1," · PEAK+","")&amp;IF(AND(NOT($HN19=1),NOT(AND($DC19=1,$AB19&lt;0)),N($GY19)&lt;&gt;1,N($GF19)&lt;&gt;1,N($GZ19)&lt;&gt;1,N($HL19)&lt;&gt;1,N($CZ19)&lt;&gt;1,NOT(AND($AC19=MAX($AC$9:$AC$55),$AB19=MIN($AB$9:$AB$55))),$AC19&gt;=(1+$FA$6)*INDEX($AC$9:$AC$55,11-1),$AC19&gt;=(1+$FA$6)*INDEX($AC$9:$AC$55,11+1))," · Knoll","")&amp;IF($GF19=1," · Cluster",""),4,999),""))</f>
        <v/>
      </c>
      <c r="IF19">
        <f t="shared" si="100"/>
        <v>0</v>
      </c>
      <c r="IG19">
        <f>IFERROR(IF(AND(ISNUMBER($AA19),'King Node Model'!$A$8="Pos",OR($AG19="S",$AG19="R"),$IN19="interior",COUNTIF(IF($AG19="S",'Master Dashboard'!$AN$16:$AN$18,'Master Dashboard'!$AN$13:$AN$15),$AA19)=0,$AA19&lt;&gt;'King Node Model'!$T$22,$AA19&lt;&gt;'King Node Model'!$T$23,$AA19&lt;&gt;'King Node Model'!$F$24),1,0),0)</f>
        <v>0</v>
      </c>
      <c r="IH19">
        <f t="shared" si="101"/>
        <v>0</v>
      </c>
      <c r="II19">
        <f t="shared" si="190"/>
        <v>0</v>
      </c>
      <c r="IJ19">
        <f t="shared" si="102"/>
        <v>0</v>
      </c>
      <c r="IK19">
        <f t="shared" si="103"/>
        <v>0</v>
      </c>
      <c r="IL19">
        <f t="shared" si="191"/>
        <v>0</v>
      </c>
      <c r="IM19">
        <f t="shared" si="104"/>
        <v>0</v>
      </c>
      <c r="IN19" t="str">
        <f t="shared" si="105"/>
        <v/>
      </c>
      <c r="IO19">
        <v>0</v>
      </c>
      <c r="IP19">
        <v>0</v>
      </c>
      <c r="IQ19">
        <f>IFERROR(IF($AG19="S",IF(OR(COUNTIF($W$9:$W$14,$AA19)&gt;0,COUNTIF('King Node Model'!$AL$42:'King Node Model'!$AL$43,$AA19)&gt;0),1,0),IF($AG19="R",IF(OR(COUNTIF($W$18:$W$23,$AA19)&gt;0,COUNTIF('King Node Model'!$AL$49:'King Node Model'!$AL$50,$AA19)&gt;0),1,0),0)),0)</f>
        <v>0</v>
      </c>
      <c r="IR19">
        <f>IFERROR(IF(AND(ISNUMBER($W19),OR('King Node Model'!$A$8&lt;&gt;"Pos",N($BG$72)=1,IFERROR(INDEX($AM$9:$AM$55,MATCH($W19,$AA$9:$AA$55,0)),0)&gt;=$BG$20),COUNTIF('King Node Model'!$AL$49:'King Node Model'!$AL$50,$W19)=0),ABS($W19-$B$4),""),"")</f>
        <v>10.390000000000327</v>
      </c>
      <c r="IS19">
        <f>IF(AND(ISNUMBER($AA19),N($AN19)&lt;&gt;1,N($LR19)&lt;&gt;1,OR(N($EN19)&lt;&gt;1,AND('King Node Model'!$A$8&lt;&gt;"Neg",N($BG$72)&lt;&gt;1)),$AA19&lt;&gt;'King Node Model'!$T$22,$AA19&lt;&gt;'King Node Model'!$T$23,$AA19&lt;&gt;'King Node Model'!$F$24,NOT(AND($AG19="S",COUNTIF('Master Dashboard'!$AN$16:$AN$18,$AA19)&gt;0)),NOT(AND($AG19="R",COUNTIF('Master Dashboard'!$AN$13:$AN$15,$AA19)&gt;0)),NOT(AND('King Node Model'!$A$8&lt;&gt;"Neg",N($BG$72)&lt;&gt;1,COUNTIF('Master Dashboard'!$AN$13:$AN$18,$AA19)&gt;0))),1,0)</f>
        <v>1</v>
      </c>
      <c r="IT19">
        <v>0</v>
      </c>
      <c r="IU19">
        <f>IF(AND(ISNUMBER($AA19),$AA19='King Node Model'!$F$24,$AA19&gt;$GJ$3,N($AD19)&lt;0,$F$4="High"),1,0)</f>
        <v>0</v>
      </c>
      <c r="IV19" t="str">
        <f>""</f>
        <v/>
      </c>
      <c r="IW19">
        <f>IFERROR(IF(AND(ISNUMBER($AA19),NOT(AND(N($LR19)=1,N($MB19)=1)),$AG19="S",OR('King Node Model'!$A$8="Neg",N($BG$72)=1),$JV19="SELL",ABS(N($AD19))&gt;=$BG$94,NOT(AND(N($AD19)&gt;0,N($BG$78)=1,MEDIAN($AA19-$BG$82,$B$4,$AA19+$BG$83)=$B$4))),1,0),0)</f>
        <v>0</v>
      </c>
      <c r="IX19">
        <f>IFERROR(IF(AND(ISNUMBER($AA19),$AG19="S",OR('King Node Model'!$A$8="Neg",N($BG$72)=1),N($AD19)&gt;0,N($BG$78)=1,MEDIAN($AA19-$BG$82,$B$4,$AA19+$BG$83)=$B$4),1,0),0)</f>
        <v>0</v>
      </c>
      <c r="IY19" t="str">
        <f t="shared" si="106"/>
        <v>SELL</v>
      </c>
      <c r="IZ19">
        <f>IFERROR(IF(AND(ISNUMBER($AA19),$FA19&lt;&gt;"DOM",$AA19&lt;&gt;'King Node Model'!$F$24,OR(AND($AG19="S",COUNTIF('Master Dashboard'!$AN$16:$AN$18,$AA19)=0,N(INDEX($AE$9:$AE$55,MATCH($AA19+$BG$84,$AA$9:$AA$55,0)))&lt;=-$BG$85),AND($AG19="R",COUNTIF('Master Dashboard'!$AN$13:$AN$15,$AA19)=0,N(INDEX($AE$9:$AE$55,MATCH($AA19-$BG$84,$AA$9:$AA$55,0)))&gt;=$BG$85))),1,0),0)</f>
        <v>0</v>
      </c>
      <c r="JA19" t="str">
        <f t="shared" si="201"/>
        <v/>
      </c>
      <c r="JC19">
        <f t="shared" si="108"/>
        <v>0</v>
      </c>
      <c r="JD19" t="str">
        <f t="shared" si="193"/>
        <v/>
      </c>
      <c r="JE19">
        <f>IF(ISNUMBER($AA19),N(IFERROR(INDEX('King Node Model'!$L$29:$L$75,MATCH($AA19,'King Node Model'!$A$29:$A$75,0)),0)),"")</f>
        <v>288</v>
      </c>
      <c r="JF19">
        <f>IF(ISNUMBER($AA19),N(IFERROR(INDEX('King Node Model'!$K$29:$K$75,MATCH($AA19,'King Node Model'!$A$29:$A$75,0)),0)),"")</f>
        <v>2218</v>
      </c>
      <c r="JG19">
        <f t="shared" si="109"/>
        <v>0.12984670874661858</v>
      </c>
      <c r="JH19">
        <f t="shared" si="110"/>
        <v>7.7013888888888893</v>
      </c>
      <c r="JI19">
        <f t="shared" si="111"/>
        <v>0</v>
      </c>
      <c r="JJ19" t="str">
        <f t="shared" si="112"/>
        <v>Hollow</v>
      </c>
      <c r="JK19">
        <f t="shared" si="113"/>
        <v>1</v>
      </c>
      <c r="JL19">
        <f t="shared" si="114"/>
        <v>0</v>
      </c>
      <c r="JM19">
        <f t="shared" si="115"/>
        <v>0</v>
      </c>
      <c r="JN19">
        <f t="shared" si="116"/>
        <v>0</v>
      </c>
      <c r="JO19">
        <f t="shared" si="117"/>
        <v>0</v>
      </c>
      <c r="JP19">
        <f t="shared" si="118"/>
        <v>0</v>
      </c>
      <c r="JQ19">
        <f t="shared" si="119"/>
        <v>0</v>
      </c>
      <c r="JR19">
        <v>0</v>
      </c>
      <c r="JS19">
        <f>IFERROR(IF(AND(ISNUMBER($AA19),'King Node Model'!$A$8="Pos",OR($AG19="S",$AG19="R"),N($AB19)&gt;0,N($HP19)&lt;&gt;1,OR(AND($KC19="DOWN",N($AF19)&lt;0,N($AF19)=MIN($AF$9:$AF$55),-N($AF19)&gt;=MAX($AF$9:$AF$55)),AND($KC19="UP",N($AF19)&gt;0,N($AF19)=MAX($AF$9:$AF$55),N($AF19)&gt;=-MIN($AF$9:$AF$55)))),1,0),0)</f>
        <v>0</v>
      </c>
      <c r="JT19">
        <v>0</v>
      </c>
      <c r="JU19">
        <f>IFERROR(IF(AND(N($BG$109)=1,ISNUMBER($AA19),'King Node Model'!$A$8="Pos",N($CZ19)=1,N($AB19)&gt;0),1,0),0)</f>
        <v>0</v>
      </c>
      <c r="JV19" t="str">
        <f t="shared" si="120"/>
        <v>BUY</v>
      </c>
      <c r="JW19">
        <f t="shared" si="121"/>
        <v>0</v>
      </c>
      <c r="JX19">
        <f t="shared" si="122"/>
        <v>0</v>
      </c>
      <c r="JY19">
        <f t="shared" si="123"/>
        <v>0</v>
      </c>
      <c r="JZ19">
        <f t="shared" si="124"/>
        <v>0</v>
      </c>
      <c r="KA19">
        <f t="shared" si="125"/>
        <v>0</v>
      </c>
      <c r="KB19">
        <f t="shared" si="126"/>
        <v>0</v>
      </c>
      <c r="KC19" t="str">
        <f t="shared" si="127"/>
        <v>DOWN</v>
      </c>
      <c r="KE19" t="str">
        <f t="shared" si="128"/>
        <v>Now: strengthening the ceiling (IV rising) · if IV falls: weakens the ceiling · expected on arrival: WEAKENS ✗</v>
      </c>
      <c r="KF19" t="str">
        <f t="shared" si="129"/>
        <v>BUY</v>
      </c>
      <c r="KG19">
        <f t="shared" si="192"/>
        <v>0</v>
      </c>
      <c r="KH19" t="str">
        <f t="shared" si="130"/>
        <v/>
      </c>
      <c r="KI19" t="str">
        <f t="shared" si="131"/>
        <v/>
      </c>
      <c r="KJ19">
        <f t="shared" si="132"/>
        <v>0</v>
      </c>
      <c r="KK19">
        <f t="shared" si="133"/>
        <v>0</v>
      </c>
      <c r="KL19">
        <f t="shared" si="134"/>
        <v>0</v>
      </c>
      <c r="KM19">
        <f t="shared" si="135"/>
        <v>0</v>
      </c>
      <c r="KN19">
        <f t="shared" si="136"/>
        <v>0</v>
      </c>
      <c r="KO19">
        <v>0</v>
      </c>
      <c r="KP19">
        <f t="shared" si="137"/>
        <v>0</v>
      </c>
      <c r="KQ19">
        <f t="shared" si="138"/>
        <v>0</v>
      </c>
      <c r="KR19">
        <f t="shared" si="139"/>
        <v>0</v>
      </c>
      <c r="KS19">
        <f t="shared" si="140"/>
        <v>0</v>
      </c>
      <c r="KT19">
        <f t="shared" si="141"/>
        <v>0</v>
      </c>
      <c r="KU19">
        <f>IF(AND(ISNUMBER($AA19),ISNUMBER($AE19),ISNUMBER($AE18),N($AE19)&lt;&gt;0),($AE19-$AE18)/$AE19,"")</f>
      </c>
      <c r="KV19">
        <f>IF(AND(ISNUMBER($AA19),ISNUMBER($AE19),ISNUMBER($AE20),N($AE19)&lt;&gt;0),($AE19-$AE20)/$AE19,"")</f>
      </c>
      <c r="KW19">
        <f>IFERROR(IF(OR(NOT(ISNUMBER($AA19)),'King Node Model'!$A$8&lt;&gt;"Pos",N($BG$72)=1,ABS(N($AE19))&lt;$BG$113,$FA19="DOM",$AA19='King Node Model'!$T$23,AND(N($BG$116)=1,$AA19='King Node Model'!$F$24),NOT(ISNUMBER($KU19)),NOT(ISNUMBER($KV19))),0,IF(AND($AG19="S",COUNTIF('Master Dashboard'!$AN$16:$AN$18,$AA19)=0,$KU19&gt;=$BG$114,$KU19&gt;=$KV19+$BG$115),1,IF(AND($AG19="R",COUNTIF('Master Dashboard'!$AN$13:$AN$15,$AA19)=0,$KV19&gt;=$BG$114,$KV19&gt;=$KU19+$BG$115),-1,0))),0)</f>
        <v>0</v>
      </c>
      <c r="KX19">
        <f t="shared" si="144"/>
        <v>0</v>
      </c>
      <c r="KY19">
        <f t="shared" si="145"/>
        <v>0</v>
      </c>
      <c r="KZ19">
        <f t="shared" si="146"/>
        <v>0</v>
      </c>
      <c r="LA19">
        <f t="shared" si="147"/>
        <v>0</v>
      </c>
      <c r="LB19">
        <f t="shared" si="148"/>
        <v>0</v>
      </c>
      <c r="LC19">
        <f t="shared" si="149"/>
        <v>0</v>
      </c>
      <c r="LD19">
        <f t="shared" si="150"/>
        <v>0</v>
      </c>
      <c r="LE19">
        <f t="shared" si="151"/>
        <v>0</v>
      </c>
      <c r="LF19">
        <f t="shared" si="152"/>
        <v>0</v>
      </c>
      <c r="LG19" t="str">
        <f t="shared" si="153"/>
        <v/>
      </c>
      <c r="LH19" t="str">
        <f t="shared" si="154"/>
        <v/>
      </c>
      <c r="LI19" t="str">
        <f t="shared" si="155"/>
        <v/>
      </c>
      <c r="LJ19" t="str">
        <f t="shared" si="156"/>
        <v/>
      </c>
      <c r="LK19" t="str">
        <f t="shared" si="157"/>
        <v/>
      </c>
      <c r="LL19">
        <f t="shared" si="158"/>
        <v>0</v>
      </c>
      <c r="LM19">
        <f t="shared" si="159"/>
        <v>0</v>
      </c>
      <c r="LN19">
        <f t="shared" si="160"/>
        <v>0</v>
      </c>
      <c r="LO19">
        <v>0</v>
      </c>
      <c r="LP19">
        <f t="shared" si="161"/>
        <v>0</v>
      </c>
      <c r="LQ19" t="str">
        <f t="shared" si="162"/>
        <v/>
      </c>
      <c r="LR19">
        <f t="shared" si="163"/>
        <v>0</v>
      </c>
      <c r="LS19">
        <f t="shared" si="164"/>
        <v>0</v>
      </c>
      <c r="LT19">
        <f t="shared" si="165"/>
        <v>0</v>
      </c>
      <c r="LU19">
        <f t="shared" si="166"/>
        <v>0</v>
      </c>
      <c r="LV19">
        <f t="shared" si="167"/>
        <v>0</v>
      </c>
      <c r="LW19">
        <f t="shared" si="168"/>
        <v>0</v>
      </c>
      <c r="LX19">
        <f t="shared" si="169"/>
        <v>0</v>
      </c>
      <c r="LY19">
        <f t="shared" si="170"/>
        <v>0</v>
      </c>
      <c r="LZ19">
        <f t="shared" si="171"/>
        <v>0</v>
      </c>
      <c r="MA19">
        <f t="shared" si="172"/>
        <v>0</v>
      </c>
      <c r="MB19">
        <v>0</v>
      </c>
      <c r="MC19">
        <f t="shared" si="173"/>
        <v>1</v>
      </c>
      <c r="MD19">
        <f t="shared" si="174"/>
        <v>1</v>
      </c>
      <c r="ME19">
        <f t="shared" si="175"/>
        <v>0</v>
      </c>
      <c r="MF19">
        <f t="shared" si="176"/>
        <v>0</v>
      </c>
      <c r="MG19">
        <f t="shared" si="177"/>
        <v>0</v>
      </c>
      <c r="MH19">
        <f t="shared" si="178"/>
        <v>0</v>
      </c>
      <c r="MI19" t="str">
        <f t="shared" si="179"/>
        <v/>
      </c>
      <c r="MJ19">
        <f t="shared" si="180"/>
        <v>0</v>
      </c>
      <c r="MK19">
        <f t="shared" si="181"/>
        <v>0</v>
      </c>
      <c r="ML19">
        <f>IF(AND(OR('King Node Model'!$A$8="Neg",N($BG$72)=1),ISNUMBER($AA19),$AG19="R",N($AB19)&lt;0),IF(AND($AA18=$AA19+5,N($AB18)&gt;0,$AA17=$AA19+10,N($AB17)&lt;0),1,IF(AND($AA18=$AA19+5,N($AB18)&gt;0,$AA17=$AA19+10,N($AB17)&gt;0,$AA16=$AA19+15,N($AB16)&lt;0),2,IF(AND($AA18=$AA19+5,N($AB18)&gt;0,$AA17=$AA19+10,N($AB17)&gt;0,$AA16=$AA19+15,N($AB16)&gt;0,$AA15=$AA19+20,N($AB15)&lt;0),3,IF(AND($AA18=$AA19+5,N($AB18)&gt;0,$AA17=$AA19+10,N($AB17)&gt;0,$AA16=$AA19+15,N($AB16)&gt;0,$AA15=$AA19+20,N($AB15)&gt;0,$AA14=$AA19+25,N($AB14)&lt;0),4,0)))),0)</f>
      </c>
      <c r="MM19">
        <f>IF(AND(OR('King Node Model'!$A$8="Neg",N($BG$72)=1),ISNUMBER($AA19),$AG19="S",N($AB19)&lt;0),IF(AND($AA20=$AA19-5,N($AB20)&gt;0,$AA21=$AA19-10,N($AB21)&lt;0),1,IF(AND($AA20=$AA19-5,N($AB20)&gt;0,$AA21=$AA19-10,N($AB21)&gt;0,$AA22=$AA19-15,N($AB22)&lt;0),2,IF(AND($AA20=$AA19-5,N($AB20)&gt;0,$AA21=$AA19-10,N($AB21)&gt;0,$AA22=$AA19-15,N($AB22)&gt;0,$AA23=$AA19-20,N($AB23)&lt;0),3,IF(AND($AA20=$AA19-5,N($AB20)&gt;0,$AA21=$AA19-10,N($AB21)&gt;0,$AA22=$AA19-15,N($AB22)&gt;0,$AA23=$AA19-20,N($AB23)&gt;0,$AA24=$AA19-25,N($AB24)&lt;0),4,0)))),0)</f>
      </c>
      <c r="MN19">
        <f>IF(N($ML19)&gt;0,$AA19,0)</f>
      </c>
      <c r="MO19">
        <f>IF(N($MM19)&gt;0,$AA19,0)</f>
      </c>
      <c r="MP19">
        <f>IF(AND(OR('King Node Model'!$A$8="Neg",N($BG$72)=1),ISNUMBER($BG$155),$AA19=$BG$155,N($NC19)=1),2,IF(AND(OR('King Node Model'!$A$8="Neg",N($BG$72)=1),ISNUMBER($BG$156),$AA19=$BG$156,N($ND19)=1),1,0))</f>
      </c>
      <c r="MQ19">
        <f>IF(ABS(AE19)&lt;=0,0,IF($AG19="R",IF(ISNUMBER(AE18),IF((ABS(AE18)-ABS(AE19))/ABS(AE19)&lt;-0.4,1,0),0),IF(ISNUMBER(AE20),IF((ABS(AE20)-ABS(AE19))/ABS(AE19)&lt;-0.4,1,0),0)))</f>
      </c>
      <c r="MR19">
        <f>IF(OR(N($MQ19)&lt;&gt;1,N($BG$157)&lt;&gt;1,NOT(ISNUMBER($KU19)),NOT(ISNUMBER($KV19))),0,IF(OR(AND($AG19="S",OR(AND($KU19&gt;=$BG$114,$KU19&gt;=$KV19+$BG$115),AND($KU19&gt;1,$KV19&lt;=1,$KV19&gt;=$BG$114))),AND($AG19="R",OR(AND($KV19&gt;=$BG$114,$KV19&gt;=$KU19+$BG$115),AND($KV19&gt;1,$KU19&lt;=1,$KU19&gt;=$BG$114)))),1,0))</f>
      </c>
      <c r="MS19" t="str">
        <f>IF(AND(N($MR19)=1,N($NA19)&lt;&gt;1),"• DEX falls off more sharply "&amp;IF($AG19="S","above (","below (")&amp;TEXT(IF($AG19="S",$KU19,$KV19),"0%")&amp;") than "&amp;IF($AG19="S","below (","above (")&amp;TEXT(IF($AG19="S",$KV19,$KU19),"0%")&amp;") — Dex↓ not counted",IF(N($MW19)=1,"• Shoulder of the "&amp;IF($AG19="R",$AA20,$AA18)&amp;" wall — own DEX "&amp;TEXT($AE19/1000,"+#,##0;-#,##0")&amp;"K is "&amp;TEXT(ABS($AE19)/ABS(IF($AG19="R",$AE20,$AE18)),"0%")&amp;" of "&amp;TEXT(IF($AG19="R",$AE20,$AE18)/1000,"+#,##0;-#,##0")&amp;"K, Dex↓ not counted",""))</f>
      </c>
      <c r="MT19">
        <f>IF(AND(ISNUMBER($AA19),$AG19="S",ISNUMBER($AB19),$AB19=MIN($AB$9:$AB$55),$AA19=$BG$105,$JV19="BUY",ABS(N($AD19))&gt;=$BG$158),1,0)</f>
      </c>
      <c r="MU19" t="str">
        <f>IF(N($MY19)=1,"",IF(OR(N($MT19)=1,AND(OR('King Node Model'!$A$8="Neg",N($BG$72)=1),$AG19="S",ISNUMBER($AB19),$AB19=MIN($AB$9:$AB$55),$AA19=$BG$105)),"• Min GEX + Max Zomma (no reversal flag required) — accelerant warning not applied; zomma acceleration warning only within "&amp;$BG$98&amp;" pts of the level, and not when vanna buying is "&amp;TEXT($BG$158/1000,"0")&amp;"K or more"&amp;CHAR(10)&amp;IF(N($MT19)=1,"• Max Zomma and vanna buying ("&amp;TEXT(N($AD19)/1000,"+#,##0;-#,##0")&amp;"K) make this level safe","• Max Zomma is what makes this level safe"),"")&amp;$NB19&amp;$NI19)</f>
      </c>
      <c r="MV19" t="str">
        <f>IF(AND(ISNUMBER($AA19),OR($AA19=$BG$118,$AA19=$BG$119)),IF(N($AZ19)*IF($AG19="R",1,-1)&gt;0,"✓",IF(N($AZ19)*IF($AG19="R",1,-1)&lt;0,"✗","")),"")</f>
      </c>
      <c r="MW19">
        <f>IF(AND(N($MQ19)=1,N($BG$159)&gt;0,ISNUMBER(IF($AG19="R",$AE20,$AE18)),N(IF($AG19="R",$AE20,$AE18))&lt;&gt;0),IF(ABS(N($AE19))&lt;$BG$159*ABS(IF($AG19="R",$AE20,$AE18)),1,0),0)</f>
      </c>
      <c r="MX19">
        <f>IF(AND(ISNUMBER($AA19),$AA19=$BG$121,$AG19="R",N($AE19)&lt;0,OR(COUNTIF('King Node Model'!$AL$42:$AL$44,$AA19)=0,N($HP19)=1),N($NC19)=1),2,IF(AND(ISNUMBER($AA19),$AA19=$BG$120,$AG19="S",N($AE19)&gt;0,OR(COUNTIF('King Node Model'!$AL$49:$AL$51,$AA19)=0,N($HP19)=1),N($ND19)=1),1,0))</f>
      </c>
      <c r="MY19">
        <f>IF(AND(N($NA19)=1,NOT(AND(AND($AG19="S",ISNUMBER($AB19),$AB19=MIN($AB$9:$AB$55),$AA19=$BG$105),IFERROR(INDEX($AG$9:$AG$55,MATCH('King Node Model'!$B$23,$AA$9:$AA$55,0)),"")="R")),N($AV19)&lt;&gt;1),1,0)</f>
      </c>
      <c r="MZ19" t="str">
        <f>IF(N($MY19)&lt;&gt;1,"","• DEX falls off more sharply "&amp;IF($AG19="S","above (","below (")&amp;TEXT(IF($AG19="S",$KU19,$KV19),"0%")&amp;") than "&amp;IF($AG19="S","below (","above (")&amp;TEXT(IF($AG19="S",$KV19,$KU19),"0%")&amp;") — path of least resistance "&amp;IF($AG19="S","down","up")&amp;IF(N($AZ19)*IF($AG19="R",1,-1)&lt;0,CHAR(10)&amp;"• Speed against — GEX gets more negative as price "&amp;IF($AG19="R","rises","falls")&amp;" into it (speed "&amp;TEXT(N($AZ19),"#,##0;−#,##0")&amp;")","")&amp;IF(OR(N($NG19)=1,N($JC19)=1),CHAR(10)&amp;"• "&amp;IF(N($JC19)=1,"DOM with vanna BUY "&amp;TEXT(N($AD19)/1000,"+#,##0;−#,##0")&amp;"K","Put wall + Max Zomma + DOM")&amp;" backs the level, but it does not outweigh DEX"&amp;IF(N($AZ19)*IF($AG19="R",1,-1)&lt;0," and speed",""),IF(AND($AG19="S",ISNUMBER($AB19),$AB19=MIN($AB$9:$AB$55),$AA19=$BG$105),CHAR(10)&amp;"• Min GEX + Max Zomma backs the level, but it does not outweigh DEX"&amp;IF(N($AZ19)*IF($AG19="R",1,-1)&lt;0," and speed",""),IF(OR(N($JI19)=1,AND(N($GV19)=1,N($JK19)&lt;&gt;1,N($IW19)&lt;&gt;1),N($JC19)=1,AND($AA19='King Node Model'!$F$24,N($JN19)&lt;&gt;1,OR($AG19="R",AND($AG19="S",$F$4="High",IF($BG$80&lt;&gt;"",UPPER($BG$80),$D$5)="UP")))),CHAR(10)&amp;"• Vanna "&amp;IF($AG19="S","BUY ","SELL ")&amp;TEXT(N($AD19)/1000,"+#,##0;−#,##0")&amp;"K backs the level, but it does not outweigh DEX"&amp;IF(N($AZ19)*IF($AG19="R",1,-1)&lt;0," and speed",""),"")))&amp;IF(N($NE19)=1,CHAR(10)&amp;"• Buy-lean max-node exemption not applied — DEX leans against the level",""))</f>
      </c>
      <c r="NA19">
        <f>IF(AND(OR('King Node Model'!$A$8="Neg",N($BG$72)=1),ISNUMBER($AA19),ABS(N($AE19))&gt;=$BG$152,ISNUMBER($KU19),ISNUMBER($KV19)),IF(OR(AND($AG19="S",OR(AND($KU19&gt;=$BG$114,$KU19&gt;=$KV19+$BG$115),AND($KU19&gt;1,$KV19&lt;=1,$KV19&gt;=$BG$114))),AND($AG19="R",OR(AND($KV19&gt;=$BG$114,$KV19&gt;=$KU19+$BG$115),AND($KV19&gt;1,$KU19&lt;=1,$KU19&gt;=$BG$114)))),1,0),0)</f>
      </c>
      <c r="NB19" t="str">
        <f>IF(AND(N($NA19)=1,AND(AND($AG19="S",ISNUMBER($AB19),$AB19=MIN($AB$9:$AB$55),$AA19=$BG$105),IFERROR(INDEX($AG$9:$AG$55,MATCH('King Node Model'!$B$23,$AA$9:$AA$55,0)),"")="R")),CHAR(10)&amp;"• DEX falls off more sharply above ("&amp;TEXT($KU19,"0%")&amp;") than below ("&amp;TEXT($KV19,"0%")&amp;") — DEX-lean warning not applied: Min GEX + Max Zomma support with Max Gamma "&amp;'King Node Model'!$B$23&amp;" above (Dex↓ not counted)",IF(AND(OR(N($NA19)=1,N($NF19)=1),N($AV19)=1),IF(AND(OR('King Node Model'!$A$8="Neg",N($BG$72)=1),$AG19="S",ISNUMBER($AB19),$AB19=MIN($AB$9:$AB$55),$AA19=$BG$105),CHAR(10),"")&amp;"• DEX falls off more sharply "&amp;IF($AG19="S","above (","below (")&amp;TEXT(IF($AG19="S",$KU19,$KV19),"0%")&amp;") than "&amp;IF($AG19="S","below (","above (")&amp;TEXT(IF($AG19="S",$KV19,$KU19),"0%")&amp;") — DEX lean does not apply to iDex (isolated DEX)",""))</f>
      </c>
      <c r="NC19">
        <f>IF(OR($BG$163=1,AND($BG$161&gt;0,$BG$162&lt;99999,ISNUMBER($AA19),$AA19&lt;$BG$162)),1,0)</f>
      </c>
      <c r="ND19">
        <f>IF(OR($BG$163=-1,AND($BG$161&gt;0,$BG$162&lt;99999,ISNUMBER($AA19),$AA19&gt;$BG$161)),1,0)</f>
      </c>
      <c r="NE19">
        <f>IF(AND(OR('King Node Model'!$A$8="Neg",N($BG$72)=1),ISNUMBER(SEARCH("LOW",'Master Dashboard'!$M$5)),ISNUMBER(SEARCH("BUY",'Master Dashboard'!$G$8)),'King Node Model'!$T$23='King Node Model'!$B$23,OR($AA19='King Node Model'!$T$23,AND($AG19="R",$AA19='King Node Model'!$T$23+5)),OR(AND($AG19="S",$JV19="BUY"),AND($AG19="R",$JV19="SELL"))),1,0)</f>
      </c>
      <c r="NF19">
        <f>IFERROR(IF(OR(NOT(ISNUMBER($AA19)),'King Node Model'!$A$8&lt;&gt;"Pos",N($BG$72)=1,ABS(N($AE19))&lt;$BG$113,$FA19="DOM",$AA19='King Node Model'!$T$23,AND(N($BG$116)=1,$AA19='King Node Model'!$F$24),NOT(ISNUMBER($KU19)),NOT(ISNUMBER($KV19))),0,IF(AND($AG19="S",COUNTIF('Master Dashboard'!$AN$16:$AN$18,$AA19)=0,$KU19&gt;=$BG$114,$KU19&gt;=$KV19+$BG$115,NOT(AND(N($AN20)=1,N($KV19)&lt;0)),N($AE19)&lt;=0),1,IF(AND($AG19="R",COUNTIF('Master Dashboard'!$AN$13:$AN$15,$AA19)=0,$KV19&gt;=$BG$114,$KV19&gt;=$KU19+$BG$115,NOT(AND(N($AN18)=1,N($KU19)&lt;0))),-1,0))),0)</f>
      </c>
      <c r="NG19">
        <f t="shared" si="202"/>
      </c>
      <c r="NI19" t="str">
        <f>IF(AND(ISNUMBER($BG$165),ISNUMBER($AA19)),IF(OR(AND($AG19="S",$AA19&gt;$BG$165,$AA19-$BG$165&lt;=5),AND($AG19="R",$AA19&lt;$BG$165,$BG$165-$AA19&lt;=5)),IF(OR(AND(OR('King Node Model'!$A$8="Neg",N($BG$72)=1),$AG19="S",ISNUMBER($AB19),$AB19=MIN($AB$9:$AB$55),$AA19=$BG$105),$NB19&lt;&gt;""),CHAR(10),"")&amp;"• DOM forming at "&amp;$BG$165&amp;" (gamma "&amp;TEXT($BG$166,"0%")&amp;" of max) — price may be pulled to the node",""),"")</f>
      </c>
      <c r="NJ19">
        <f>IF(LEN($NI19)&gt;0,1,0)</f>
      </c>
    </row>
    <row r="20" spans="1:349" ht="15" customHeight="1" x14ac:dyDescent="0.25">
      <c r="A20" s="227" t="str">
        <f t="shared" si="194"/>
        <v>7750</v>
      </c>
      <c r="B20" s="228">
        <f>IFERROR(INDEX('King Node Model'!$C$29:$C$75,MATCH(IF($W20="",$V20,$W20),'King Node Model'!$A$29:$A$75,0)),"")</f>
        <v>-1614015</v>
      </c>
      <c r="C20" s="229" t="str">
        <f t="shared" si="195"/>
        <v>Gam Dex Dex↓</v>
      </c>
      <c r="D20" s="229">
        <f t="shared" si="196"/>
        <v>3</v>
      </c>
      <c r="E20" s="229" t="str">
        <f t="shared" si="197"/>
        <v>REVERSAL</v>
      </c>
      <c r="F20" s="230" t="str">
        <f t="shared" si="198"/>
        <v>ACCELERANT</v>
      </c>
      <c r="G20" s="397" t="str">
        <f t="shared" si="199"/>
        <v>Dormant</v>
      </c>
      <c r="R20" s="181" t="s">
        <v>1224</v>
      </c>
      <c r="S20" s="276">
        <f>SUMPRODUCT(('King Node Model'!$A$29:$A$75&lt;&gt;"")*(ABS('King Node Model'!$A$29:$A$75-$B$4)&lt;=30)*'King Node Model'!$H$29:$H$75)</f>
        <v>1611</v>
      </c>
      <c r="V20" s="1">
        <f>IFERROR(INDEX($AA$9:$AA$55,MATCH("S3",$BB$9:$BB$55,0)),"")</f>
        <v>7765</v>
      </c>
      <c r="W20">
        <v>7750</v>
      </c>
      <c r="AA20" s="181">
        <f>'King Node Model'!A40</f>
        <v>7830</v>
      </c>
      <c r="AB20" s="276">
        <f>'King Node Model'!C40</f>
        <v>437700</v>
      </c>
      <c r="AC20" s="181">
        <f>ABS('King Node Model'!B40)</f>
        <v>560967</v>
      </c>
      <c r="AD20" s="276">
        <f>'King Node Model'!F40</f>
        <v>1760433</v>
      </c>
      <c r="AE20" s="276">
        <f>'King Node Model'!E40</f>
        <v>-343825</v>
      </c>
      <c r="AF20" s="276">
        <f>'King Node Model'!D40</f>
        <v>8309614</v>
      </c>
      <c r="AG20" s="181" t="str">
        <f t="shared" si="6"/>
        <v>R</v>
      </c>
      <c r="AH20" s="181">
        <f t="shared" si="7"/>
        <v>9</v>
      </c>
      <c r="AI20" s="181" t="str">
        <f t="shared" si="8"/>
        <v>SELL</v>
      </c>
      <c r="AJ20" s="181">
        <f t="shared" si="9"/>
        <v>1</v>
      </c>
      <c r="AK20" s="181">
        <f>IF(ABS(N($AE20))&gt;=$BG$85,1,0)</f>
      </c>
      <c r="AL20" s="181">
        <f t="shared" si="10"/>
        <v>1</v>
      </c>
      <c r="AM20" s="181">
        <f t="shared" si="11"/>
        <v>4</v>
      </c>
      <c r="AN20" s="181">
        <f t="shared" si="12"/>
        <v>1</v>
      </c>
      <c r="AO20" s="1">
        <f t="shared" si="13"/>
        <v>343825</v>
      </c>
      <c r="AP20" s="1" t="str">
        <f t="shared" si="14"/>
        <v/>
      </c>
      <c r="AQ20" s="1">
        <f t="shared" si="15"/>
        <v>8309614</v>
      </c>
      <c r="AR20" s="181">
        <f t="shared" si="16"/>
        <v>0.88530981755757332</v>
      </c>
      <c r="AS20" s="181">
        <f t="shared" si="17"/>
        <v>4</v>
      </c>
      <c r="AT20" s="181" t="str">
        <f t="shared" si="18"/>
        <v/>
      </c>
      <c r="AU20" s="181" t="str">
        <f t="shared" si="19"/>
        <v/>
      </c>
      <c r="AV20" s="218">
        <f t="shared" si="183"/>
        <v>0</v>
      </c>
      <c r="AW20" s="181">
        <f>ABS('King Node Model'!G40)</f>
        <v>906</v>
      </c>
      <c r="AX20" s="181">
        <f t="shared" si="20"/>
        <v>1</v>
      </c>
      <c r="AY20" s="181">
        <f t="shared" si="21"/>
        <v>0</v>
      </c>
      <c r="AZ20" s="276">
        <f>'King Node Model'!I40</f>
        <v>8694</v>
      </c>
      <c r="BA20" s="181">
        <f t="shared" si="22"/>
        <v>0</v>
      </c>
      <c r="BB20" s="181" t="str">
        <f t="shared" si="23"/>
        <v>R4</v>
      </c>
      <c r="BC20" s="10">
        <f>'King Node Model'!C40</f>
        <v>437700</v>
      </c>
      <c r="BD20" s="218">
        <f t="shared" si="184"/>
        <v>1</v>
      </c>
      <c r="BE20" s="218">
        <f t="shared" si="185"/>
        <v>1</v>
      </c>
      <c r="BF20" s="336" t="s">
        <v>1225</v>
      </c>
      <c r="BG20" s="414">
        <f>IF(OR('King Node Model'!$A$8="Neg",N($BG$72)=1),$BG$13,$BG$11)</f>
        <v>2</v>
      </c>
      <c r="BI20" s="218">
        <f t="shared" si="186"/>
        <v>0</v>
      </c>
      <c r="BJ20" s="218">
        <f t="shared" si="187"/>
        <v>0</v>
      </c>
      <c r="BK20" s="218">
        <f t="shared" si="24"/>
        <v>0</v>
      </c>
      <c r="BL20" s="10">
        <f>'King Node Model'!H40</f>
        <v>36</v>
      </c>
      <c r="BM20" s="218">
        <f t="shared" si="25"/>
        <v>21</v>
      </c>
      <c r="BN20" s="218">
        <f t="shared" si="26"/>
        <v>7</v>
      </c>
      <c r="BO20" s="218">
        <f t="shared" si="27"/>
        <v>0</v>
      </c>
      <c r="BP20" s="218">
        <f t="shared" si="28"/>
        <v>0</v>
      </c>
      <c r="BQ20" t="str">
        <f t="shared" si="29"/>
        <v/>
      </c>
      <c r="BR20" t="str">
        <f t="shared" si="30"/>
        <v/>
      </c>
      <c r="BS20" s="218">
        <f t="shared" si="31"/>
        <v>0</v>
      </c>
      <c r="BT20" t="str">
        <f t="shared" si="32"/>
        <v/>
      </c>
      <c r="BU20" t="str">
        <f t="shared" si="33"/>
        <v/>
      </c>
      <c r="BV20" s="218">
        <f t="shared" si="34"/>
        <v>1760433</v>
      </c>
      <c r="BW20" s="218">
        <f t="shared" si="35"/>
        <v>343825</v>
      </c>
      <c r="BX20" s="218">
        <f>IF(AND(ISNUMBER(BC20),BC20&gt;=$BG$160,OR('King Node Model'!$A$8="Neg",N($BG$72)=1)),1,0)</f>
        <v>1</v>
      </c>
      <c r="BY20" s="218">
        <f t="shared" si="36"/>
        <v>0</v>
      </c>
      <c r="BZ20" s="218">
        <f t="shared" si="37"/>
        <v>0</v>
      </c>
      <c r="CA20" t="str">
        <f t="shared" si="38"/>
        <v/>
      </c>
      <c r="CB20" s="218">
        <f>IF(AND(ISNUMBER('King Node Model'!$D$27),AG20&lt;&gt;"",AA20='King Node Model'!$D$27),1,0)</f>
        <v>0</v>
      </c>
      <c r="CC20" s="218">
        <f>IF(OR('King Node Model'!$A$8="Neg",N($BG$72)=1),$BG$14*IF(ISNUMBER('King Node Model'!$D$26),MAX(0,1-ABS(AA20-'King Node Model'!$D$26)/$BG$18),0)+$BG$15*IFERROR(BV20/MAX($BV$9:$BV$55),0)+$BG$16*IFERROR(BW20/MAX($BW$9:$BW$55),0)+$BG$17*IFERROR(AC20/$S$11,0)*MAX(0,1+$BG$21*CF20),AR20)</f>
        <v>1.2119363100977707</v>
      </c>
      <c r="CD20" s="218">
        <f>IF(OR('King Node Model'!$A$8="Neg",N($BG$72)=1),IF(AND(AG20&lt;&gt;"",ABS(AA20-$B$4)&lt;=$BG$7,OR(AX20=0,$D$5&lt;&gt;"UP"),AY20=0,BK20&lt;&gt;1,CI20=0,AM20&gt;=$BG$20,AC20&gt;$BG$19),1,0),IF(AND(BS20=1,(COUNTIF($W$9:$W$14,AA20)+COUNTIF($W$18:$W$23,AA20))&gt;0,CI20=0,AM20&gt;=$BG$20,AC20&gt;$BG$19),1,0))</f>
        <v>0</v>
      </c>
      <c r="CE20" t="str">
        <f t="shared" si="39"/>
        <v/>
      </c>
      <c r="CF20" s="218">
        <f t="shared" si="40"/>
        <v>-1</v>
      </c>
      <c r="CG20" t="str">
        <f t="shared" si="41"/>
        <v>WEAKENING · Pos gamma ↓ · thinning the ceiling</v>
      </c>
      <c r="CH20" t="str">
        <f t="shared" si="42"/>
        <v>Weakening</v>
      </c>
      <c r="CI20" s="218">
        <f t="shared" si="43"/>
        <v>0</v>
      </c>
      <c r="CJ20" s="218">
        <f t="shared" si="44"/>
        <v>387420489</v>
      </c>
      <c r="CK20" s="218">
        <f t="shared" si="45"/>
        <v>0</v>
      </c>
      <c r="CL20" s="218">
        <f t="shared" si="46"/>
        <v>0</v>
      </c>
      <c r="CQ20" s="218">
        <f t="shared" si="200"/>
        <v>7750</v>
      </c>
      <c r="CT20">
        <v>1</v>
      </c>
      <c r="CU20" s="218">
        <f>IF(AND(AND('King Node Model'!$A$8&lt;&gt;"Neg",N($BG$72)&lt;&gt;1),SUMPRODUCT(($AG$9:$AG$55="S")*ISNUMBER($AT$9:$AT$55)*ISNUMBER($AU$9:$AU$55)*($AT$9:$AT$55&lt;&gt;$AU$9:$AU$55)*($AT$9:$AT$55&lt;=$AA20)*($AU$9:$AU$55&gt;=$AA20))&gt;0),0,IF(AND(OR($AA20='King Node Model'!$T$22,$AA20='King Node Model'!$F$24),$AG20="R",COUNTIF($W$9:$W$14,$AA20)&gt;0),1,IF(AND($FN20=1,$EU20&lt;&gt;1,$EM20&lt;&gt;1,$BK20&lt;&gt;1,$DH20&lt;&gt;1,$AG20="R",COUNTIF($W$9:$W$14,$AA20)&gt;0),1,IF($EU20=1,0,IF($EM20=1,0,IF(AND(OR($EE20=1,$GV20=1,AND($EL$7=1,$AA20='King Node Model'!$D$26,$EI20=1),AND(OR($AA20='King Node Model'!$T$22,$AA20='King Node Model'!$T$23),$AN20=1,OR($AX20=0,$D$5&lt;&gt;"UP"))),OR(NOT(OR('King Node Model'!$A$8="Neg",N($BG$72)=1)),$GV20=1,AND(OR($AA20='King Node Model'!$T$22,$AA20='King Node Model'!$T$23),$AN20=1,OR($AX20=0,$D$5&lt;&gt;"UP")),AND($AM20&gt;=$BG$20,$AC20&gt;IF($CZ20=1,$BG$48,$BG$19)))),1,IF($DH20=1,0,IF(AND($DC20=1,$GS20&lt;&gt;1,AND('King Node Model'!$A$8&lt;&gt;"Neg",N($BG$72)&lt;&gt;1)),0,IF(AND($EY20=1,NOT(OR('King Node Model'!$A$8="Neg",$BG$72=1)),$AA20&lt;&gt;'King Node Model'!$B$23),0,IF(AND($GS20=1,$AG20="R",OR($CI20=0,$EE20=1,$EX20=1,$GV20=1),COUNTIF($W$9:$W$14,$AA20)&gt;0,ABS($AA20-$B$4)&lt;=$BG$7,$BK20&lt;&gt;1,$AM20&gt;=$BG$20,$AC20&gt;IF($CZ20=1,$BG$48,$BG$19)),1,IF(OR('King Node Model'!$A$8="Neg",N($BG$72)=1),IF(AND(OR($AM20&gt;=$BG$20,$AA20='King Node Model'!$D$26,$GV20=1),$AG20="R",COUNTIF($W$9:$W$14,$AA20)&gt;0,ABS($AA20-$B$4)&lt;=$BG$7,OR($AX20=0,$D$5&lt;&gt;"UP"),$BK20&lt;&gt;1,OR(OR($CI20=0,$AJ20=1),AND($EI20=1,$LA20=1,COUNTIF($W$9:$W$11,$AA20)&gt;0,$AN20=1,OR($AX20=0,$D$5&lt;&gt;"UP"))),$AM20&gt;=$BG$20,$AC20&gt;IF($CZ20=1,$BG$48,$BG$19),OR($AN20=1,N($LR20)=1,$AA20='King Node Model'!$D$26,AND($BY20=1,$AA20&gt;$B$4),$BX20=1,$CF20=1,$CF20=1,AND(OR($AA20=$CP$4,$AA20=$CP$5,$AA20=$CP$6,$AA20=$CP$7),ABS($AA20-$B$4)&lt;=30),AND($AX20=1,$D$5="DOWN"))),1,0),IF(AND(OR($AM20&gt;=3,$AA20='King Node Model'!$D$26,$GV20=1),$AG20="R",COUNTIF($W$9:$W$14,$AA20)&gt;0,ABS($AA20-$B$4)&lt;=$BG$7,OR($AX20=0,$D$5&lt;&gt;"UP"),$BK20&lt;&gt;1,OR($CI20=0,$AJ20=1),$AM20&gt;=$BG$20,$AC20&gt;IF($CZ20=1,$BG$48,$BG$19),OR($AC20&gt;=MAX($AC$9:$AC$55),$BC20&gt;0,$AA20='King Node Model'!$D$26,AND(OR($AA20=$CP$4,$AA20=$CP$5,$AA20=$CP$6,$AA20=$CP$7),ABS($AA20-$B$4)&lt;=30),$CF20=1,$AN20=1,AND($AX20=1,$D$5="DOWN"))),1,0))))))))))))</f>
        <v>0</v>
      </c>
      <c r="CV20" s="218">
        <f>IF(AND(OR('King Node Model'!$A$8="Neg",N($BG$72)=1),$AG20="S",N($LR20)=1,N($MB20)=1),1,IF(AND(AND('King Node Model'!$A$8&lt;&gt;"Neg",N($BG$72)&lt;&gt;1),SUMPRODUCT(($AG$9:$AG$55="R")*ISNUMBER($AT$9:$AT$55)*ISNUMBER($AU$9:$AU$55)*($AT$9:$AT$55&lt;&gt;$AU$9:$AU$55)*($AT$9:$AT$55&lt;=$AA20)*($AU$9:$AU$55&gt;=$AA20))&gt;0,NOT(AND(N($LC20)=1,$AA20='King Node Model'!$B$23))),0,IF(AND($AA20='King Node Model'!$F$24,$AG20="S",COUNTIF($W$18:$W$23,$AA20)&gt;0),1,IF(AND($FN20=1,$EU20&lt;&gt;1,$EM20&lt;&gt;1,$DH20&lt;&gt;1,$AG20="S",COUNTIF($W$18:$W$23,$AA20)&gt;0),1,IF($EU20=1,0,IF(AND(OR($EF20=1,$GV20=1,AND(OR($AA20='King Node Model'!$T$22,$AA20='King Node Model'!$T$23,AND($AG20="S",COUNTIF('Master Dashboard'!$AN$16:$AN$18,$AA20)&gt;0)),$AN20=1,OR($AX20=0,$D$5&lt;&gt;"UP"))),OR(NOT(OR('King Node Model'!$A$8="Neg",N($BG$72)=1)),$GV20=1,AND(OR($AA20='King Node Model'!$T$22,$AA20='King Node Model'!$T$23,AND($AG20="S",COUNTIF('Master Dashboard'!$AN$16:$AN$18,$AA20)&gt;0)),$AN20=1,OR($AX20=0,$D$5&lt;&gt;"UP")),AND($AM20&gt;=$BG$20,$AC20&gt;IF($CZ20=1,$BG$48,$BG$19)))),1,IF($DH20=1,0,IF(AND($DC20=1,$GS20&lt;&gt;1,AND('King Node Model'!$A$8&lt;&gt;"Neg",N($BG$72)&lt;&gt;1)),0,IF(AND($EY20=1,NOT(OR('King Node Model'!$A$8="Neg",$BG$72=1)),$AA20&lt;&gt;'King Node Model'!$B$23,COUNTIF('Master Dashboard'!$AN$16:$AN$18,$AA20)=0),0,IF(AND($GS20=1,$AG20="S",OR($CI20=0,$EF20=1,$EX20=1,$GV20=1),COUNTIF($W$18:$W$23,$AA20)&gt;0,ABS($AA20-$B$4)&lt;=$BG$7,$BK20&lt;&gt;1,$AM20&gt;=$BG$20,$AC20&gt;IF($CZ20=1,$BG$48,$BG$19)),1,IF(OR('King Node Model'!$A$8="Neg",N($BG$72)=1),IF(AND(OR(OR($AM20&gt;=$BG$20,N($LR20)=1),$AA20='King Node Model'!$D$26,$GV20=1),$AG20="S",COUNTIF($W$18:$W$23,$AA20)&gt;0,ABS($AA20-$B$4)&lt;=$BG$7,OR($AX20=0,$D$5&lt;&gt;"UP"),$BK20&lt;&gt;1,OR($CI20=0,$AJ20=1,AND(N($LR20)=1,N($MB20)=1),N($MT20)=1),OR($AM20&gt;=$BG$20,N($LR20)=1),$AC20&gt;IF($CZ20=1,$BG$48,$BG$19),OR($AB20&gt;0,$AN20=1,N($MT20)=1,N($LR20)=1,$AA20='King Node Model'!$D$26,AND($BY20=1,$AA20&lt;$B$4),$BX20=1,$CF20=1,$CF20=1,AND(OR($AA20=$CP$4,$AA20=$CP$5,$AA20=$CP$6,$AA20=$CP$7),ABS($AA20-$B$4)&lt;=30),AND($AX20=1,$D$5="DOWN"))),1,0),IF(AND(OR($AM20&gt;=3,$AA20='King Node Model'!$D$26,$GV20=1),$AG20="S",COUNTIF($W$18:$W$23,$AA20)&gt;0,ABS($AA20-$B$4)&lt;=$BG$7,OR($AX20=0,$D$5&lt;&gt;"UP"),$BK20&lt;&gt;1,OR($CI20=0,$AJ20=1,AND(N($LR20)=1,N($MB20)=1),N($MT20)=1),$AM20&gt;=$BG$20,$AC20&gt;IF($CZ20=1,$BG$48,$BG$19),OR($AC20&gt;=MAX($AC$9:$AC$55),$BC20&gt;0,N($MT20)=1,$AA20='King Node Model'!$D$26,AND(OR($AA20=$CP$4,$AA20=$CP$5,$AA20=$CP$6,$AA20=$CP$7),ABS($AA20-$B$4)&lt;=30),$CF20=1,$AN20=1,AND($AX20=1,$D$5="DOWN"))),1,0))))))))))))</f>
        <v>0</v>
      </c>
      <c r="CX20" s="218">
        <f t="shared" si="48"/>
        <v>0</v>
      </c>
      <c r="CY20" t="str">
        <f t="shared" si="49"/>
        <v/>
      </c>
      <c r="CZ20" s="218">
        <f t="shared" si="50"/>
        <v>0</v>
      </c>
      <c r="DA20">
        <f t="shared" si="51"/>
        <v>560967</v>
      </c>
      <c r="DB20" t="str">
        <f t="shared" si="52"/>
        <v/>
      </c>
      <c r="DC20" s="218">
        <f t="shared" si="53"/>
        <v>1</v>
      </c>
      <c r="DD20" s="218">
        <f t="shared" si="54"/>
        <v>1</v>
      </c>
      <c r="DE20" s="218">
        <f t="shared" si="55"/>
        <v>1</v>
      </c>
      <c r="DF20">
        <f t="shared" si="56"/>
        <v>7830</v>
      </c>
      <c r="DG20">
        <f t="shared" si="57"/>
        <v>7830</v>
      </c>
      <c r="DH20" s="218">
        <f t="shared" si="58"/>
        <v>0</v>
      </c>
      <c r="DI20">
        <v>1</v>
      </c>
      <c r="DJ20">
        <v>1</v>
      </c>
      <c r="DK20">
        <v>190586</v>
      </c>
      <c r="DL20">
        <v>0</v>
      </c>
      <c r="DM20" t="str">
        <f>IF(AND($CV20=1,$AG20="S"),IF(AND(OR('King Node Model'!$A$8="Neg",N($BG$72)=1),'King Node Model'!$S$52=""),IF(OR(N($AN20)=1,N($LR20)=1,$AB20&gt;0,$AJ20=1,N($JO20)=1,AND(NOT($AE20&gt;0),NOT(IFERROR(AND(ISNUMBER($BC20),ISNUMBER($BC19),($BC20&gt;=0)&lt;&gt;($BC19&gt;=0)),FALSE())),OR(AND($BM20&lt;=6,$BN20&lt;=6),ABS($AA20-'King Node Model'!$T$23)&lt;=5,$LA20=1))),1,0),1),"")</f>
        <v/>
      </c>
      <c r="DN20" t="str">
        <f t="shared" si="59"/>
        <v/>
      </c>
      <c r="DO20" t="str">
        <f t="shared" si="60"/>
        <v>vommaIVup</v>
      </c>
      <c r="DP20" t="str">
        <f>IF(AND(OR('King Node Model'!$A$8="Neg",N($BG$72)=1),$AG20="S",ISNUMBER($AT20),ISNUMBER($AU20),$AT20&lt;&gt;$AU20,$AA20=$AT20),IF(AND(SUMPRODUCT(($AA$9:$AA$55&gt;=$AT20)*($AA$9:$AA$55&lt;=$AU20)*($AB$9:$AB$55&gt;0))&gt;0,SUMPRODUCT(($AA$9:$AA$55&gt;=$AT20)*($AA$9:$AA$55&lt;=$AU20)*($DM$9:$DM$55=1))&gt;0,SUMPRODUCT(($AA$9:$AA$55&gt;=$AT20)*($AA$9:$AA$55&lt;=$AU20)*(COUNTIF($W$18:$W$20,$AA$9:$AA$55)&gt;0))&gt;0),1,0),"")</f>
        <v/>
      </c>
      <c r="DS20">
        <v>0</v>
      </c>
      <c r="DT20">
        <v>0</v>
      </c>
      <c r="DU20" t="str">
        <f>IF('King Node Model'!$A$8&lt;&gt;"Pos","",IF(OR($AA20="",NOT(ISNUMBER($AA20)),ABS($AA20-$B$4)&gt;$BG$7),"",TEXT($AA20,"0")&amp;" | "&amp;IF($AG20="","unclassified",IF($AG20&lt;&gt;IF($AA20&gt;$B$4,"R","S"),"orphan: in "&amp;$AG20&amp;"-list, "&amp;IF($AA20&lt;$B$4,"below","above")&amp;" spot",IF(IF($AG20="R",COUNTIF($W$9:$W$14,$AA20),COUNTIF($W$18:$W$23,$AA20))=0,"not in "&amp;$AG20&amp;"-list",IF($DH20=1,"absorbed into shelf box",IF($BK20=1,"absorbed: adjacent reversal",IF($CI20=1,"accel-accelerant",IF($AC20&lt;=$BG$19,"below gamma-floor",IF($AM20&lt;$BG$20,"confluence "&amp;TEXT($AM20,"0")&amp;" &lt; "&amp;TEXT($BG$20,"0"),IF(AND($AX20=1,$D$5="UP"),"accelerant in up-move",IF(NOT(OR($AC20&gt;=MAX($AC$9:$AC$55),$BC20&gt;0,$AA20='King Node Model'!$D$26,AND(OR($AA20=$CP$4,$AA20=$CP$5,$AA20=$CP$6,$AA20=$CP$7),ABS($AA20-$B$4)&lt;=30),ISNUMBER(SEARCH("STRENGTHENING",$CG20)),$AN20=1,AND($AX20=1,$D$5="DOWN"))),"no surface flag","-&gt; qualifies"))))))))))))</f>
        <v/>
      </c>
      <c r="DV20" s="218">
        <f t="shared" si="61"/>
        <v>54.609999999999673</v>
      </c>
      <c r="DW20" s="218">
        <f t="shared" si="62"/>
        <v>99999</v>
      </c>
      <c r="DX20" t="str">
        <f>IF('King Node Model'!$A$8&lt;&gt;"Pos","",IF(AND($DV20&lt;99999,$DV20=MIN($DV$9:$DV$55),$DG20&gt;$AA20),"R-box: "&amp;TEXT($AA20,"0")&amp;"-"&amp;TEXT($DG20,"0"),IF(AND($DW20&lt;99999,$DW20=MIN($DW$9:$DW$55),$DF20&lt;$AA20),"S-box: "&amp;TEXT($DF20,"0")&amp;"-"&amp;TEXT($AA20,"0"),"")))</f>
        <v/>
      </c>
      <c r="EB20">
        <f t="shared" si="63"/>
        <v>54.609999999999673</v>
      </c>
      <c r="EC20">
        <f t="shared" si="64"/>
        <v>538591</v>
      </c>
      <c r="ED20">
        <f t="shared" si="65"/>
        <v>0</v>
      </c>
      <c r="EE20">
        <f>IF(AND(OR('King Node Model'!$A$8="Neg",N($BG$72)=1),$AG20="R",ISNUMBER($EB20),$EB20&lt;=$BG$7,$AB20&gt;0,$EC20&gt;0,$AB20=$EC20),1,0)</f>
        <v>0</v>
      </c>
      <c r="EF20">
        <f>IF(AND(OR('King Node Model'!$A$8="Neg",N($BG$72)=1),$AG20="S",ISNUMBER($EB20),$EB20&lt;=$BG$7,$AB20&gt;0,$ED20&gt;0,$AB20=$ED20),1,0)</f>
        <v>0</v>
      </c>
      <c r="EI20">
        <v>1</v>
      </c>
      <c r="EJ20">
        <f>IF($AA20="",0,IF(SUMPRODUCT(($AA$9:$AA$55&gt;=$AT20)*($AA$9:$AA$55&lt;=$AU20)*($DT$9:$DT$55=1))+SUMPRODUCT(($DT$9:$DT$55=1)*($AT$9:$AT$55&lt;=$AA20)*($AU$9:$AU$55&gt;=$AA20))+($DT20=1)+AND(OR('King Node Model'!$A$8="Neg",N($BG$72)=1),ISNUMBER(SEARCH("LOW",'Master Dashboard'!$M$5)),ISNUMBER(SEARCH("BUY",'Master Dashboard'!$G$8)),'King Node Model'!$T$23='King Node Model'!$B$23,$AA20&gt;='King Node Model'!$T$23,$AA20&lt;='King Node Model'!$T$23+5)*1&gt;0,1,0))</f>
        <v>0</v>
      </c>
      <c r="EM20">
        <f t="shared" si="66"/>
        <v>0</v>
      </c>
      <c r="EN20">
        <v>0</v>
      </c>
      <c r="EO20">
        <f t="shared" si="67"/>
        <v>0</v>
      </c>
      <c r="EP20">
        <f t="shared" si="68"/>
        <v>0</v>
      </c>
      <c r="EQ20" t="str">
        <f t="shared" si="69"/>
        <v>WEAKENING · Pos gamma ↓ · thinning the ceiling</v>
      </c>
      <c r="ES20" t="str">
        <f>IF(AND(ISNUMBER(AA20),ISNUMBER(AF20),ABS(AA20-'King Node Model'!$B$4)&lt;=$BG$7),ABS(AF20),"")</f>
        <v/>
      </c>
      <c r="ET20">
        <v>0</v>
      </c>
      <c r="EU20" s="218">
        <f>IF(AND(OR('King Node Model'!$A$8="Neg",N($BG$72)=1),ISNUMBER($AA19),ISNUMBER($AA20),ISNUMBER($AA21),ISNUMBER($AB19),ISNUMBER($AB20),ISNUMBER($AB21),ISNUMBER($AF20),$AB20&gt;0,$AB19&lt;0,$AB21&lt;0,$AF20&lt;0),1,0)</f>
        <v>0</v>
      </c>
      <c r="EW20">
        <f>IF(OR(N($MY20)=1,N($JM20)=1),0,N($NE20))</f>
        <v>0</v>
      </c>
      <c r="EX20">
        <f>IF(AND(OR('King Node Model'!$A$8="Neg",N($BG$72)=1),ISNUMBER($AA20),OR(AND($AA20='King Node Model'!$F$24,OR(AND($AG20="S",$F$4="High",IF($BG$80&lt;&gt;"",UPPER($BG$80),$D$5)="DOWN"),AND($AG20="R",$F$4="Low",IF($BG$80&lt;&gt;"",UPPER($BG$80),$D$5)="UP"))),$GV20=1)),1,0)</f>
        <v>0</v>
      </c>
      <c r="EY20">
        <f>IFERROR(IF(AND($DC20=1,$AB20&lt;0,$AC20&gt;=(1+$FA$6)*INDEX($AC$9:$AC$55,12-1),$AC20&gt;=(1+$FA$6)*INDEX($AC$9:$AC$55,12+1),$AC20&gt;=IFERROR(INDEX($AC$9:$AC$55,12-2),0),$AC20&gt;=IFERROR(INDEX($AC$9:$AC$55,12+2),0)),1,0),0)</f>
        <v>0</v>
      </c>
      <c r="FA20" t="str">
        <f>IF(NOT(ISNUMBER($AA20)),"",IFERROR(IF(AND($AC20=MAX($AC$9:$AC$55),$AB20=MIN($AB$9:$AB$55)),"DOM",IF(AND($DC19=1,$DC20=1,$DC21=1,INDEX($AC$9:$AC$55,12-1)&lt;=(1-$FA$6)*$AC20,INDEX($AC$9:$AC$55,12-1)&lt;=(1-$FA$6)*INDEX($AC$9:$AC$55,12-2)),"GAP↑",IF(AND($DC21=1,$DC20=1,INDEX($AC$9:$AC$55,12+1)&lt;=(1-$FA$6)*$AC20,INDEX($AC$9:$AC$55,12+1)&lt;=(1-$FA$6)*INDEX($AC$9:$AC$55,12+2)),"GAP↓",IF($CZ20=1,"dEdge Cliff",IF($GY20=1,"γWall",IF(AND($DC20=1,$AB20&lt;0,$AC20&gt;=(1+$FA$6)*INDEX($AC$9:$AC$55,12-1),$AC20&gt;=(1+$FA$6)*INDEX($AC$9:$AC$55,12+1)),"PEAK-",IF($GZ20=1,"γSh Edge",IF($HL20=1,"Trough",IF($HN20=1,"PEAK+",IF($GF20=1,"Cluster","")))))))))),""))</f>
        <v/>
      </c>
      <c r="FB20" t="str">
        <f t="shared" si="70"/>
        <v/>
      </c>
      <c r="FC20" t="str">
        <f t="shared" si="71"/>
        <v/>
      </c>
      <c r="FD20">
        <f>IF(AND(ISNUMBER($AA20),ISNUMBER('King Node Model'!$AP$17),ISNUMBER('King Node Model'!$AQ$17),$AA20&gt;=MIN('King Node Model'!$AP$17,'King Node Model'!$AQ$17),$AA20&lt;=MAX('King Node Model'!$AP$17,'King Node Model'!$AQ$17),IFERROR(INDEX($AC$9:$AC$55,MATCH('King Node Model'!$AL$42,$AA$9:$AA$55,0)),0)&gt;0,$AC20&gt;=(1-$FA$6)*IFERROR(INDEX($AC$9:$AC$55,MATCH('King Node Model'!$AL$42,$AA$9:$AA$55,0)),0),$AC20&lt;=(1+$FA$6)*IFERROR(INDEX($AC$9:$AC$55,MATCH('King Node Model'!$AL$42,$AA$9:$AA$55,0)),0)),1,0)</f>
        <v>0</v>
      </c>
      <c r="FE20">
        <f>IF($AA20='King Node Model'!$AL$42,1,IF(AND($FD20=1,$FE19=1),1,0))</f>
        <v>0</v>
      </c>
      <c r="FF20">
        <f>IF($AA20='King Node Model'!$AL$42,1,IF(AND($FD20=1,$FF21=1),1,0))</f>
        <v>0</v>
      </c>
      <c r="FG20" t="str">
        <f>IF(OR($FE20=1,$FF20=1),12,"")</f>
        <v/>
      </c>
      <c r="FJ20">
        <f>IF(AND($CW$2=1,ISNUMBER($AA20),ISNUMBER($CW$3),ISNUMBER($CW$4),$AA20&gt;=MIN($CW$3,$CW$4),$AA20&lt;=MAX($CW$3,$CW$4),IFERROR(INDEX($AC$9:$AC$55,MATCH('King Node Model'!$AP$67,$AA$9:$AA$55,0)),0)&gt;0,$AC20&gt;=(1-$FA$6)*IFERROR(INDEX($AC$9:$AC$55,MATCH('King Node Model'!$AP$67,$AA$9:$AA$55,0)),0),$AC20&lt;=(1+$FA$6)*IFERROR(INDEX($AC$9:$AC$55,MATCH('King Node Model'!$AP$67,$AA$9:$AA$55,0)),0)),1,0)</f>
        <v>0</v>
      </c>
      <c r="FK20">
        <f>IF(AND($CW$2=1,$AA20='King Node Model'!$AP$67),1,IF(AND($FJ20=1,$FK19=1),1,0))</f>
        <v>0</v>
      </c>
      <c r="FL20">
        <f>IF(AND($CW$2=1,$AA20='King Node Model'!$AP$67),1,IF(AND($FJ20=1,$FL21=1),1,0))</f>
        <v>0</v>
      </c>
      <c r="FM20" t="str">
        <f>IF(OR($FK20=1,$FL20=1),12,"")</f>
        <v/>
      </c>
      <c r="FN20">
        <v>0</v>
      </c>
      <c r="FR20" t="str">
        <f t="shared" si="72"/>
        <v/>
      </c>
      <c r="FS20">
        <f t="shared" si="188"/>
        <v>0</v>
      </c>
      <c r="FT20">
        <f t="shared" si="73"/>
        <v>0.78025980137869078</v>
      </c>
      <c r="FU20">
        <f t="shared" si="74"/>
        <v>560967</v>
      </c>
      <c r="FV20">
        <f>IF($FW20=0,"",IF(OR($FW19=0,SIGN(IFERROR($BC20*1,0))&lt;&gt;SIGN(IFERROR($BC19*1,0)),$GH20=1,$GH19=1),MAX($FV$9:$FV19)+1,$FV19))</f>
        <v>2</v>
      </c>
      <c r="FW20">
        <f t="shared" si="75"/>
        <v>1</v>
      </c>
      <c r="FX20">
        <f t="shared" si="76"/>
        <v>560967</v>
      </c>
      <c r="FY20">
        <f t="shared" si="77"/>
        <v>1</v>
      </c>
      <c r="FZ20">
        <f t="shared" si="189"/>
        <v>1</v>
      </c>
      <c r="GA20">
        <f t="shared" si="78"/>
        <v>1</v>
      </c>
      <c r="GB20">
        <f t="shared" si="79"/>
        <v>1</v>
      </c>
      <c r="GC20">
        <f t="shared" si="80"/>
        <v>560967</v>
      </c>
      <c r="GD20">
        <f t="shared" si="81"/>
        <v>7830</v>
      </c>
      <c r="GE20">
        <f t="shared" si="82"/>
        <v>7830</v>
      </c>
      <c r="GF20">
        <f t="shared" si="83"/>
        <v>0</v>
      </c>
      <c r="GH20">
        <f>IFERROR(IF(AND($AC20&gt;=(1+$FA$6)*INDEX($AC$9:$AC$55,12-1),$AC20&gt;=(1+$FA$6)*INDEX($AC$9:$AC$55,12+1)),1,0),0)</f>
        <v>0</v>
      </c>
      <c r="GK20">
        <v>0</v>
      </c>
      <c r="GO20">
        <v>0</v>
      </c>
      <c r="GP20">
        <v>0</v>
      </c>
      <c r="GQ20">
        <f t="shared" si="84"/>
        <v>0</v>
      </c>
      <c r="GR20">
        <f t="shared" si="85"/>
        <v>1</v>
      </c>
      <c r="GS20">
        <f>IF(AND($EY20=1,$AA20&lt;&gt;'King Node Model'!$B$23),0,IF(OR($GQ20=1,$GR20=1),1,IF($DC20=1,IF(OR('King Node Model'!$A$8="Neg",N($BG$72)=1),IF(OR(AND($AC20=MAX($AC$9:$AC$55),$AB20=MIN($AB$9:$AB$55)),$AN20=1,$EE20=1,$EF20=1,$EX20=1,$GV20=1),1,0),1),0)))</f>
        <v>1</v>
      </c>
      <c r="GT20">
        <f>IFERROR(IF(AND(OR('King Node Model'!$A$8="Neg",N($BG$72)=1),$EU19=1,$AG20="R",ISNUMBER($AA20),ISNUMBER($AF20),$AF20&lt;&gt;0,$AA20&gt;$B$4-$BG$9,$AA20-$B$4&lt;=$BG$47,IF($KC20="UP",SIGN($AF20),IF($KC20="DOWN",-SIGN($AF20),0))&lt;&gt;1),1,0),0)</f>
        <v>0</v>
      </c>
      <c r="GU20" t="str">
        <f t="shared" si="86"/>
        <v/>
      </c>
      <c r="GV20">
        <f t="shared" si="87"/>
        <v>0</v>
      </c>
      <c r="GW20">
        <f t="shared" si="88"/>
        <v>54.609999999999673</v>
      </c>
      <c r="GX20" t="str">
        <f t="shared" si="89"/>
        <v/>
      </c>
      <c r="GY20">
        <f t="shared" si="90"/>
        <v>0</v>
      </c>
      <c r="GZ20">
        <f t="shared" si="91"/>
        <v>0</v>
      </c>
      <c r="HA20">
        <v>1</v>
      </c>
      <c r="HF20">
        <f>IFERROR(IF(AND($GZ20=1,'King Node Model'!$A$8="Pos",$D$5="UP",$CF20=-1,$AJ20&lt;&gt;1),1,0),0)</f>
        <v>0</v>
      </c>
      <c r="HG20">
        <f t="shared" si="92"/>
        <v>1</v>
      </c>
      <c r="HH20">
        <f>IF($GZ20=1,"",IFERROR(IF(NOT(ISNUMBER($AA20)),"",IF($EY20=1,"",IF($GF20=1,IF($GD20=$GE20,"",$GD20),IF(OR(AND($DC19=1,$DC20=1,$DC21=1,INDEX($AC$9:$AC$55,12-1)&lt;=(1-$FA$6)*$AC20,INDEX($AC$9:$AC$55,12-1)&lt;=(1-$FA$6)*INDEX($AC$9:$AC$55,12-2)),AND($DC21=1,$DC20=1,INDEX($AC$9:$AC$55,12+1)&lt;=(1-$FA$6)*$AC20,INDEX($AC$9:$AC$55,12+1)&lt;=(1-$FA$6)*INDEX($AC$9:$AC$55,12+2)),AND($DC20=1,OR(INDEX($DC$9:$DC$55,12-1)=0,INDEX($DC$9:$DC$55,12+1)=0))),IF(MIN($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MAX($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MIN($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f>
        <v>7825</v>
      </c>
      <c r="HI20">
        <f>IF($GZ20=1,"",IFERROR(IF(NOT(ISNUMBER($AA20)),"",IF($EY20=1,"",IF($GF20=1,IF($GD20=$GE20,"",$GE20),IF(OR(AND($DC19=1,$DC20=1,$DC21=1,INDEX($AC$9:$AC$55,12-1)&lt;=(1-$FA$6)*$AC20,INDEX($AC$9:$AC$55,12-1)&lt;=(1-$FA$6)*INDEX($AC$9:$AC$55,12-2)),AND($DC21=1,$DC20=1,INDEX($AC$9:$AC$55,12+1)&lt;=(1-$FA$6)*$AC20,INDEX($AC$9:$AC$55,12+1)&lt;=(1-$FA$6)*INDEX($AC$9:$AC$55,12+2)),AND($DC20=1,OR(INDEX($DC$9:$DC$55,12-1)=0,INDEX($DC$9:$DC$55,12+1)=0))),IF(MIN($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MAX($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MAX($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f>
        <v>7830</v>
      </c>
      <c r="HL20">
        <f t="shared" si="93"/>
        <v>0</v>
      </c>
      <c r="HM20">
        <f>IFERROR(IF(AND($HL20=1,NOT(OR($AA20='King Node Model'!$T$22,$AA20='King Node Model'!$T$23,$AA20='King Node Model'!$F$24,AND($AG20="S",COUNTIF('Master Dashboard'!$AN$16:$AN$18,$AA20)&gt;0),AND($AG20="R",COUNTIF('Master Dashboard'!$AN$13:$AN$15,$AA20)&gt;0)))),1,0),0)</f>
        <v>0</v>
      </c>
      <c r="HN20">
        <f t="shared" si="94"/>
        <v>0</v>
      </c>
      <c r="HO20">
        <f t="shared" si="95"/>
        <v>0</v>
      </c>
      <c r="HP20">
        <f t="shared" si="96"/>
        <v>1</v>
      </c>
      <c r="HQ20" t="str">
        <f>IF(NOT(ISNUMBER($AA20)),"",IFERROR(TRIM(IF(N($MY20)=1,"DEXLEAN ","")&amp;IF(N($IZ20)=1,"DEXCAP ","")&amp;IF(AND($AG20="S",UPPER('King Node Model'!$L$5)="HIGH",$KC20="DOWN",N($AF20)&gt;0,$AA20='King Node Model'!$AN$70,$IY20="SELL"),"CHOPEDGEIV ","")&amp;IF(N($IS20)=1,"NOREV ","")&amp;IF(N($JY20)=1,"VFLAT ","")&amp;IF(N($KR20)=1,"GDEXVANNA ","")&amp;IF(N($LD20)=1,"KGSUPFAIL ","")&amp;IF(N($LE20)=1,"KGRESLEAK ","")&amp;IF(N($MH20)=1,"ZIGZAG ","")&amp;IF(N($KK20)=1,"DATAGAP ","")&amp;IF(N($KA20)&lt;&gt;0,"ACCUNDERCW ","")&amp;IF(AND($AG20="S",$HF20=1),"EDGE ","")&amp;IF(AND($HM20=1,'King Node Model'!$A$8="Pos",N($BG$72)&lt;&gt;1),"TROUGH ","")&amp;IF(AND($EU20=1,N($JZ20)&lt;&gt;1),"BUMP ","")&amp;IF(AND($GT20=1,N($JZ20)&lt;&gt;1),"SANDWICH ","")&amp;IF(AND($EX20&lt;&gt;1,OR('King Node Model'!$A$8="Neg",N($BG$72)=1),OR(AND(ISNUMBER($AC20),$AC20=MAX($AC$9:$AC$55)),AND(ISNUMBER($AB20),$AB20=MIN($AB$9:$AB$55))),NOT(AND(AND(ISNUMBER($AC20),$AC20=MAX($AC$9:$AC$55)),AND(ISNUMBER($AB20),$AB20=MIN($AB$9:$AB$55)))),$AG20="S",N($AB20)&lt;0,NOT(COUNTIF('Master Dashboard'!$AN$16:$AN$18,$AA20)&gt;0),NOT(AND(OR('King Node Model'!$A$8="Neg",N($BG$72)=1),ISNUMBER($AB20),$AB20=MIN($AB$9:$AB$55),$AA20=$BG$105))),"ACCEL ","")&amp;IF(AND($EX20&lt;&gt;1,ISNUMBER($AA20),OR('King Node Model'!$A$8="Neg",N($BG$72)=1),$EY20=1,NOT(AND($AG20="S",COUNTIF('Master Dashboard'!$AN$16:$AN$18,$AA20)&gt;0)),NOT(AND($AA20='King Node Model'!$B$23,IF($AG20="S",OR($AA20='King Node Model'!$C$24,COUNTIF('Master Dashboard'!$AN$16:$AN$18,$AA20)&gt;0),OR($AA20='King Node Model'!$C$23,COUNTIF('Master Dashboard'!$AN$13:$AN$15,$AA20)&gt;0)))),NOT(AND($EX20&lt;&gt;1,OR('King Node Model'!$A$8="Neg",N($BG$72)=1),OR(AND(ISNUMBER($AC20),$AC20=MAX($AC$9:$AC$55)),AND(ISNUMBER($AB20),$AB20=MIN($AB$9:$AB$55))),NOT(AND(AND(ISNUMBER($AC20),$AC20=MAX($AC$9:$AC$55)),AND(ISNUMBER($AB20),$AB20=MIN($AB$9:$AB$55)))),$AG20="S",N($AB20)&lt;0,NOT(COUNTIF('Master Dashboard'!$AN$16:$AN$18,$AA20)&gt;0)))),"AMPLIFY ","")&amp;IF(AND($AG20="S",OR('King Node Model'!$A$8="Neg",N($BG$72)=1),$AJ20&lt;&gt;1,N($MT20)&lt;&gt;1,NOT(AND(N($LR20)=1,N($MB20)=1)),ISNUMBER(SEARCH("ACCEL building",$CG20))),"ZACCEL ","")&amp;IF(AND($AG20="S",OR('King Node Model'!$A$8="Neg",N($BG$72)=1),$AA20='King Node Model'!$B$23,NOT(AND(AND(ISNUMBER($AC20),$AC20=MAX($AC$9:$AC$55)),AND(ISNUMBER($AB20),$AB20=MIN($AB$9:$AB$55)))),$EJ20&lt;&gt;1),"KINGACC ","")&amp;IF(AND($AG20="S",OR('King Node Model'!$A$8="Neg",N($BG$72)=1),ABS(N($AA20)-N('King Node Model'!$B$23))&lt;=$BG$107,NOT(AND(SUMPRODUCT((ABS($AF$9:$AF$55)&lt;=ABS(N($AF20)))*1)/COUNT($AF$9:$AF$55)&gt;=0.66,OR(ISNUMBER(SEARCH("firmer resistance",$CG20)),ISNUMBER(SEARCH("STRENGTHENING",$CG20)),ISNUMBER(SEARCH("firmer support",$CG20))))),NOT(AND(N($AB20)&gt;0,SUMPRODUCT((ABS($AB$9:$AB$55)&lt;=ABS(N($AB20)))*1)/COUNT($AB$9:$AB$55)&gt;=0.66)),$EJ20&lt;&gt;1,$AJ20&lt;&gt;1,COUNTIF('Master Dashboard'!$AN$16:$AN$18,$AA20)=0,NOT(AND($AG20="S",OR('King Node Model'!$A$8="Neg",N($BG$72)=1),$AA20='King Node Model'!$B$23,NOT(AND(AND(ISNUMBER($AC20),$AC20=MAX($AC$9:$AC$55)),AND(ISNUMBER($AB20),$AB20=MIN($AB$9:$AB$55)))),$EJ20&lt;&gt;1))),"KINGNODE ","")&amp;IF(AND($AG20="R",NOT(AND(AND(ISNUMBER($AC20),$AC20=MAX($AC$9:$AC$55)),AND(ISNUMBER($AB20),$AB20=MIN($AB$9:$AB$55)))),UPPER('King Node Model'!$L$5)="LOW",$KC20="DOWN",N($AF20)&gt;0),"LOWIVFALL ","")&amp;IF(AND($AG20="R",NOT(AND(AND(ISNUMBER($AC20),$AC20=MAX($AC$9:$AC$55)),AND(ISNUMBER($AB20),$AB20=MIN($AB$9:$AB$55)))),UPPER('King Node Model'!$L$5)="HIGH",$KC20="DOWN",N($AF20)&gt;0,IFERROR(MATCH($AA20,$W$9:$W$14,0)&gt;=4,FALSE)),"HIGHIVFALL ","")&amp;IF(AND($AG20="R",N($BG$99)=1),"SPOTUPVOLUP ","")&amp;IF(AND($AG20="R",ISNUMBER(SEARCH("5/5",'Master Dashboard'!$E$29)),OR(ISNUMBER(SEARCH("WEAKENING",$EQ20)),ISNUMBER(SEARCH("Pos gamma ↓",$EQ20)),ISNUMBER(SEARCH("thinning the ceiling",$EQ20)))),"SQUEEZE ","")&amp;IF(N($JU20)=1,"DEDGECLIFF ","")&amp;IF(N($KT20)=1,"DEXDRAIN ","")&amp;IF(N($HW20)&lt;&gt;0,"DEXDROP ","")&amp;IF(N($HX20)&lt;&gt;0,"PEAK+ ","")&amp;IF(N($IF20)=1,"CHOP ","")&amp;IF(N($IQ20)=1,"CONTESTED ","")&amp;IF(N($IW20)=1,"VSELL ","")&amp;IF(N($JK20)=1,"VBUYRES ","")&amp;IF(N($JL20)=1,"DOMFLAT ","")&amp;IF(N($JM20)=1,"DOMPULL ","")&amp;IF(N($JP20)=1,"OIZOMMA ","")&amp;IF(AND(N($JQ20)=1,N($JZ20)&lt;&gt;1),"OIDEX ","")),""))</f>
        <v>LOWIVFALL VBUYRES</v>
      </c>
      <c r="HR20" t="str">
        <f>IF(AND(ISNUMBER($W20),OR('King Node Model'!$A$8&lt;&gt;"Pos",N($BG$72)=1,IFERROR(INDEX($AM$9:$AM$55,MATCH($W20,$AA$9:$AA$55,0)),0)&gt;=$BG$20),$E20="REVERSAL",OR($F20="stable",$F20="VOMMA BID"),$W20&lt;&gt;'King Node Model'!$AL$49,$W20&lt;&gt;'King Node Model'!$AL$50,IFERROR(INDEX($HP$9:$HP$55,MATCH($W20,$AA$9:$AA$55,0)),1)=0),ABS($W20-'King Node Model'!$B$4),"")</f>
        <v/>
      </c>
      <c r="HS20">
        <f>IFERROR(IF(AND($DC20=1,OR(AND($AG20="R",INDEX($DC$9:$DC$55,11)=0,INDEX($DC$9:$DC$55,13)=1,INDEX($DC$9:$DC$55,14)=1),AND($AG20="S",INDEX($DC$9:$DC$55,13)=0,INDEX($DC$9:$DC$55,11)=1,INDEX($DC$9:$DC$55,10)=1))),1,0),0)</f>
        <v>0</v>
      </c>
      <c r="HT20">
        <f t="shared" si="97"/>
        <v>0</v>
      </c>
      <c r="HU20">
        <v>0</v>
      </c>
      <c r="HV20">
        <v>0</v>
      </c>
      <c r="HW20">
        <f>IFERROR(IF(OR(NOT(ISNUMBER($AA20)),'King Node Model'!$A$8&lt;&gt;"Pos",N($BG$72)=1,ABS(N($AE20))&lt;$BG$113,N($AV20)=1,$FA20="DOM",$AA20='King Node Model'!$T$23,AND(N($BG$116)=1,$AA20='King Node Model'!$F$24),NOT(ISNUMBER($KU20)),NOT(ISNUMBER($KV20))),0,IF(AND($AG20="S",COUNTIF('Master Dashboard'!$AN$16:$AN$18,$AA20)=0,$KU20&gt;=$BG$114,$KU20&gt;=$KV20+$BG$115,NOT(AND(N($AN21)=1,N($KV20)&lt;0)),N($AE20)&lt;=0),1,IF(AND($AG20="R",COUNTIF('Master Dashboard'!$AN$13:$AN$15,$AA20)=0,$KV20&gt;=$BG$114,$KV20&gt;=$KU20+$BG$115,NOT(AND(N($AN19)=1,N($KU20)&lt;0))),-1,0))),0)</f>
        <v>0</v>
      </c>
      <c r="HX20">
        <f>IFERROR(IF(AND(ISNUMBER($AA20),$FA20="PEAK+",N($AN20)&lt;&gt;1,NOT(AND('King Node Model'!$A$8="Pos",OR($AA20='King Node Model'!$T$22,$AA20='King Node Model'!$T$23,$AA20='King Node Model'!$F$24))),IF($AG20="S",COUNTIF('Master Dashboard'!$AN$16:$AN$18,$AA20)=0,IF($AG20="R",COUNTIF('Master Dashboard'!$AN$13:$AN$15,$AA20)=0,FALSE))),1,0),0)</f>
        <v>0</v>
      </c>
      <c r="HY20">
        <f t="shared" si="98"/>
        <v>-0.21383987516504621</v>
      </c>
      <c r="HZ20">
        <v>0</v>
      </c>
      <c r="IA20">
        <f>IFERROR(IF(AND(IF($BG$44=1,OR(ISNUMBER(SEARCH("Choppy",'King Node Model'!$S$38)),'King Node Model'!$S$52&lt;&gt;"",'King Node Model'!$A$8="Pos"),TRUE()),OR($DC20=1,$DC19=1,$DC21=1),ABS($AA20-$B$4)&lt;=$BG$7,ABS($AA20-$BG$28)&gt;=$BG$45,OR(AND($AA20&gt;$BG$28,$AG20="R"),AND($AA20&lt;$BG$28,$AG20="S",N($BG$154)=1)),ABS(IF($AA20&gt;$BG$28,$AE21,$AE19))&gt;=$BG$43,ABS(N(IF($AA20&gt;$BG$28,$AE19,$AE21)))&lt;=$BG$153*ABS(IF($AA20&gt;$BG$28,$AE21,$AE19)),IF(ISNUMBER($HZ20),$HZ20=1,AND(ISNUMBER($HY20),$HY20&gt;=$BG$42))),1,0),0)</f>
        <v>0</v>
      </c>
      <c r="IB20">
        <f t="shared" si="99"/>
        <v>0</v>
      </c>
      <c r="IC20" t="str">
        <f>IF(NOT(ISNUMBER($AA20)),"",IFERROR(MID(IF(AND($AC20=MAX($AC$9:$AC$55),$AB20=MIN($AB$9:$AB$55))," · DOM","")&amp;IF(AND($DC19=1,$DC20=1,$DC21=1,INDEX($AC$9:$AC$55,12-1)&lt;=(1-$FA$6)*$AC20,INDEX($AC$9:$AC$55,12-1)&lt;=(1-$FA$6)*INDEX($AC$9:$AC$55,12-2))," · GAP↑ → "&amp;INDEX($AA$9:$AA$55,12-2),"")&amp;IF(AND($DC21=1,$DC20=1,INDEX($AC$9:$AC$55,12+1)&lt;=(1-$FA$6)*$AC20,INDEX($AC$9:$AC$55,12+1)&lt;=(1-$FA$6)*INDEX($AC$9:$AC$55,12+2))," · GAP↓ → "&amp;INDEX($AA$9:$AA$55,12+2),"")&amp;IF($CZ20=1," · dEdge Cliff","")&amp;IF($GY20=1," · γWall","")&amp;IF(AND($DC20=1,$AB20&lt;0,$AC20&gt;=(1+$FA$6)*INDEX($AC$9:$AC$55,12-1),$AC20&gt;=(1+$FA$6)*INDEX($AC$9:$AC$55,12+1))," · PEAK-","")&amp;IF($GZ20=1," · γSh Edge","")&amp;IF($HL20=1," · Trough","")&amp;IF($HN20=1," · PEAK+","")&amp;IF($GF20=1," · Cluster",""),FIND(" · ",IF(AND($AC20=MAX($AC$9:$AC$55),$AB20=MIN($AB$9:$AB$55))," · DOM","")&amp;IF(AND($DC19=1,$DC20=1,$DC21=1,INDEX($AC$9:$AC$55,12-1)&lt;=(1-$FA$6)*$AC20,INDEX($AC$9:$AC$55,12-1)&lt;=(1-$FA$6)*INDEX($AC$9:$AC$55,12-2))," · GAP↑ → "&amp;INDEX($AA$9:$AA$55,12-2),"")&amp;IF(AND($DC21=1,$DC20=1,INDEX($AC$9:$AC$55,12+1)&lt;=(1-$FA$6)*$AC20,INDEX($AC$9:$AC$55,12+1)&lt;=(1-$FA$6)*INDEX($AC$9:$AC$55,12+2))," · GAP↓ → "&amp;INDEX($AA$9:$AA$55,12+2),"")&amp;IF($CZ20=1," · dEdge Cliff","")&amp;IF($GY20=1," · γWall","")&amp;IF(AND($DC20=1,$AB20&lt;0,$AC20&gt;=(1+$FA$6)*INDEX($AC$9:$AC$55,12-1),$AC20&gt;=(1+$FA$6)*INDEX($AC$9:$AC$55,12+1))," · PEAK-","")&amp;IF($GZ20=1," · γSh Edge","")&amp;IF($HL20=1," · Trough","")&amp;IF($HN20=1," · PEAK+","")&amp;IF($GF20=1," · Cluster",""),2),999),""))</f>
        <v/>
      </c>
      <c r="ID20" t="str">
        <f>IF(NOT(ISNUMBER($AA20)),"",IFERROR(MID(IF(AND($AC20=MAX($AC$9:$AC$55),$AB20=MIN($AB$9:$AB$55))," · DOM","")&amp;IF(AND($DC19=1,$DC20=1,$DC21=1,INDEX($AC$9:$AC$55,12-1)&lt;=(1-$FA$6)*$AC20,INDEX($AC$9:$AC$55,12-1)&lt;=(1-$FA$6)*INDEX($AC$9:$AC$55,12-2))," · GAP↑ → "&amp;INDEX($AA$9:$AA$55,12-2),"")&amp;IF(AND($DC21=1,$DC20=1,INDEX($AC$9:$AC$55,12+1)&lt;=(1-$FA$6)*$AC20,INDEX($AC$9:$AC$55,12+1)&lt;=(1-$FA$6)*INDEX($AC$9:$AC$55,12+2))," · GAP↓ → "&amp;INDEX($AA$9:$AA$55,12+2),"")&amp;IF($CZ20=1," · dEdge Cliff","")&amp;IF($GY20=1," · γWall","")&amp;IF(AND($DC20=1,$AB20&lt;0,$AC20&gt;=(1+$FA$6)*INDEX($AC$9:$AC$55,12-1),$AC20&gt;=(1+$FA$6)*INDEX($AC$9:$AC$55,12+1))," · PEAK-","")&amp;IF($GZ20=1," · γSh Edge","")&amp;IF($HL20=1," · Trough","")&amp;IF($HN20=1," · PEAK+","")&amp;IF(AND(NOT($HN20=1),NOT(AND($DC20=1,$AB20&lt;0)),N($GY20)&lt;&gt;1,N($GF20)&lt;&gt;1,N($GZ20)&lt;&gt;1,N($HL20)&lt;&gt;1,N($CZ20)&lt;&gt;1,NOT(AND($AC20=MAX($AC$9:$AC$55),$AB20=MIN($AB$9:$AB$55))),$AC20&gt;=(1+$FA$6)*INDEX($AC$9:$AC$55,12-1),$AC20&gt;=(1+$FA$6)*INDEX($AC$9:$AC$55,12+1))," · Knoll","")&amp;IF($GF20=1," · Cluster",""),4,999),""))</f>
        <v/>
      </c>
      <c r="IF20">
        <f t="shared" si="100"/>
        <v>0</v>
      </c>
      <c r="IG20">
        <f>IFERROR(IF(AND(ISNUMBER($AA20),'King Node Model'!$A$8="Pos",OR($AG20="S",$AG20="R"),$IN20="interior",COUNTIF(IF($AG20="S",'Master Dashboard'!$AN$16:$AN$18,'Master Dashboard'!$AN$13:$AN$15),$AA20)=0,$AA20&lt;&gt;'King Node Model'!$T$22,$AA20&lt;&gt;'King Node Model'!$T$23,$AA20&lt;&gt;'King Node Model'!$F$24),1,0),0)</f>
        <v>0</v>
      </c>
      <c r="IH20">
        <f t="shared" si="101"/>
        <v>0</v>
      </c>
      <c r="II20">
        <f t="shared" si="190"/>
        <v>0</v>
      </c>
      <c r="IJ20">
        <f t="shared" si="102"/>
        <v>0</v>
      </c>
      <c r="IK20">
        <f t="shared" si="103"/>
        <v>0</v>
      </c>
      <c r="IL20">
        <f t="shared" si="191"/>
        <v>0</v>
      </c>
      <c r="IM20">
        <f t="shared" si="104"/>
        <v>0</v>
      </c>
      <c r="IN20" t="str">
        <f t="shared" si="105"/>
        <v/>
      </c>
      <c r="IO20">
        <v>0</v>
      </c>
      <c r="IP20">
        <v>0</v>
      </c>
      <c r="IQ20">
        <f>IFERROR(IF($AG20="S",IF(OR(COUNTIF($W$9:$W$14,$AA20)&gt;0,COUNTIF('King Node Model'!$AL$42:'King Node Model'!$AL$43,$AA20)&gt;0),1,0),IF($AG20="R",IF(OR(COUNTIF($W$18:$W$23,$AA20)&gt;0,COUNTIF('King Node Model'!$AL$49:'King Node Model'!$AL$50,$AA20)&gt;0),1,0),0)),0)</f>
        <v>0</v>
      </c>
      <c r="IR20">
        <f>IFERROR(IF(AND(ISNUMBER($W20),OR('King Node Model'!$A$8&lt;&gt;"Pos",N($BG$72)=1,IFERROR(INDEX($AM$9:$AM$55,MATCH($W20,$AA$9:$AA$55,0)),0)&gt;=$BG$20),COUNTIF('King Node Model'!$AL$49:'King Node Model'!$AL$50,$W20)=0),ABS($W20-$B$4),""),"")</f>
        <v>25.390000000000327</v>
      </c>
      <c r="IS20">
        <f>IF(AND(ISNUMBER($AA20),N($AN20)&lt;&gt;1,N($LR20)&lt;&gt;1,OR(N($EN20)&lt;&gt;1,AND('King Node Model'!$A$8&lt;&gt;"Neg",N($BG$72)&lt;&gt;1)),$AA20&lt;&gt;'King Node Model'!$T$22,$AA20&lt;&gt;'King Node Model'!$T$23,$AA20&lt;&gt;'King Node Model'!$F$24,NOT(AND($AG20="S",COUNTIF('Master Dashboard'!$AN$16:$AN$18,$AA20)&gt;0)),NOT(AND($AG20="R",COUNTIF('Master Dashboard'!$AN$13:$AN$15,$AA20)&gt;0)),NOT(AND('King Node Model'!$A$8&lt;&gt;"Neg",N($BG$72)&lt;&gt;1,COUNTIF('Master Dashboard'!$AN$13:$AN$18,$AA20)&gt;0))),1,0)</f>
        <v>0</v>
      </c>
      <c r="IT20">
        <v>0</v>
      </c>
      <c r="IU20">
        <f>IF(AND(ISNUMBER($AA20),$AA20='King Node Model'!$F$24,$AA20&gt;$GJ$3,N($AD20)&lt;0,$F$4="High"),1,0)</f>
        <v>0</v>
      </c>
      <c r="IV20" t="str">
        <f>""</f>
        <v/>
      </c>
      <c r="IW20">
        <f>IFERROR(IF(AND(ISNUMBER($AA20),NOT(AND(N($LR20)=1,N($MB20)=1)),$AG20="S",OR('King Node Model'!$A$8="Neg",N($BG$72)=1),$JV20="SELL",ABS(N($AD20))&gt;=$BG$94,NOT(AND(N($AD20)&gt;0,N($BG$78)=1,MEDIAN($AA20-$BG$82,$B$4,$AA20+$BG$83)=$B$4))),1,0),0)</f>
        <v>0</v>
      </c>
      <c r="IX20">
        <f>IFERROR(IF(AND(ISNUMBER($AA20),$AG20="S",OR('King Node Model'!$A$8="Neg",N($BG$72)=1),N($AD20)&gt;0,N($BG$78)=1,MEDIAN($AA20-$BG$82,$B$4,$AA20+$BG$83)=$B$4),1,0),0)</f>
        <v>0</v>
      </c>
      <c r="IY20" t="str">
        <f t="shared" si="106"/>
        <v>SELL</v>
      </c>
      <c r="IZ20">
        <f>IFERROR(IF(AND(ISNUMBER($AA20),$FA20&lt;&gt;"DOM",$AA20&lt;&gt;'King Node Model'!$F$24,OR(AND($AG20="S",COUNTIF('Master Dashboard'!$AN$16:$AN$18,$AA20)=0,N(INDEX($AE$9:$AE$55,MATCH($AA20+$BG$84,$AA$9:$AA$55,0)))&lt;=-$BG$85),AND($AG20="R",COUNTIF('Master Dashboard'!$AN$13:$AN$15,$AA20)=0,N(INDEX($AE$9:$AE$55,MATCH($AA20-$BG$84,$AA$9:$AA$55,0)))&gt;=$BG$85))),1,0),0)</f>
        <v>0</v>
      </c>
      <c r="JA20" t="str">
        <f t="shared" si="201"/>
        <v/>
      </c>
      <c r="JC20">
        <f t="shared" si="108"/>
        <v>0</v>
      </c>
      <c r="JD20" t="str">
        <f t="shared" si="193"/>
        <v/>
      </c>
      <c r="JE20">
        <f>IF(ISNUMBER($AA20),N(IFERROR(INDEX('King Node Model'!$L$29:$L$75,MATCH($AA20,'King Node Model'!$A$29:$A$75,0)),0)),"")</f>
        <v>541</v>
      </c>
      <c r="JF20">
        <f>IF(ISNUMBER($AA20),N(IFERROR(INDEX('King Node Model'!$K$29:$K$75,MATCH($AA20,'King Node Model'!$A$29:$A$75,0)),0)),"")</f>
        <v>4383</v>
      </c>
      <c r="JG20">
        <f t="shared" si="109"/>
        <v>0.12343143965320556</v>
      </c>
      <c r="JH20">
        <f t="shared" si="110"/>
        <v>8.1016635859519415</v>
      </c>
      <c r="JI20">
        <f t="shared" si="111"/>
        <v>0</v>
      </c>
      <c r="JJ20" t="str">
        <f t="shared" si="112"/>
        <v>Ramp</v>
      </c>
      <c r="JK20">
        <f t="shared" si="113"/>
        <v>1</v>
      </c>
      <c r="JL20">
        <f t="shared" si="114"/>
        <v>0</v>
      </c>
      <c r="JM20">
        <f t="shared" si="115"/>
        <v>0</v>
      </c>
      <c r="JN20">
        <f t="shared" si="116"/>
        <v>0</v>
      </c>
      <c r="JO20">
        <f t="shared" si="117"/>
        <v>0</v>
      </c>
      <c r="JP20">
        <f t="shared" si="118"/>
        <v>0</v>
      </c>
      <c r="JQ20">
        <f t="shared" si="119"/>
        <v>0</v>
      </c>
      <c r="JR20">
        <v>0</v>
      </c>
      <c r="JS20">
        <f>IFERROR(IF(AND(ISNUMBER($AA20),'King Node Model'!$A$8="Pos",OR($AG20="S",$AG20="R"),N($AB20)&gt;0,N($HP20)&lt;&gt;1,OR(AND($KC20="DOWN",N($AF20)&lt;0,N($AF20)=MIN($AF$9:$AF$55),-N($AF20)&gt;=MAX($AF$9:$AF$55)),AND($KC20="UP",N($AF20)&gt;0,N($AF20)=MAX($AF$9:$AF$55),N($AF20)&gt;=-MIN($AF$9:$AF$55)))),1,0),0)</f>
        <v>0</v>
      </c>
      <c r="JT20">
        <v>0</v>
      </c>
      <c r="JU20">
        <f>IFERROR(IF(AND(N($BG$109)=1,ISNUMBER($AA20),'King Node Model'!$A$8="Pos",N($CZ20)=1,N($AB20)&gt;0),1,0),0)</f>
        <v>0</v>
      </c>
      <c r="JV20" t="str">
        <f t="shared" si="120"/>
        <v>BUY</v>
      </c>
      <c r="JW20">
        <f t="shared" si="121"/>
        <v>0</v>
      </c>
      <c r="JX20">
        <f t="shared" si="122"/>
        <v>0</v>
      </c>
      <c r="JY20">
        <f t="shared" si="123"/>
        <v>0</v>
      </c>
      <c r="JZ20">
        <f t="shared" si="124"/>
        <v>0</v>
      </c>
      <c r="KA20">
        <f t="shared" si="125"/>
        <v>0</v>
      </c>
      <c r="KB20">
        <f t="shared" si="126"/>
        <v>0</v>
      </c>
      <c r="KC20" t="str">
        <f t="shared" si="127"/>
        <v>DOWN</v>
      </c>
      <c r="KE20" t="str">
        <f t="shared" si="128"/>
        <v>Now: strengthening the ceiling (IV rising) · if IV falls: weakens the ceiling · expected on arrival: WEAKENS ✗</v>
      </c>
      <c r="KF20" t="str">
        <f t="shared" si="129"/>
        <v>BUY</v>
      </c>
      <c r="KG20">
        <f t="shared" si="192"/>
        <v>0</v>
      </c>
      <c r="KH20" t="str">
        <f t="shared" si="130"/>
        <v/>
      </c>
      <c r="KI20" t="str">
        <f t="shared" si="131"/>
        <v/>
      </c>
      <c r="KJ20">
        <f t="shared" si="132"/>
        <v>0</v>
      </c>
      <c r="KK20">
        <f t="shared" si="133"/>
        <v>0</v>
      </c>
      <c r="KL20">
        <f t="shared" si="134"/>
        <v>0</v>
      </c>
      <c r="KM20">
        <f t="shared" si="135"/>
        <v>0</v>
      </c>
      <c r="KN20">
        <f t="shared" si="136"/>
        <v>0</v>
      </c>
      <c r="KO20">
        <v>0</v>
      </c>
      <c r="KP20">
        <f t="shared" si="137"/>
        <v>0</v>
      </c>
      <c r="KQ20">
        <f t="shared" si="138"/>
        <v>0</v>
      </c>
      <c r="KR20">
        <f t="shared" si="139"/>
        <v>0</v>
      </c>
      <c r="KS20">
        <f t="shared" si="140"/>
        <v>0</v>
      </c>
      <c r="KT20">
        <f t="shared" si="141"/>
        <v>0</v>
      </c>
      <c r="KU20">
        <f>IF(AND(ISNUMBER($AA20),ISNUMBER($AE20),ISNUMBER($AE19),N($AE20)&lt;&gt;0),($AE20-$AE19)/$AE20,"")</f>
      </c>
      <c r="KV20">
        <f>IF(AND(ISNUMBER($AA20),ISNUMBER($AE20),ISNUMBER($AE21),N($AE20)&lt;&gt;0),($AE20-$AE21)/$AE20,"")</f>
      </c>
      <c r="KW20">
        <f>IFERROR(IF(OR(NOT(ISNUMBER($AA20)),'King Node Model'!$A$8&lt;&gt;"Pos",N($BG$72)=1,ABS(N($AE20))&lt;$BG$113,$FA20="DOM",$AA20='King Node Model'!$T$23,AND(N($BG$116)=1,$AA20='King Node Model'!$F$24),NOT(ISNUMBER($KU20)),NOT(ISNUMBER($KV20))),0,IF(AND($AG20="S",COUNTIF('Master Dashboard'!$AN$16:$AN$18,$AA20)=0,$KU20&gt;=$BG$114,$KU20&gt;=$KV20+$BG$115),1,IF(AND($AG20="R",COUNTIF('Master Dashboard'!$AN$13:$AN$15,$AA20)=0,$KV20&gt;=$BG$114,$KV20&gt;=$KU20+$BG$115),-1,0))),0)</f>
        <v>0</v>
      </c>
      <c r="KX20">
        <f t="shared" si="144"/>
        <v>0</v>
      </c>
      <c r="KY20">
        <f t="shared" si="145"/>
        <v>0</v>
      </c>
      <c r="KZ20">
        <f t="shared" si="146"/>
        <v>0</v>
      </c>
      <c r="LA20">
        <f t="shared" si="147"/>
        <v>1</v>
      </c>
      <c r="LB20">
        <f t="shared" si="148"/>
        <v>0</v>
      </c>
      <c r="LC20">
        <f t="shared" si="149"/>
        <v>0</v>
      </c>
      <c r="LD20">
        <f t="shared" si="150"/>
        <v>0</v>
      </c>
      <c r="LE20">
        <f t="shared" si="151"/>
        <v>0</v>
      </c>
      <c r="LF20">
        <f t="shared" si="152"/>
        <v>0</v>
      </c>
      <c r="LG20" t="str">
        <f t="shared" si="153"/>
        <v/>
      </c>
      <c r="LH20" t="str">
        <f t="shared" si="154"/>
        <v/>
      </c>
      <c r="LI20" t="str">
        <f t="shared" si="155"/>
        <v/>
      </c>
      <c r="LJ20" t="str">
        <f t="shared" si="156"/>
        <v/>
      </c>
      <c r="LK20" t="str">
        <f t="shared" si="157"/>
        <v/>
      </c>
      <c r="LL20">
        <f t="shared" si="158"/>
        <v>0</v>
      </c>
      <c r="LM20">
        <f t="shared" si="159"/>
        <v>0</v>
      </c>
      <c r="LN20">
        <f t="shared" si="160"/>
        <v>0</v>
      </c>
      <c r="LO20">
        <v>0</v>
      </c>
      <c r="LP20">
        <f t="shared" si="161"/>
        <v>0</v>
      </c>
      <c r="LQ20" t="str">
        <f t="shared" si="162"/>
        <v/>
      </c>
      <c r="LR20">
        <f t="shared" si="163"/>
        <v>0</v>
      </c>
      <c r="LS20">
        <f t="shared" si="164"/>
        <v>0</v>
      </c>
      <c r="LT20">
        <f t="shared" si="165"/>
        <v>1</v>
      </c>
      <c r="LU20">
        <f t="shared" si="166"/>
        <v>-343825</v>
      </c>
      <c r="LV20">
        <f t="shared" si="167"/>
        <v>0</v>
      </c>
      <c r="LW20">
        <f t="shared" si="168"/>
        <v>0</v>
      </c>
      <c r="LX20">
        <f t="shared" si="169"/>
        <v>0</v>
      </c>
      <c r="LY20">
        <f t="shared" si="170"/>
        <v>0</v>
      </c>
      <c r="LZ20">
        <f t="shared" si="171"/>
        <v>0</v>
      </c>
      <c r="MA20">
        <f t="shared" si="172"/>
        <v>0</v>
      </c>
      <c r="MB20">
        <v>0</v>
      </c>
      <c r="MC20">
        <f t="shared" si="173"/>
        <v>1</v>
      </c>
      <c r="MD20">
        <f t="shared" si="174"/>
        <v>1</v>
      </c>
      <c r="ME20">
        <f t="shared" si="175"/>
        <v>0</v>
      </c>
      <c r="MF20">
        <f t="shared" si="176"/>
        <v>0</v>
      </c>
      <c r="MG20">
        <f t="shared" si="177"/>
        <v>0</v>
      </c>
      <c r="MH20">
        <f t="shared" si="178"/>
        <v>0</v>
      </c>
      <c r="MI20" t="str">
        <f t="shared" si="179"/>
        <v/>
      </c>
      <c r="MJ20">
        <f t="shared" si="180"/>
        <v>0</v>
      </c>
      <c r="MK20">
        <f t="shared" si="181"/>
        <v>0</v>
      </c>
      <c r="ML20">
        <f>IF(AND(OR('King Node Model'!$A$8="Neg",N($BG$72)=1),ISNUMBER($AA20),$AG20="R",N($AB20)&lt;0),IF(AND($AA19=$AA20+5,N($AB19)&gt;0,$AA18=$AA20+10,N($AB18)&lt;0),1,IF(AND($AA19=$AA20+5,N($AB19)&gt;0,$AA18=$AA20+10,N($AB18)&gt;0,$AA17=$AA20+15,N($AB17)&lt;0),2,IF(AND($AA19=$AA20+5,N($AB19)&gt;0,$AA18=$AA20+10,N($AB18)&gt;0,$AA17=$AA20+15,N($AB17)&gt;0,$AA16=$AA20+20,N($AB16)&lt;0),3,IF(AND($AA19=$AA20+5,N($AB19)&gt;0,$AA18=$AA20+10,N($AB18)&gt;0,$AA17=$AA20+15,N($AB17)&gt;0,$AA16=$AA20+20,N($AB16)&gt;0,$AA15=$AA20+25,N($AB15)&lt;0),4,0)))),0)</f>
      </c>
      <c r="MM20">
        <f>IF(AND(OR('King Node Model'!$A$8="Neg",N($BG$72)=1),ISNUMBER($AA20),$AG20="S",N($AB20)&lt;0),IF(AND($AA21=$AA20-5,N($AB21)&gt;0,$AA22=$AA20-10,N($AB22)&lt;0),1,IF(AND($AA21=$AA20-5,N($AB21)&gt;0,$AA22=$AA20-10,N($AB22)&gt;0,$AA23=$AA20-15,N($AB23)&lt;0),2,IF(AND($AA21=$AA20-5,N($AB21)&gt;0,$AA22=$AA20-10,N($AB22)&gt;0,$AA23=$AA20-15,N($AB23)&gt;0,$AA24=$AA20-20,N($AB24)&lt;0),3,IF(AND($AA21=$AA20-5,N($AB21)&gt;0,$AA22=$AA20-10,N($AB22)&gt;0,$AA23=$AA20-15,N($AB23)&gt;0,$AA24=$AA20-20,N($AB24)&gt;0,$AA25=$AA20-25,N($AB25)&lt;0),4,0)))),0)</f>
      </c>
      <c r="MN20">
        <f>IF(N($ML20)&gt;0,$AA20,0)</f>
      </c>
      <c r="MO20">
        <f>IF(N($MM20)&gt;0,$AA20,0)</f>
      </c>
      <c r="MP20">
        <f>IF(AND(OR('King Node Model'!$A$8="Neg",N($BG$72)=1),ISNUMBER($BG$155),$AA20=$BG$155,N($NC20)=1),2,IF(AND(OR('King Node Model'!$A$8="Neg",N($BG$72)=1),ISNUMBER($BG$156),$AA20=$BG$156,N($ND20)=1),1,0))</f>
      </c>
      <c r="MQ20">
        <f>IF(ABS(AE20)&lt;=0,0,IF($AG20="R",IF(ISNUMBER(AE19),IF((ABS(AE19)-ABS(AE20))/ABS(AE20)&lt;-0.4,1,0),0),IF(ISNUMBER(AE21),IF((ABS(AE21)-ABS(AE20))/ABS(AE20)&lt;-0.4,1,0),0)))</f>
      </c>
      <c r="MR20">
        <f>IF(OR(N($MQ20)&lt;&gt;1,N($BG$157)&lt;&gt;1,NOT(ISNUMBER($KU20)),NOT(ISNUMBER($KV20))),0,IF(OR(AND($AG20="S",OR(AND($KU20&gt;=$BG$114,$KU20&gt;=$KV20+$BG$115),AND($KU20&gt;1,$KV20&lt;=1,$KV20&gt;=$BG$114))),AND($AG20="R",OR(AND($KV20&gt;=$BG$114,$KV20&gt;=$KU20+$BG$115),AND($KV20&gt;1,$KU20&lt;=1,$KU20&gt;=$BG$114)))),1,0))</f>
      </c>
      <c r="MS20" t="str">
        <f>IF(AND(N($MR20)=1,N($NA20)&lt;&gt;1),"• DEX falls off more sharply "&amp;IF($AG20="S","above (","below (")&amp;TEXT(IF($AG20="S",$KU20,$KV20),"0%")&amp;") than "&amp;IF($AG20="S","below (","above (")&amp;TEXT(IF($AG20="S",$KV20,$KU20),"0%")&amp;") — Dex↓ not counted",IF(N($MW20)=1,"• Shoulder of the "&amp;IF($AG20="R",$AA21,$AA19)&amp;" wall — own DEX "&amp;TEXT($AE20/1000,"+#,##0;-#,##0")&amp;"K is "&amp;TEXT(ABS($AE20)/ABS(IF($AG20="R",$AE21,$AE19)),"0%")&amp;" of "&amp;TEXT(IF($AG20="R",$AE21,$AE19)/1000,"+#,##0;-#,##0")&amp;"K, Dex↓ not counted",""))</f>
      </c>
      <c r="MT20">
        <f>IF(AND(ISNUMBER($AA20),$AG20="S",ISNUMBER($AB20),$AB20=MIN($AB$9:$AB$55),$AA20=$BG$105,$JV20="BUY",ABS(N($AD20))&gt;=$BG$158),1,0)</f>
      </c>
      <c r="MU20" t="str">
        <f>IF(N($MY20)=1,"",IF(OR(N($MT20)=1,AND(OR('King Node Model'!$A$8="Neg",N($BG$72)=1),$AG20="S",ISNUMBER($AB20),$AB20=MIN($AB$9:$AB$55),$AA20=$BG$105)),"• Min GEX + Max Zomma (no reversal flag required) — accelerant warning not applied; zomma acceleration warning only within "&amp;$BG$98&amp;" pts of the level, and not when vanna buying is "&amp;TEXT($BG$158/1000,"0")&amp;"K or more"&amp;CHAR(10)&amp;IF(N($MT20)=1,"• Max Zomma and vanna buying ("&amp;TEXT(N($AD20)/1000,"+#,##0;-#,##0")&amp;"K) make this level safe","• Max Zomma is what makes this level safe"),"")&amp;$NB20&amp;$NI20)</f>
      </c>
      <c r="MV20" t="str">
        <f>IF(AND(ISNUMBER($AA20),OR($AA20=$BG$118,$AA20=$BG$119)),IF(N($AZ20)*IF($AG20="R",1,-1)&gt;0,"✓",IF(N($AZ20)*IF($AG20="R",1,-1)&lt;0,"✗","")),"")</f>
      </c>
      <c r="MW20">
        <f>IF(AND(N($MQ20)=1,N($BG$159)&gt;0,ISNUMBER(IF($AG20="R",$AE21,$AE19)),N(IF($AG20="R",$AE21,$AE19))&lt;&gt;0),IF(ABS(N($AE20))&lt;$BG$159*ABS(IF($AG20="R",$AE21,$AE19)),1,0),0)</f>
      </c>
      <c r="MX20">
        <f>IF(AND(ISNUMBER($AA20),$AA20=$BG$121,$AG20="R",N($AE20)&lt;0,OR(COUNTIF('King Node Model'!$AL$42:$AL$44,$AA20)=0,N($HP20)=1),N($NC20)=1),2,IF(AND(ISNUMBER($AA20),$AA20=$BG$120,$AG20="S",N($AE20)&gt;0,OR(COUNTIF('King Node Model'!$AL$49:$AL$51,$AA20)=0,N($HP20)=1),N($ND20)=1),1,0))</f>
      </c>
      <c r="MY20">
        <f>IF(AND(N($NA20)=1,NOT(AND(AND($AG20="S",ISNUMBER($AB20),$AB20=MIN($AB$9:$AB$55),$AA20=$BG$105),IFERROR(INDEX($AG$9:$AG$55,MATCH('King Node Model'!$B$23,$AA$9:$AA$55,0)),"")="R")),N($AV20)&lt;&gt;1),1,0)</f>
      </c>
      <c r="MZ20" t="str">
        <f>IF(N($MY20)&lt;&gt;1,"","• DEX falls off more sharply "&amp;IF($AG20="S","above (","below (")&amp;TEXT(IF($AG20="S",$KU20,$KV20),"0%")&amp;") than "&amp;IF($AG20="S","below (","above (")&amp;TEXT(IF($AG20="S",$KV20,$KU20),"0%")&amp;") — path of least resistance "&amp;IF($AG20="S","down","up")&amp;IF(N($AZ20)*IF($AG20="R",1,-1)&lt;0,CHAR(10)&amp;"• Speed against — GEX gets more negative as price "&amp;IF($AG20="R","rises","falls")&amp;" into it (speed "&amp;TEXT(N($AZ20),"#,##0;−#,##0")&amp;")","")&amp;IF(OR(N($NG20)=1,N($JC20)=1),CHAR(10)&amp;"• "&amp;IF(N($JC20)=1,"DOM with vanna BUY "&amp;TEXT(N($AD20)/1000,"+#,##0;−#,##0")&amp;"K","Put wall + Max Zomma + DOM")&amp;" backs the level, but it does not outweigh DEX"&amp;IF(N($AZ20)*IF($AG20="R",1,-1)&lt;0," and speed",""),IF(AND($AG20="S",ISNUMBER($AB20),$AB20=MIN($AB$9:$AB$55),$AA20=$BG$105),CHAR(10)&amp;"• Min GEX + Max Zomma backs the level, but it does not outweigh DEX"&amp;IF(N($AZ20)*IF($AG20="R",1,-1)&lt;0," and speed",""),IF(OR(N($JI20)=1,AND(N($GV20)=1,N($JK20)&lt;&gt;1,N($IW20)&lt;&gt;1),N($JC20)=1,AND($AA20='King Node Model'!$F$24,N($JN20)&lt;&gt;1,OR($AG20="R",AND($AG20="S",$F$4="High",IF($BG$80&lt;&gt;"",UPPER($BG$80),$D$5)="UP")))),CHAR(10)&amp;"• Vanna "&amp;IF($AG20="S","BUY ","SELL ")&amp;TEXT(N($AD20)/1000,"+#,##0;−#,##0")&amp;"K backs the level, but it does not outweigh DEX"&amp;IF(N($AZ20)*IF($AG20="R",1,-1)&lt;0," and speed",""),"")))&amp;IF(N($NE20)=1,CHAR(10)&amp;"• Buy-lean max-node exemption not applied — DEX leans against the level",""))</f>
      </c>
      <c r="NA20">
        <f>IF(AND(OR('King Node Model'!$A$8="Neg",N($BG$72)=1),ISNUMBER($AA20),ABS(N($AE20))&gt;=$BG$152,ISNUMBER($KU20),ISNUMBER($KV20)),IF(OR(AND($AG20="S",OR(AND($KU20&gt;=$BG$114,$KU20&gt;=$KV20+$BG$115),AND($KU20&gt;1,$KV20&lt;=1,$KV20&gt;=$BG$114))),AND($AG20="R",OR(AND($KV20&gt;=$BG$114,$KV20&gt;=$KU20+$BG$115),AND($KV20&gt;1,$KU20&lt;=1,$KU20&gt;=$BG$114)))),1,0),0)</f>
      </c>
      <c r="NB20" t="str">
        <f>IF(AND(N($NA20)=1,AND(AND($AG20="S",ISNUMBER($AB20),$AB20=MIN($AB$9:$AB$55),$AA20=$BG$105),IFERROR(INDEX($AG$9:$AG$55,MATCH('King Node Model'!$B$23,$AA$9:$AA$55,0)),"")="R")),CHAR(10)&amp;"• DEX falls off more sharply above ("&amp;TEXT($KU20,"0%")&amp;") than below ("&amp;TEXT($KV20,"0%")&amp;") — DEX-lean warning not applied: Min GEX + Max Zomma support with Max Gamma "&amp;'King Node Model'!$B$23&amp;" above (Dex↓ not counted)",IF(AND(OR(N($NA20)=1,N($NF20)=1),N($AV20)=1),IF(AND(OR('King Node Model'!$A$8="Neg",N($BG$72)=1),$AG20="S",ISNUMBER($AB20),$AB20=MIN($AB$9:$AB$55),$AA20=$BG$105),CHAR(10),"")&amp;"• DEX falls off more sharply "&amp;IF($AG20="S","above (","below (")&amp;TEXT(IF($AG20="S",$KU20,$KV20),"0%")&amp;") than "&amp;IF($AG20="S","below (","above (")&amp;TEXT(IF($AG20="S",$KV20,$KU20),"0%")&amp;") — DEX lean does not apply to iDex (isolated DEX)",""))</f>
      </c>
      <c r="NC20">
        <f>IF(OR($BG$163=1,AND($BG$161&gt;0,$BG$162&lt;99999,ISNUMBER($AA20),$AA20&lt;$BG$162)),1,0)</f>
      </c>
      <c r="ND20">
        <f>IF(OR($BG$163=-1,AND($BG$161&gt;0,$BG$162&lt;99999,ISNUMBER($AA20),$AA20&gt;$BG$161)),1,0)</f>
      </c>
      <c r="NE20">
        <f>IF(AND(OR('King Node Model'!$A$8="Neg",N($BG$72)=1),ISNUMBER(SEARCH("LOW",'Master Dashboard'!$M$5)),ISNUMBER(SEARCH("BUY",'Master Dashboard'!$G$8)),'King Node Model'!$T$23='King Node Model'!$B$23,OR($AA20='King Node Model'!$T$23,AND($AG20="R",$AA20='King Node Model'!$T$23+5)),OR(AND($AG20="S",$JV20="BUY"),AND($AG20="R",$JV20="SELL"))),1,0)</f>
      </c>
      <c r="NF20">
        <f>IFERROR(IF(OR(NOT(ISNUMBER($AA20)),'King Node Model'!$A$8&lt;&gt;"Pos",N($BG$72)=1,ABS(N($AE20))&lt;$BG$113,$FA20="DOM",$AA20='King Node Model'!$T$23,AND(N($BG$116)=1,$AA20='King Node Model'!$F$24),NOT(ISNUMBER($KU20)),NOT(ISNUMBER($KV20))),0,IF(AND($AG20="S",COUNTIF('Master Dashboard'!$AN$16:$AN$18,$AA20)=0,$KU20&gt;=$BG$114,$KU20&gt;=$KV20+$BG$115,NOT(AND(N($AN21)=1,N($KV20)&lt;0)),N($AE20)&lt;=0),1,IF(AND($AG20="R",COUNTIF('Master Dashboard'!$AN$13:$AN$15,$AA20)=0,$KV20&gt;=$BG$114,$KV20&gt;=$KU20+$BG$115,NOT(AND(N($AN19)=1,N($KU20)&lt;0))),-1,0))),0)</f>
      </c>
      <c r="NG20">
        <f t="shared" si="202"/>
      </c>
      <c r="NI20" t="str">
        <f>IF(AND(ISNUMBER($BG$165),ISNUMBER($AA20)),IF(OR(AND($AG20="S",$AA20&gt;$BG$165,$AA20-$BG$165&lt;=5),AND($AG20="R",$AA20&lt;$BG$165,$BG$165-$AA20&lt;=5)),IF(OR(AND(OR('King Node Model'!$A$8="Neg",N($BG$72)=1),$AG20="S",ISNUMBER($AB20),$AB20=MIN($AB$9:$AB$55),$AA20=$BG$105),$NB20&lt;&gt;""),CHAR(10),"")&amp;"• DOM forming at "&amp;$BG$165&amp;" (gamma "&amp;TEXT($BG$166,"0%")&amp;" of max) — price may be pulled to the node",""),"")</f>
      </c>
      <c r="NJ20">
        <f>IF(LEN($NI20)&gt;0,1,0)</f>
      </c>
    </row>
    <row r="21" spans="1:349" ht="15" customHeight="1" x14ac:dyDescent="0.25">
      <c r="A21" s="231" t="str">
        <f t="shared" si="194"/>
        <v>7740</v>
      </c>
      <c r="B21" s="232">
        <f>IFERROR(INDEX('King Node Model'!$C$29:$C$75,MATCH(IF($W21="",$V21,$W21),'King Node Model'!$A$29:$A$75,0)),"")</f>
        <v>-252679</v>
      </c>
      <c r="C21" s="233" t="str">
        <f t="shared" si="195"/>
        <v>Dex↓ oEdge</v>
      </c>
      <c r="D21" s="233">
        <f t="shared" si="196"/>
        <v>2</v>
      </c>
      <c r="E21" s="233" t="str">
        <f t="shared" si="197"/>
        <v>REVERSAL</v>
      </c>
      <c r="F21" s="234" t="str">
        <f t="shared" si="198"/>
        <v>stable</v>
      </c>
      <c r="G21" s="397" t="str">
        <f t="shared" si="199"/>
        <v>Dormant</v>
      </c>
      <c r="R21" s="181" t="s">
        <v>1226</v>
      </c>
      <c r="S21" s="276">
        <f>ABS(S20)</f>
        <v>1611</v>
      </c>
      <c r="V21" s="1">
        <f>IFERROR(INDEX($AA$9:$AA$55,MATCH("S4",$BB$9:$BB$55,0)),"")</f>
        <v>7730</v>
      </c>
      <c r="W21">
        <v>7740</v>
      </c>
      <c r="AA21" s="181">
        <f>'King Node Model'!A41</f>
        <v>7825</v>
      </c>
      <c r="AB21" s="276">
        <f>'King Node Model'!C41</f>
        <v>538591</v>
      </c>
      <c r="AC21" s="181">
        <f>ABS('King Node Model'!B41)</f>
        <v>680164</v>
      </c>
      <c r="AD21" s="276">
        <f>'King Node Model'!F41</f>
        <v>2058290</v>
      </c>
      <c r="AE21" s="276">
        <f>'King Node Model'!E41</f>
        <v>-283254</v>
      </c>
      <c r="AF21" s="276">
        <f>'King Node Model'!D41</f>
        <v>9356659</v>
      </c>
      <c r="AG21" s="181" t="str">
        <f t="shared" si="6"/>
        <v>R</v>
      </c>
      <c r="AH21" s="181">
        <f t="shared" si="7"/>
        <v>8</v>
      </c>
      <c r="AI21" s="181" t="str">
        <f t="shared" si="8"/>
        <v>SELL</v>
      </c>
      <c r="AJ21" s="181">
        <f t="shared" si="9"/>
        <v>0</v>
      </c>
      <c r="AK21" s="181">
        <f>IF(ABS(N($AE21))&gt;=$BG$85,1,0)</f>
      </c>
      <c r="AL21" s="181">
        <f t="shared" si="10"/>
        <v>1</v>
      </c>
      <c r="AM21" s="181">
        <f t="shared" si="11"/>
        <v>2</v>
      </c>
      <c r="AN21" s="181">
        <f t="shared" si="12"/>
        <v>0</v>
      </c>
      <c r="AO21" s="1">
        <f t="shared" si="13"/>
        <v>283254</v>
      </c>
      <c r="AP21" s="1" t="str">
        <f t="shared" si="14"/>
        <v/>
      </c>
      <c r="AQ21" s="1">
        <f t="shared" si="15"/>
        <v>9356659</v>
      </c>
      <c r="AR21" s="181">
        <f t="shared" si="16"/>
        <v>0.30343686304048051</v>
      </c>
      <c r="AS21" s="181">
        <f t="shared" si="17"/>
        <v>10</v>
      </c>
      <c r="AT21" s="181" t="str">
        <f t="shared" si="18"/>
        <v/>
      </c>
      <c r="AU21" s="181" t="str">
        <f t="shared" si="19"/>
        <v/>
      </c>
      <c r="AV21" s="218">
        <f t="shared" si="183"/>
        <v>0</v>
      </c>
      <c r="AW21" s="181">
        <f>ABS('King Node Model'!G41)</f>
        <v>992</v>
      </c>
      <c r="AX21" s="181">
        <f t="shared" si="20"/>
        <v>1</v>
      </c>
      <c r="AY21" s="181">
        <f t="shared" si="21"/>
        <v>0</v>
      </c>
      <c r="AZ21" s="276">
        <f>'King Node Model'!I41</f>
        <v>10660</v>
      </c>
      <c r="BA21" s="181">
        <f t="shared" si="22"/>
        <v>0</v>
      </c>
      <c r="BB21" s="181" t="str">
        <f t="shared" si="23"/>
        <v>R10</v>
      </c>
      <c r="BC21" s="10">
        <f>'King Node Model'!C41</f>
        <v>538591</v>
      </c>
      <c r="BD21" s="218">
        <f t="shared" si="184"/>
        <v>0</v>
      </c>
      <c r="BE21" s="218">
        <f t="shared" si="185"/>
        <v>0</v>
      </c>
      <c r="BF21" s="336" t="s">
        <v>1227</v>
      </c>
      <c r="BG21">
        <v>0.15</v>
      </c>
      <c r="BI21" s="218">
        <f t="shared" si="186"/>
        <v>0</v>
      </c>
      <c r="BJ21" s="218">
        <f t="shared" si="187"/>
        <v>0</v>
      </c>
      <c r="BK21" s="218">
        <f t="shared" si="24"/>
        <v>0</v>
      </c>
      <c r="BL21" s="10">
        <f>'King Node Model'!H41</f>
        <v>42</v>
      </c>
      <c r="BM21" s="218">
        <f t="shared" si="25"/>
        <v>16</v>
      </c>
      <c r="BN21" s="218">
        <f t="shared" si="26"/>
        <v>4</v>
      </c>
      <c r="BO21" s="218">
        <f t="shared" si="27"/>
        <v>0</v>
      </c>
      <c r="BP21" s="218">
        <f t="shared" si="28"/>
        <v>0</v>
      </c>
      <c r="BQ21" t="str">
        <f t="shared" si="29"/>
        <v/>
      </c>
      <c r="BR21" t="str">
        <f t="shared" si="30"/>
        <v/>
      </c>
      <c r="BS21" s="218">
        <f t="shared" si="31"/>
        <v>0</v>
      </c>
      <c r="BT21" s="218" t="str">
        <f t="shared" si="32"/>
        <v/>
      </c>
      <c r="BU21" t="str">
        <f t="shared" si="33"/>
        <v/>
      </c>
      <c r="BV21" s="218">
        <f t="shared" si="34"/>
        <v>2058290</v>
      </c>
      <c r="BW21" s="218">
        <f t="shared" si="35"/>
        <v>283254</v>
      </c>
      <c r="BX21" s="218">
        <f>IF(AND(ISNUMBER(BC21),BC21&gt;=$BG$160,OR('King Node Model'!$A$8="Neg",N($BG$72)=1)),1,0)</f>
        <v>1</v>
      </c>
      <c r="BY21" s="218">
        <f t="shared" si="36"/>
        <v>0</v>
      </c>
      <c r="BZ21" s="218">
        <f t="shared" si="37"/>
        <v>1</v>
      </c>
      <c r="CA21">
        <f t="shared" si="38"/>
        <v>4</v>
      </c>
      <c r="CB21" s="218">
        <f>IF(AND(ISNUMBER('King Node Model'!$D$27),AG21&lt;&gt;"",AA21='King Node Model'!$D$27),1,0)</f>
        <v>0</v>
      </c>
      <c r="CC21" s="218">
        <f>IF(OR('King Node Model'!$A$8="Neg",N($BG$72)=1),$BG$14*IF(ISNUMBER('King Node Model'!$D$26),MAX(0,1-ABS(AA21-'King Node Model'!$D$26)/$BG$18),0)+$BG$15*IFERROR(BV21/MAX($BV$9:$BV$55),0)+$BG$16*IFERROR(BW21/MAX($BW$9:$BW$55),0)+$BG$17*IFERROR(AC21/$S$11,0)*MAX(0,1+$BG$21*CF21),AR21)</f>
        <v>1.3624626140753859</v>
      </c>
      <c r="CD21" s="218">
        <f>IF(OR('King Node Model'!$A$8="Neg",N($BG$72)=1),IF(AND(AG21&lt;&gt;"",ABS(AA21-$B$4)&lt;=$BG$7,OR(AX21=0,$D$5&lt;&gt;"UP"),AY21=0,BK21&lt;&gt;1,CI21=0,AM21&gt;=$BG$20,AC21&gt;$BG$19),1,0),IF(AND(BS21=1,(COUNTIF($W$9:$W$14,AA21)+COUNTIF($W$18:$W$23,AA21))&gt;0,CI21=0,AM21&gt;=$BG$20,AC21&gt;$BG$19),1,0))</f>
        <v>0</v>
      </c>
      <c r="CE21" t="str">
        <f t="shared" si="39"/>
        <v/>
      </c>
      <c r="CF21" s="218">
        <f t="shared" si="40"/>
        <v>-1</v>
      </c>
      <c r="CG21" t="str">
        <f t="shared" si="41"/>
        <v>WEAKENING · Pos gamma ↓ · thinning the ceiling</v>
      </c>
      <c r="CH21" t="str">
        <f t="shared" si="42"/>
        <v>Weakening</v>
      </c>
      <c r="CI21" s="218">
        <f t="shared" si="43"/>
        <v>0</v>
      </c>
      <c r="CJ21" s="218">
        <f t="shared" si="44"/>
        <v>387420489</v>
      </c>
      <c r="CK21" s="218">
        <f t="shared" si="45"/>
        <v>0</v>
      </c>
      <c r="CL21" s="218">
        <f t="shared" si="46"/>
        <v>0</v>
      </c>
      <c r="CQ21" s="218">
        <f t="shared" si="200"/>
        <v>7740</v>
      </c>
      <c r="CR21" t="s">
        <v>1481</v>
      </c>
      <c r="CT21">
        <v>1</v>
      </c>
      <c r="CU21" s="218">
        <f>IF(AND(AND('King Node Model'!$A$8&lt;&gt;"Neg",N($BG$72)&lt;&gt;1),SUMPRODUCT(($AG$9:$AG$55="S")*ISNUMBER($AT$9:$AT$55)*ISNUMBER($AU$9:$AU$55)*($AT$9:$AT$55&lt;&gt;$AU$9:$AU$55)*($AT$9:$AT$55&lt;=$AA21)*($AU$9:$AU$55&gt;=$AA21))&gt;0),0,IF(AND(OR($AA21='King Node Model'!$T$22,$AA21='King Node Model'!$F$24),$AG21="R",COUNTIF($W$9:$W$14,$AA21)&gt;0),1,IF(AND($FN21=1,$EU21&lt;&gt;1,$EM21&lt;&gt;1,$BK21&lt;&gt;1,$DH21&lt;&gt;1,$AG21="R",COUNTIF($W$9:$W$14,$AA21)&gt;0),1,IF($EU21=1,0,IF($EM21=1,0,IF(AND(OR($EE21=1,$GV21=1,AND($EL$7=1,$AA21='King Node Model'!$D$26,$EI21=1),AND(OR($AA21='King Node Model'!$T$22,$AA21='King Node Model'!$T$23),$AN21=1,OR($AX21=0,$D$5&lt;&gt;"UP"))),OR(NOT(OR('King Node Model'!$A$8="Neg",N($BG$72)=1)),$GV21=1,AND(OR($AA21='King Node Model'!$T$22,$AA21='King Node Model'!$T$23),$AN21=1,OR($AX21=0,$D$5&lt;&gt;"UP")),AND($AM21&gt;=$BG$20,$AC21&gt;IF($CZ21=1,$BG$48,$BG$19)))),1,IF($DH21=1,0,IF(AND($DC21=1,$GS21&lt;&gt;1,AND('King Node Model'!$A$8&lt;&gt;"Neg",N($BG$72)&lt;&gt;1)),0,IF(AND($EY21=1,NOT(OR('King Node Model'!$A$8="Neg",$BG$72=1)),$AA21&lt;&gt;'King Node Model'!$B$23),0,IF(AND($GS21=1,$AG21="R",OR($CI21=0,$EE21=1,$EX21=1,$GV21=1),COUNTIF($W$9:$W$14,$AA21)&gt;0,ABS($AA21-$B$4)&lt;=$BG$7,$BK21&lt;&gt;1,$AM21&gt;=$BG$20,$AC21&gt;IF($CZ21=1,$BG$48,$BG$19)),1,IF(OR('King Node Model'!$A$8="Neg",N($BG$72)=1),IF(AND(OR($AM21&gt;=$BG$20,$AA21='King Node Model'!$D$26,$GV21=1),$AG21="R",COUNTIF($W$9:$W$14,$AA21)&gt;0,ABS($AA21-$B$4)&lt;=$BG$7,OR($AX21=0,$D$5&lt;&gt;"UP"),$BK21&lt;&gt;1,OR(OR($CI21=0,$AJ21=1),AND($EI21=1,$LA21=1,COUNTIF($W$9:$W$11,$AA21)&gt;0,$AN21=1,OR($AX21=0,$D$5&lt;&gt;"UP"))),$AM21&gt;=$BG$20,$AC21&gt;IF($CZ21=1,$BG$48,$BG$19),OR($AN21=1,N($LR21)=1,$AA21='King Node Model'!$D$26,AND($BY21=1,$AA21&gt;$B$4),$BX21=1,$CF21=1,$CF21=1,AND(OR($AA21=$CP$4,$AA21=$CP$5,$AA21=$CP$6,$AA21=$CP$7),ABS($AA21-$B$4)&lt;=30),AND($AX21=1,$D$5="DOWN"))),1,0),IF(AND(OR($AM21&gt;=3,$AA21='King Node Model'!$D$26,$GV21=1),$AG21="R",COUNTIF($W$9:$W$14,$AA21)&gt;0,ABS($AA21-$B$4)&lt;=$BG$7,OR($AX21=0,$D$5&lt;&gt;"UP"),$BK21&lt;&gt;1,OR($CI21=0,$AJ21=1),$AM21&gt;=$BG$20,$AC21&gt;IF($CZ21=1,$BG$48,$BG$19),OR($AC21&gt;=MAX($AC$9:$AC$55),$BC21&gt;0,$AA21='King Node Model'!$D$26,AND(OR($AA21=$CP$4,$AA21=$CP$5,$AA21=$CP$6,$AA21=$CP$7),ABS($AA21-$B$4)&lt;=30),$CF21=1,$AN21=1,AND($AX21=1,$D$5="DOWN"))),1,0))))))))))))</f>
        <v>1</v>
      </c>
      <c r="CV21" s="218">
        <f>IF(AND(OR('King Node Model'!$A$8="Neg",N($BG$72)=1),$AG21="S",N($LR21)=1,N($MB21)=1),1,IF(AND(AND('King Node Model'!$A$8&lt;&gt;"Neg",N($BG$72)&lt;&gt;1),SUMPRODUCT(($AG$9:$AG$55="R")*ISNUMBER($AT$9:$AT$55)*ISNUMBER($AU$9:$AU$55)*($AT$9:$AT$55&lt;&gt;$AU$9:$AU$55)*($AT$9:$AT$55&lt;=$AA21)*($AU$9:$AU$55&gt;=$AA21))&gt;0,NOT(AND(N($LC21)=1,$AA21='King Node Model'!$B$23))),0,IF(AND($AA21='King Node Model'!$F$24,$AG21="S",COUNTIF($W$18:$W$23,$AA21)&gt;0),1,IF(AND($FN21=1,$EU21&lt;&gt;1,$EM21&lt;&gt;1,$DH21&lt;&gt;1,$AG21="S",COUNTIF($W$18:$W$23,$AA21)&gt;0),1,IF($EU21=1,0,IF(AND(OR($EF21=1,$GV21=1,AND(OR($AA21='King Node Model'!$T$22,$AA21='King Node Model'!$T$23,AND($AG21="S",COUNTIF('Master Dashboard'!$AN$16:$AN$18,$AA21)&gt;0)),$AN21=1,OR($AX21=0,$D$5&lt;&gt;"UP"))),OR(NOT(OR('King Node Model'!$A$8="Neg",N($BG$72)=1)),$GV21=1,AND(OR($AA21='King Node Model'!$T$22,$AA21='King Node Model'!$T$23,AND($AG21="S",COUNTIF('Master Dashboard'!$AN$16:$AN$18,$AA21)&gt;0)),$AN21=1,OR($AX21=0,$D$5&lt;&gt;"UP")),AND($AM21&gt;=$BG$20,$AC21&gt;IF($CZ21=1,$BG$48,$BG$19)))),1,IF($DH21=1,0,IF(AND($DC21=1,$GS21&lt;&gt;1,AND('King Node Model'!$A$8&lt;&gt;"Neg",N($BG$72)&lt;&gt;1)),0,IF(AND($EY21=1,NOT(OR('King Node Model'!$A$8="Neg",$BG$72=1)),$AA21&lt;&gt;'King Node Model'!$B$23,COUNTIF('Master Dashboard'!$AN$16:$AN$18,$AA21)=0),0,IF(AND($GS21=1,$AG21="S",OR($CI21=0,$EF21=1,$EX21=1,$GV21=1),COUNTIF($W$18:$W$23,$AA21)&gt;0,ABS($AA21-$B$4)&lt;=$BG$7,$BK21&lt;&gt;1,$AM21&gt;=$BG$20,$AC21&gt;IF($CZ21=1,$BG$48,$BG$19)),1,IF(OR('King Node Model'!$A$8="Neg",N($BG$72)=1),IF(AND(OR(OR($AM21&gt;=$BG$20,N($LR21)=1),$AA21='King Node Model'!$D$26,$GV21=1),$AG21="S",COUNTIF($W$18:$W$23,$AA21)&gt;0,ABS($AA21-$B$4)&lt;=$BG$7,OR($AX21=0,$D$5&lt;&gt;"UP"),$BK21&lt;&gt;1,OR($CI21=0,$AJ21=1,AND(N($LR21)=1,N($MB21)=1),N($MT21)=1),OR($AM21&gt;=$BG$20,N($LR21)=1),$AC21&gt;IF($CZ21=1,$BG$48,$BG$19),OR($AB21&gt;0,$AN21=1,N($MT21)=1,N($LR21)=1,$AA21='King Node Model'!$D$26,AND($BY21=1,$AA21&lt;$B$4),$BX21=1,$CF21=1,$CF21=1,AND(OR($AA21=$CP$4,$AA21=$CP$5,$AA21=$CP$6,$AA21=$CP$7),ABS($AA21-$B$4)&lt;=30),AND($AX21=1,$D$5="DOWN"))),1,0),IF(AND(OR($AM21&gt;=3,$AA21='King Node Model'!$D$26,$GV21=1),$AG21="S",COUNTIF($W$18:$W$23,$AA21)&gt;0,ABS($AA21-$B$4)&lt;=$BG$7,OR($AX21=0,$D$5&lt;&gt;"UP"),$BK21&lt;&gt;1,OR($CI21=0,$AJ21=1,AND(N($LR21)=1,N($MB21)=1),N($MT21)=1),$AM21&gt;=$BG$20,$AC21&gt;IF($CZ21=1,$BG$48,$BG$19),OR($AC21&gt;=MAX($AC$9:$AC$55),$BC21&gt;0,N($MT21)=1,$AA21='King Node Model'!$D$26,AND(OR($AA21=$CP$4,$AA21=$CP$5,$AA21=$CP$6,$AA21=$CP$7),ABS($AA21-$B$4)&lt;=30),$CF21=1,$AN21=1,AND($AX21=1,$D$5="DOWN"))),1,0))))))))))))</f>
        <v>0</v>
      </c>
      <c r="CX21" s="218">
        <f t="shared" si="48"/>
        <v>0</v>
      </c>
      <c r="CY21" t="str">
        <f t="shared" si="49"/>
        <v/>
      </c>
      <c r="CZ21" s="218">
        <f t="shared" si="50"/>
        <v>0</v>
      </c>
      <c r="DA21" t="str">
        <f t="shared" si="51"/>
        <v/>
      </c>
      <c r="DB21" t="str">
        <f t="shared" si="52"/>
        <v/>
      </c>
      <c r="DC21" s="218">
        <f t="shared" si="53"/>
        <v>0</v>
      </c>
      <c r="DD21" s="218">
        <f t="shared" si="54"/>
        <v>0</v>
      </c>
      <c r="DE21" s="218">
        <f t="shared" si="55"/>
        <v>0</v>
      </c>
      <c r="DF21" t="str">
        <f t="shared" si="56"/>
        <v/>
      </c>
      <c r="DG21" t="str">
        <f t="shared" si="57"/>
        <v/>
      </c>
      <c r="DH21" s="218">
        <f t="shared" si="58"/>
        <v>0</v>
      </c>
      <c r="DI21">
        <v>1</v>
      </c>
      <c r="DJ21">
        <v>1</v>
      </c>
      <c r="DK21">
        <v>328596</v>
      </c>
      <c r="DL21">
        <v>0</v>
      </c>
      <c r="DM21" t="str">
        <f>IF(AND($CV21=1,$AG21="S"),IF(AND(OR('King Node Model'!$A$8="Neg",N($BG$72)=1),'King Node Model'!$S$52=""),IF(OR(N($AN21)=1,N($LR21)=1,$AB21&gt;0,$AJ21=1,N($JO21)=1,AND(NOT($AE21&gt;0),NOT(IFERROR(AND(ISNUMBER($BC21),ISNUMBER($BC20),($BC21&gt;=0)&lt;&gt;($BC20&gt;=0)),FALSE())),OR(AND($BM21&lt;=6,$BN21&lt;=6),ABS($AA21-'King Node Model'!$T$23)&lt;=5,$LA21=1))),1,0),1),"")</f>
        <v/>
      </c>
      <c r="DN21" t="str">
        <f t="shared" si="59"/>
        <v/>
      </c>
      <c r="DO21" t="str">
        <f t="shared" si="60"/>
        <v/>
      </c>
      <c r="DP21" t="str">
        <f>IF(AND(OR('King Node Model'!$A$8="Neg",N($BG$72)=1),$AG21="S",ISNUMBER($AT21),ISNUMBER($AU21),$AT21&lt;&gt;$AU21,$AA21=$AT21),IF(AND(SUMPRODUCT(($AA$9:$AA$55&gt;=$AT21)*($AA$9:$AA$55&lt;=$AU21)*($AB$9:$AB$55&gt;0))&gt;0,SUMPRODUCT(($AA$9:$AA$55&gt;=$AT21)*($AA$9:$AA$55&lt;=$AU21)*($DM$9:$DM$55=1))&gt;0,SUMPRODUCT(($AA$9:$AA$55&gt;=$AT21)*($AA$9:$AA$55&lt;=$AU21)*(COUNTIF($W$18:$W$20,$AA$9:$AA$55)&gt;0))&gt;0),1,0),"")</f>
        <v/>
      </c>
      <c r="DS21">
        <v>0</v>
      </c>
      <c r="DT21">
        <v>0</v>
      </c>
      <c r="DU21" t="str">
        <f>IF('King Node Model'!$A$8&lt;&gt;"Pos","",IF(OR($AA21="",NOT(ISNUMBER($AA21)),ABS($AA21-$B$4)&gt;$BG$7),"",TEXT($AA21,"0")&amp;" | "&amp;IF($AG21="","unclassified",IF($AG21&lt;&gt;IF($AA21&gt;$B$4,"R","S"),"orphan: in "&amp;$AG21&amp;"-list, "&amp;IF($AA21&lt;$B$4,"below","above")&amp;" spot",IF(IF($AG21="R",COUNTIF($W$9:$W$14,$AA21),COUNTIF($W$18:$W$23,$AA21))=0,"not in "&amp;$AG21&amp;"-list",IF($DH21=1,"absorbed into shelf box",IF($BK21=1,"absorbed: adjacent reversal",IF($CI21=1,"accel-accelerant",IF($AC21&lt;=$BG$19,"below gamma-floor",IF($AM21&lt;$BG$20,"confluence "&amp;TEXT($AM21,"0")&amp;" &lt; "&amp;TEXT($BG$20,"0"),IF(AND($AX21=1,$D$5="UP"),"accelerant in up-move",IF(NOT(OR($AC21&gt;=MAX($AC$9:$AC$55),$BC21&gt;0,$AA21='King Node Model'!$D$26,AND(OR($AA21=$CP$4,$AA21=$CP$5,$AA21=$CP$6,$AA21=$CP$7),ABS($AA21-$B$4)&lt;=30),ISNUMBER(SEARCH("STRENGTHENING",$CG21)),$AN21=1,AND($AX21=1,$D$5="DOWN"))),"no surface flag","-&gt; qualifies"))))))))))))</f>
        <v/>
      </c>
      <c r="DV21" s="218">
        <f t="shared" si="61"/>
        <v>99999</v>
      </c>
      <c r="DW21" s="218">
        <f t="shared" si="62"/>
        <v>99999</v>
      </c>
      <c r="DX21" t="str">
        <f>IF('King Node Model'!$A$8&lt;&gt;"Pos","",IF(AND($DV21&lt;99999,$DV21=MIN($DV$9:$DV$55),$DG21&gt;$AA21),"R-box: "&amp;TEXT($AA21,"0")&amp;"-"&amp;TEXT($DG21,"0"),IF(AND($DW21&lt;99999,$DW21=MIN($DW$9:$DW$55),$DF21&lt;$AA21),"S-box: "&amp;TEXT($DF21,"0")&amp;"-"&amp;TEXT($AA21,"0"),"")))</f>
        <v/>
      </c>
      <c r="EB21">
        <f t="shared" si="63"/>
        <v>49.609999999999673</v>
      </c>
      <c r="EC21">
        <f t="shared" si="64"/>
        <v>538591</v>
      </c>
      <c r="ED21">
        <f t="shared" si="65"/>
        <v>0</v>
      </c>
      <c r="EE21">
        <f>IF(AND(OR('King Node Model'!$A$8="Neg",N($BG$72)=1),$AG21="R",ISNUMBER($EB21),$EB21&lt;=$BG$7,$AB21&gt;0,$EC21&gt;0,$AB21=$EC21),1,0)</f>
        <v>1</v>
      </c>
      <c r="EF21">
        <f>IF(AND(OR('King Node Model'!$A$8="Neg",N($BG$72)=1),$AG21="S",ISNUMBER($EB21),$EB21&lt;=$BG$7,$AB21&gt;0,$ED21&gt;0,$AB21=$ED21),1,0)</f>
        <v>0</v>
      </c>
      <c r="EI21">
        <v>1</v>
      </c>
      <c r="EJ21">
        <f>IF($AA21="",0,IF(SUMPRODUCT(($AA$9:$AA$55&gt;=$AT21)*($AA$9:$AA$55&lt;=$AU21)*($DT$9:$DT$55=1))+SUMPRODUCT(($DT$9:$DT$55=1)*($AT$9:$AT$55&lt;=$AA21)*($AU$9:$AU$55&gt;=$AA21))+($DT21=1)+AND(OR('King Node Model'!$A$8="Neg",N($BG$72)=1),ISNUMBER(SEARCH("LOW",'Master Dashboard'!$M$5)),ISNUMBER(SEARCH("BUY",'Master Dashboard'!$G$8)),'King Node Model'!$T$23='King Node Model'!$B$23,$AA21&gt;='King Node Model'!$T$23,$AA21&lt;='King Node Model'!$T$23+5)*1&gt;0,1,0))</f>
        <v>0</v>
      </c>
      <c r="EM21">
        <f t="shared" si="66"/>
        <v>0</v>
      </c>
      <c r="EN21">
        <v>0</v>
      </c>
      <c r="EO21">
        <f t="shared" si="67"/>
        <v>0</v>
      </c>
      <c r="EP21">
        <f t="shared" si="68"/>
        <v>0</v>
      </c>
      <c r="EQ21" t="str">
        <f t="shared" si="69"/>
        <v>WEAKENING · Pos gamma ↓ · thinning the ceiling</v>
      </c>
      <c r="ES21">
        <f>IF(AND(ISNUMBER(AA21),ISNUMBER(AF21),ABS(AA21-'King Node Model'!$B$4)&lt;=$BG$7),ABS(AF21),"")</f>
        <v>9356659</v>
      </c>
      <c r="ET21">
        <v>0</v>
      </c>
      <c r="EU21" s="218">
        <f>IF(AND(OR('King Node Model'!$A$8="Neg",N($BG$72)=1),ISNUMBER($AA20),ISNUMBER($AA21),ISNUMBER($AA22),ISNUMBER($AB20),ISNUMBER($AB21),ISNUMBER($AB22),ISNUMBER($AF21),$AB21&gt;0,$AB20&lt;0,$AB22&lt;0,$AF21&lt;0),1,0)</f>
        <v>0</v>
      </c>
      <c r="EW21">
        <f>IF(OR(N($MY21)=1,N($JM21)=1),0,N($NE21))</f>
        <v>0</v>
      </c>
      <c r="EX21">
        <f>IF(AND(OR('King Node Model'!$A$8="Neg",N($BG$72)=1),ISNUMBER($AA21),OR(AND($AA21='King Node Model'!$F$24,OR(AND($AG21="S",$F$4="High",IF($BG$80&lt;&gt;"",UPPER($BG$80),$D$5)="DOWN"),AND($AG21="R",$F$4="Low",IF($BG$80&lt;&gt;"",UPPER($BG$80),$D$5)="UP"))),$GV21=1)),1,0)</f>
        <v>0</v>
      </c>
      <c r="EY21">
        <f>IFERROR(IF(AND($DC21=1,$AB21&lt;0,$AC21&gt;=(1+$FA$6)*INDEX($AC$9:$AC$55,13-1),$AC21&gt;=(1+$FA$6)*INDEX($AC$9:$AC$55,13+1),$AC21&gt;=IFERROR(INDEX($AC$9:$AC$55,13-2),0),$AC21&gt;=IFERROR(INDEX($AC$9:$AC$55,13+2),0)),1,0),0)</f>
        <v>0</v>
      </c>
      <c r="FA21" t="str">
        <f>IF(NOT(ISNUMBER($AA21)),"",IFERROR(IF(AND($AC21=MAX($AC$9:$AC$55),$AB21=MIN($AB$9:$AB$55)),"DOM",IF(AND($DC20=1,$DC21=1,$DC22=1,INDEX($AC$9:$AC$55,13-1)&lt;=(1-$FA$6)*$AC21,INDEX($AC$9:$AC$55,13-1)&lt;=(1-$FA$6)*INDEX($AC$9:$AC$55,13-2)),"GAP↑",IF(AND($DC22=1,$DC21=1,INDEX($AC$9:$AC$55,13+1)&lt;=(1-$FA$6)*$AC21,INDEX($AC$9:$AC$55,13+1)&lt;=(1-$FA$6)*INDEX($AC$9:$AC$55,13+2)),"GAP↓",IF($CZ21=1,"dEdge Cliff",IF($GY21=1,"γWall",IF(AND($DC21=1,$AB21&lt;0,$AC21&gt;=(1+$FA$6)*INDEX($AC$9:$AC$55,13-1),$AC21&gt;=(1+$FA$6)*INDEX($AC$9:$AC$55,13+1)),"PEAK-",IF($GZ21=1,"γSh Edge",IF($HL21=1,"Trough",IF($HN21=1,"PEAK+",IF($GF21=1,"Cluster","")))))))))),""))</f>
        <v/>
      </c>
      <c r="FB21" t="str">
        <f t="shared" si="70"/>
        <v/>
      </c>
      <c r="FC21" t="str">
        <f t="shared" si="71"/>
        <v/>
      </c>
      <c r="FD21">
        <f>IF(AND(ISNUMBER($AA21),ISNUMBER('King Node Model'!$AP$17),ISNUMBER('King Node Model'!$AQ$17),$AA21&gt;=MIN('King Node Model'!$AP$17,'King Node Model'!$AQ$17),$AA21&lt;=MAX('King Node Model'!$AP$17,'King Node Model'!$AQ$17),IFERROR(INDEX($AC$9:$AC$55,MATCH('King Node Model'!$AL$42,$AA$9:$AA$55,0)),0)&gt;0,$AC21&gt;=(1-$FA$6)*IFERROR(INDEX($AC$9:$AC$55,MATCH('King Node Model'!$AL$42,$AA$9:$AA$55,0)),0),$AC21&lt;=(1+$FA$6)*IFERROR(INDEX($AC$9:$AC$55,MATCH('King Node Model'!$AL$42,$AA$9:$AA$55,0)),0)),1,0)</f>
        <v>0</v>
      </c>
      <c r="FE21">
        <f>IF($AA21='King Node Model'!$AL$42,1,IF(AND($FD21=1,$FE20=1),1,0))</f>
        <v>0</v>
      </c>
      <c r="FF21">
        <f>IF($AA21='King Node Model'!$AL$42,1,IF(AND($FD21=1,$FF22=1),1,0))</f>
        <v>0</v>
      </c>
      <c r="FG21" t="str">
        <f>IF(OR($FE21=1,$FF21=1),13,"")</f>
        <v/>
      </c>
      <c r="FJ21">
        <f>IF(AND($CW$2=1,ISNUMBER($AA21),ISNUMBER($CW$3),ISNUMBER($CW$4),$AA21&gt;=MIN($CW$3,$CW$4),$AA21&lt;=MAX($CW$3,$CW$4),IFERROR(INDEX($AC$9:$AC$55,MATCH('King Node Model'!$AP$67,$AA$9:$AA$55,0)),0)&gt;0,$AC21&gt;=(1-$FA$6)*IFERROR(INDEX($AC$9:$AC$55,MATCH('King Node Model'!$AP$67,$AA$9:$AA$55,0)),0),$AC21&lt;=(1+$FA$6)*IFERROR(INDEX($AC$9:$AC$55,MATCH('King Node Model'!$AP$67,$AA$9:$AA$55,0)),0)),1,0)</f>
        <v>0</v>
      </c>
      <c r="FK21">
        <f>IF(AND($CW$2=1,$AA21='King Node Model'!$AP$67),1,IF(AND($FJ21=1,$FK20=1),1,0))</f>
        <v>0</v>
      </c>
      <c r="FL21">
        <f>IF(AND($CW$2=1,$AA21='King Node Model'!$AP$67),1,IF(AND($FJ21=1,$FL22=1),1,0))</f>
        <v>0</v>
      </c>
      <c r="FM21" t="str">
        <f>IF(OR($FK21=1,$FL21=1),13,"")</f>
        <v/>
      </c>
      <c r="FN21">
        <v>0</v>
      </c>
      <c r="FR21" t="str">
        <f t="shared" si="72"/>
        <v/>
      </c>
      <c r="FS21">
        <f t="shared" si="188"/>
        <v>0</v>
      </c>
      <c r="FT21">
        <f t="shared" si="73"/>
        <v>0.79185461153486514</v>
      </c>
      <c r="FU21">
        <f t="shared" si="74"/>
        <v>680164</v>
      </c>
      <c r="FV21">
        <f>IF($FW21=0,"",IF(OR($FW20=0,SIGN(IFERROR($BC21*1,0))&lt;&gt;SIGN(IFERROR($BC20*1,0)),$GH21=1,$GH20=1),MAX($FV$9:$FV20)+1,$FV20))</f>
        <v>3</v>
      </c>
      <c r="FW21">
        <f t="shared" si="75"/>
        <v>1</v>
      </c>
      <c r="FX21">
        <f t="shared" si="76"/>
        <v>680164</v>
      </c>
      <c r="FY21">
        <f t="shared" si="77"/>
        <v>1</v>
      </c>
      <c r="FZ21">
        <f t="shared" si="189"/>
        <v>1</v>
      </c>
      <c r="GA21">
        <f t="shared" si="78"/>
        <v>1</v>
      </c>
      <c r="GB21">
        <f t="shared" si="79"/>
        <v>1</v>
      </c>
      <c r="GC21">
        <f t="shared" si="80"/>
        <v>680164</v>
      </c>
      <c r="GD21">
        <f t="shared" si="81"/>
        <v>7825</v>
      </c>
      <c r="GE21">
        <f t="shared" si="82"/>
        <v>7825</v>
      </c>
      <c r="GF21">
        <f t="shared" si="83"/>
        <v>0</v>
      </c>
      <c r="GH21">
        <f>IFERROR(IF(AND($AC21&gt;=(1+$FA$6)*INDEX($AC$9:$AC$55,13-1),$AC21&gt;=(1+$FA$6)*INDEX($AC$9:$AC$55,13+1)),1,0),0)</f>
        <v>1</v>
      </c>
      <c r="GK21">
        <v>0</v>
      </c>
      <c r="GO21">
        <v>0</v>
      </c>
      <c r="GP21">
        <v>0</v>
      </c>
      <c r="GQ21">
        <f t="shared" si="84"/>
        <v>0</v>
      </c>
      <c r="GR21">
        <f t="shared" si="85"/>
        <v>0</v>
      </c>
      <c r="GS21">
        <f>IF(AND($EY21=1,$AA21&lt;&gt;'King Node Model'!$B$23),0,IF(OR($GQ21=1,$GR21=1),1,IF($DC21=1,IF(OR('King Node Model'!$A$8="Neg",N($BG$72)=1),IF(OR(AND($AC21=MAX($AC$9:$AC$55),$AB21=MIN($AB$9:$AB$55)),$AN21=1,$EE21=1,$EF21=1,$EX21=1,$GV21=1),1,0),1),0)))</f>
        <v>0</v>
      </c>
      <c r="GT21">
        <f>IFERROR(IF(AND(OR('King Node Model'!$A$8="Neg",N($BG$72)=1),$EU20=1,$AG21="R",ISNUMBER($AA21),ISNUMBER($AF21),$AF21&lt;&gt;0,$AA21&gt;$B$4-$BG$9,$AA21-$B$4&lt;=$BG$47,IF($KC21="UP",SIGN($AF21),IF($KC21="DOWN",-SIGN($AF21),0))&lt;&gt;1),1,0),0)</f>
        <v>0</v>
      </c>
      <c r="GU21" t="str">
        <f t="shared" si="86"/>
        <v/>
      </c>
      <c r="GV21">
        <f t="shared" si="87"/>
        <v>0</v>
      </c>
      <c r="GW21">
        <f t="shared" si="88"/>
        <v>49.609999999999673</v>
      </c>
      <c r="GX21" t="str">
        <f t="shared" si="89"/>
        <v/>
      </c>
      <c r="GY21">
        <f t="shared" si="90"/>
        <v>0</v>
      </c>
      <c r="GZ21">
        <f t="shared" si="91"/>
        <v>0</v>
      </c>
      <c r="HA21">
        <v>1</v>
      </c>
      <c r="HF21">
        <f>IFERROR(IF(AND($GZ21=1,'King Node Model'!$A$8="Pos",$D$5="UP",$CF21=-1,$AJ21&lt;&gt;1),1,0),0)</f>
        <v>0</v>
      </c>
      <c r="HG21">
        <f t="shared" si="92"/>
        <v>0</v>
      </c>
      <c r="HH21" t="str">
        <f>IF($GZ21=1,"",IFERROR(IF(NOT(ISNUMBER($AA21)),"",IF($EY21=1,"",IF($GF21=1,IF($GD21=$GE21,"",$GD21),IF(OR(AND($DC20=1,$DC21=1,$DC22=1,INDEX($AC$9:$AC$55,13-1)&lt;=(1-$FA$6)*$AC21,INDEX($AC$9:$AC$55,13-1)&lt;=(1-$FA$6)*INDEX($AC$9:$AC$55,13-2)),AND($DC22=1,$DC21=1,INDEX($AC$9:$AC$55,13+1)&lt;=(1-$FA$6)*$AC21,INDEX($AC$9:$AC$55,13+1)&lt;=(1-$FA$6)*INDEX($AC$9:$AC$55,13+2)),AND($DC21=1,OR(INDEX($DC$9:$DC$55,13-1)=0,INDEX($DC$9:$DC$55,13+1)=0))),IF(MIN($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MAX($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MIN($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f>
        <v/>
      </c>
      <c r="HI21" t="str">
        <f>IF($GZ21=1,"",IFERROR(IF(NOT(ISNUMBER($AA21)),"",IF($EY21=1,"",IF($GF21=1,IF($GD21=$GE21,"",$GE21),IF(OR(AND($DC20=1,$DC21=1,$DC22=1,INDEX($AC$9:$AC$55,13-1)&lt;=(1-$FA$6)*$AC21,INDEX($AC$9:$AC$55,13-1)&lt;=(1-$FA$6)*INDEX($AC$9:$AC$55,13-2)),AND($DC22=1,$DC21=1,INDEX($AC$9:$AC$55,13+1)&lt;=(1-$FA$6)*$AC21,INDEX($AC$9:$AC$55,13+1)&lt;=(1-$FA$6)*INDEX($AC$9:$AC$55,13+2)),AND($DC21=1,OR(INDEX($DC$9:$DC$55,13-1)=0,INDEX($DC$9:$DC$55,13+1)=0))),IF(MIN($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MAX($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MAX($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f>
        <v/>
      </c>
      <c r="HL21">
        <f t="shared" si="93"/>
        <v>0</v>
      </c>
      <c r="HM21">
        <f>IFERROR(IF(AND($HL21=1,NOT(OR($AA21='King Node Model'!$T$22,$AA21='King Node Model'!$T$23,$AA21='King Node Model'!$F$24,AND($AG21="S",COUNTIF('Master Dashboard'!$AN$16:$AN$18,$AA21)&gt;0),AND($AG21="R",COUNTIF('Master Dashboard'!$AN$13:$AN$15,$AA21)&gt;0)))),1,0),0)</f>
        <v>0</v>
      </c>
      <c r="HN21">
        <f t="shared" si="94"/>
        <v>0</v>
      </c>
      <c r="HO21">
        <f t="shared" si="95"/>
        <v>0</v>
      </c>
      <c r="HP21">
        <f t="shared" si="96"/>
        <v>1</v>
      </c>
      <c r="HQ21" t="str">
        <f>IF(NOT(ISNUMBER($AA21)),"",IFERROR(TRIM(IF(N($MY21)=1,"DEXLEAN ","")&amp;IF(N($IZ21)=1,"DEXCAP ","")&amp;IF(AND($AG21="S",UPPER('King Node Model'!$L$5)="HIGH",$KC21="DOWN",N($AF21)&gt;0,$AA21='King Node Model'!$AN$70,$IY21="SELL"),"CHOPEDGEIV ","")&amp;IF(N($IS21)=1,"NOREV ","")&amp;IF(N($JY21)=1,"VFLAT ","")&amp;IF(N($KR21)=1,"GDEXVANNA ","")&amp;IF(N($LD21)=1,"KGSUPFAIL ","")&amp;IF(N($LE21)=1,"KGRESLEAK ","")&amp;IF(N($MH21)=1,"ZIGZAG ","")&amp;IF(N($KK21)=1,"DATAGAP ","")&amp;IF(N($KA21)&lt;&gt;0,"ACCUNDERCW ","")&amp;IF(AND($AG21="S",$HF21=1),"EDGE ","")&amp;IF(AND($HM21=1,'King Node Model'!$A$8="Pos",N($BG$72)&lt;&gt;1),"TROUGH ","")&amp;IF(AND($EU21=1,N($JZ21)&lt;&gt;1),"BUMP ","")&amp;IF(AND($GT21=1,N($JZ21)&lt;&gt;1),"SANDWICH ","")&amp;IF(AND($EX21&lt;&gt;1,OR('King Node Model'!$A$8="Neg",N($BG$72)=1),OR(AND(ISNUMBER($AC21),$AC21=MAX($AC$9:$AC$55)),AND(ISNUMBER($AB21),$AB21=MIN($AB$9:$AB$55))),NOT(AND(AND(ISNUMBER($AC21),$AC21=MAX($AC$9:$AC$55)),AND(ISNUMBER($AB21),$AB21=MIN($AB$9:$AB$55)))),$AG21="S",N($AB21)&lt;0,NOT(COUNTIF('Master Dashboard'!$AN$16:$AN$18,$AA21)&gt;0),NOT(AND(OR('King Node Model'!$A$8="Neg",N($BG$72)=1),ISNUMBER($AB21),$AB21=MIN($AB$9:$AB$55),$AA21=$BG$105))),"ACCEL ","")&amp;IF(AND($EX21&lt;&gt;1,ISNUMBER($AA21),OR('King Node Model'!$A$8="Neg",N($BG$72)=1),$EY21=1,NOT(AND($AG21="S",COUNTIF('Master Dashboard'!$AN$16:$AN$18,$AA21)&gt;0)),NOT(AND($AA21='King Node Model'!$B$23,IF($AG21="S",OR($AA21='King Node Model'!$C$24,COUNTIF('Master Dashboard'!$AN$16:$AN$18,$AA21)&gt;0),OR($AA21='King Node Model'!$C$23,COUNTIF('Master Dashboard'!$AN$13:$AN$15,$AA21)&gt;0)))),NOT(AND($EX21&lt;&gt;1,OR('King Node Model'!$A$8="Neg",N($BG$72)=1),OR(AND(ISNUMBER($AC21),$AC21=MAX($AC$9:$AC$55)),AND(ISNUMBER($AB21),$AB21=MIN($AB$9:$AB$55))),NOT(AND(AND(ISNUMBER($AC21),$AC21=MAX($AC$9:$AC$55)),AND(ISNUMBER($AB21),$AB21=MIN($AB$9:$AB$55)))),$AG21="S",N($AB21)&lt;0,NOT(COUNTIF('Master Dashboard'!$AN$16:$AN$18,$AA21)&gt;0)))),"AMPLIFY ","")&amp;IF(AND($AG21="S",OR('King Node Model'!$A$8="Neg",N($BG$72)=1),$AJ21&lt;&gt;1,N($MT21)&lt;&gt;1,NOT(AND(N($LR21)=1,N($MB21)=1)),ISNUMBER(SEARCH("ACCEL building",$CG21))),"ZACCEL ","")&amp;IF(AND($AG21="S",OR('King Node Model'!$A$8="Neg",N($BG$72)=1),$AA21='King Node Model'!$B$23,NOT(AND(AND(ISNUMBER($AC21),$AC21=MAX($AC$9:$AC$55)),AND(ISNUMBER($AB21),$AB21=MIN($AB$9:$AB$55)))),$EJ21&lt;&gt;1),"KINGACC ","")&amp;IF(AND($AG21="S",OR('King Node Model'!$A$8="Neg",N($BG$72)=1),ABS(N($AA21)-N('King Node Model'!$B$23))&lt;=$BG$107,NOT(AND(SUMPRODUCT((ABS($AF$9:$AF$55)&lt;=ABS(N($AF21)))*1)/COUNT($AF$9:$AF$55)&gt;=0.66,OR(ISNUMBER(SEARCH("firmer resistance",$CG21)),ISNUMBER(SEARCH("STRENGTHENING",$CG21)),ISNUMBER(SEARCH("firmer support",$CG21))))),NOT(AND(N($AB21)&gt;0,SUMPRODUCT((ABS($AB$9:$AB$55)&lt;=ABS(N($AB21)))*1)/COUNT($AB$9:$AB$55)&gt;=0.66)),$EJ21&lt;&gt;1,$AJ21&lt;&gt;1,COUNTIF('Master Dashboard'!$AN$16:$AN$18,$AA21)=0,NOT(AND($AG21="S",OR('King Node Model'!$A$8="Neg",N($BG$72)=1),$AA21='King Node Model'!$B$23,NOT(AND(AND(ISNUMBER($AC21),$AC21=MAX($AC$9:$AC$55)),AND(ISNUMBER($AB21),$AB21=MIN($AB$9:$AB$55)))),$EJ21&lt;&gt;1))),"KINGNODE ","")&amp;IF(AND($AG21="R",NOT(AND(AND(ISNUMBER($AC21),$AC21=MAX($AC$9:$AC$55)),AND(ISNUMBER($AB21),$AB21=MIN($AB$9:$AB$55)))),UPPER('King Node Model'!$L$5)="LOW",$KC21="DOWN",N($AF21)&gt;0),"LOWIVFALL ","")&amp;IF(AND($AG21="R",NOT(AND(AND(ISNUMBER($AC21),$AC21=MAX($AC$9:$AC$55)),AND(ISNUMBER($AB21),$AB21=MIN($AB$9:$AB$55)))),UPPER('King Node Model'!$L$5)="HIGH",$KC21="DOWN",N($AF21)&gt;0,IFERROR(MATCH($AA21,$W$9:$W$14,0)&gt;=4,FALSE)),"HIGHIVFALL ","")&amp;IF(AND($AG21="R",N($BG$99)=1),"SPOTUPVOLUP ","")&amp;IF(AND($AG21="R",ISNUMBER(SEARCH("5/5",'Master Dashboard'!$E$29)),OR(ISNUMBER(SEARCH("WEAKENING",$EQ21)),ISNUMBER(SEARCH("Pos gamma ↓",$EQ21)),ISNUMBER(SEARCH("thinning the ceiling",$EQ21)))),"SQUEEZE ","")&amp;IF(N($JU21)=1,"DEDGECLIFF ","")&amp;IF(N($KT21)=1,"DEXDRAIN ","")&amp;IF(N($HW21)&lt;&gt;0,"DEXDROP ","")&amp;IF(N($HX21)&lt;&gt;0,"PEAK+ ","")&amp;IF(N($IF21)=1,"CHOP ","")&amp;IF(N($IQ21)=1,"CONTESTED ","")&amp;IF(N($IW21)=1,"VSELL ","")&amp;IF(N($JK21)=1,"VBUYRES ","")&amp;IF(N($JL21)=1,"DOMFLAT ","")&amp;IF(N($JM21)=1,"DOMPULL ","")&amp;IF(N($JP21)=1,"OIZOMMA ","")&amp;IF(AND(N($JQ21)=1,N($JZ21)&lt;&gt;1),"OIDEX ","")),""))</f>
        <v>LOWIVFALL VBUYRES</v>
      </c>
      <c r="HR21" t="str">
        <f>IF(AND(ISNUMBER($W21),OR('King Node Model'!$A$8&lt;&gt;"Pos",N($BG$72)=1,IFERROR(INDEX($AM$9:$AM$55,MATCH($W21,$AA$9:$AA$55,0)),0)&gt;=$BG$20),$E21="REVERSAL",OR($F21="stable",$F21="VOMMA BID"),$W21&lt;&gt;'King Node Model'!$AL$49,$W21&lt;&gt;'King Node Model'!$AL$50,IFERROR(INDEX($HP$9:$HP$55,MATCH($W21,$AA$9:$AA$55,0)),1)=0),ABS($W21-'King Node Model'!$B$4),"")</f>
        <v/>
      </c>
      <c r="HS21">
        <f>IFERROR(IF(AND($DC21=1,OR(AND($AG21="R",INDEX($DC$9:$DC$55,12)=0,INDEX($DC$9:$DC$55,14)=1,INDEX($DC$9:$DC$55,15)=1),AND($AG21="S",INDEX($DC$9:$DC$55,14)=0,INDEX($DC$9:$DC$55,12)=1,INDEX($DC$9:$DC$55,11)=1))),1,0),0)</f>
        <v>0</v>
      </c>
      <c r="HT21">
        <f t="shared" si="97"/>
        <v>0</v>
      </c>
      <c r="HU21">
        <v>0</v>
      </c>
      <c r="HV21">
        <v>0</v>
      </c>
      <c r="HW21">
        <f>IFERROR(IF(OR(NOT(ISNUMBER($AA21)),'King Node Model'!$A$8&lt;&gt;"Pos",N($BG$72)=1,ABS(N($AE21))&lt;$BG$113,N($AV21)=1,$FA21="DOM",$AA21='King Node Model'!$T$23,AND(N($BG$116)=1,$AA21='King Node Model'!$F$24),NOT(ISNUMBER($KU21)),NOT(ISNUMBER($KV21))),0,IF(AND($AG21="S",COUNTIF('Master Dashboard'!$AN$16:$AN$18,$AA21)=0,$KU21&gt;=$BG$114,$KU21&gt;=$KV21+$BG$115,NOT(AND(N($AN22)=1,N($KV21)&lt;0)),N($AE21)&lt;=0),1,IF(AND($AG21="R",COUNTIF('Master Dashboard'!$AN$13:$AN$15,$AA21)=0,$KV21&gt;=$BG$114,$KV21&gt;=$KU21+$BG$115,NOT(AND(N($AN20)=1,N($KU21)&lt;0))),-1,0))),0)</f>
        <v>0</v>
      </c>
      <c r="HX21">
        <f>IFERROR(IF(AND(ISNUMBER($AA21),$FA21="PEAK+",N($AN21)&lt;&gt;1,NOT(AND('King Node Model'!$A$8="Pos",OR($AA21='King Node Model'!$T$22,$AA21='King Node Model'!$T$23,$AA21='King Node Model'!$F$24))),IF($AG21="S",COUNTIF('Master Dashboard'!$AN$16:$AN$18,$AA21)=0,IF($AG21="R",COUNTIF('Master Dashboard'!$AN$13:$AN$15,$AA21)=0,FALSE))),1,0),0)</f>
        <v>0</v>
      </c>
      <c r="HY21">
        <f t="shared" si="98"/>
        <v>0.47889197348595652</v>
      </c>
      <c r="HZ21">
        <v>0</v>
      </c>
      <c r="IA21">
        <f>IFERROR(IF(AND(IF($BG$44=1,OR(ISNUMBER(SEARCH("Choppy",'King Node Model'!$S$38)),'King Node Model'!$S$52&lt;&gt;"",'King Node Model'!$A$8="Pos"),TRUE()),OR($DC21=1,$DC20=1,$DC22=1),ABS($AA21-$B$4)&lt;=$BG$7,ABS($AA21-$BG$28)&gt;=$BG$45,OR(AND($AA21&gt;$BG$28,$AG21="R"),AND($AA21&lt;$BG$28,$AG21="S",N($BG$154)=1)),ABS(IF($AA21&gt;$BG$28,$AE22,$AE20))&gt;=$BG$43,ABS(N(IF($AA21&gt;$BG$28,$AE20,$AE22)))&lt;=$BG$153*ABS(IF($AA21&gt;$BG$28,$AE22,$AE20)),IF(ISNUMBER($HZ21),$HZ21=1,AND(ISNUMBER($HY21),$HY21&gt;=$BG$42))),1,0),0)</f>
        <v>0</v>
      </c>
      <c r="IB21">
        <f t="shared" si="99"/>
        <v>0</v>
      </c>
      <c r="IC21" t="str">
        <f>IF(NOT(ISNUMBER($AA21)),"",IFERROR(MID(IF(AND($AC21=MAX($AC$9:$AC$55),$AB21=MIN($AB$9:$AB$55))," · DOM","")&amp;IF(AND($DC20=1,$DC21=1,$DC22=1,INDEX($AC$9:$AC$55,13-1)&lt;=(1-$FA$6)*$AC21,INDEX($AC$9:$AC$55,13-1)&lt;=(1-$FA$6)*INDEX($AC$9:$AC$55,13-2))," · GAP↑ → "&amp;INDEX($AA$9:$AA$55,13-2),"")&amp;IF(AND($DC22=1,$DC21=1,INDEX($AC$9:$AC$55,13+1)&lt;=(1-$FA$6)*$AC21,INDEX($AC$9:$AC$55,13+1)&lt;=(1-$FA$6)*INDEX($AC$9:$AC$55,13+2))," · GAP↓ → "&amp;INDEX($AA$9:$AA$55,13+2),"")&amp;IF($CZ21=1," · dEdge Cliff","")&amp;IF($GY21=1," · γWall","")&amp;IF(AND($DC21=1,$AB21&lt;0,$AC21&gt;=(1+$FA$6)*INDEX($AC$9:$AC$55,13-1),$AC21&gt;=(1+$FA$6)*INDEX($AC$9:$AC$55,13+1))," · PEAK-","")&amp;IF($GZ21=1," · γSh Edge","")&amp;IF($HL21=1," · Trough","")&amp;IF($HN21=1," · PEAK+","")&amp;IF($GF21=1," · Cluster",""),FIND(" · ",IF(AND($AC21=MAX($AC$9:$AC$55),$AB21=MIN($AB$9:$AB$55))," · DOM","")&amp;IF(AND($DC20=1,$DC21=1,$DC22=1,INDEX($AC$9:$AC$55,13-1)&lt;=(1-$FA$6)*$AC21,INDEX($AC$9:$AC$55,13-1)&lt;=(1-$FA$6)*INDEX($AC$9:$AC$55,13-2))," · GAP↑ → "&amp;INDEX($AA$9:$AA$55,13-2),"")&amp;IF(AND($DC22=1,$DC21=1,INDEX($AC$9:$AC$55,13+1)&lt;=(1-$FA$6)*$AC21,INDEX($AC$9:$AC$55,13+1)&lt;=(1-$FA$6)*INDEX($AC$9:$AC$55,13+2))," · GAP↓ → "&amp;INDEX($AA$9:$AA$55,13+2),"")&amp;IF($CZ21=1," · dEdge Cliff","")&amp;IF($GY21=1," · γWall","")&amp;IF(AND($DC21=1,$AB21&lt;0,$AC21&gt;=(1+$FA$6)*INDEX($AC$9:$AC$55,13-1),$AC21&gt;=(1+$FA$6)*INDEX($AC$9:$AC$55,13+1))," · PEAK-","")&amp;IF($GZ21=1," · γSh Edge","")&amp;IF($HL21=1," · Trough","")&amp;IF($HN21=1," · PEAK+","")&amp;IF($GF21=1," · Cluster",""),2),999),""))</f>
        <v/>
      </c>
      <c r="ID21" t="str">
        <f>IF(NOT(ISNUMBER($AA21)),"",IFERROR(MID(IF(AND($AC21=MAX($AC$9:$AC$55),$AB21=MIN($AB$9:$AB$55))," · DOM","")&amp;IF(AND($DC20=1,$DC21=1,$DC22=1,INDEX($AC$9:$AC$55,13-1)&lt;=(1-$FA$6)*$AC21,INDEX($AC$9:$AC$55,13-1)&lt;=(1-$FA$6)*INDEX($AC$9:$AC$55,13-2))," · GAP↑ → "&amp;INDEX($AA$9:$AA$55,13-2),"")&amp;IF(AND($DC22=1,$DC21=1,INDEX($AC$9:$AC$55,13+1)&lt;=(1-$FA$6)*$AC21,INDEX($AC$9:$AC$55,13+1)&lt;=(1-$FA$6)*INDEX($AC$9:$AC$55,13+2))," · GAP↓ → "&amp;INDEX($AA$9:$AA$55,13+2),"")&amp;IF($CZ21=1," · dEdge Cliff","")&amp;IF($GY21=1," · γWall","")&amp;IF(AND($DC21=1,$AB21&lt;0,$AC21&gt;=(1+$FA$6)*INDEX($AC$9:$AC$55,13-1),$AC21&gt;=(1+$FA$6)*INDEX($AC$9:$AC$55,13+1))," · PEAK-","")&amp;IF($GZ21=1," · γSh Edge","")&amp;IF($HL21=1," · Trough","")&amp;IF($HN21=1," · PEAK+","")&amp;IF(AND(NOT($HN21=1),NOT(AND($DC21=1,$AB21&lt;0)),N($GY21)&lt;&gt;1,N($GF21)&lt;&gt;1,N($GZ21)&lt;&gt;1,N($HL21)&lt;&gt;1,N($CZ21)&lt;&gt;1,NOT(AND($AC21=MAX($AC$9:$AC$55),$AB21=MIN($AB$9:$AB$55))),$AC21&gt;=(1+$FA$6)*INDEX($AC$9:$AC$55,13-1),$AC21&gt;=(1+$FA$6)*INDEX($AC$9:$AC$55,13+1))," · Knoll","")&amp;IF($GF21=1," · Cluster",""),4,999),""))</f>
        <v>Knoll</v>
      </c>
      <c r="IF21">
        <f t="shared" si="100"/>
        <v>0</v>
      </c>
      <c r="IG21">
        <f>IFERROR(IF(AND(ISNUMBER($AA21),'King Node Model'!$A$8="Pos",OR($AG21="S",$AG21="R"),$IN21="interior",COUNTIF(IF($AG21="S",'Master Dashboard'!$AN$16:$AN$18,'Master Dashboard'!$AN$13:$AN$15),$AA21)=0,$AA21&lt;&gt;'King Node Model'!$T$22,$AA21&lt;&gt;'King Node Model'!$T$23,$AA21&lt;&gt;'King Node Model'!$F$24),1,0),0)</f>
        <v>0</v>
      </c>
      <c r="IH21">
        <f t="shared" si="101"/>
        <v>0</v>
      </c>
      <c r="II21">
        <f t="shared" si="190"/>
        <v>0</v>
      </c>
      <c r="IJ21">
        <f t="shared" si="102"/>
        <v>0</v>
      </c>
      <c r="IK21">
        <f t="shared" si="103"/>
        <v>0</v>
      </c>
      <c r="IL21">
        <f t="shared" si="191"/>
        <v>0</v>
      </c>
      <c r="IM21">
        <f t="shared" si="104"/>
        <v>0</v>
      </c>
      <c r="IN21" t="str">
        <f t="shared" si="105"/>
        <v/>
      </c>
      <c r="IO21">
        <v>0</v>
      </c>
      <c r="IP21">
        <v>0</v>
      </c>
      <c r="IQ21">
        <f>IFERROR(IF($AG21="S",IF(OR(COUNTIF($W$9:$W$14,$AA21)&gt;0,COUNTIF('King Node Model'!$AL$42:'King Node Model'!$AL$43,$AA21)&gt;0),1,0),IF($AG21="R",IF(OR(COUNTIF($W$18:$W$23,$AA21)&gt;0,COUNTIF('King Node Model'!$AL$49:'King Node Model'!$AL$50,$AA21)&gt;0),1,0),0)),0)</f>
        <v>0</v>
      </c>
      <c r="IR21">
        <f>IFERROR(IF(AND(ISNUMBER($W21),OR('King Node Model'!$A$8&lt;&gt;"Pos",N($BG$72)=1,IFERROR(INDEX($AM$9:$AM$55,MATCH($W21,$AA$9:$AA$55,0)),0)&gt;=$BG$20),COUNTIF('King Node Model'!$AL$49:'King Node Model'!$AL$50,$W21)=0),ABS($W21-$B$4),""),"")</f>
        <v>35.390000000000327</v>
      </c>
      <c r="IS21">
        <f>IF(AND(ISNUMBER($AA21),N($AN21)&lt;&gt;1,N($LR21)&lt;&gt;1,OR(N($EN21)&lt;&gt;1,AND('King Node Model'!$A$8&lt;&gt;"Neg",N($BG$72)&lt;&gt;1)),$AA21&lt;&gt;'King Node Model'!$T$22,$AA21&lt;&gt;'King Node Model'!$T$23,$AA21&lt;&gt;'King Node Model'!$F$24,NOT(AND($AG21="S",COUNTIF('Master Dashboard'!$AN$16:$AN$18,$AA21)&gt;0)),NOT(AND($AG21="R",COUNTIF('Master Dashboard'!$AN$13:$AN$15,$AA21)&gt;0)),NOT(AND('King Node Model'!$A$8&lt;&gt;"Neg",N($BG$72)&lt;&gt;1,COUNTIF('Master Dashboard'!$AN$13:$AN$18,$AA21)&gt;0))),1,0)</f>
        <v>0</v>
      </c>
      <c r="IT21">
        <v>0</v>
      </c>
      <c r="IU21">
        <f>IF(AND(ISNUMBER($AA21),$AA21='King Node Model'!$F$24,$AA21&gt;$GJ$3,N($AD21)&lt;0,$F$4="High"),1,0)</f>
        <v>0</v>
      </c>
      <c r="IV21" t="str">
        <f>""</f>
        <v/>
      </c>
      <c r="IW21">
        <f>IFERROR(IF(AND(ISNUMBER($AA21),NOT(AND(N($LR21)=1,N($MB21)=1)),$AG21="S",OR('King Node Model'!$A$8="Neg",N($BG$72)=1),$JV21="SELL",ABS(N($AD21))&gt;=$BG$94,NOT(AND(N($AD21)&gt;0,N($BG$78)=1,MEDIAN($AA21-$BG$82,$B$4,$AA21+$BG$83)=$B$4))),1,0),0)</f>
        <v>0</v>
      </c>
      <c r="IX21">
        <f>IFERROR(IF(AND(ISNUMBER($AA21),$AG21="S",OR('King Node Model'!$A$8="Neg",N($BG$72)=1),N($AD21)&gt;0,N($BG$78)=1,MEDIAN($AA21-$BG$82,$B$4,$AA21+$BG$83)=$B$4),1,0),0)</f>
        <v>0</v>
      </c>
      <c r="IY21" t="str">
        <f t="shared" si="106"/>
        <v>SELL</v>
      </c>
      <c r="IZ21">
        <f>IFERROR(IF(AND(ISNUMBER($AA21),$FA21&lt;&gt;"DOM",$AA21&lt;&gt;'King Node Model'!$F$24,OR(AND($AG21="S",COUNTIF('Master Dashboard'!$AN$16:$AN$18,$AA21)=0,N(INDEX($AE$9:$AE$55,MATCH($AA21+$BG$84,$AA$9:$AA$55,0)))&lt;=-$BG$85),AND($AG21="R",COUNTIF('Master Dashboard'!$AN$13:$AN$15,$AA21)=0,N(INDEX($AE$9:$AE$55,MATCH($AA21-$BG$84,$AA$9:$AA$55,0)))&gt;=$BG$85))),1,0),0)</f>
        <v>0</v>
      </c>
      <c r="JA21" t="str">
        <f t="shared" si="201"/>
        <v/>
      </c>
      <c r="JC21">
        <f t="shared" si="108"/>
        <v>0</v>
      </c>
      <c r="JD21" t="str">
        <f t="shared" si="193"/>
        <v/>
      </c>
      <c r="JE21">
        <f>IF(ISNUMBER($AA21),N(IFERROR(INDEX('King Node Model'!$L$29:$L$75,MATCH($AA21,'King Node Model'!$A$29:$A$75,0)),0)),"")</f>
        <v>483</v>
      </c>
      <c r="JF21">
        <f>IF(ISNUMBER($AA21),N(IFERROR(INDEX('King Node Model'!$K$29:$K$75,MATCH($AA21,'King Node Model'!$A$29:$A$75,0)),0)),"")</f>
        <v>4158</v>
      </c>
      <c r="JG21">
        <f t="shared" si="109"/>
        <v>0.11616161616161616</v>
      </c>
      <c r="JH21">
        <f t="shared" si="110"/>
        <v>8.6086956521739122</v>
      </c>
      <c r="JI21">
        <f t="shared" si="111"/>
        <v>0</v>
      </c>
      <c r="JJ21" t="str">
        <f t="shared" si="112"/>
        <v/>
      </c>
      <c r="JK21">
        <f t="shared" si="113"/>
        <v>1</v>
      </c>
      <c r="JL21">
        <f t="shared" si="114"/>
        <v>0</v>
      </c>
      <c r="JM21">
        <f t="shared" si="115"/>
        <v>0</v>
      </c>
      <c r="JN21">
        <f t="shared" si="116"/>
        <v>0</v>
      </c>
      <c r="JO21">
        <f t="shared" si="117"/>
        <v>0</v>
      </c>
      <c r="JP21">
        <f t="shared" si="118"/>
        <v>0</v>
      </c>
      <c r="JQ21">
        <f t="shared" si="119"/>
        <v>0</v>
      </c>
      <c r="JR21">
        <v>0</v>
      </c>
      <c r="JS21">
        <f>IFERROR(IF(AND(ISNUMBER($AA21),'King Node Model'!$A$8="Pos",OR($AG21="S",$AG21="R"),N($AB21)&gt;0,N($HP21)&lt;&gt;1,OR(AND($KC21="DOWN",N($AF21)&lt;0,N($AF21)=MIN($AF$9:$AF$55),-N($AF21)&gt;=MAX($AF$9:$AF$55)),AND($KC21="UP",N($AF21)&gt;0,N($AF21)=MAX($AF$9:$AF$55),N($AF21)&gt;=-MIN($AF$9:$AF$55)))),1,0),0)</f>
        <v>0</v>
      </c>
      <c r="JT21">
        <v>0</v>
      </c>
      <c r="JU21">
        <f>IFERROR(IF(AND(N($BG$109)=1,ISNUMBER($AA21),'King Node Model'!$A$8="Pos",N($CZ21)=1,N($AB21)&gt;0),1,0),0)</f>
        <v>0</v>
      </c>
      <c r="JV21" t="str">
        <f t="shared" si="120"/>
        <v>BUY</v>
      </c>
      <c r="JW21">
        <f t="shared" si="121"/>
        <v>0</v>
      </c>
      <c r="JX21">
        <f t="shared" si="122"/>
        <v>0</v>
      </c>
      <c r="JY21">
        <f t="shared" si="123"/>
        <v>0</v>
      </c>
      <c r="JZ21">
        <f t="shared" si="124"/>
        <v>1</v>
      </c>
      <c r="KA21">
        <f t="shared" si="125"/>
        <v>0</v>
      </c>
      <c r="KB21">
        <f t="shared" si="126"/>
        <v>0</v>
      </c>
      <c r="KC21" t="str">
        <f t="shared" si="127"/>
        <v>DOWN</v>
      </c>
      <c r="KE21" t="str">
        <f t="shared" si="128"/>
        <v>Now: strengthening the ceiling (IV rising) · if IV falls: weakens the ceiling · expected on arrival: WEAKENS ✗</v>
      </c>
      <c r="KF21" t="str">
        <f t="shared" si="129"/>
        <v>BUY</v>
      </c>
      <c r="KG21">
        <f t="shared" si="192"/>
        <v>0</v>
      </c>
      <c r="KH21" t="str">
        <f t="shared" si="130"/>
        <v/>
      </c>
      <c r="KI21" t="str">
        <f t="shared" si="131"/>
        <v/>
      </c>
      <c r="KJ21">
        <f t="shared" si="132"/>
        <v>0</v>
      </c>
      <c r="KK21">
        <f t="shared" si="133"/>
        <v>0</v>
      </c>
      <c r="KL21">
        <f t="shared" si="134"/>
        <v>0</v>
      </c>
      <c r="KM21">
        <f t="shared" si="135"/>
        <v>0</v>
      </c>
      <c r="KN21">
        <f t="shared" si="136"/>
        <v>0</v>
      </c>
      <c r="KO21">
        <v>0</v>
      </c>
      <c r="KP21">
        <f t="shared" si="137"/>
        <v>0</v>
      </c>
      <c r="KQ21">
        <f t="shared" si="138"/>
        <v>0</v>
      </c>
      <c r="KR21">
        <f t="shared" si="139"/>
        <v>0</v>
      </c>
      <c r="KS21">
        <f t="shared" si="140"/>
        <v>0</v>
      </c>
      <c r="KT21">
        <f t="shared" si="141"/>
        <v>0</v>
      </c>
      <c r="KU21">
        <f>IF(AND(ISNUMBER($AA21),ISNUMBER($AE21),ISNUMBER($AE20),N($AE21)&lt;&gt;0),($AE21-$AE20)/$AE21,"")</f>
      </c>
      <c r="KV21">
        <f>IF(AND(ISNUMBER($AA21),ISNUMBER($AE21),ISNUMBER($AE22),N($AE21)&lt;&gt;0),($AE21-$AE22)/$AE21,"")</f>
      </c>
      <c r="KW21">
        <f>IFERROR(IF(OR(NOT(ISNUMBER($AA21)),'King Node Model'!$A$8&lt;&gt;"Pos",N($BG$72)=1,ABS(N($AE21))&lt;$BG$113,$FA21="DOM",$AA21='King Node Model'!$T$23,AND(N($BG$116)=1,$AA21='King Node Model'!$F$24),NOT(ISNUMBER($KU21)),NOT(ISNUMBER($KV21))),0,IF(AND($AG21="S",COUNTIF('Master Dashboard'!$AN$16:$AN$18,$AA21)=0,$KU21&gt;=$BG$114,$KU21&gt;=$KV21+$BG$115),1,IF(AND($AG21="R",COUNTIF('Master Dashboard'!$AN$13:$AN$15,$AA21)=0,$KV21&gt;=$BG$114,$KV21&gt;=$KU21+$BG$115),-1,0))),0)</f>
        <v>0</v>
      </c>
      <c r="KX21">
        <f t="shared" si="144"/>
        <v>0</v>
      </c>
      <c r="KY21">
        <f t="shared" si="145"/>
        <v>0</v>
      </c>
      <c r="KZ21">
        <f t="shared" si="146"/>
        <v>0</v>
      </c>
      <c r="LA21">
        <f t="shared" si="147"/>
        <v>1</v>
      </c>
      <c r="LB21">
        <f t="shared" si="148"/>
        <v>0</v>
      </c>
      <c r="LC21">
        <f t="shared" si="149"/>
        <v>0</v>
      </c>
      <c r="LD21">
        <f t="shared" si="150"/>
        <v>0</v>
      </c>
      <c r="LE21">
        <f t="shared" si="151"/>
        <v>0</v>
      </c>
      <c r="LF21">
        <f t="shared" si="152"/>
        <v>0</v>
      </c>
      <c r="LG21" t="str">
        <f t="shared" si="153"/>
        <v/>
      </c>
      <c r="LH21" t="str">
        <f t="shared" si="154"/>
        <v/>
      </c>
      <c r="LI21" t="str">
        <f t="shared" si="155"/>
        <v/>
      </c>
      <c r="LJ21" t="str">
        <f t="shared" si="156"/>
        <v/>
      </c>
      <c r="LK21" t="str">
        <f t="shared" si="157"/>
        <v/>
      </c>
      <c r="LL21">
        <f t="shared" si="158"/>
        <v>0</v>
      </c>
      <c r="LM21">
        <f t="shared" si="159"/>
        <v>0</v>
      </c>
      <c r="LN21">
        <f t="shared" si="160"/>
        <v>0</v>
      </c>
      <c r="LO21">
        <v>0</v>
      </c>
      <c r="LP21">
        <f t="shared" si="161"/>
        <v>0</v>
      </c>
      <c r="LQ21" t="str">
        <f t="shared" si="162"/>
        <v/>
      </c>
      <c r="LR21">
        <f t="shared" si="163"/>
        <v>0</v>
      </c>
      <c r="LS21">
        <f t="shared" si="164"/>
        <v>0</v>
      </c>
      <c r="LT21">
        <f t="shared" si="165"/>
        <v>2</v>
      </c>
      <c r="LU21">
        <f t="shared" si="166"/>
        <v>-627079</v>
      </c>
      <c r="LV21">
        <f t="shared" si="167"/>
        <v>0</v>
      </c>
      <c r="LW21">
        <f t="shared" si="168"/>
        <v>0</v>
      </c>
      <c r="LX21">
        <f t="shared" si="169"/>
        <v>0</v>
      </c>
      <c r="LY21">
        <f t="shared" si="170"/>
        <v>0</v>
      </c>
      <c r="LZ21">
        <f t="shared" si="171"/>
        <v>0</v>
      </c>
      <c r="MA21">
        <f t="shared" si="172"/>
        <v>0</v>
      </c>
      <c r="MB21">
        <v>0</v>
      </c>
      <c r="MC21">
        <f t="shared" si="173"/>
        <v>1</v>
      </c>
      <c r="MD21">
        <f t="shared" si="174"/>
        <v>1</v>
      </c>
      <c r="ME21">
        <f t="shared" si="175"/>
        <v>0</v>
      </c>
      <c r="MF21">
        <f t="shared" si="176"/>
        <v>0</v>
      </c>
      <c r="MG21">
        <f t="shared" si="177"/>
        <v>0</v>
      </c>
      <c r="MH21">
        <f t="shared" si="178"/>
        <v>0</v>
      </c>
      <c r="MI21" t="str">
        <f t="shared" si="179"/>
        <v/>
      </c>
      <c r="MJ21">
        <f t="shared" si="180"/>
        <v>0</v>
      </c>
      <c r="MK21">
        <f t="shared" si="181"/>
        <v>0</v>
      </c>
      <c r="ML21">
        <f>IF(AND(OR('King Node Model'!$A$8="Neg",N($BG$72)=1),ISNUMBER($AA21),$AG21="R",N($AB21)&lt;0),IF(AND($AA20=$AA21+5,N($AB20)&gt;0,$AA19=$AA21+10,N($AB19)&lt;0),1,IF(AND($AA20=$AA21+5,N($AB20)&gt;0,$AA19=$AA21+10,N($AB19)&gt;0,$AA18=$AA21+15,N($AB18)&lt;0),2,IF(AND($AA20=$AA21+5,N($AB20)&gt;0,$AA19=$AA21+10,N($AB19)&gt;0,$AA18=$AA21+15,N($AB18)&gt;0,$AA17=$AA21+20,N($AB17)&lt;0),3,IF(AND($AA20=$AA21+5,N($AB20)&gt;0,$AA19=$AA21+10,N($AB19)&gt;0,$AA18=$AA21+15,N($AB18)&gt;0,$AA17=$AA21+20,N($AB17)&gt;0,$AA16=$AA21+25,N($AB16)&lt;0),4,0)))),0)</f>
      </c>
      <c r="MM21">
        <f>IF(AND(OR('King Node Model'!$A$8="Neg",N($BG$72)=1),ISNUMBER($AA21),$AG21="S",N($AB21)&lt;0),IF(AND($AA22=$AA21-5,N($AB22)&gt;0,$AA23=$AA21-10,N($AB23)&lt;0),1,IF(AND($AA22=$AA21-5,N($AB22)&gt;0,$AA23=$AA21-10,N($AB23)&gt;0,$AA24=$AA21-15,N($AB24)&lt;0),2,IF(AND($AA22=$AA21-5,N($AB22)&gt;0,$AA23=$AA21-10,N($AB23)&gt;0,$AA24=$AA21-15,N($AB24)&gt;0,$AA25=$AA21-20,N($AB25)&lt;0),3,IF(AND($AA22=$AA21-5,N($AB22)&gt;0,$AA23=$AA21-10,N($AB23)&gt;0,$AA24=$AA21-15,N($AB24)&gt;0,$AA25=$AA21-20,N($AB25)&gt;0,$AA26=$AA21-25,N($AB26)&lt;0),4,0)))),0)</f>
      </c>
      <c r="MN21">
        <f>IF(N($ML21)&gt;0,$AA21,0)</f>
      </c>
      <c r="MO21">
        <f>IF(N($MM21)&gt;0,$AA21,0)</f>
      </c>
      <c r="MP21">
        <f>IF(AND(OR('King Node Model'!$A$8="Neg",N($BG$72)=1),ISNUMBER($BG$155),$AA21=$BG$155,N($NC21)=1),2,IF(AND(OR('King Node Model'!$A$8="Neg",N($BG$72)=1),ISNUMBER($BG$156),$AA21=$BG$156,N($ND21)=1),1,0))</f>
      </c>
      <c r="MQ21">
        <f>IF(ABS(AE21)&lt;=0,0,IF($AG21="R",IF(ISNUMBER(AE20),IF((ABS(AE20)-ABS(AE21))/ABS(AE21)&lt;-0.4,1,0),0),IF(ISNUMBER(AE22),IF((ABS(AE22)-ABS(AE21))/ABS(AE21)&lt;-0.4,1,0),0)))</f>
      </c>
      <c r="MR21">
        <f>IF(OR(N($MQ21)&lt;&gt;1,N($BG$157)&lt;&gt;1,NOT(ISNUMBER($KU21)),NOT(ISNUMBER($KV21))),0,IF(OR(AND($AG21="S",OR(AND($KU21&gt;=$BG$114,$KU21&gt;=$KV21+$BG$115),AND($KU21&gt;1,$KV21&lt;=1,$KV21&gt;=$BG$114))),AND($AG21="R",OR(AND($KV21&gt;=$BG$114,$KV21&gt;=$KU21+$BG$115),AND($KV21&gt;1,$KU21&lt;=1,$KU21&gt;=$BG$114)))),1,0))</f>
      </c>
      <c r="MS21" t="str">
        <f>IF(AND(N($MR21)=1,N($NA21)&lt;&gt;1),"• DEX falls off more sharply "&amp;IF($AG21="S","above (","below (")&amp;TEXT(IF($AG21="S",$KU21,$KV21),"0%")&amp;") than "&amp;IF($AG21="S","below (","above (")&amp;TEXT(IF($AG21="S",$KV21,$KU21),"0%")&amp;") — Dex↓ not counted",IF(N($MW21)=1,"• Shoulder of the "&amp;IF($AG21="R",$AA22,$AA20)&amp;" wall — own DEX "&amp;TEXT($AE21/1000,"+#,##0;-#,##0")&amp;"K is "&amp;TEXT(ABS($AE21)/ABS(IF($AG21="R",$AE22,$AE20)),"0%")&amp;" of "&amp;TEXT(IF($AG21="R",$AE22,$AE20)/1000,"+#,##0;-#,##0")&amp;"K, Dex↓ not counted",""))</f>
      </c>
      <c r="MT21">
        <f>IF(AND(ISNUMBER($AA21),$AG21="S",ISNUMBER($AB21),$AB21=MIN($AB$9:$AB$55),$AA21=$BG$105,$JV21="BUY",ABS(N($AD21))&gt;=$BG$158),1,0)</f>
      </c>
      <c r="MU21" t="str">
        <f>IF(N($MY21)=1,"",IF(OR(N($MT21)=1,AND(OR('King Node Model'!$A$8="Neg",N($BG$72)=1),$AG21="S",ISNUMBER($AB21),$AB21=MIN($AB$9:$AB$55),$AA21=$BG$105)),"• Min GEX + Max Zomma (no reversal flag required) — accelerant warning not applied; zomma acceleration warning only within "&amp;$BG$98&amp;" pts of the level, and not when vanna buying is "&amp;TEXT($BG$158/1000,"0")&amp;"K or more"&amp;CHAR(10)&amp;IF(N($MT21)=1,"• Max Zomma and vanna buying ("&amp;TEXT(N($AD21)/1000,"+#,##0;-#,##0")&amp;"K) make this level safe","• Max Zomma is what makes this level safe"),"")&amp;$NB21&amp;$NI21)</f>
      </c>
      <c r="MV21" t="str">
        <f>IF(AND(ISNUMBER($AA21),OR($AA21=$BG$118,$AA21=$BG$119)),IF(N($AZ21)*IF($AG21="R",1,-1)&gt;0,"✓",IF(N($AZ21)*IF($AG21="R",1,-1)&lt;0,"✗","")),"")</f>
      </c>
      <c r="MW21">
        <f>IF(AND(N($MQ21)=1,N($BG$159)&gt;0,ISNUMBER(IF($AG21="R",$AE22,$AE20)),N(IF($AG21="R",$AE22,$AE20))&lt;&gt;0),IF(ABS(N($AE21))&lt;$BG$159*ABS(IF($AG21="R",$AE22,$AE20)),1,0),0)</f>
      </c>
      <c r="MX21">
        <f>IF(AND(ISNUMBER($AA21),$AA21=$BG$121,$AG21="R",N($AE21)&lt;0,OR(COUNTIF('King Node Model'!$AL$42:$AL$44,$AA21)=0,N($HP21)=1),N($NC21)=1),2,IF(AND(ISNUMBER($AA21),$AA21=$BG$120,$AG21="S",N($AE21)&gt;0,OR(COUNTIF('King Node Model'!$AL$49:$AL$51,$AA21)=0,N($HP21)=1),N($ND21)=1),1,0))</f>
      </c>
      <c r="MY21">
        <f>IF(AND(N($NA21)=1,NOT(AND(AND($AG21="S",ISNUMBER($AB21),$AB21=MIN($AB$9:$AB$55),$AA21=$BG$105),IFERROR(INDEX($AG$9:$AG$55,MATCH('King Node Model'!$B$23,$AA$9:$AA$55,0)),"")="R")),N($AV21)&lt;&gt;1),1,0)</f>
      </c>
      <c r="MZ21" t="str">
        <f>IF(N($MY21)&lt;&gt;1,"","• DEX falls off more sharply "&amp;IF($AG21="S","above (","below (")&amp;TEXT(IF($AG21="S",$KU21,$KV21),"0%")&amp;") than "&amp;IF($AG21="S","below (","above (")&amp;TEXT(IF($AG21="S",$KV21,$KU21),"0%")&amp;") — path of least resistance "&amp;IF($AG21="S","down","up")&amp;IF(N($AZ21)*IF($AG21="R",1,-1)&lt;0,CHAR(10)&amp;"• Speed against — GEX gets more negative as price "&amp;IF($AG21="R","rises","falls")&amp;" into it (speed "&amp;TEXT(N($AZ21),"#,##0;−#,##0")&amp;")","")&amp;IF(OR(N($NG21)=1,N($JC21)=1),CHAR(10)&amp;"• "&amp;IF(N($JC21)=1,"DOM with vanna BUY "&amp;TEXT(N($AD21)/1000,"+#,##0;−#,##0")&amp;"K","Put wall + Max Zomma + DOM")&amp;" backs the level, but it does not outweigh DEX"&amp;IF(N($AZ21)*IF($AG21="R",1,-1)&lt;0," and speed",""),IF(AND($AG21="S",ISNUMBER($AB21),$AB21=MIN($AB$9:$AB$55),$AA21=$BG$105),CHAR(10)&amp;"• Min GEX + Max Zomma backs the level, but it does not outweigh DEX"&amp;IF(N($AZ21)*IF($AG21="R",1,-1)&lt;0," and speed",""),IF(OR(N($JI21)=1,AND(N($GV21)=1,N($JK21)&lt;&gt;1,N($IW21)&lt;&gt;1),N($JC21)=1,AND($AA21='King Node Model'!$F$24,N($JN21)&lt;&gt;1,OR($AG21="R",AND($AG21="S",$F$4="High",IF($BG$80&lt;&gt;"",UPPER($BG$80),$D$5)="UP")))),CHAR(10)&amp;"• Vanna "&amp;IF($AG21="S","BUY ","SELL ")&amp;TEXT(N($AD21)/1000,"+#,##0;−#,##0")&amp;"K backs the level, but it does not outweigh DEX"&amp;IF(N($AZ21)*IF($AG21="R",1,-1)&lt;0," and speed",""),"")))&amp;IF(N($NE21)=1,CHAR(10)&amp;"• Buy-lean max-node exemption not applied — DEX leans against the level",""))</f>
      </c>
      <c r="NA21">
        <f>IF(AND(OR('King Node Model'!$A$8="Neg",N($BG$72)=1),ISNUMBER($AA21),ABS(N($AE21))&gt;=$BG$152,ISNUMBER($KU21),ISNUMBER($KV21)),IF(OR(AND($AG21="S",OR(AND($KU21&gt;=$BG$114,$KU21&gt;=$KV21+$BG$115),AND($KU21&gt;1,$KV21&lt;=1,$KV21&gt;=$BG$114))),AND($AG21="R",OR(AND($KV21&gt;=$BG$114,$KV21&gt;=$KU21+$BG$115),AND($KV21&gt;1,$KU21&lt;=1,$KU21&gt;=$BG$114)))),1,0),0)</f>
      </c>
      <c r="NB21" t="str">
        <f>IF(AND(N($NA21)=1,AND(AND($AG21="S",ISNUMBER($AB21),$AB21=MIN($AB$9:$AB$55),$AA21=$BG$105),IFERROR(INDEX($AG$9:$AG$55,MATCH('King Node Model'!$B$23,$AA$9:$AA$55,0)),"")="R")),CHAR(10)&amp;"• DEX falls off more sharply above ("&amp;TEXT($KU21,"0%")&amp;") than below ("&amp;TEXT($KV21,"0%")&amp;") — DEX-lean warning not applied: Min GEX + Max Zomma support with Max Gamma "&amp;'King Node Model'!$B$23&amp;" above (Dex↓ not counted)",IF(AND(OR(N($NA21)=1,N($NF21)=1),N($AV21)=1),IF(AND(OR('King Node Model'!$A$8="Neg",N($BG$72)=1),$AG21="S",ISNUMBER($AB21),$AB21=MIN($AB$9:$AB$55),$AA21=$BG$105),CHAR(10),"")&amp;"• DEX falls off more sharply "&amp;IF($AG21="S","above (","below (")&amp;TEXT(IF($AG21="S",$KU21,$KV21),"0%")&amp;") than "&amp;IF($AG21="S","below (","above (")&amp;TEXT(IF($AG21="S",$KV21,$KU21),"0%")&amp;") — DEX lean does not apply to iDex (isolated DEX)",""))</f>
      </c>
      <c r="NC21">
        <f>IF(OR($BG$163=1,AND($BG$161&gt;0,$BG$162&lt;99999,ISNUMBER($AA21),$AA21&lt;$BG$162)),1,0)</f>
      </c>
      <c r="ND21">
        <f>IF(OR($BG$163=-1,AND($BG$161&gt;0,$BG$162&lt;99999,ISNUMBER($AA21),$AA21&gt;$BG$161)),1,0)</f>
      </c>
      <c r="NE21">
        <f>IF(AND(OR('King Node Model'!$A$8="Neg",N($BG$72)=1),ISNUMBER(SEARCH("LOW",'Master Dashboard'!$M$5)),ISNUMBER(SEARCH("BUY",'Master Dashboard'!$G$8)),'King Node Model'!$T$23='King Node Model'!$B$23,OR($AA21='King Node Model'!$T$23,AND($AG21="R",$AA21='King Node Model'!$T$23+5)),OR(AND($AG21="S",$JV21="BUY"),AND($AG21="R",$JV21="SELL"))),1,0)</f>
      </c>
      <c r="NF21">
        <f>IFERROR(IF(OR(NOT(ISNUMBER($AA21)),'King Node Model'!$A$8&lt;&gt;"Pos",N($BG$72)=1,ABS(N($AE21))&lt;$BG$113,$FA21="DOM",$AA21='King Node Model'!$T$23,AND(N($BG$116)=1,$AA21='King Node Model'!$F$24),NOT(ISNUMBER($KU21)),NOT(ISNUMBER($KV21))),0,IF(AND($AG21="S",COUNTIF('Master Dashboard'!$AN$16:$AN$18,$AA21)=0,$KU21&gt;=$BG$114,$KU21&gt;=$KV21+$BG$115,NOT(AND(N($AN22)=1,N($KV21)&lt;0)),N($AE21)&lt;=0),1,IF(AND($AG21="R",COUNTIF('Master Dashboard'!$AN$13:$AN$15,$AA21)=0,$KV21&gt;=$BG$114,$KV21&gt;=$KU21+$BG$115,NOT(AND(N($AN20)=1,N($KU21)&lt;0))),-1,0))),0)</f>
      </c>
      <c r="NG21">
        <f t="shared" si="202"/>
      </c>
      <c r="NI21" t="str">
        <f>IF(AND(ISNUMBER($BG$165),ISNUMBER($AA21)),IF(OR(AND($AG21="S",$AA21&gt;$BG$165,$AA21-$BG$165&lt;=5),AND($AG21="R",$AA21&lt;$BG$165,$BG$165-$AA21&lt;=5)),IF(OR(AND(OR('King Node Model'!$A$8="Neg",N($BG$72)=1),$AG21="S",ISNUMBER($AB21),$AB21=MIN($AB$9:$AB$55),$AA21=$BG$105),$NB21&lt;&gt;""),CHAR(10),"")&amp;"• DOM forming at "&amp;$BG$165&amp;" (gamma "&amp;TEXT($BG$166,"0%")&amp;" of max) — price may be pulled to the node",""),"")</f>
      </c>
      <c r="NJ21">
        <f>IF(LEN($NI21)&gt;0,1,0)</f>
      </c>
    </row>
    <row r="22" spans="1:349" ht="15" customHeight="1" x14ac:dyDescent="0.25">
      <c r="A22" s="235" t="str">
        <f t="shared" si="194"/>
        <v>7730</v>
      </c>
      <c r="B22" s="236">
        <f>IFERROR(INDEX('King Node Model'!$C$29:$C$75,MATCH(IF($W22="",$V22,$W22),'King Node Model'!$A$29:$A$75,0)),"")</f>
        <v>-9171</v>
      </c>
      <c r="C22" s="237" t="str">
        <f t="shared" si="195"/>
        <v>Dex Dex↓ C-OI</v>
      </c>
      <c r="D22" s="237">
        <f t="shared" si="196"/>
        <v>3</v>
      </c>
      <c r="E22" s="237" t="str">
        <f t="shared" si="197"/>
        <v>REVERSAL</v>
      </c>
      <c r="F22" s="238" t="str">
        <f t="shared" si="198"/>
        <v>ACCELERANT</v>
      </c>
      <c r="G22" s="397" t="str">
        <f t="shared" si="199"/>
        <v>Dormant</v>
      </c>
      <c r="R22" s="181" t="s">
        <v>1228</v>
      </c>
      <c r="S22" s="415" t="b">
        <f>IF(ISNUMBER($D$4),$B$4&gt;=$D$4,TRUE())</f>
        <v>0</v>
      </c>
      <c r="V22" s="1">
        <f>IFERROR(INDEX($AA$9:$AA$55,MATCH("S5",$BB$9:$BB$55,0)),"")</f>
        <v>7740</v>
      </c>
      <c r="W22">
        <v>7730</v>
      </c>
      <c r="AA22" s="181">
        <f>'King Node Model'!A42</f>
        <v>7820</v>
      </c>
      <c r="AB22" s="276">
        <f>'King Node Model'!C42</f>
        <v>188525</v>
      </c>
      <c r="AC22" s="181">
        <f>ABS('King Node Model'!B42)</f>
        <v>494366</v>
      </c>
      <c r="AD22" s="276">
        <f>'King Node Model'!F42</f>
        <v>672970</v>
      </c>
      <c r="AE22" s="276">
        <f>'King Node Model'!E42</f>
        <v>-543561</v>
      </c>
      <c r="AF22" s="276">
        <f>'King Node Model'!D42</f>
        <v>2822826</v>
      </c>
      <c r="AG22" s="181" t="str">
        <f t="shared" si="6"/>
        <v>R</v>
      </c>
      <c r="AH22" s="181">
        <f t="shared" si="7"/>
        <v>10</v>
      </c>
      <c r="AI22" s="181" t="str">
        <f t="shared" si="8"/>
        <v>SELL</v>
      </c>
      <c r="AJ22" s="181">
        <f t="shared" si="9"/>
        <v>1</v>
      </c>
      <c r="AK22" s="181">
        <f>IF(ABS(N($AE22))&gt;=$BG$85,1,0)</f>
      </c>
      <c r="AL22" s="181">
        <f t="shared" si="10"/>
        <v>0</v>
      </c>
      <c r="AM22" s="181">
        <f t="shared" si="11"/>
        <v>3</v>
      </c>
      <c r="AN22" s="181">
        <f t="shared" si="12"/>
        <v>1</v>
      </c>
      <c r="AO22" s="1">
        <f t="shared" si="13"/>
        <v>543561</v>
      </c>
      <c r="AP22" s="1" t="str">
        <f t="shared" si="14"/>
        <v/>
      </c>
      <c r="AQ22" s="1">
        <f t="shared" si="15"/>
        <v>2822826</v>
      </c>
      <c r="AR22" s="181">
        <f t="shared" si="16"/>
        <v>0.78844868250437561</v>
      </c>
      <c r="AS22" s="181">
        <f t="shared" si="17"/>
        <v>6</v>
      </c>
      <c r="AT22" s="181">
        <f t="shared" si="18"/>
        <v>7815</v>
      </c>
      <c r="AU22" s="181">
        <f t="shared" si="19"/>
        <v>7820</v>
      </c>
      <c r="AV22" s="218">
        <f t="shared" si="183"/>
        <v>0</v>
      </c>
      <c r="AW22" s="181">
        <f>ABS('King Node Model'!G42)</f>
        <v>629</v>
      </c>
      <c r="AX22" s="181">
        <f t="shared" si="20"/>
        <v>0</v>
      </c>
      <c r="AY22" s="181">
        <f t="shared" si="21"/>
        <v>0</v>
      </c>
      <c r="AZ22" s="276">
        <f>'King Node Model'!I42</f>
        <v>3632</v>
      </c>
      <c r="BA22" s="181">
        <f t="shared" si="22"/>
        <v>0</v>
      </c>
      <c r="BB22" s="181" t="str">
        <f t="shared" si="23"/>
        <v>R6</v>
      </c>
      <c r="BC22" s="10">
        <f>'King Node Model'!C42</f>
        <v>188525</v>
      </c>
      <c r="BD22" s="218">
        <f t="shared" si="184"/>
        <v>0</v>
      </c>
      <c r="BE22" s="218">
        <f t="shared" si="185"/>
        <v>0</v>
      </c>
      <c r="BF22" s="336" t="s">
        <v>1229</v>
      </c>
      <c r="BG22" s="409">
        <f>IF(OR('King Node Model'!$A$8="Neg",N($BG$72)=1),$BG$31,$BG$30)</f>
        <v>150000</v>
      </c>
      <c r="BI22" s="218">
        <f t="shared" si="186"/>
        <v>0</v>
      </c>
      <c r="BJ22" s="218">
        <f t="shared" si="187"/>
        <v>0</v>
      </c>
      <c r="BK22" s="218">
        <f t="shared" si="24"/>
        <v>0</v>
      </c>
      <c r="BL22" s="10">
        <f>'King Node Model'!H42</f>
        <v>29</v>
      </c>
      <c r="BM22" s="218">
        <f t="shared" si="25"/>
        <v>23</v>
      </c>
      <c r="BN22" s="218">
        <f t="shared" si="26"/>
        <v>20</v>
      </c>
      <c r="BO22" s="218">
        <f t="shared" si="27"/>
        <v>0</v>
      </c>
      <c r="BP22" s="218">
        <f t="shared" si="28"/>
        <v>0</v>
      </c>
      <c r="BQ22" t="str">
        <f t="shared" si="29"/>
        <v/>
      </c>
      <c r="BR22" t="str">
        <f t="shared" si="30"/>
        <v/>
      </c>
      <c r="BS22" s="218">
        <f t="shared" si="31"/>
        <v>1</v>
      </c>
      <c r="BT22" t="str">
        <f t="shared" si="32"/>
        <v/>
      </c>
      <c r="BU22" t="str">
        <f t="shared" si="33"/>
        <v/>
      </c>
      <c r="BV22" s="218">
        <f t="shared" si="34"/>
        <v>672970</v>
      </c>
      <c r="BW22" s="218">
        <f t="shared" si="35"/>
        <v>543561</v>
      </c>
      <c r="BX22" s="218">
        <f>IF(AND(ISNUMBER(BC22),BC22&gt;=$BG$160,OR('King Node Model'!$A$8="Neg",N($BG$72)=1)),1,0)</f>
        <v>1</v>
      </c>
      <c r="BY22" s="218">
        <f t="shared" si="36"/>
        <v>0</v>
      </c>
      <c r="BZ22" s="218">
        <f t="shared" si="37"/>
        <v>0</v>
      </c>
      <c r="CA22" t="str">
        <f t="shared" si="38"/>
        <v/>
      </c>
      <c r="CB22" s="218">
        <f>IF(AND(ISNUMBER('King Node Model'!$D$27),AG22&lt;&gt;"",AA22='King Node Model'!$D$27),1,0)</f>
        <v>0</v>
      </c>
      <c r="CC22" s="218">
        <f>IF(OR('King Node Model'!$A$8="Neg",N($BG$72)=1),$BG$14*IF(ISNUMBER('King Node Model'!$D$26),MAX(0,1-ABS(AA22-'King Node Model'!$D$26)/$BG$18),0)+$BG$15*IFERROR(BV22/MAX($BV$9:$BV$55),0)+$BG$16*IFERROR(BW22/MAX($BW$9:$BW$55),0)+$BG$17*IFERROR(AC22/$S$11,0)*MAX(0,1+$BG$21*CF22),AR22)</f>
        <v>1.1519696258908818</v>
      </c>
      <c r="CD22" s="218">
        <f>IF(OR('King Node Model'!$A$8="Neg",N($BG$72)=1),IF(AND(AG22&lt;&gt;"",ABS(AA22-$B$4)&lt;=$BG$7,OR(AX22=0,$D$5&lt;&gt;"UP"),AY22=0,BK22&lt;&gt;1,CI22=0,AM22&gt;=$BG$20,AC22&gt;$BG$19),1,0),IF(AND(BS22=1,(COUNTIF($W$9:$W$14,AA22)+COUNTIF($W$18:$W$23,AA22))&gt;0,CI22=0,AM22&gt;=$BG$20,AC22&gt;$BG$19),1,0))</f>
        <v>1</v>
      </c>
      <c r="CE22" t="str">
        <f t="shared" si="39"/>
        <v/>
      </c>
      <c r="CF22" s="218">
        <f t="shared" si="40"/>
        <v>0</v>
      </c>
      <c r="CG22" t="str">
        <f t="shared" si="41"/>
        <v/>
      </c>
      <c r="CH22" t="str">
        <f t="shared" si="42"/>
        <v>Dormant</v>
      </c>
      <c r="CI22" s="218">
        <f t="shared" si="43"/>
        <v>0</v>
      </c>
      <c r="CJ22" s="218">
        <f t="shared" si="44"/>
        <v>44.609999999999673</v>
      </c>
      <c r="CK22" s="218">
        <f t="shared" si="45"/>
        <v>0</v>
      </c>
      <c r="CL22" s="218">
        <f t="shared" si="46"/>
        <v>0</v>
      </c>
      <c r="CQ22" s="218">
        <f t="shared" si="200"/>
        <v>7730</v>
      </c>
      <c r="CR22" t="s">
        <v>1482</v>
      </c>
      <c r="CS22" t="str">
        <f>'King Node Model'!$A$8</f>
        <v>Neg</v>
      </c>
      <c r="CT22">
        <v>0</v>
      </c>
      <c r="CU22" s="218">
        <f>IF(AND(AND('King Node Model'!$A$8&lt;&gt;"Neg",N($BG$72)&lt;&gt;1),SUMPRODUCT(($AG$9:$AG$55="S")*ISNUMBER($AT$9:$AT$55)*ISNUMBER($AU$9:$AU$55)*($AT$9:$AT$55&lt;&gt;$AU$9:$AU$55)*($AT$9:$AT$55&lt;=$AA22)*($AU$9:$AU$55&gt;=$AA22))&gt;0),0,IF(AND(OR($AA22='King Node Model'!$T$22,$AA22='King Node Model'!$F$24),$AG22="R",COUNTIF($W$9:$W$14,$AA22)&gt;0),1,IF(AND($FN22=1,$EU22&lt;&gt;1,$EM22&lt;&gt;1,$BK22&lt;&gt;1,$DH22&lt;&gt;1,$AG22="R",COUNTIF($W$9:$W$14,$AA22)&gt;0),1,IF($EU22=1,0,IF($EM22=1,0,IF(AND(OR($EE22=1,$GV22=1,AND($EL$7=1,$AA22='King Node Model'!$D$26,$EI22=1),AND(OR($AA22='King Node Model'!$T$22,$AA22='King Node Model'!$T$23),$AN22=1,OR($AX22=0,$D$5&lt;&gt;"UP"))),OR(NOT(OR('King Node Model'!$A$8="Neg",N($BG$72)=1)),$GV22=1,AND(OR($AA22='King Node Model'!$T$22,$AA22='King Node Model'!$T$23),$AN22=1,OR($AX22=0,$D$5&lt;&gt;"UP")),AND($AM22&gt;=$BG$20,$AC22&gt;IF($CZ22=1,$BG$48,$BG$19)))),1,IF($DH22=1,0,IF(AND($DC22=1,$GS22&lt;&gt;1,AND('King Node Model'!$A$8&lt;&gt;"Neg",N($BG$72)&lt;&gt;1)),0,IF(AND($EY22=1,NOT(OR('King Node Model'!$A$8="Neg",$BG$72=1)),$AA22&lt;&gt;'King Node Model'!$B$23),0,IF(AND($GS22=1,$AG22="R",OR($CI22=0,$EE22=1,$EX22=1,$GV22=1),COUNTIF($W$9:$W$14,$AA22)&gt;0,ABS($AA22-$B$4)&lt;=$BG$7,$BK22&lt;&gt;1,$AM22&gt;=$BG$20,$AC22&gt;IF($CZ22=1,$BG$48,$BG$19)),1,IF(OR('King Node Model'!$A$8="Neg",N($BG$72)=1),IF(AND(OR($AM22&gt;=$BG$20,$AA22='King Node Model'!$D$26,$GV22=1),$AG22="R",COUNTIF($W$9:$W$14,$AA22)&gt;0,ABS($AA22-$B$4)&lt;=$BG$7,OR($AX22=0,$D$5&lt;&gt;"UP"),$BK22&lt;&gt;1,OR(OR($CI22=0,$AJ22=1),AND($EI22=1,$LA22=1,COUNTIF($W$9:$W$11,$AA22)&gt;0,$AN22=1,OR($AX22=0,$D$5&lt;&gt;"UP"))),$AM22&gt;=$BG$20,$AC22&gt;IF($CZ22=1,$BG$48,$BG$19),OR($AN22=1,N($LR22)=1,$AA22='King Node Model'!$D$26,AND($BY22=1,$AA22&gt;$B$4),$BX22=1,$CF22=1,$CF22=1,AND(OR($AA22=$CP$4,$AA22=$CP$5,$AA22=$CP$6,$AA22=$CP$7),ABS($AA22-$B$4)&lt;=30),AND($AX22=1,$D$5="DOWN"))),1,0),IF(AND(OR($AM22&gt;=3,$AA22='King Node Model'!$D$26,$GV22=1),$AG22="R",COUNTIF($W$9:$W$14,$AA22)&gt;0,ABS($AA22-$B$4)&lt;=$BG$7,OR($AX22=0,$D$5&lt;&gt;"UP"),$BK22&lt;&gt;1,OR($CI22=0,$AJ22=1),$AM22&gt;=$BG$20,$AC22&gt;IF($CZ22=1,$BG$48,$BG$19),OR($AC22&gt;=MAX($AC$9:$AC$55),$BC22&gt;0,$AA22='King Node Model'!$D$26,AND(OR($AA22=$CP$4,$AA22=$CP$5,$AA22=$CP$6,$AA22=$CP$7),ABS($AA22-$B$4)&lt;=30),$CF22=1,$AN22=1,AND($AX22=1,$D$5="DOWN"))),1,0))))))))))))</f>
        <v>1</v>
      </c>
      <c r="CV22" s="218">
        <f>IF(AND(OR('King Node Model'!$A$8="Neg",N($BG$72)=1),$AG22="S",N($LR22)=1,N($MB22)=1),1,IF(AND(AND('King Node Model'!$A$8&lt;&gt;"Neg",N($BG$72)&lt;&gt;1),SUMPRODUCT(($AG$9:$AG$55="R")*ISNUMBER($AT$9:$AT$55)*ISNUMBER($AU$9:$AU$55)*($AT$9:$AT$55&lt;&gt;$AU$9:$AU$55)*($AT$9:$AT$55&lt;=$AA22)*($AU$9:$AU$55&gt;=$AA22))&gt;0,NOT(AND(N($LC22)=1,$AA22='King Node Model'!$B$23))),0,IF(AND($AA22='King Node Model'!$F$24,$AG22="S",COUNTIF($W$18:$W$23,$AA22)&gt;0),1,IF(AND($FN22=1,$EU22&lt;&gt;1,$EM22&lt;&gt;1,$DH22&lt;&gt;1,$AG22="S",COUNTIF($W$18:$W$23,$AA22)&gt;0),1,IF($EU22=1,0,IF(AND(OR($EF22=1,$GV22=1,AND(OR($AA22='King Node Model'!$T$22,$AA22='King Node Model'!$T$23,AND($AG22="S",COUNTIF('Master Dashboard'!$AN$16:$AN$18,$AA22)&gt;0)),$AN22=1,OR($AX22=0,$D$5&lt;&gt;"UP"))),OR(NOT(OR('King Node Model'!$A$8="Neg",N($BG$72)=1)),$GV22=1,AND(OR($AA22='King Node Model'!$T$22,$AA22='King Node Model'!$T$23,AND($AG22="S",COUNTIF('Master Dashboard'!$AN$16:$AN$18,$AA22)&gt;0)),$AN22=1,OR($AX22=0,$D$5&lt;&gt;"UP")),AND($AM22&gt;=$BG$20,$AC22&gt;IF($CZ22=1,$BG$48,$BG$19)))),1,IF($DH22=1,0,IF(AND($DC22=1,$GS22&lt;&gt;1,AND('King Node Model'!$A$8&lt;&gt;"Neg",N($BG$72)&lt;&gt;1)),0,IF(AND($EY22=1,NOT(OR('King Node Model'!$A$8="Neg",$BG$72=1)),$AA22&lt;&gt;'King Node Model'!$B$23,COUNTIF('Master Dashboard'!$AN$16:$AN$18,$AA22)=0),0,IF(AND($GS22=1,$AG22="S",OR($CI22=0,$EF22=1,$EX22=1,$GV22=1),COUNTIF($W$18:$W$23,$AA22)&gt;0,ABS($AA22-$B$4)&lt;=$BG$7,$BK22&lt;&gt;1,$AM22&gt;=$BG$20,$AC22&gt;IF($CZ22=1,$BG$48,$BG$19)),1,IF(OR('King Node Model'!$A$8="Neg",N($BG$72)=1),IF(AND(OR(OR($AM22&gt;=$BG$20,N($LR22)=1),$AA22='King Node Model'!$D$26,$GV22=1),$AG22="S",COUNTIF($W$18:$W$23,$AA22)&gt;0,ABS($AA22-$B$4)&lt;=$BG$7,OR($AX22=0,$D$5&lt;&gt;"UP"),$BK22&lt;&gt;1,OR($CI22=0,$AJ22=1,AND(N($LR22)=1,N($MB22)=1),N($MT22)=1),OR($AM22&gt;=$BG$20,N($LR22)=1),$AC22&gt;IF($CZ22=1,$BG$48,$BG$19),OR($AB22&gt;0,$AN22=1,N($MT22)=1,N($LR22)=1,$AA22='King Node Model'!$D$26,AND($BY22=1,$AA22&lt;$B$4),$BX22=1,$CF22=1,$CF22=1,AND(OR($AA22=$CP$4,$AA22=$CP$5,$AA22=$CP$6,$AA22=$CP$7),ABS($AA22-$B$4)&lt;=30),AND($AX22=1,$D$5="DOWN"))),1,0),IF(AND(OR($AM22&gt;=3,$AA22='King Node Model'!$D$26,$GV22=1),$AG22="S",COUNTIF($W$18:$W$23,$AA22)&gt;0,ABS($AA22-$B$4)&lt;=$BG$7,OR($AX22=0,$D$5&lt;&gt;"UP"),$BK22&lt;&gt;1,OR($CI22=0,$AJ22=1,AND(N($LR22)=1,N($MB22)=1),N($MT22)=1),$AM22&gt;=$BG$20,$AC22&gt;IF($CZ22=1,$BG$48,$BG$19),OR($AC22&gt;=MAX($AC$9:$AC$55),$BC22&gt;0,N($MT22)=1,$AA22='King Node Model'!$D$26,AND(OR($AA22=$CP$4,$AA22=$CP$5,$AA22=$CP$6,$AA22=$CP$7),ABS($AA22-$B$4)&lt;=30),$CF22=1,$AN22=1,AND($AX22=1,$D$5="DOWN"))),1,0))))))))))))</f>
        <v>0</v>
      </c>
      <c r="CX22" s="218">
        <f t="shared" si="48"/>
        <v>0</v>
      </c>
      <c r="CY22" t="str">
        <f t="shared" si="49"/>
        <v/>
      </c>
      <c r="CZ22" s="218">
        <f t="shared" si="50"/>
        <v>0</v>
      </c>
      <c r="DA22" t="str">
        <f t="shared" si="51"/>
        <v/>
      </c>
      <c r="DB22" t="str">
        <f t="shared" si="52"/>
        <v/>
      </c>
      <c r="DC22" s="218">
        <f t="shared" si="53"/>
        <v>0</v>
      </c>
      <c r="DD22" s="218">
        <f t="shared" si="54"/>
        <v>0</v>
      </c>
      <c r="DE22" s="218">
        <f t="shared" si="55"/>
        <v>0</v>
      </c>
      <c r="DF22" t="str">
        <f t="shared" si="56"/>
        <v/>
      </c>
      <c r="DG22" t="str">
        <f t="shared" si="57"/>
        <v/>
      </c>
      <c r="DH22" s="218">
        <f t="shared" si="58"/>
        <v>0</v>
      </c>
      <c r="DI22">
        <v>1</v>
      </c>
      <c r="DJ22">
        <v>1</v>
      </c>
      <c r="DK22">
        <v>554864</v>
      </c>
      <c r="DL22">
        <v>0</v>
      </c>
      <c r="DM22" t="str">
        <f>IF(AND($CV22=1,$AG22="S"),IF(AND(OR('King Node Model'!$A$8="Neg",N($BG$72)=1),'King Node Model'!$S$52=""),IF(OR(N($AN22)=1,N($LR22)=1,$AB22&gt;0,$AJ22=1,N($JO22)=1,AND(NOT($AE22&gt;0),NOT(IFERROR(AND(ISNUMBER($BC22),ISNUMBER($BC21),($BC22&gt;=0)&lt;&gt;($BC21&gt;=0)),FALSE())),OR(AND($BM22&lt;=6,$BN22&lt;=6),ABS($AA22-'King Node Model'!$T$23)&lt;=5,$LA22=1))),1,0),1),"")</f>
        <v/>
      </c>
      <c r="DN22" t="str">
        <f t="shared" si="59"/>
        <v/>
      </c>
      <c r="DO22" t="str">
        <f t="shared" si="60"/>
        <v/>
      </c>
      <c r="DP22" t="str">
        <f>IF(AND(OR('King Node Model'!$A$8="Neg",N($BG$72)=1),$AG22="S",ISNUMBER($AT22),ISNUMBER($AU22),$AT22&lt;&gt;$AU22,$AA22=$AT22),IF(AND(SUMPRODUCT(($AA$9:$AA$55&gt;=$AT22)*($AA$9:$AA$55&lt;=$AU22)*($AB$9:$AB$55&gt;0))&gt;0,SUMPRODUCT(($AA$9:$AA$55&gt;=$AT22)*($AA$9:$AA$55&lt;=$AU22)*($DM$9:$DM$55=1))&gt;0,SUMPRODUCT(($AA$9:$AA$55&gt;=$AT22)*($AA$9:$AA$55&lt;=$AU22)*(COUNTIF($W$18:$W$20,$AA$9:$AA$55)&gt;0))&gt;0),1,0),"")</f>
        <v/>
      </c>
      <c r="DS22">
        <v>0</v>
      </c>
      <c r="DT22">
        <v>0</v>
      </c>
      <c r="DU22" t="str">
        <f>IF('King Node Model'!$A$8&lt;&gt;"Pos","",IF(OR($AA22="",NOT(ISNUMBER($AA22)),ABS($AA22-$B$4)&gt;$BG$7),"",TEXT($AA22,"0")&amp;" | "&amp;IF($AG22="","unclassified",IF($AG22&lt;&gt;IF($AA22&gt;$B$4,"R","S"),"orphan: in "&amp;$AG22&amp;"-list, "&amp;IF($AA22&lt;$B$4,"below","above")&amp;" spot",IF(IF($AG22="R",COUNTIF($W$9:$W$14,$AA22),COUNTIF($W$18:$W$23,$AA22))=0,"not in "&amp;$AG22&amp;"-list",IF($DH22=1,"absorbed into shelf box",IF($BK22=1,"absorbed: adjacent reversal",IF($CI22=1,"accel-accelerant",IF($AC22&lt;=$BG$19,"below gamma-floor",IF($AM22&lt;$BG$20,"confluence "&amp;TEXT($AM22,"0")&amp;" &lt; "&amp;TEXT($BG$20,"0"),IF(AND($AX22=1,$D$5="UP"),"accelerant in up-move",IF(NOT(OR($AC22&gt;=MAX($AC$9:$AC$55),$BC22&gt;0,$AA22='King Node Model'!$D$26,AND(OR($AA22=$CP$4,$AA22=$CP$5,$AA22=$CP$6,$AA22=$CP$7),ABS($AA22-$B$4)&lt;=30),ISNUMBER(SEARCH("STRENGTHENING",$CG22)),$AN22=1,AND($AX22=1,$D$5="DOWN"))),"no surface flag","-&gt; qualifies"))))))))))))</f>
        <v/>
      </c>
      <c r="DV22" s="218">
        <f t="shared" si="61"/>
        <v>99999</v>
      </c>
      <c r="DW22" s="218">
        <f t="shared" si="62"/>
        <v>99999</v>
      </c>
      <c r="DX22" t="str">
        <f>IF('King Node Model'!$A$8&lt;&gt;"Pos","",IF(AND($DV22&lt;99999,$DV22=MIN($DV$9:$DV$55),$DG22&gt;$AA22),"R-box: "&amp;TEXT($AA22,"0")&amp;"-"&amp;TEXT($DG22,"0"),IF(AND($DW22&lt;99999,$DW22=MIN($DW$9:$DW$55),$DF22&lt;$AA22),"S-box: "&amp;TEXT($DF22,"0")&amp;"-"&amp;TEXT($AA22,"0"),"")))</f>
        <v/>
      </c>
      <c r="EB22">
        <f t="shared" si="63"/>
        <v>44.609999999999673</v>
      </c>
      <c r="EC22">
        <f t="shared" si="64"/>
        <v>538591</v>
      </c>
      <c r="ED22">
        <f t="shared" si="65"/>
        <v>0</v>
      </c>
      <c r="EE22">
        <f>IF(AND(OR('King Node Model'!$A$8="Neg",N($BG$72)=1),$AG22="R",ISNUMBER($EB22),$EB22&lt;=$BG$7,$AB22&gt;0,$EC22&gt;0,$AB22=$EC22),1,0)</f>
        <v>0</v>
      </c>
      <c r="EF22">
        <f>IF(AND(OR('King Node Model'!$A$8="Neg",N($BG$72)=1),$AG22="S",ISNUMBER($EB22),$EB22&lt;=$BG$7,$AB22&gt;0,$ED22&gt;0,$AB22=$ED22),1,0)</f>
        <v>0</v>
      </c>
      <c r="EI22">
        <v>1</v>
      </c>
      <c r="EJ22">
        <f>IF($AA22="",0,IF(SUMPRODUCT(($AA$9:$AA$55&gt;=$AT22)*($AA$9:$AA$55&lt;=$AU22)*($DT$9:$DT$55=1))+SUMPRODUCT(($DT$9:$DT$55=1)*($AT$9:$AT$55&lt;=$AA22)*($AU$9:$AU$55&gt;=$AA22))+($DT22=1)+AND(OR('King Node Model'!$A$8="Neg",N($BG$72)=1),ISNUMBER(SEARCH("LOW",'Master Dashboard'!$M$5)),ISNUMBER(SEARCH("BUY",'Master Dashboard'!$G$8)),'King Node Model'!$T$23='King Node Model'!$B$23,$AA22&gt;='King Node Model'!$T$23,$AA22&lt;='King Node Model'!$T$23+5)*1&gt;0,1,0))</f>
        <v>0</v>
      </c>
      <c r="EM22">
        <f t="shared" si="66"/>
        <v>0</v>
      </c>
      <c r="EN22">
        <v>0</v>
      </c>
      <c r="EO22">
        <f t="shared" si="67"/>
        <v>0</v>
      </c>
      <c r="EP22">
        <f t="shared" si="68"/>
        <v>0</v>
      </c>
      <c r="EQ22" t="str">
        <f t="shared" si="69"/>
        <v>thinning the ceiling (magnitude weak)</v>
      </c>
      <c r="ES22">
        <f>IF(AND(ISNUMBER(AA22),ISNUMBER(AF22),ABS(AA22-'King Node Model'!$B$4)&lt;=$BG$7),ABS(AF22),"")</f>
        <v>2822826</v>
      </c>
      <c r="ET22">
        <v>0</v>
      </c>
      <c r="EU22" s="218">
        <f>IF(AND(OR('King Node Model'!$A$8="Neg",N($BG$72)=1),ISNUMBER($AA21),ISNUMBER($AA22),ISNUMBER($AA23),ISNUMBER($AB21),ISNUMBER($AB22),ISNUMBER($AB23),ISNUMBER($AF22),$AB22&gt;0,$AB21&lt;0,$AB23&lt;0,$AF22&lt;0),1,0)</f>
        <v>0</v>
      </c>
      <c r="EW22">
        <f>IF(OR(N($MY22)=1,N($JM22)=1),0,N($NE22))</f>
        <v>0</v>
      </c>
      <c r="EX22">
        <f>IF(AND(OR('King Node Model'!$A$8="Neg",N($BG$72)=1),ISNUMBER($AA22),OR(AND($AA22='King Node Model'!$F$24,OR(AND($AG22="S",$F$4="High",IF($BG$80&lt;&gt;"",UPPER($BG$80),$D$5)="DOWN"),AND($AG22="R",$F$4="Low",IF($BG$80&lt;&gt;"",UPPER($BG$80),$D$5)="UP"))),$GV22=1)),1,0)</f>
        <v>0</v>
      </c>
      <c r="EY22">
        <f>IFERROR(IF(AND($DC22=1,$AB22&lt;0,$AC22&gt;=(1+$FA$6)*INDEX($AC$9:$AC$55,14-1),$AC22&gt;=(1+$FA$6)*INDEX($AC$9:$AC$55,14+1),$AC22&gt;=IFERROR(INDEX($AC$9:$AC$55,14-2),0),$AC22&gt;=IFERROR(INDEX($AC$9:$AC$55,14+2),0)),1,0),0)</f>
        <v>0</v>
      </c>
      <c r="FA22" t="str">
        <f>IF(NOT(ISNUMBER($AA22)),"",IFERROR(IF(AND($AC22=MAX($AC$9:$AC$55),$AB22=MIN($AB$9:$AB$55)),"DOM",IF(AND($DC21=1,$DC22=1,$DC23=1,INDEX($AC$9:$AC$55,14-1)&lt;=(1-$FA$6)*$AC22,INDEX($AC$9:$AC$55,14-1)&lt;=(1-$FA$6)*INDEX($AC$9:$AC$55,14-2)),"GAP↑",IF(AND($DC23=1,$DC22=1,INDEX($AC$9:$AC$55,14+1)&lt;=(1-$FA$6)*$AC22,INDEX($AC$9:$AC$55,14+1)&lt;=(1-$FA$6)*INDEX($AC$9:$AC$55,14+2)),"GAP↓",IF($CZ22=1,"dEdge Cliff",IF($GY22=1,"γWall",IF(AND($DC22=1,$AB22&lt;0,$AC22&gt;=(1+$FA$6)*INDEX($AC$9:$AC$55,14-1),$AC22&gt;=(1+$FA$6)*INDEX($AC$9:$AC$55,14+1)),"PEAK-",IF($GZ22=1,"γSh Edge",IF($HL22=1,"Trough",IF($HN22=1,"PEAK+",IF($GF22=1,"Cluster","")))))))))),""))</f>
        <v/>
      </c>
      <c r="FB22" t="str">
        <f t="shared" si="70"/>
        <v/>
      </c>
      <c r="FC22" t="str">
        <f t="shared" si="71"/>
        <v/>
      </c>
      <c r="FD22">
        <f>IF(AND(ISNUMBER($AA22),ISNUMBER('King Node Model'!$AP$17),ISNUMBER('King Node Model'!$AQ$17),$AA22&gt;=MIN('King Node Model'!$AP$17,'King Node Model'!$AQ$17),$AA22&lt;=MAX('King Node Model'!$AP$17,'King Node Model'!$AQ$17),IFERROR(INDEX($AC$9:$AC$55,MATCH('King Node Model'!$AL$42,$AA$9:$AA$55,0)),0)&gt;0,$AC22&gt;=(1-$FA$6)*IFERROR(INDEX($AC$9:$AC$55,MATCH('King Node Model'!$AL$42,$AA$9:$AA$55,0)),0),$AC22&lt;=(1+$FA$6)*IFERROR(INDEX($AC$9:$AC$55,MATCH('King Node Model'!$AL$42,$AA$9:$AA$55,0)),0)),1,0)</f>
        <v>0</v>
      </c>
      <c r="FE22">
        <f>IF($AA22='King Node Model'!$AL$42,1,IF(AND($FD22=1,$FE21=1),1,0))</f>
        <v>0</v>
      </c>
      <c r="FF22">
        <f>IF($AA22='King Node Model'!$AL$42,1,IF(AND($FD22=1,$FF23=1),1,0))</f>
        <v>0</v>
      </c>
      <c r="FG22" t="str">
        <f>IF(OR($FE22=1,$FF22=1),14,"")</f>
        <v/>
      </c>
      <c r="FJ22">
        <f>IF(AND($CW$2=1,ISNUMBER($AA22),ISNUMBER($CW$3),ISNUMBER($CW$4),$AA22&gt;=MIN($CW$3,$CW$4),$AA22&lt;=MAX($CW$3,$CW$4),IFERROR(INDEX($AC$9:$AC$55,MATCH('King Node Model'!$AP$67,$AA$9:$AA$55,0)),0)&gt;0,$AC22&gt;=(1-$FA$6)*IFERROR(INDEX($AC$9:$AC$55,MATCH('King Node Model'!$AP$67,$AA$9:$AA$55,0)),0),$AC22&lt;=(1+$FA$6)*IFERROR(INDEX($AC$9:$AC$55,MATCH('King Node Model'!$AP$67,$AA$9:$AA$55,0)),0)),1,0)</f>
        <v>0</v>
      </c>
      <c r="FK22">
        <f>IF(AND($CW$2=1,$AA22='King Node Model'!$AP$67),1,IF(AND($FJ22=1,$FK21=1),1,0))</f>
        <v>0</v>
      </c>
      <c r="FL22">
        <f>IF(AND($CW$2=1,$AA22='King Node Model'!$AP$67),1,IF(AND($FJ22=1,$FL23=1),1,0))</f>
        <v>0</v>
      </c>
      <c r="FM22" t="str">
        <f>IF(OR($FK22=1,$FL22=1),14,"")</f>
        <v/>
      </c>
      <c r="FN22">
        <v>0</v>
      </c>
      <c r="FR22" t="str">
        <f t="shared" si="72"/>
        <v/>
      </c>
      <c r="FS22">
        <f t="shared" si="188"/>
        <v>0</v>
      </c>
      <c r="FT22">
        <f t="shared" si="73"/>
        <v>0.3813470182010899</v>
      </c>
      <c r="FU22">
        <f t="shared" si="74"/>
        <v>494366</v>
      </c>
      <c r="FV22">
        <f>IF($FW22=0,"",IF(OR($FW21=0,SIGN(IFERROR($BC22*1,0))&lt;&gt;SIGN(IFERROR($BC21*1,0)),$GH22=1,$GH21=1),MAX($FV$9:$FV21)+1,$FV21))</f>
        <v>4</v>
      </c>
      <c r="FW22">
        <f t="shared" si="75"/>
        <v>1</v>
      </c>
      <c r="FX22">
        <f t="shared" si="76"/>
        <v>874234</v>
      </c>
      <c r="FY22">
        <f t="shared" si="77"/>
        <v>0</v>
      </c>
      <c r="FZ22">
        <f t="shared" si="189"/>
        <v>0</v>
      </c>
      <c r="GA22">
        <f t="shared" si="78"/>
        <v>0</v>
      </c>
      <c r="GB22">
        <f t="shared" si="79"/>
        <v>2</v>
      </c>
      <c r="GC22">
        <f t="shared" si="80"/>
        <v>1630246</v>
      </c>
      <c r="GD22" t="str">
        <f t="shared" si="81"/>
        <v/>
      </c>
      <c r="GE22" t="str">
        <f t="shared" si="82"/>
        <v/>
      </c>
      <c r="GF22">
        <f t="shared" si="83"/>
        <v>0</v>
      </c>
      <c r="GH22">
        <f>IFERROR(IF(AND($AC22&gt;=(1+$FA$6)*INDEX($AC$9:$AC$55,14-1),$AC22&gt;=(1+$FA$6)*INDEX($AC$9:$AC$55,14+1)),1,0),0)</f>
        <v>0</v>
      </c>
      <c r="GK22">
        <v>0</v>
      </c>
      <c r="GO22">
        <v>0</v>
      </c>
      <c r="GP22">
        <v>0</v>
      </c>
      <c r="GQ22">
        <f t="shared" si="84"/>
        <v>0</v>
      </c>
      <c r="GR22">
        <f t="shared" si="85"/>
        <v>0</v>
      </c>
      <c r="GS22">
        <f>IF(AND($EY22=1,$AA22&lt;&gt;'King Node Model'!$B$23),0,IF(OR($GQ22=1,$GR22=1),1,IF($DC22=1,IF(OR('King Node Model'!$A$8="Neg",N($BG$72)=1),IF(OR(AND($AC22=MAX($AC$9:$AC$55),$AB22=MIN($AB$9:$AB$55)),$AN22=1,$EE22=1,$EF22=1,$EX22=1,$GV22=1),1,0),1),0)))</f>
        <v>0</v>
      </c>
      <c r="GT22">
        <f>IFERROR(IF(AND(OR('King Node Model'!$A$8="Neg",N($BG$72)=1),$EU21=1,$AG22="R",ISNUMBER($AA22),ISNUMBER($AF22),$AF22&lt;&gt;0,$AA22&gt;$B$4-$BG$9,$AA22-$B$4&lt;=$BG$47,IF($KC22="UP",SIGN($AF22),IF($KC22="DOWN",-SIGN($AF22),0))&lt;&gt;1),1,0),0)</f>
        <v>0</v>
      </c>
      <c r="GU22" t="str">
        <f t="shared" si="86"/>
        <v/>
      </c>
      <c r="GV22">
        <f t="shared" si="87"/>
        <v>0</v>
      </c>
      <c r="GW22">
        <f t="shared" si="88"/>
        <v>44.609999999999673</v>
      </c>
      <c r="GX22" t="str">
        <f t="shared" si="89"/>
        <v/>
      </c>
      <c r="GY22">
        <f t="shared" si="90"/>
        <v>0</v>
      </c>
      <c r="GZ22">
        <f t="shared" si="91"/>
        <v>0</v>
      </c>
      <c r="HA22">
        <v>1</v>
      </c>
      <c r="HF22">
        <f>IFERROR(IF(AND($GZ22=1,'King Node Model'!$A$8="Pos",$D$5="UP",$CF22=-1,$AJ22&lt;&gt;1),1,0),0)</f>
        <v>0</v>
      </c>
      <c r="HG22">
        <f t="shared" si="92"/>
        <v>0</v>
      </c>
      <c r="HH22" t="str">
        <f>IF($GZ22=1,"",IFERROR(IF(NOT(ISNUMBER($AA22)),"",IF($EY22=1,"",IF($GF22=1,IF($GD22=$GE22,"",$GD22),IF(OR(AND($DC21=1,$DC22=1,$DC23=1,INDEX($AC$9:$AC$55,14-1)&lt;=(1-$FA$6)*$AC22,INDEX($AC$9:$AC$55,14-1)&lt;=(1-$FA$6)*INDEX($AC$9:$AC$55,14-2)),AND($DC23=1,$DC22=1,INDEX($AC$9:$AC$55,14+1)&lt;=(1-$FA$6)*$AC22,INDEX($AC$9:$AC$55,14+1)&lt;=(1-$FA$6)*INDEX($AC$9:$AC$55,14+2)),AND($DC22=1,OR(INDEX($DC$9:$DC$55,14-1)=0,INDEX($DC$9:$DC$55,14+1)=0))),IF(MIN($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MAX($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MIN($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f>
        <v/>
      </c>
      <c r="HI22" t="str">
        <f>IF($GZ22=1,"",IFERROR(IF(NOT(ISNUMBER($AA22)),"",IF($EY22=1,"",IF($GF22=1,IF($GD22=$GE22,"",$GE22),IF(OR(AND($DC21=1,$DC22=1,$DC23=1,INDEX($AC$9:$AC$55,14-1)&lt;=(1-$FA$6)*$AC22,INDEX($AC$9:$AC$55,14-1)&lt;=(1-$FA$6)*INDEX($AC$9:$AC$55,14-2)),AND($DC23=1,$DC22=1,INDEX($AC$9:$AC$55,14+1)&lt;=(1-$FA$6)*$AC22,INDEX($AC$9:$AC$55,14+1)&lt;=(1-$FA$6)*INDEX($AC$9:$AC$55,14+2)),AND($DC22=1,OR(INDEX($DC$9:$DC$55,14-1)=0,INDEX($DC$9:$DC$55,14+1)=0))),IF(MIN($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MAX($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MAX($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f>
        <v/>
      </c>
      <c r="HL22">
        <f t="shared" si="93"/>
        <v>0</v>
      </c>
      <c r="HM22">
        <f>IFERROR(IF(AND($HL22=1,NOT(OR($AA22='King Node Model'!$T$22,$AA22='King Node Model'!$T$23,$AA22='King Node Model'!$F$24,AND($AG22="S",COUNTIF('Master Dashboard'!$AN$16:$AN$18,$AA22)&gt;0),AND($AG22="R",COUNTIF('Master Dashboard'!$AN$13:$AN$15,$AA22)&gt;0)))),1,0),0)</f>
        <v>0</v>
      </c>
      <c r="HN22">
        <f t="shared" si="94"/>
        <v>0</v>
      </c>
      <c r="HO22">
        <f t="shared" si="95"/>
        <v>0</v>
      </c>
      <c r="HP22">
        <f t="shared" si="96"/>
        <v>1</v>
      </c>
      <c r="HQ22" t="str">
        <f>IF(NOT(ISNUMBER($AA22)),"",IFERROR(TRIM(IF(N($MY22)=1,"DEXLEAN ","")&amp;IF(N($IZ22)=1,"DEXCAP ","")&amp;IF(AND($AG22="S",UPPER('King Node Model'!$L$5)="HIGH",$KC22="DOWN",N($AF22)&gt;0,$AA22='King Node Model'!$AN$70,$IY22="SELL"),"CHOPEDGEIV ","")&amp;IF(N($IS22)=1,"NOREV ","")&amp;IF(N($JY22)=1,"VFLAT ","")&amp;IF(N($KR22)=1,"GDEXVANNA ","")&amp;IF(N($LD22)=1,"KGSUPFAIL ","")&amp;IF(N($LE22)=1,"KGRESLEAK ","")&amp;IF(N($MH22)=1,"ZIGZAG ","")&amp;IF(N($KK22)=1,"DATAGAP ","")&amp;IF(N($KA22)&lt;&gt;0,"ACCUNDERCW ","")&amp;IF(AND($AG22="S",$HF22=1),"EDGE ","")&amp;IF(AND($HM22=1,'King Node Model'!$A$8="Pos",N($BG$72)&lt;&gt;1),"TROUGH ","")&amp;IF(AND($EU22=1,N($JZ22)&lt;&gt;1),"BUMP ","")&amp;IF(AND($GT22=1,N($JZ22)&lt;&gt;1),"SANDWICH ","")&amp;IF(AND($EX22&lt;&gt;1,OR('King Node Model'!$A$8="Neg",N($BG$72)=1),OR(AND(ISNUMBER($AC22),$AC22=MAX($AC$9:$AC$55)),AND(ISNUMBER($AB22),$AB22=MIN($AB$9:$AB$55))),NOT(AND(AND(ISNUMBER($AC22),$AC22=MAX($AC$9:$AC$55)),AND(ISNUMBER($AB22),$AB22=MIN($AB$9:$AB$55)))),$AG22="S",N($AB22)&lt;0,NOT(COUNTIF('Master Dashboard'!$AN$16:$AN$18,$AA22)&gt;0),NOT(AND(OR('King Node Model'!$A$8="Neg",N($BG$72)=1),ISNUMBER($AB22),$AB22=MIN($AB$9:$AB$55),$AA22=$BG$105))),"ACCEL ","")&amp;IF(AND($EX22&lt;&gt;1,ISNUMBER($AA22),OR('King Node Model'!$A$8="Neg",N($BG$72)=1),$EY22=1,NOT(AND($AG22="S",COUNTIF('Master Dashboard'!$AN$16:$AN$18,$AA22)&gt;0)),NOT(AND($AA22='King Node Model'!$B$23,IF($AG22="S",OR($AA22='King Node Model'!$C$24,COUNTIF('Master Dashboard'!$AN$16:$AN$18,$AA22)&gt;0),OR($AA22='King Node Model'!$C$23,COUNTIF('Master Dashboard'!$AN$13:$AN$15,$AA22)&gt;0)))),NOT(AND($EX22&lt;&gt;1,OR('King Node Model'!$A$8="Neg",N($BG$72)=1),OR(AND(ISNUMBER($AC22),$AC22=MAX($AC$9:$AC$55)),AND(ISNUMBER($AB22),$AB22=MIN($AB$9:$AB$55))),NOT(AND(AND(ISNUMBER($AC22),$AC22=MAX($AC$9:$AC$55)),AND(ISNUMBER($AB22),$AB22=MIN($AB$9:$AB$55)))),$AG22="S",N($AB22)&lt;0,NOT(COUNTIF('Master Dashboard'!$AN$16:$AN$18,$AA22)&gt;0)))),"AMPLIFY ","")&amp;IF(AND($AG22="S",OR('King Node Model'!$A$8="Neg",N($BG$72)=1),$AJ22&lt;&gt;1,N($MT22)&lt;&gt;1,NOT(AND(N($LR22)=1,N($MB22)=1)),ISNUMBER(SEARCH("ACCEL building",$CG22))),"ZACCEL ","")&amp;IF(AND($AG22="S",OR('King Node Model'!$A$8="Neg",N($BG$72)=1),$AA22='King Node Model'!$B$23,NOT(AND(AND(ISNUMBER($AC22),$AC22=MAX($AC$9:$AC$55)),AND(ISNUMBER($AB22),$AB22=MIN($AB$9:$AB$55)))),$EJ22&lt;&gt;1),"KINGACC ","")&amp;IF(AND($AG22="S",OR('King Node Model'!$A$8="Neg",N($BG$72)=1),ABS(N($AA22)-N('King Node Model'!$B$23))&lt;=$BG$107,NOT(AND(SUMPRODUCT((ABS($AF$9:$AF$55)&lt;=ABS(N($AF22)))*1)/COUNT($AF$9:$AF$55)&gt;=0.66,OR(ISNUMBER(SEARCH("firmer resistance",$CG22)),ISNUMBER(SEARCH("STRENGTHENING",$CG22)),ISNUMBER(SEARCH("firmer support",$CG22))))),NOT(AND(N($AB22)&gt;0,SUMPRODUCT((ABS($AB$9:$AB$55)&lt;=ABS(N($AB22)))*1)/COUNT($AB$9:$AB$55)&gt;=0.66)),$EJ22&lt;&gt;1,$AJ22&lt;&gt;1,COUNTIF('Master Dashboard'!$AN$16:$AN$18,$AA22)=0,NOT(AND($AG22="S",OR('King Node Model'!$A$8="Neg",N($BG$72)=1),$AA22='King Node Model'!$B$23,NOT(AND(AND(ISNUMBER($AC22),$AC22=MAX($AC$9:$AC$55)),AND(ISNUMBER($AB22),$AB22=MIN($AB$9:$AB$55)))),$EJ22&lt;&gt;1))),"KINGNODE ","")&amp;IF(AND($AG22="R",NOT(AND(AND(ISNUMBER($AC22),$AC22=MAX($AC$9:$AC$55)),AND(ISNUMBER($AB22),$AB22=MIN($AB$9:$AB$55)))),UPPER('King Node Model'!$L$5)="LOW",$KC22="DOWN",N($AF22)&gt;0),"LOWIVFALL ","")&amp;IF(AND($AG22="R",NOT(AND(AND(ISNUMBER($AC22),$AC22=MAX($AC$9:$AC$55)),AND(ISNUMBER($AB22),$AB22=MIN($AB$9:$AB$55)))),UPPER('King Node Model'!$L$5)="HIGH",$KC22="DOWN",N($AF22)&gt;0,IFERROR(MATCH($AA22,$W$9:$W$14,0)&gt;=4,FALSE)),"HIGHIVFALL ","")&amp;IF(AND($AG22="R",N($BG$99)=1),"SPOTUPVOLUP ","")&amp;IF(AND($AG22="R",ISNUMBER(SEARCH("5/5",'Master Dashboard'!$E$29)),OR(ISNUMBER(SEARCH("WEAKENING",$EQ22)),ISNUMBER(SEARCH("Pos gamma ↓",$EQ22)),ISNUMBER(SEARCH("thinning the ceiling",$EQ22)))),"SQUEEZE ","")&amp;IF(N($JU22)=1,"DEDGECLIFF ","")&amp;IF(N($KT22)=1,"DEXDRAIN ","")&amp;IF(N($HW22)&lt;&gt;0,"DEXDROP ","")&amp;IF(N($HX22)&lt;&gt;0,"PEAK+ ","")&amp;IF(N($IF22)=1,"CHOP ","")&amp;IF(N($IQ22)=1,"CONTESTED ","")&amp;IF(N($IW22)=1,"VSELL ","")&amp;IF(N($JK22)=1,"VBUYRES ","")&amp;IF(N($JL22)=1,"DOMFLAT ","")&amp;IF(N($JM22)=1,"DOMPULL ","")&amp;IF(N($JP22)=1,"OIZOMMA ","")&amp;IF(AND(N($JQ22)=1,N($JZ22)&lt;&gt;1),"OIDEX ","")),""))</f>
        <v>LOWIVFALL VBUYRES</v>
      </c>
      <c r="HR22" t="str">
        <f>IF(AND(ISNUMBER($W22),OR('King Node Model'!$A$8&lt;&gt;"Pos",N($BG$72)=1,IFERROR(INDEX($AM$9:$AM$55,MATCH($W22,$AA$9:$AA$55,0)),0)&gt;=$BG$20),$E22="REVERSAL",OR($F22="stable",$F22="VOMMA BID"),$W22&lt;&gt;'King Node Model'!$AL$49,$W22&lt;&gt;'King Node Model'!$AL$50,IFERROR(INDEX($HP$9:$HP$55,MATCH($W22,$AA$9:$AA$55,0)),1)=0),ABS($W22-'King Node Model'!$B$4),"")</f>
        <v/>
      </c>
      <c r="HS22">
        <f>IFERROR(IF(AND($DC22=1,OR(AND($AG22="R",INDEX($DC$9:$DC$55,13)=0,INDEX($DC$9:$DC$55,15)=1,INDEX($DC$9:$DC$55,16)=1),AND($AG22="S",INDEX($DC$9:$DC$55,15)=0,INDEX($DC$9:$DC$55,13)=1,INDEX($DC$9:$DC$55,12)=1))),1,0),0)</f>
        <v>0</v>
      </c>
      <c r="HT22">
        <f t="shared" si="97"/>
        <v>0</v>
      </c>
      <c r="HU22">
        <v>0</v>
      </c>
      <c r="HV22">
        <v>0</v>
      </c>
      <c r="HW22">
        <f>IFERROR(IF(OR(NOT(ISNUMBER($AA22)),'King Node Model'!$A$8&lt;&gt;"Pos",N($BG$72)=1,ABS(N($AE22))&lt;$BG$113,N($AV22)=1,$FA22="DOM",$AA22='King Node Model'!$T$23,AND(N($BG$116)=1,$AA22='King Node Model'!$F$24),NOT(ISNUMBER($KU22)),NOT(ISNUMBER($KV22))),0,IF(AND($AG22="S",COUNTIF('Master Dashboard'!$AN$16:$AN$18,$AA22)=0,$KU22&gt;=$BG$114,$KU22&gt;=$KV22+$BG$115,NOT(AND(N($AN23)=1,N($KV22)&lt;0)),N($AE22)&lt;=0),1,IF(AND($AG22="R",COUNTIF('Master Dashboard'!$AN$13:$AN$15,$AA22)=0,$KV22&gt;=$BG$114,$KV22&gt;=$KU22+$BG$115,NOT(AND(N($AN21)=1,N($KU22)&lt;0))),-1,0))),0)</f>
        <v>0</v>
      </c>
      <c r="HX22">
        <f>IFERROR(IF(AND(ISNUMBER($AA22),$FA22="PEAK+",N($AN22)&lt;&gt;1,NOT(AND('King Node Model'!$A$8="Pos",OR($AA22='King Node Model'!$T$22,$AA22='King Node Model'!$T$23,$AA22='King Node Model'!$F$24))),IF($AG22="S",COUNTIF('Master Dashboard'!$AN$16:$AN$18,$AA22)=0,IF($AG22="R",COUNTIF('Master Dashboard'!$AN$13:$AN$15,$AA22)=0,FALSE))),1,0),0)</f>
        <v>0</v>
      </c>
      <c r="HY22">
        <f t="shared" si="98"/>
        <v>-3.8013938821118463</v>
      </c>
      <c r="HZ22">
        <v>0</v>
      </c>
      <c r="IA22">
        <f>IFERROR(IF(AND(IF($BG$44=1,OR(ISNUMBER(SEARCH("Choppy",'King Node Model'!$S$38)),'King Node Model'!$S$52&lt;&gt;"",'King Node Model'!$A$8="Pos"),TRUE()),OR($DC22=1,$DC21=1,$DC23=1),ABS($AA22-$B$4)&lt;=$BG$7,ABS($AA22-$BG$28)&gt;=$BG$45,OR(AND($AA22&gt;$BG$28,$AG22="R"),AND($AA22&lt;$BG$28,$AG22="S",N($BG$154)=1)),ABS(IF($AA22&gt;$BG$28,$AE23,$AE21))&gt;=$BG$43,ABS(N(IF($AA22&gt;$BG$28,$AE21,$AE23)))&lt;=$BG$153*ABS(IF($AA22&gt;$BG$28,$AE23,$AE21)),IF(ISNUMBER($HZ22),$HZ22=1,AND(ISNUMBER($HY22),$HY22&gt;=$BG$42))),1,0),0)</f>
        <v>0</v>
      </c>
      <c r="IB22">
        <f t="shared" si="99"/>
        <v>0</v>
      </c>
      <c r="IC22" t="str">
        <f>IF(NOT(ISNUMBER($AA22)),"",IFERROR(MID(IF(AND($AC22=MAX($AC$9:$AC$55),$AB22=MIN($AB$9:$AB$55))," · DOM","")&amp;IF(AND($DC21=1,$DC22=1,$DC23=1,INDEX($AC$9:$AC$55,14-1)&lt;=(1-$FA$6)*$AC22,INDEX($AC$9:$AC$55,14-1)&lt;=(1-$FA$6)*INDEX($AC$9:$AC$55,14-2))," · GAP↑ → "&amp;INDEX($AA$9:$AA$55,14-2),"")&amp;IF(AND($DC23=1,$DC22=1,INDEX($AC$9:$AC$55,14+1)&lt;=(1-$FA$6)*$AC22,INDEX($AC$9:$AC$55,14+1)&lt;=(1-$FA$6)*INDEX($AC$9:$AC$55,14+2))," · GAP↓ → "&amp;INDEX($AA$9:$AA$55,14+2),"")&amp;IF($CZ22=1," · dEdge Cliff","")&amp;IF($GY22=1," · γWall","")&amp;IF(AND($DC22=1,$AB22&lt;0,$AC22&gt;=(1+$FA$6)*INDEX($AC$9:$AC$55,14-1),$AC22&gt;=(1+$FA$6)*INDEX($AC$9:$AC$55,14+1))," · PEAK-","")&amp;IF($GZ22=1," · γSh Edge","")&amp;IF($HL22=1," · Trough","")&amp;IF($HN22=1," · PEAK+","")&amp;IF($GF22=1," · Cluster",""),FIND(" · ",IF(AND($AC22=MAX($AC$9:$AC$55),$AB22=MIN($AB$9:$AB$55))," · DOM","")&amp;IF(AND($DC21=1,$DC22=1,$DC23=1,INDEX($AC$9:$AC$55,14-1)&lt;=(1-$FA$6)*$AC22,INDEX($AC$9:$AC$55,14-1)&lt;=(1-$FA$6)*INDEX($AC$9:$AC$55,14-2))," · GAP↑ → "&amp;INDEX($AA$9:$AA$55,14-2),"")&amp;IF(AND($DC23=1,$DC22=1,INDEX($AC$9:$AC$55,14+1)&lt;=(1-$FA$6)*$AC22,INDEX($AC$9:$AC$55,14+1)&lt;=(1-$FA$6)*INDEX($AC$9:$AC$55,14+2))," · GAP↓ → "&amp;INDEX($AA$9:$AA$55,14+2),"")&amp;IF($CZ22=1," · dEdge Cliff","")&amp;IF($GY22=1," · γWall","")&amp;IF(AND($DC22=1,$AB22&lt;0,$AC22&gt;=(1+$FA$6)*INDEX($AC$9:$AC$55,14-1),$AC22&gt;=(1+$FA$6)*INDEX($AC$9:$AC$55,14+1))," · PEAK-","")&amp;IF($GZ22=1," · γSh Edge","")&amp;IF($HL22=1," · Trough","")&amp;IF($HN22=1," · PEAK+","")&amp;IF($GF22=1," · Cluster",""),2),999),""))</f>
        <v/>
      </c>
      <c r="ID22" t="str">
        <f>IF(NOT(ISNUMBER($AA22)),"",IFERROR(MID(IF(AND($AC22=MAX($AC$9:$AC$55),$AB22=MIN($AB$9:$AB$55))," · DOM","")&amp;IF(AND($DC21=1,$DC22=1,$DC23=1,INDEX($AC$9:$AC$55,14-1)&lt;=(1-$FA$6)*$AC22,INDEX($AC$9:$AC$55,14-1)&lt;=(1-$FA$6)*INDEX($AC$9:$AC$55,14-2))," · GAP↑ → "&amp;INDEX($AA$9:$AA$55,14-2),"")&amp;IF(AND($DC23=1,$DC22=1,INDEX($AC$9:$AC$55,14+1)&lt;=(1-$FA$6)*$AC22,INDEX($AC$9:$AC$55,14+1)&lt;=(1-$FA$6)*INDEX($AC$9:$AC$55,14+2))," · GAP↓ → "&amp;INDEX($AA$9:$AA$55,14+2),"")&amp;IF($CZ22=1," · dEdge Cliff","")&amp;IF($GY22=1," · γWall","")&amp;IF(AND($DC22=1,$AB22&lt;0,$AC22&gt;=(1+$FA$6)*INDEX($AC$9:$AC$55,14-1),$AC22&gt;=(1+$FA$6)*INDEX($AC$9:$AC$55,14+1))," · PEAK-","")&amp;IF($GZ22=1," · γSh Edge","")&amp;IF($HL22=1," · Trough","")&amp;IF($HN22=1," · PEAK+","")&amp;IF(AND(NOT($HN22=1),NOT(AND($DC22=1,$AB22&lt;0)),N($GY22)&lt;&gt;1,N($GF22)&lt;&gt;1,N($GZ22)&lt;&gt;1,N($HL22)&lt;&gt;1,N($CZ22)&lt;&gt;1,NOT(AND($AC22=MAX($AC$9:$AC$55),$AB22=MIN($AB$9:$AB$55))),$AC22&gt;=(1+$FA$6)*INDEX($AC$9:$AC$55,14-1),$AC22&gt;=(1+$FA$6)*INDEX($AC$9:$AC$55,14+1))," · Knoll","")&amp;IF($GF22=1," · Cluster",""),4,999),""))</f>
        <v/>
      </c>
      <c r="IF22">
        <f t="shared" si="100"/>
        <v>0</v>
      </c>
      <c r="IG22">
        <f>IFERROR(IF(AND(ISNUMBER($AA22),'King Node Model'!$A$8="Pos",OR($AG22="S",$AG22="R"),$IN22="interior",COUNTIF(IF($AG22="S",'Master Dashboard'!$AN$16:$AN$18,'Master Dashboard'!$AN$13:$AN$15),$AA22)=0,$AA22&lt;&gt;'King Node Model'!$T$22,$AA22&lt;&gt;'King Node Model'!$T$23,$AA22&lt;&gt;'King Node Model'!$F$24),1,0),0)</f>
        <v>0</v>
      </c>
      <c r="IH22">
        <f t="shared" si="101"/>
        <v>0</v>
      </c>
      <c r="II22">
        <f t="shared" si="190"/>
        <v>0</v>
      </c>
      <c r="IJ22">
        <f t="shared" si="102"/>
        <v>0</v>
      </c>
      <c r="IK22">
        <f t="shared" si="103"/>
        <v>0</v>
      </c>
      <c r="IL22">
        <f t="shared" si="191"/>
        <v>0</v>
      </c>
      <c r="IM22">
        <f t="shared" si="104"/>
        <v>0</v>
      </c>
      <c r="IN22" t="str">
        <f t="shared" si="105"/>
        <v/>
      </c>
      <c r="IO22">
        <v>0</v>
      </c>
      <c r="IP22">
        <v>0</v>
      </c>
      <c r="IQ22">
        <f>IFERROR(IF($AG22="S",IF(OR(COUNTIF($W$9:$W$14,$AA22)&gt;0,COUNTIF('King Node Model'!$AL$42:'King Node Model'!$AL$43,$AA22)&gt;0),1,0),IF($AG22="R",IF(OR(COUNTIF($W$18:$W$23,$AA22)&gt;0,COUNTIF('King Node Model'!$AL$49:'King Node Model'!$AL$50,$AA22)&gt;0),1,0),0)),0)</f>
        <v>0</v>
      </c>
      <c r="IR22">
        <f>IFERROR(IF(AND(ISNUMBER($W22),OR('King Node Model'!$A$8&lt;&gt;"Pos",N($BG$72)=1,IFERROR(INDEX($AM$9:$AM$55,MATCH($W22,$AA$9:$AA$55,0)),0)&gt;=$BG$20),COUNTIF('King Node Model'!$AL$49:'King Node Model'!$AL$50,$W22)=0),ABS($W22-$B$4),""),"")</f>
        <v>45.390000000000327</v>
      </c>
      <c r="IS22">
        <f>IF(AND(ISNUMBER($AA22),N($AN22)&lt;&gt;1,N($LR22)&lt;&gt;1,OR(N($EN22)&lt;&gt;1,AND('King Node Model'!$A$8&lt;&gt;"Neg",N($BG$72)&lt;&gt;1)),$AA22&lt;&gt;'King Node Model'!$T$22,$AA22&lt;&gt;'King Node Model'!$T$23,$AA22&lt;&gt;'King Node Model'!$F$24,NOT(AND($AG22="S",COUNTIF('Master Dashboard'!$AN$16:$AN$18,$AA22)&gt;0)),NOT(AND($AG22="R",COUNTIF('Master Dashboard'!$AN$13:$AN$15,$AA22)&gt;0)),NOT(AND('King Node Model'!$A$8&lt;&gt;"Neg",N($BG$72)&lt;&gt;1,COUNTIF('Master Dashboard'!$AN$13:$AN$18,$AA22)&gt;0))),1,0)</f>
        <v>0</v>
      </c>
      <c r="IT22">
        <v>0</v>
      </c>
      <c r="IU22">
        <f>IF(AND(ISNUMBER($AA22),$AA22='King Node Model'!$F$24,$AA22&gt;$GJ$3,N($AD22)&lt;0,$F$4="High"),1,0)</f>
        <v>0</v>
      </c>
      <c r="IV22" t="str">
        <f>""</f>
        <v/>
      </c>
      <c r="IW22">
        <f>IFERROR(IF(AND(ISNUMBER($AA22),NOT(AND(N($LR22)=1,N($MB22)=1)),$AG22="S",OR('King Node Model'!$A$8="Neg",N($BG$72)=1),$JV22="SELL",ABS(N($AD22))&gt;=$BG$94,NOT(AND(N($AD22)&gt;0,N($BG$78)=1,MEDIAN($AA22-$BG$82,$B$4,$AA22+$BG$83)=$B$4))),1,0),0)</f>
        <v>0</v>
      </c>
      <c r="IX22">
        <f>IFERROR(IF(AND(ISNUMBER($AA22),$AG22="S",OR('King Node Model'!$A$8="Neg",N($BG$72)=1),N($AD22)&gt;0,N($BG$78)=1,MEDIAN($AA22-$BG$82,$B$4,$AA22+$BG$83)=$B$4),1,0),0)</f>
        <v>0</v>
      </c>
      <c r="IY22" t="str">
        <f t="shared" si="106"/>
        <v>SELL</v>
      </c>
      <c r="IZ22">
        <f>IFERROR(IF(AND(ISNUMBER($AA22),$FA22&lt;&gt;"DOM",$AA22&lt;&gt;'King Node Model'!$F$24,OR(AND($AG22="S",COUNTIF('Master Dashboard'!$AN$16:$AN$18,$AA22)=0,N(INDEX($AE$9:$AE$55,MATCH($AA22+$BG$84,$AA$9:$AA$55,0)))&lt;=-$BG$85),AND($AG22="R",COUNTIF('Master Dashboard'!$AN$13:$AN$15,$AA22)=0,N(INDEX($AE$9:$AE$55,MATCH($AA22-$BG$84,$AA$9:$AA$55,0)))&gt;=$BG$85))),1,0),0)</f>
        <v>0</v>
      </c>
      <c r="JA22" t="str">
        <f t="shared" si="201"/>
        <v/>
      </c>
      <c r="JC22">
        <f t="shared" si="108"/>
        <v>0</v>
      </c>
      <c r="JD22" t="str">
        <f t="shared" si="193"/>
        <v/>
      </c>
      <c r="JE22">
        <f>IF(ISNUMBER($AA22),N(IFERROR(INDEX('King Node Model'!$L$29:$L$75,MATCH($AA22,'King Node Model'!$A$29:$A$75,0)),0)),"")</f>
        <v>786</v>
      </c>
      <c r="JF22">
        <f>IF(ISNUMBER($AA22),N(IFERROR(INDEX('King Node Model'!$K$29:$K$75,MATCH($AA22,'King Node Model'!$A$29:$A$75,0)),0)),"")</f>
        <v>1755</v>
      </c>
      <c r="JG22">
        <f t="shared" si="109"/>
        <v>0.44786324786324788</v>
      </c>
      <c r="JH22">
        <f t="shared" si="110"/>
        <v>2.2328244274809159</v>
      </c>
      <c r="JI22">
        <f t="shared" si="111"/>
        <v>0</v>
      </c>
      <c r="JJ22" t="str">
        <f t="shared" si="112"/>
        <v>Ramp</v>
      </c>
      <c r="JK22">
        <f t="shared" si="113"/>
        <v>1</v>
      </c>
      <c r="JL22">
        <f t="shared" si="114"/>
        <v>0</v>
      </c>
      <c r="JM22">
        <f t="shared" si="115"/>
        <v>0</v>
      </c>
      <c r="JN22">
        <f t="shared" si="116"/>
        <v>0</v>
      </c>
      <c r="JO22">
        <f t="shared" si="117"/>
        <v>0</v>
      </c>
      <c r="JP22">
        <f t="shared" si="118"/>
        <v>0</v>
      </c>
      <c r="JQ22">
        <f t="shared" si="119"/>
        <v>0</v>
      </c>
      <c r="JR22">
        <v>0</v>
      </c>
      <c r="JS22">
        <f>IFERROR(IF(AND(ISNUMBER($AA22),'King Node Model'!$A$8="Pos",OR($AG22="S",$AG22="R"),N($AB22)&gt;0,N($HP22)&lt;&gt;1,OR(AND($KC22="DOWN",N($AF22)&lt;0,N($AF22)=MIN($AF$9:$AF$55),-N($AF22)&gt;=MAX($AF$9:$AF$55)),AND($KC22="UP",N($AF22)&gt;0,N($AF22)=MAX($AF$9:$AF$55),N($AF22)&gt;=-MIN($AF$9:$AF$55)))),1,0),0)</f>
        <v>0</v>
      </c>
      <c r="JT22">
        <v>0</v>
      </c>
      <c r="JU22">
        <f>IFERROR(IF(AND(N($BG$109)=1,ISNUMBER($AA22),'King Node Model'!$A$8="Pos",N($CZ22)=1,N($AB22)&gt;0),1,0),0)</f>
        <v>0</v>
      </c>
      <c r="JV22" t="str">
        <f t="shared" si="120"/>
        <v>BUY</v>
      </c>
      <c r="JW22">
        <f t="shared" si="121"/>
        <v>0</v>
      </c>
      <c r="JX22">
        <f t="shared" si="122"/>
        <v>0</v>
      </c>
      <c r="JY22">
        <f t="shared" si="123"/>
        <v>0</v>
      </c>
      <c r="JZ22">
        <f t="shared" si="124"/>
        <v>0</v>
      </c>
      <c r="KA22">
        <f t="shared" si="125"/>
        <v>0</v>
      </c>
      <c r="KB22">
        <f t="shared" si="126"/>
        <v>0</v>
      </c>
      <c r="KC22" t="str">
        <f t="shared" si="127"/>
        <v>DOWN</v>
      </c>
      <c r="KE22" t="str">
        <f t="shared" si="128"/>
        <v>Now: strengthening the ceiling (IV rising) · if IV falls: weakens the ceiling · expected on arrival: WEAKENS ✗</v>
      </c>
      <c r="KF22" t="str">
        <f t="shared" si="129"/>
        <v>BUY</v>
      </c>
      <c r="KG22">
        <f t="shared" si="192"/>
        <v>0</v>
      </c>
      <c r="KH22" t="str">
        <f t="shared" si="130"/>
        <v/>
      </c>
      <c r="KI22" t="str">
        <f t="shared" si="131"/>
        <v/>
      </c>
      <c r="KJ22">
        <f t="shared" si="132"/>
        <v>0</v>
      </c>
      <c r="KK22">
        <f t="shared" si="133"/>
        <v>0</v>
      </c>
      <c r="KL22">
        <f t="shared" si="134"/>
        <v>0</v>
      </c>
      <c r="KM22">
        <f t="shared" si="135"/>
        <v>0</v>
      </c>
      <c r="KN22">
        <f t="shared" si="136"/>
        <v>0</v>
      </c>
      <c r="KO22">
        <v>0</v>
      </c>
      <c r="KP22">
        <f t="shared" si="137"/>
        <v>0</v>
      </c>
      <c r="KQ22">
        <f t="shared" si="138"/>
        <v>0</v>
      </c>
      <c r="KR22">
        <f t="shared" si="139"/>
        <v>0</v>
      </c>
      <c r="KS22">
        <f t="shared" si="140"/>
        <v>0</v>
      </c>
      <c r="KT22">
        <f t="shared" si="141"/>
        <v>0</v>
      </c>
      <c r="KU22">
        <f>IF(AND(ISNUMBER($AA22),ISNUMBER($AE22),ISNUMBER($AE21),N($AE22)&lt;&gt;0),($AE22-$AE21)/$AE22,"")</f>
      </c>
      <c r="KV22">
        <f>IF(AND(ISNUMBER($AA22),ISNUMBER($AE22),ISNUMBER($AE23),N($AE22)&lt;&gt;0),($AE22-$AE23)/$AE22,"")</f>
      </c>
      <c r="KW22">
        <f>IFERROR(IF(OR(NOT(ISNUMBER($AA22)),'King Node Model'!$A$8&lt;&gt;"Pos",N($BG$72)=1,ABS(N($AE22))&lt;$BG$113,$FA22="DOM",$AA22='King Node Model'!$T$23,AND(N($BG$116)=1,$AA22='King Node Model'!$F$24),NOT(ISNUMBER($KU22)),NOT(ISNUMBER($KV22))),0,IF(AND($AG22="S",COUNTIF('Master Dashboard'!$AN$16:$AN$18,$AA22)=0,$KU22&gt;=$BG$114,$KU22&gt;=$KV22+$BG$115),1,IF(AND($AG22="R",COUNTIF('Master Dashboard'!$AN$13:$AN$15,$AA22)=0,$KV22&gt;=$BG$114,$KV22&gt;=$KU22+$BG$115),-1,0))),0)</f>
        <v>0</v>
      </c>
      <c r="KX22">
        <f t="shared" si="144"/>
        <v>0</v>
      </c>
      <c r="KY22">
        <f t="shared" si="145"/>
        <v>0</v>
      </c>
      <c r="KZ22">
        <f t="shared" si="146"/>
        <v>0</v>
      </c>
      <c r="LA22">
        <f t="shared" si="147"/>
        <v>0</v>
      </c>
      <c r="LB22">
        <f t="shared" si="148"/>
        <v>1</v>
      </c>
      <c r="LC22">
        <f t="shared" si="149"/>
        <v>0</v>
      </c>
      <c r="LD22">
        <f t="shared" si="150"/>
        <v>0</v>
      </c>
      <c r="LE22">
        <f t="shared" si="151"/>
        <v>0</v>
      </c>
      <c r="LF22">
        <f t="shared" si="152"/>
        <v>0</v>
      </c>
      <c r="LG22" t="str">
        <f t="shared" si="153"/>
        <v/>
      </c>
      <c r="LH22" t="str">
        <f t="shared" si="154"/>
        <v/>
      </c>
      <c r="LI22" t="str">
        <f t="shared" si="155"/>
        <v/>
      </c>
      <c r="LJ22" t="str">
        <f t="shared" si="156"/>
        <v/>
      </c>
      <c r="LK22" t="str">
        <f t="shared" si="157"/>
        <v/>
      </c>
      <c r="LL22">
        <f t="shared" si="158"/>
        <v>0</v>
      </c>
      <c r="LM22">
        <f t="shared" si="159"/>
        <v>0</v>
      </c>
      <c r="LN22">
        <f t="shared" si="160"/>
        <v>0</v>
      </c>
      <c r="LO22">
        <v>0</v>
      </c>
      <c r="LP22">
        <f t="shared" si="161"/>
        <v>0</v>
      </c>
      <c r="LQ22" t="str">
        <f t="shared" si="162"/>
        <v/>
      </c>
      <c r="LR22">
        <f t="shared" si="163"/>
        <v>0</v>
      </c>
      <c r="LS22">
        <f t="shared" si="164"/>
        <v>0</v>
      </c>
      <c r="LT22">
        <f t="shared" si="165"/>
        <v>3</v>
      </c>
      <c r="LU22">
        <f t="shared" si="166"/>
        <v>-1170640</v>
      </c>
      <c r="LV22">
        <f t="shared" si="167"/>
        <v>0</v>
      </c>
      <c r="LW22">
        <f t="shared" si="168"/>
        <v>0</v>
      </c>
      <c r="LX22">
        <f t="shared" si="169"/>
        <v>0</v>
      </c>
      <c r="LY22">
        <f t="shared" si="170"/>
        <v>7820</v>
      </c>
      <c r="LZ22">
        <f t="shared" si="171"/>
        <v>0</v>
      </c>
      <c r="MA22">
        <f t="shared" si="172"/>
        <v>0</v>
      </c>
      <c r="MB22">
        <v>0</v>
      </c>
      <c r="MC22">
        <f t="shared" si="173"/>
        <v>1</v>
      </c>
      <c r="MD22">
        <f t="shared" si="174"/>
        <v>1</v>
      </c>
      <c r="ME22">
        <f t="shared" si="175"/>
        <v>0</v>
      </c>
      <c r="MF22">
        <f t="shared" si="176"/>
        <v>0</v>
      </c>
      <c r="MG22">
        <f t="shared" si="177"/>
        <v>0</v>
      </c>
      <c r="MH22">
        <f t="shared" si="178"/>
        <v>0</v>
      </c>
      <c r="MI22" t="str">
        <f t="shared" si="179"/>
        <v/>
      </c>
      <c r="MJ22">
        <f t="shared" si="180"/>
        <v>0</v>
      </c>
      <c r="MK22">
        <f t="shared" si="181"/>
        <v>0</v>
      </c>
      <c r="ML22">
        <f>IF(AND(OR('King Node Model'!$A$8="Neg",N($BG$72)=1),ISNUMBER($AA22),$AG22="R",N($AB22)&lt;0),IF(AND($AA21=$AA22+5,N($AB21)&gt;0,$AA20=$AA22+10,N($AB20)&lt;0),1,IF(AND($AA21=$AA22+5,N($AB21)&gt;0,$AA20=$AA22+10,N($AB20)&gt;0,$AA19=$AA22+15,N($AB19)&lt;0),2,IF(AND($AA21=$AA22+5,N($AB21)&gt;0,$AA20=$AA22+10,N($AB20)&gt;0,$AA19=$AA22+15,N($AB19)&gt;0,$AA18=$AA22+20,N($AB18)&lt;0),3,IF(AND($AA21=$AA22+5,N($AB21)&gt;0,$AA20=$AA22+10,N($AB20)&gt;0,$AA19=$AA22+15,N($AB19)&gt;0,$AA18=$AA22+20,N($AB18)&gt;0,$AA17=$AA22+25,N($AB17)&lt;0),4,0)))),0)</f>
      </c>
      <c r="MM22">
        <f>IF(AND(OR('King Node Model'!$A$8="Neg",N($BG$72)=1),ISNUMBER($AA22),$AG22="S",N($AB22)&lt;0),IF(AND($AA23=$AA22-5,N($AB23)&gt;0,$AA24=$AA22-10,N($AB24)&lt;0),1,IF(AND($AA23=$AA22-5,N($AB23)&gt;0,$AA24=$AA22-10,N($AB24)&gt;0,$AA25=$AA22-15,N($AB25)&lt;0),2,IF(AND($AA23=$AA22-5,N($AB23)&gt;0,$AA24=$AA22-10,N($AB24)&gt;0,$AA25=$AA22-15,N($AB25)&gt;0,$AA26=$AA22-20,N($AB26)&lt;0),3,IF(AND($AA23=$AA22-5,N($AB23)&gt;0,$AA24=$AA22-10,N($AB24)&gt;0,$AA25=$AA22-15,N($AB25)&gt;0,$AA26=$AA22-20,N($AB26)&gt;0,$AA27=$AA22-25,N($AB27)&lt;0),4,0)))),0)</f>
      </c>
      <c r="MN22">
        <f>IF(N($ML22)&gt;0,$AA22,0)</f>
      </c>
      <c r="MO22">
        <f>IF(N($MM22)&gt;0,$AA22,0)</f>
      </c>
      <c r="MP22">
        <f>IF(AND(OR('King Node Model'!$A$8="Neg",N($BG$72)=1),ISNUMBER($BG$155),$AA22=$BG$155,N($NC22)=1),2,IF(AND(OR('King Node Model'!$A$8="Neg",N($BG$72)=1),ISNUMBER($BG$156),$AA22=$BG$156,N($ND22)=1),1,0))</f>
      </c>
      <c r="MQ22">
        <f>IF(ABS(AE22)&lt;=0,0,IF($AG22="R",IF(ISNUMBER(AE21),IF((ABS(AE21)-ABS(AE22))/ABS(AE22)&lt;-0.4,1,0),0),IF(ISNUMBER(AE23),IF((ABS(AE23)-ABS(AE22))/ABS(AE22)&lt;-0.4,1,0),0)))</f>
      </c>
      <c r="MR22">
        <f>IF(OR(N($MQ22)&lt;&gt;1,N($BG$157)&lt;&gt;1,NOT(ISNUMBER($KU22)),NOT(ISNUMBER($KV22))),0,IF(OR(AND($AG22="S",OR(AND($KU22&gt;=$BG$114,$KU22&gt;=$KV22+$BG$115),AND($KU22&gt;1,$KV22&lt;=1,$KV22&gt;=$BG$114))),AND($AG22="R",OR(AND($KV22&gt;=$BG$114,$KV22&gt;=$KU22+$BG$115),AND($KV22&gt;1,$KU22&lt;=1,$KU22&gt;=$BG$114)))),1,0))</f>
      </c>
      <c r="MS22" t="str">
        <f>IF(AND(N($MR22)=1,N($NA22)&lt;&gt;1),"• DEX falls off more sharply "&amp;IF($AG22="S","above (","below (")&amp;TEXT(IF($AG22="S",$KU22,$KV22),"0%")&amp;") than "&amp;IF($AG22="S","below (","above (")&amp;TEXT(IF($AG22="S",$KV22,$KU22),"0%")&amp;") — Dex↓ not counted",IF(N($MW22)=1,"• Shoulder of the "&amp;IF($AG22="R",$AA23,$AA21)&amp;" wall — own DEX "&amp;TEXT($AE22/1000,"+#,##0;-#,##0")&amp;"K is "&amp;TEXT(ABS($AE22)/ABS(IF($AG22="R",$AE23,$AE21)),"0%")&amp;" of "&amp;TEXT(IF($AG22="R",$AE23,$AE21)/1000,"+#,##0;-#,##0")&amp;"K, Dex↓ not counted",""))</f>
      </c>
      <c r="MT22">
        <f>IF(AND(ISNUMBER($AA22),$AG22="S",ISNUMBER($AB22),$AB22=MIN($AB$9:$AB$55),$AA22=$BG$105,$JV22="BUY",ABS(N($AD22))&gt;=$BG$158),1,0)</f>
      </c>
      <c r="MU22" t="str">
        <f>IF(N($MY22)=1,"",IF(OR(N($MT22)=1,AND(OR('King Node Model'!$A$8="Neg",N($BG$72)=1),$AG22="S",ISNUMBER($AB22),$AB22=MIN($AB$9:$AB$55),$AA22=$BG$105)),"• Min GEX + Max Zomma (no reversal flag required) — accelerant warning not applied; zomma acceleration warning only within "&amp;$BG$98&amp;" pts of the level, and not when vanna buying is "&amp;TEXT($BG$158/1000,"0")&amp;"K or more"&amp;CHAR(10)&amp;IF(N($MT22)=1,"• Max Zomma and vanna buying ("&amp;TEXT(N($AD22)/1000,"+#,##0;-#,##0")&amp;"K) make this level safe","• Max Zomma is what makes this level safe"),"")&amp;$NB22&amp;$NI22)</f>
      </c>
      <c r="MV22" t="str">
        <f>IF(AND(ISNUMBER($AA22),OR($AA22=$BG$118,$AA22=$BG$119)),IF(N($AZ22)*IF($AG22="R",1,-1)&gt;0,"✓",IF(N($AZ22)*IF($AG22="R",1,-1)&lt;0,"✗","")),"")</f>
      </c>
      <c r="MW22">
        <f>IF(AND(N($MQ22)=1,N($BG$159)&gt;0,ISNUMBER(IF($AG22="R",$AE23,$AE21)),N(IF($AG22="R",$AE23,$AE21))&lt;&gt;0),IF(ABS(N($AE22))&lt;$BG$159*ABS(IF($AG22="R",$AE23,$AE21)),1,0),0)</f>
      </c>
      <c r="MX22">
        <f>IF(AND(ISNUMBER($AA22),$AA22=$BG$121,$AG22="R",N($AE22)&lt;0,OR(COUNTIF('King Node Model'!$AL$42:$AL$44,$AA22)=0,N($HP22)=1),N($NC22)=1),2,IF(AND(ISNUMBER($AA22),$AA22=$BG$120,$AG22="S",N($AE22)&gt;0,OR(COUNTIF('King Node Model'!$AL$49:$AL$51,$AA22)=0,N($HP22)=1),N($ND22)=1),1,0))</f>
      </c>
      <c r="MY22">
        <f>IF(AND(N($NA22)=1,NOT(AND(AND($AG22="S",ISNUMBER($AB22),$AB22=MIN($AB$9:$AB$55),$AA22=$BG$105),IFERROR(INDEX($AG$9:$AG$55,MATCH('King Node Model'!$B$23,$AA$9:$AA$55,0)),"")="R")),N($AV22)&lt;&gt;1),1,0)</f>
      </c>
      <c r="MZ22" t="str">
        <f>IF(N($MY22)&lt;&gt;1,"","• DEX falls off more sharply "&amp;IF($AG22="S","above (","below (")&amp;TEXT(IF($AG22="S",$KU22,$KV22),"0%")&amp;") than "&amp;IF($AG22="S","below (","above (")&amp;TEXT(IF($AG22="S",$KV22,$KU22),"0%")&amp;") — path of least resistance "&amp;IF($AG22="S","down","up")&amp;IF(N($AZ22)*IF($AG22="R",1,-1)&lt;0,CHAR(10)&amp;"• Speed against — GEX gets more negative as price "&amp;IF($AG22="R","rises","falls")&amp;" into it (speed "&amp;TEXT(N($AZ22),"#,##0;−#,##0")&amp;")","")&amp;IF(OR(N($NG22)=1,N($JC22)=1),CHAR(10)&amp;"• "&amp;IF(N($JC22)=1,"DOM with vanna BUY "&amp;TEXT(N($AD22)/1000,"+#,##0;−#,##0")&amp;"K","Put wall + Max Zomma + DOM")&amp;" backs the level, but it does not outweigh DEX"&amp;IF(N($AZ22)*IF($AG22="R",1,-1)&lt;0," and speed",""),IF(AND($AG22="S",ISNUMBER($AB22),$AB22=MIN($AB$9:$AB$55),$AA22=$BG$105),CHAR(10)&amp;"• Min GEX + Max Zomma backs the level, but it does not outweigh DEX"&amp;IF(N($AZ22)*IF($AG22="R",1,-1)&lt;0," and speed",""),IF(OR(N($JI22)=1,AND(N($GV22)=1,N($JK22)&lt;&gt;1,N($IW22)&lt;&gt;1),N($JC22)=1,AND($AA22='King Node Model'!$F$24,N($JN22)&lt;&gt;1,OR($AG22="R",AND($AG22="S",$F$4="High",IF($BG$80&lt;&gt;"",UPPER($BG$80),$D$5)="UP")))),CHAR(10)&amp;"• Vanna "&amp;IF($AG22="S","BUY ","SELL ")&amp;TEXT(N($AD22)/1000,"+#,##0;−#,##0")&amp;"K backs the level, but it does not outweigh DEX"&amp;IF(N($AZ22)*IF($AG22="R",1,-1)&lt;0," and speed",""),"")))&amp;IF(N($NE22)=1,CHAR(10)&amp;"• Buy-lean max-node exemption not applied — DEX leans against the level",""))</f>
      </c>
      <c r="NA22">
        <f>IF(AND(OR('King Node Model'!$A$8="Neg",N($BG$72)=1),ISNUMBER($AA22),ABS(N($AE22))&gt;=$BG$152,ISNUMBER($KU22),ISNUMBER($KV22)),IF(OR(AND($AG22="S",OR(AND($KU22&gt;=$BG$114,$KU22&gt;=$KV22+$BG$115),AND($KU22&gt;1,$KV22&lt;=1,$KV22&gt;=$BG$114))),AND($AG22="R",OR(AND($KV22&gt;=$BG$114,$KV22&gt;=$KU22+$BG$115),AND($KV22&gt;1,$KU22&lt;=1,$KU22&gt;=$BG$114)))),1,0),0)</f>
      </c>
      <c r="NB22" t="str">
        <f>IF(AND(N($NA22)=1,AND(AND($AG22="S",ISNUMBER($AB22),$AB22=MIN($AB$9:$AB$55),$AA22=$BG$105),IFERROR(INDEX($AG$9:$AG$55,MATCH('King Node Model'!$B$23,$AA$9:$AA$55,0)),"")="R")),CHAR(10)&amp;"• DEX falls off more sharply above ("&amp;TEXT($KU22,"0%")&amp;") than below ("&amp;TEXT($KV22,"0%")&amp;") — DEX-lean warning not applied: Min GEX + Max Zomma support with Max Gamma "&amp;'King Node Model'!$B$23&amp;" above (Dex↓ not counted)",IF(AND(OR(N($NA22)=1,N($NF22)=1),N($AV22)=1),IF(AND(OR('King Node Model'!$A$8="Neg",N($BG$72)=1),$AG22="S",ISNUMBER($AB22),$AB22=MIN($AB$9:$AB$55),$AA22=$BG$105),CHAR(10),"")&amp;"• DEX falls off more sharply "&amp;IF($AG22="S","above (","below (")&amp;TEXT(IF($AG22="S",$KU22,$KV22),"0%")&amp;") than "&amp;IF($AG22="S","below (","above (")&amp;TEXT(IF($AG22="S",$KV22,$KU22),"0%")&amp;") — DEX lean does not apply to iDex (isolated DEX)",""))</f>
      </c>
      <c r="NC22">
        <f>IF(OR($BG$163=1,AND($BG$161&gt;0,$BG$162&lt;99999,ISNUMBER($AA22),$AA22&lt;$BG$162)),1,0)</f>
      </c>
      <c r="ND22">
        <f>IF(OR($BG$163=-1,AND($BG$161&gt;0,$BG$162&lt;99999,ISNUMBER($AA22),$AA22&gt;$BG$161)),1,0)</f>
      </c>
      <c r="NE22">
        <f>IF(AND(OR('King Node Model'!$A$8="Neg",N($BG$72)=1),ISNUMBER(SEARCH("LOW",'Master Dashboard'!$M$5)),ISNUMBER(SEARCH("BUY",'Master Dashboard'!$G$8)),'King Node Model'!$T$23='King Node Model'!$B$23,OR($AA22='King Node Model'!$T$23,AND($AG22="R",$AA22='King Node Model'!$T$23+5)),OR(AND($AG22="S",$JV22="BUY"),AND($AG22="R",$JV22="SELL"))),1,0)</f>
      </c>
      <c r="NF22">
        <f>IFERROR(IF(OR(NOT(ISNUMBER($AA22)),'King Node Model'!$A$8&lt;&gt;"Pos",N($BG$72)=1,ABS(N($AE22))&lt;$BG$113,$FA22="DOM",$AA22='King Node Model'!$T$23,AND(N($BG$116)=1,$AA22='King Node Model'!$F$24),NOT(ISNUMBER($KU22)),NOT(ISNUMBER($KV22))),0,IF(AND($AG22="S",COUNTIF('Master Dashboard'!$AN$16:$AN$18,$AA22)=0,$KU22&gt;=$BG$114,$KU22&gt;=$KV22+$BG$115,NOT(AND(N($AN23)=1,N($KV22)&lt;0)),N($AE22)&lt;=0),1,IF(AND($AG22="R",COUNTIF('Master Dashboard'!$AN$13:$AN$15,$AA22)=0,$KV22&gt;=$BG$114,$KV22&gt;=$KU22+$BG$115,NOT(AND(N($AN21)=1,N($KU22)&lt;0))),-1,0))),0)</f>
      </c>
      <c r="NG22">
        <f t="shared" si="202"/>
      </c>
      <c r="NI22" t="str">
        <f>IF(AND(ISNUMBER($BG$165),ISNUMBER($AA22)),IF(OR(AND($AG22="S",$AA22&gt;$BG$165,$AA22-$BG$165&lt;=5),AND($AG22="R",$AA22&lt;$BG$165,$BG$165-$AA22&lt;=5)),IF(OR(AND(OR('King Node Model'!$A$8="Neg",N($BG$72)=1),$AG22="S",ISNUMBER($AB22),$AB22=MIN($AB$9:$AB$55),$AA22=$BG$105),$NB22&lt;&gt;""),CHAR(10),"")&amp;"• DOM forming at "&amp;$BG$165&amp;" (gamma "&amp;TEXT($BG$166,"0%")&amp;" of max) — price may be pulled to the node",""),"")</f>
      </c>
      <c r="NJ22">
        <f>IF(LEN($NI22)&gt;0,1,0)</f>
      </c>
    </row>
    <row r="23" spans="1:349" ht="15" customHeight="1" x14ac:dyDescent="0.25">
      <c r="A23" s="241" t="str">
        <f t="shared" si="194"/>
        <v>7705</v>
      </c>
      <c r="B23" s="242">
        <f>IFERROR(INDEX('King Node Model'!$C$29:$C$75,MATCH(IF($W23="",$V23,$W23),'King Node Model'!$A$29:$A$75,0)),"")</f>
        <v>-70311</v>
      </c>
      <c r="C23" s="243" t="str">
        <f t="shared" si="195"/>
        <v>Dex Dex↓ C-OI</v>
      </c>
      <c r="D23" s="243">
        <f t="shared" si="196"/>
        <v>3</v>
      </c>
      <c r="E23" s="243" t="str">
        <f t="shared" si="197"/>
        <v/>
      </c>
      <c r="F23" s="244" t="str">
        <f t="shared" si="198"/>
        <v>stable</v>
      </c>
      <c r="G23" s="397" t="str">
        <f t="shared" si="199"/>
        <v>Dormant</v>
      </c>
      <c r="V23" s="1">
        <f>IFERROR(INDEX($AA$9:$AA$55,MATCH("S6",$BB$9:$BB$55,0)),"")</f>
        <v>7705</v>
      </c>
      <c r="W23">
        <v>7705</v>
      </c>
      <c r="AA23" s="181">
        <f>'King Node Model'!A43</f>
        <v>7815</v>
      </c>
      <c r="AB23" s="276">
        <f>'King Node Model'!C43</f>
        <v>248997</v>
      </c>
      <c r="AC23" s="181">
        <f>ABS('King Node Model'!B43)</f>
        <v>358734</v>
      </c>
      <c r="AD23" s="276">
        <f>'King Node Model'!F43</f>
        <v>817340</v>
      </c>
      <c r="AE23" s="276">
        <f>'King Node Model'!E43</f>
        <v>-113209</v>
      </c>
      <c r="AF23" s="276">
        <f>'King Node Model'!D43</f>
        <v>3020577</v>
      </c>
      <c r="AG23" s="181" t="str">
        <f t="shared" si="6"/>
        <v>R</v>
      </c>
      <c r="AH23" s="181">
        <f t="shared" si="7"/>
        <v>11</v>
      </c>
      <c r="AI23" s="181" t="str">
        <f t="shared" si="8"/>
        <v>SELL</v>
      </c>
      <c r="AJ23" s="181">
        <f t="shared" si="9"/>
        <v>0</v>
      </c>
      <c r="AK23" s="181">
        <f>IF(ABS(N($AE23))&gt;=$BG$85,1,0)</f>
      </c>
      <c r="AL23" s="181">
        <f t="shared" si="10"/>
        <v>0</v>
      </c>
      <c r="AM23" s="181">
        <f t="shared" si="11"/>
        <v>2</v>
      </c>
      <c r="AN23" s="181">
        <f t="shared" si="12"/>
        <v>0</v>
      </c>
      <c r="AO23" s="1">
        <f t="shared" si="13"/>
        <v>113209</v>
      </c>
      <c r="AP23" s="1" t="str">
        <f t="shared" si="14"/>
        <v/>
      </c>
      <c r="AQ23" s="1">
        <f t="shared" si="15"/>
        <v>3020577</v>
      </c>
      <c r="AR23" s="181">
        <f t="shared" si="16"/>
        <v>0.26418230555807776</v>
      </c>
      <c r="AS23" s="181" t="str">
        <f t="shared" si="17"/>
        <v/>
      </c>
      <c r="AT23" s="181" t="str">
        <f t="shared" si="18"/>
        <v/>
      </c>
      <c r="AU23" s="181" t="str">
        <f t="shared" si="19"/>
        <v/>
      </c>
      <c r="AV23" s="218">
        <f t="shared" si="183"/>
        <v>0</v>
      </c>
      <c r="AW23" s="181">
        <f>ABS('King Node Model'!G43)</f>
        <v>386</v>
      </c>
      <c r="AX23" s="181">
        <f t="shared" si="20"/>
        <v>0</v>
      </c>
      <c r="AY23" s="181">
        <f t="shared" si="21"/>
        <v>0</v>
      </c>
      <c r="AZ23" s="276">
        <f>'King Node Model'!I43</f>
        <v>4587</v>
      </c>
      <c r="BA23" s="181">
        <f t="shared" si="22"/>
        <v>0</v>
      </c>
      <c r="BB23" s="181" t="str">
        <f t="shared" si="23"/>
        <v/>
      </c>
      <c r="BC23" s="10">
        <f>'King Node Model'!C43</f>
        <v>248997</v>
      </c>
      <c r="BD23" s="218">
        <f t="shared" si="184"/>
        <v>0</v>
      </c>
      <c r="BE23" s="218">
        <f t="shared" si="185"/>
        <v>0</v>
      </c>
      <c r="BF23" s="336" t="s">
        <v>1230</v>
      </c>
      <c r="BG23" s="409">
        <f>IF(OR('King Node Model'!$A$8="Neg",N($BG$72)=1),$BG$33,$BG$32)</f>
        <v>40000</v>
      </c>
      <c r="BI23" s="218">
        <f t="shared" si="186"/>
        <v>0</v>
      </c>
      <c r="BJ23" s="218">
        <f t="shared" si="187"/>
        <v>0</v>
      </c>
      <c r="BK23" s="218">
        <f t="shared" si="24"/>
        <v>1</v>
      </c>
      <c r="BL23" s="10">
        <f>'King Node Model'!H43</f>
        <v>20</v>
      </c>
      <c r="BM23" s="218">
        <f t="shared" si="25"/>
        <v>26</v>
      </c>
      <c r="BN23" s="218">
        <f t="shared" si="26"/>
        <v>14</v>
      </c>
      <c r="BO23" s="218">
        <f t="shared" si="27"/>
        <v>0</v>
      </c>
      <c r="BP23" s="218">
        <f t="shared" si="28"/>
        <v>0</v>
      </c>
      <c r="BQ23" t="str">
        <f t="shared" si="29"/>
        <v/>
      </c>
      <c r="BR23" t="str">
        <f t="shared" si="30"/>
        <v/>
      </c>
      <c r="BS23" s="218">
        <f t="shared" si="31"/>
        <v>0</v>
      </c>
      <c r="BT23" t="str">
        <f t="shared" si="32"/>
        <v/>
      </c>
      <c r="BU23" t="str">
        <f t="shared" si="33"/>
        <v/>
      </c>
      <c r="BV23" s="218">
        <f t="shared" si="34"/>
        <v>817340</v>
      </c>
      <c r="BW23" s="218">
        <f t="shared" si="35"/>
        <v>113209</v>
      </c>
      <c r="BX23" s="218">
        <f>IF(AND(ISNUMBER(BC23),BC23&gt;=$BG$160,OR('King Node Model'!$A$8="Neg",N($BG$72)=1)),1,0)</f>
        <v>1</v>
      </c>
      <c r="BY23" s="218">
        <f t="shared" si="36"/>
        <v>0</v>
      </c>
      <c r="BZ23" s="218">
        <f t="shared" si="37"/>
        <v>0</v>
      </c>
      <c r="CA23" t="str">
        <f t="shared" si="38"/>
        <v/>
      </c>
      <c r="CB23" s="218">
        <f>IF(AND(ISNUMBER('King Node Model'!$D$27),AG23&lt;&gt;"",AA23='King Node Model'!$D$27),1,0)</f>
        <v>0</v>
      </c>
      <c r="CC23" s="218">
        <f>IF(OR('King Node Model'!$A$8="Neg",N($BG$72)=1),$BG$14*IF(ISNUMBER('King Node Model'!$D$26),MAX(0,1-ABS(AA23-'King Node Model'!$D$26)/$BG$18),0)+$BG$15*IFERROR(BV23/MAX($BV$9:$BV$55),0)+$BG$16*IFERROR(BW23/MAX($BW$9:$BW$55),0)+$BG$17*IFERROR(AC23/$S$11,0)*MAX(0,1+$BG$21*CF23),AR23)</f>
        <v>1.1185462136850133</v>
      </c>
      <c r="CD23" s="218">
        <f>IF(OR('King Node Model'!$A$8="Neg",N($BG$72)=1),IF(AND(AG23&lt;&gt;"",ABS(AA23-$B$4)&lt;=$BG$7,OR(AX23=0,$D$5&lt;&gt;"UP"),AY23=0,BK23&lt;&gt;1,CI23=0,AM23&gt;=$BG$20,AC23&gt;$BG$19),1,0),IF(AND(BS23=1,(COUNTIF($W$9:$W$14,AA23)+COUNTIF($W$18:$W$23,AA23))&gt;0,CI23=0,AM23&gt;=$BG$20,AC23&gt;$BG$19),1,0))</f>
        <v>0</v>
      </c>
      <c r="CE23" t="str">
        <f t="shared" si="39"/>
        <v/>
      </c>
      <c r="CF23" s="218">
        <f t="shared" si="40"/>
        <v>0</v>
      </c>
      <c r="CG23" t="str">
        <f t="shared" si="41"/>
        <v/>
      </c>
      <c r="CH23" t="str">
        <f t="shared" si="42"/>
        <v>Dormant</v>
      </c>
      <c r="CI23" s="218">
        <f t="shared" si="43"/>
        <v>0</v>
      </c>
      <c r="CJ23" s="218">
        <f t="shared" si="44"/>
        <v>387420489</v>
      </c>
      <c r="CK23" s="218">
        <f t="shared" si="45"/>
        <v>0</v>
      </c>
      <c r="CL23" s="218">
        <f t="shared" si="46"/>
        <v>0</v>
      </c>
      <c r="CQ23" s="218">
        <f t="shared" si="200"/>
        <v>7705</v>
      </c>
      <c r="CR23" t="s">
        <v>1483</v>
      </c>
      <c r="CS23">
        <f>'King Node Model'!$AL$42</f>
        <v>7780</v>
      </c>
      <c r="CT23">
        <v>1</v>
      </c>
      <c r="CU23" s="218">
        <f>IF(AND(AND('King Node Model'!$A$8&lt;&gt;"Neg",N($BG$72)&lt;&gt;1),SUMPRODUCT(($AG$9:$AG$55="S")*ISNUMBER($AT$9:$AT$55)*ISNUMBER($AU$9:$AU$55)*($AT$9:$AT$55&lt;&gt;$AU$9:$AU$55)*($AT$9:$AT$55&lt;=$AA23)*($AU$9:$AU$55&gt;=$AA23))&gt;0),0,IF(AND(OR($AA23='King Node Model'!$T$22,$AA23='King Node Model'!$F$24),$AG23="R",COUNTIF($W$9:$W$14,$AA23)&gt;0),1,IF(AND($FN23=1,$EU23&lt;&gt;1,$EM23&lt;&gt;1,$BK23&lt;&gt;1,$DH23&lt;&gt;1,$AG23="R",COUNTIF($W$9:$W$14,$AA23)&gt;0),1,IF($EU23=1,0,IF($EM23=1,0,IF(AND(OR($EE23=1,$GV23=1,AND($EL$7=1,$AA23='King Node Model'!$D$26,$EI23=1),AND(OR($AA23='King Node Model'!$T$22,$AA23='King Node Model'!$T$23),$AN23=1,OR($AX23=0,$D$5&lt;&gt;"UP"))),OR(NOT(OR('King Node Model'!$A$8="Neg",N($BG$72)=1)),$GV23=1,AND(OR($AA23='King Node Model'!$T$22,$AA23='King Node Model'!$T$23),$AN23=1,OR($AX23=0,$D$5&lt;&gt;"UP")),AND($AM23&gt;=$BG$20,$AC23&gt;IF($CZ23=1,$BG$48,$BG$19)))),1,IF($DH23=1,0,IF(AND($DC23=1,$GS23&lt;&gt;1,AND('King Node Model'!$A$8&lt;&gt;"Neg",N($BG$72)&lt;&gt;1)),0,IF(AND($EY23=1,NOT(OR('King Node Model'!$A$8="Neg",$BG$72=1)),$AA23&lt;&gt;'King Node Model'!$B$23),0,IF(AND($GS23=1,$AG23="R",OR($CI23=0,$EE23=1,$EX23=1,$GV23=1),COUNTIF($W$9:$W$14,$AA23)&gt;0,ABS($AA23-$B$4)&lt;=$BG$7,$BK23&lt;&gt;1,$AM23&gt;=$BG$20,$AC23&gt;IF($CZ23=1,$BG$48,$BG$19)),1,IF(OR('King Node Model'!$A$8="Neg",N($BG$72)=1),IF(AND(OR($AM23&gt;=$BG$20,$AA23='King Node Model'!$D$26,$GV23=1),$AG23="R",COUNTIF($W$9:$W$14,$AA23)&gt;0,ABS($AA23-$B$4)&lt;=$BG$7,OR($AX23=0,$D$5&lt;&gt;"UP"),$BK23&lt;&gt;1,OR(OR($CI23=0,$AJ23=1),AND($EI23=1,$LA23=1,COUNTIF($W$9:$W$11,$AA23)&gt;0,$AN23=1,OR($AX23=0,$D$5&lt;&gt;"UP"))),$AM23&gt;=$BG$20,$AC23&gt;IF($CZ23=1,$BG$48,$BG$19),OR($AN23=1,N($LR23)=1,$AA23='King Node Model'!$D$26,AND($BY23=1,$AA23&gt;$B$4),$BX23=1,$CF23=1,$CF23=1,AND(OR($AA23=$CP$4,$AA23=$CP$5,$AA23=$CP$6,$AA23=$CP$7),ABS($AA23-$B$4)&lt;=30),AND($AX23=1,$D$5="DOWN"))),1,0),IF(AND(OR($AM23&gt;=3,$AA23='King Node Model'!$D$26,$GV23=1),$AG23="R",COUNTIF($W$9:$W$14,$AA23)&gt;0,ABS($AA23-$B$4)&lt;=$BG$7,OR($AX23=0,$D$5&lt;&gt;"UP"),$BK23&lt;&gt;1,OR($CI23=0,$AJ23=1),$AM23&gt;=$BG$20,$AC23&gt;IF($CZ23=1,$BG$48,$BG$19),OR($AC23&gt;=MAX($AC$9:$AC$55),$BC23&gt;0,$AA23='King Node Model'!$D$26,AND(OR($AA23=$CP$4,$AA23=$CP$5,$AA23=$CP$6,$AA23=$CP$7),ABS($AA23-$B$4)&lt;=30),$CF23=1,$AN23=1,AND($AX23=1,$D$5="DOWN"))),1,0))))))))))))</f>
        <v>0</v>
      </c>
      <c r="CV23" s="218">
        <f>IF(AND(OR('King Node Model'!$A$8="Neg",N($BG$72)=1),$AG23="S",N($LR23)=1,N($MB23)=1),1,IF(AND(AND('King Node Model'!$A$8&lt;&gt;"Neg",N($BG$72)&lt;&gt;1),SUMPRODUCT(($AG$9:$AG$55="R")*ISNUMBER($AT$9:$AT$55)*ISNUMBER($AU$9:$AU$55)*($AT$9:$AT$55&lt;&gt;$AU$9:$AU$55)*($AT$9:$AT$55&lt;=$AA23)*($AU$9:$AU$55&gt;=$AA23))&gt;0,NOT(AND(N($LC23)=1,$AA23='King Node Model'!$B$23))),0,IF(AND($AA23='King Node Model'!$F$24,$AG23="S",COUNTIF($W$18:$W$23,$AA23)&gt;0),1,IF(AND($FN23=1,$EU23&lt;&gt;1,$EM23&lt;&gt;1,$DH23&lt;&gt;1,$AG23="S",COUNTIF($W$18:$W$23,$AA23)&gt;0),1,IF($EU23=1,0,IF(AND(OR($EF23=1,$GV23=1,AND(OR($AA23='King Node Model'!$T$22,$AA23='King Node Model'!$T$23,AND($AG23="S",COUNTIF('Master Dashboard'!$AN$16:$AN$18,$AA23)&gt;0)),$AN23=1,OR($AX23=0,$D$5&lt;&gt;"UP"))),OR(NOT(OR('King Node Model'!$A$8="Neg",N($BG$72)=1)),$GV23=1,AND(OR($AA23='King Node Model'!$T$22,$AA23='King Node Model'!$T$23,AND($AG23="S",COUNTIF('Master Dashboard'!$AN$16:$AN$18,$AA23)&gt;0)),$AN23=1,OR($AX23=0,$D$5&lt;&gt;"UP")),AND($AM23&gt;=$BG$20,$AC23&gt;IF($CZ23=1,$BG$48,$BG$19)))),1,IF($DH23=1,0,IF(AND($DC23=1,$GS23&lt;&gt;1,AND('King Node Model'!$A$8&lt;&gt;"Neg",N($BG$72)&lt;&gt;1)),0,IF(AND($EY23=1,NOT(OR('King Node Model'!$A$8="Neg",$BG$72=1)),$AA23&lt;&gt;'King Node Model'!$B$23,COUNTIF('Master Dashboard'!$AN$16:$AN$18,$AA23)=0),0,IF(AND($GS23=1,$AG23="S",OR($CI23=0,$EF23=1,$EX23=1,$GV23=1),COUNTIF($W$18:$W$23,$AA23)&gt;0,ABS($AA23-$B$4)&lt;=$BG$7,$BK23&lt;&gt;1,$AM23&gt;=$BG$20,$AC23&gt;IF($CZ23=1,$BG$48,$BG$19)),1,IF(OR('King Node Model'!$A$8="Neg",N($BG$72)=1),IF(AND(OR(OR($AM23&gt;=$BG$20,N($LR23)=1),$AA23='King Node Model'!$D$26,$GV23=1),$AG23="S",COUNTIF($W$18:$W$23,$AA23)&gt;0,ABS($AA23-$B$4)&lt;=$BG$7,OR($AX23=0,$D$5&lt;&gt;"UP"),$BK23&lt;&gt;1,OR($CI23=0,$AJ23=1,AND(N($LR23)=1,N($MB23)=1),N($MT23)=1),OR($AM23&gt;=$BG$20,N($LR23)=1),$AC23&gt;IF($CZ23=1,$BG$48,$BG$19),OR($AB23&gt;0,$AN23=1,N($MT23)=1,N($LR23)=1,$AA23='King Node Model'!$D$26,AND($BY23=1,$AA23&lt;$B$4),$BX23=1,$CF23=1,$CF23=1,AND(OR($AA23=$CP$4,$AA23=$CP$5,$AA23=$CP$6,$AA23=$CP$7),ABS($AA23-$B$4)&lt;=30),AND($AX23=1,$D$5="DOWN"))),1,0),IF(AND(OR($AM23&gt;=3,$AA23='King Node Model'!$D$26,$GV23=1),$AG23="S",COUNTIF($W$18:$W$23,$AA23)&gt;0,ABS($AA23-$B$4)&lt;=$BG$7,OR($AX23=0,$D$5&lt;&gt;"UP"),$BK23&lt;&gt;1,OR($CI23=0,$AJ23=1,AND(N($LR23)=1,N($MB23)=1),N($MT23)=1),$AM23&gt;=$BG$20,$AC23&gt;IF($CZ23=1,$BG$48,$BG$19),OR($AC23&gt;=MAX($AC$9:$AC$55),$BC23&gt;0,N($MT23)=1,$AA23='King Node Model'!$D$26,AND(OR($AA23=$CP$4,$AA23=$CP$5,$AA23=$CP$6,$AA23=$CP$7),ABS($AA23-$B$4)&lt;=30),$CF23=1,$AN23=1,AND($AX23=1,$D$5="DOWN"))),1,0))))))))))))</f>
        <v>0</v>
      </c>
      <c r="CX23" s="218">
        <f t="shared" si="48"/>
        <v>0</v>
      </c>
      <c r="CY23" t="str">
        <f t="shared" si="49"/>
        <v/>
      </c>
      <c r="CZ23" s="218">
        <f t="shared" si="50"/>
        <v>0</v>
      </c>
      <c r="DA23" t="str">
        <f t="shared" si="51"/>
        <v/>
      </c>
      <c r="DB23" t="str">
        <f t="shared" si="52"/>
        <v/>
      </c>
      <c r="DC23" s="218">
        <f t="shared" si="53"/>
        <v>0</v>
      </c>
      <c r="DD23" s="218">
        <f t="shared" si="54"/>
        <v>0</v>
      </c>
      <c r="DE23" s="218">
        <f t="shared" si="55"/>
        <v>0</v>
      </c>
      <c r="DF23" t="str">
        <f t="shared" si="56"/>
        <v/>
      </c>
      <c r="DG23" t="str">
        <f t="shared" si="57"/>
        <v/>
      </c>
      <c r="DH23" s="218">
        <f t="shared" si="58"/>
        <v>0</v>
      </c>
      <c r="DI23">
        <v>1</v>
      </c>
      <c r="DJ23">
        <v>1</v>
      </c>
      <c r="DK23">
        <v>350318</v>
      </c>
      <c r="DL23">
        <v>0</v>
      </c>
      <c r="DM23" t="str">
        <f>IF(AND($CV23=1,$AG23="S"),IF(AND(OR('King Node Model'!$A$8="Neg",N($BG$72)=1),'King Node Model'!$S$52=""),IF(OR(N($AN23)=1,N($LR23)=1,$AB23&gt;0,$AJ23=1,N($JO23)=1,AND(NOT($AE23&gt;0),NOT(IFERROR(AND(ISNUMBER($BC23),ISNUMBER($BC22),($BC23&gt;=0)&lt;&gt;($BC22&gt;=0)),FALSE())),OR(AND($BM23&lt;=6,$BN23&lt;=6),ABS($AA23-'King Node Model'!$T$23)&lt;=5,$LA23=1))),1,0),1),"")</f>
        <v/>
      </c>
      <c r="DN23" t="str">
        <f t="shared" si="59"/>
        <v/>
      </c>
      <c r="DO23" t="str">
        <f t="shared" si="60"/>
        <v>W-list</v>
      </c>
      <c r="DP23" t="str">
        <f>IF(AND(OR('King Node Model'!$A$8="Neg",N($BG$72)=1),$AG23="S",ISNUMBER($AT23),ISNUMBER($AU23),$AT23&lt;&gt;$AU23,$AA23=$AT23),IF(AND(SUMPRODUCT(($AA$9:$AA$55&gt;=$AT23)*($AA$9:$AA$55&lt;=$AU23)*($AB$9:$AB$55&gt;0))&gt;0,SUMPRODUCT(($AA$9:$AA$55&gt;=$AT23)*($AA$9:$AA$55&lt;=$AU23)*($DM$9:$DM$55=1))&gt;0,SUMPRODUCT(($AA$9:$AA$55&gt;=$AT23)*($AA$9:$AA$55&lt;=$AU23)*(COUNTIF($W$18:$W$20,$AA$9:$AA$55)&gt;0))&gt;0),1,0),"")</f>
        <v/>
      </c>
      <c r="DS23">
        <v>0</v>
      </c>
      <c r="DT23">
        <v>0</v>
      </c>
      <c r="DU23" t="str">
        <f>IF('King Node Model'!$A$8&lt;&gt;"Pos","",IF(OR($AA23="",NOT(ISNUMBER($AA23)),ABS($AA23-$B$4)&gt;$BG$7),"",TEXT($AA23,"0")&amp;" | "&amp;IF($AG23="","unclassified",IF($AG23&lt;&gt;IF($AA23&gt;$B$4,"R","S"),"orphan: in "&amp;$AG23&amp;"-list, "&amp;IF($AA23&lt;$B$4,"below","above")&amp;" spot",IF(IF($AG23="R",COUNTIF($W$9:$W$14,$AA23),COUNTIF($W$18:$W$23,$AA23))=0,"not in "&amp;$AG23&amp;"-list",IF($DH23=1,"absorbed into shelf box",IF($BK23=1,"absorbed: adjacent reversal",IF($CI23=1,"accel-accelerant",IF($AC23&lt;=$BG$19,"below gamma-floor",IF($AM23&lt;$BG$20,"confluence "&amp;TEXT($AM23,"0")&amp;" &lt; "&amp;TEXT($BG$20,"0"),IF(AND($AX23=1,$D$5="UP"),"accelerant in up-move",IF(NOT(OR($AC23&gt;=MAX($AC$9:$AC$55),$BC23&gt;0,$AA23='King Node Model'!$D$26,AND(OR($AA23=$CP$4,$AA23=$CP$5,$AA23=$CP$6,$AA23=$CP$7),ABS($AA23-$B$4)&lt;=30),ISNUMBER(SEARCH("STRENGTHENING",$CG23)),$AN23=1,AND($AX23=1,$D$5="DOWN"))),"no surface flag","-&gt; qualifies"))))))))))))</f>
        <v/>
      </c>
      <c r="DV23" s="218">
        <f t="shared" si="61"/>
        <v>99999</v>
      </c>
      <c r="DW23" s="218">
        <f t="shared" si="62"/>
        <v>99999</v>
      </c>
      <c r="DX23" t="str">
        <f>IF('King Node Model'!$A$8&lt;&gt;"Pos","",IF(AND($DV23&lt;99999,$DV23=MIN($DV$9:$DV$55),$DG23&gt;$AA23),"R-box: "&amp;TEXT($AA23,"0")&amp;"-"&amp;TEXT($DG23,"0"),IF(AND($DW23&lt;99999,$DW23=MIN($DW$9:$DW$55),$DF23&lt;$AA23),"S-box: "&amp;TEXT($DF23,"0")&amp;"-"&amp;TEXT($AA23,"0"),"")))</f>
        <v/>
      </c>
      <c r="EB23">
        <f t="shared" si="63"/>
        <v>39.609999999999673</v>
      </c>
      <c r="EC23">
        <f t="shared" si="64"/>
        <v>538591</v>
      </c>
      <c r="ED23">
        <f t="shared" si="65"/>
        <v>0</v>
      </c>
      <c r="EE23">
        <f>IF(AND(OR('King Node Model'!$A$8="Neg",N($BG$72)=1),$AG23="R",ISNUMBER($EB23),$EB23&lt;=$BG$7,$AB23&gt;0,$EC23&gt;0,$AB23=$EC23),1,0)</f>
        <v>0</v>
      </c>
      <c r="EF23">
        <f>IF(AND(OR('King Node Model'!$A$8="Neg",N($BG$72)=1),$AG23="S",ISNUMBER($EB23),$EB23&lt;=$BG$7,$AB23&gt;0,$ED23&gt;0,$AB23=$ED23),1,0)</f>
        <v>0</v>
      </c>
      <c r="EI23">
        <v>1</v>
      </c>
      <c r="EJ23">
        <f>IF($AA23="",0,IF(SUMPRODUCT(($AA$9:$AA$55&gt;=$AT23)*($AA$9:$AA$55&lt;=$AU23)*($DT$9:$DT$55=1))+SUMPRODUCT(($DT$9:$DT$55=1)*($AT$9:$AT$55&lt;=$AA23)*($AU$9:$AU$55&gt;=$AA23))+($DT23=1)+AND(OR('King Node Model'!$A$8="Neg",N($BG$72)=1),ISNUMBER(SEARCH("LOW",'Master Dashboard'!$M$5)),ISNUMBER(SEARCH("BUY",'Master Dashboard'!$G$8)),'King Node Model'!$T$23='King Node Model'!$B$23,$AA23&gt;='King Node Model'!$T$23,$AA23&lt;='King Node Model'!$T$23+5)*1&gt;0,1,0))</f>
        <v>0</v>
      </c>
      <c r="EM23">
        <f t="shared" si="66"/>
        <v>0</v>
      </c>
      <c r="EN23">
        <v>0</v>
      </c>
      <c r="EO23">
        <f t="shared" si="67"/>
        <v>0</v>
      </c>
      <c r="EP23">
        <f t="shared" si="68"/>
        <v>0</v>
      </c>
      <c r="EQ23" t="str">
        <f t="shared" si="69"/>
        <v>thinning the ceiling (magnitude weak)</v>
      </c>
      <c r="ES23">
        <f>IF(AND(ISNUMBER(AA23),ISNUMBER(AF23),ABS(AA23-'King Node Model'!$B$4)&lt;=$BG$7),ABS(AF23),"")</f>
        <v>3020577</v>
      </c>
      <c r="ET23">
        <v>0</v>
      </c>
      <c r="EU23" s="218">
        <f>IF(AND(OR('King Node Model'!$A$8="Neg",N($BG$72)=1),ISNUMBER($AA22),ISNUMBER($AA23),ISNUMBER($AA24),ISNUMBER($AB22),ISNUMBER($AB23),ISNUMBER($AB24),ISNUMBER($AF23),$AB23&gt;0,$AB22&lt;0,$AB24&lt;0,$AF23&lt;0),1,0)</f>
        <v>0</v>
      </c>
      <c r="EW23">
        <f>IF(OR(N($MY23)=1,N($JM23)=1),0,N($NE23))</f>
        <v>0</v>
      </c>
      <c r="EX23">
        <f>IF(AND(OR('King Node Model'!$A$8="Neg",N($BG$72)=1),ISNUMBER($AA23),OR(AND($AA23='King Node Model'!$F$24,OR(AND($AG23="S",$F$4="High",IF($BG$80&lt;&gt;"",UPPER($BG$80),$D$5)="DOWN"),AND($AG23="R",$F$4="Low",IF($BG$80&lt;&gt;"",UPPER($BG$80),$D$5)="UP"))),$GV23=1)),1,0)</f>
        <v>0</v>
      </c>
      <c r="EY23">
        <f>IFERROR(IF(AND($DC23=1,$AB23&lt;0,$AC23&gt;=(1+$FA$6)*INDEX($AC$9:$AC$55,15-1),$AC23&gt;=(1+$FA$6)*INDEX($AC$9:$AC$55,15+1),$AC23&gt;=IFERROR(INDEX($AC$9:$AC$55,15-2),0),$AC23&gt;=IFERROR(INDEX($AC$9:$AC$55,15+2),0)),1,0),0)</f>
        <v>0</v>
      </c>
      <c r="FA23" t="str">
        <f>IF(NOT(ISNUMBER($AA23)),"",IFERROR(IF(AND($AC23=MAX($AC$9:$AC$55),$AB23=MIN($AB$9:$AB$55)),"DOM",IF(AND($DC22=1,$DC23=1,$DC24=1,INDEX($AC$9:$AC$55,15-1)&lt;=(1-$FA$6)*$AC23,INDEX($AC$9:$AC$55,15-1)&lt;=(1-$FA$6)*INDEX($AC$9:$AC$55,15-2)),"GAP↑",IF(AND($DC24=1,$DC23=1,INDEX($AC$9:$AC$55,15+1)&lt;=(1-$FA$6)*$AC23,INDEX($AC$9:$AC$55,15+1)&lt;=(1-$FA$6)*INDEX($AC$9:$AC$55,15+2)),"GAP↓",IF($CZ23=1,"dEdge Cliff",IF($GY23=1,"γWall",IF(AND($DC23=1,$AB23&lt;0,$AC23&gt;=(1+$FA$6)*INDEX($AC$9:$AC$55,15-1),$AC23&gt;=(1+$FA$6)*INDEX($AC$9:$AC$55,15+1)),"PEAK-",IF($GZ23=1,"γSh Edge",IF($HL23=1,"Trough",IF($HN23=1,"PEAK+",IF($GF23=1,"Cluster","")))))))))),""))</f>
        <v/>
      </c>
      <c r="FB23" t="str">
        <f t="shared" si="70"/>
        <v/>
      </c>
      <c r="FC23" t="str">
        <f t="shared" si="71"/>
        <v/>
      </c>
      <c r="FD23">
        <f>IF(AND(ISNUMBER($AA23),ISNUMBER('King Node Model'!$AP$17),ISNUMBER('King Node Model'!$AQ$17),$AA23&gt;=MIN('King Node Model'!$AP$17,'King Node Model'!$AQ$17),$AA23&lt;=MAX('King Node Model'!$AP$17,'King Node Model'!$AQ$17),IFERROR(INDEX($AC$9:$AC$55,MATCH('King Node Model'!$AL$42,$AA$9:$AA$55,0)),0)&gt;0,$AC23&gt;=(1-$FA$6)*IFERROR(INDEX($AC$9:$AC$55,MATCH('King Node Model'!$AL$42,$AA$9:$AA$55,0)),0),$AC23&lt;=(1+$FA$6)*IFERROR(INDEX($AC$9:$AC$55,MATCH('King Node Model'!$AL$42,$AA$9:$AA$55,0)),0)),1,0)</f>
        <v>0</v>
      </c>
      <c r="FE23">
        <f>IF($AA23='King Node Model'!$AL$42,1,IF(AND($FD23=1,$FE22=1),1,0))</f>
        <v>0</v>
      </c>
      <c r="FF23">
        <f>IF($AA23='King Node Model'!$AL$42,1,IF(AND($FD23=1,$FF24=1),1,0))</f>
        <v>0</v>
      </c>
      <c r="FG23" t="str">
        <f>IF(OR($FE23=1,$FF23=1),15,"")</f>
        <v/>
      </c>
      <c r="FJ23">
        <f>IF(AND($CW$2=1,ISNUMBER($AA23),ISNUMBER($CW$3),ISNUMBER($CW$4),$AA23&gt;=MIN($CW$3,$CW$4),$AA23&lt;=MAX($CW$3,$CW$4),IFERROR(INDEX($AC$9:$AC$55,MATCH('King Node Model'!$AP$67,$AA$9:$AA$55,0)),0)&gt;0,$AC23&gt;=(1-$FA$6)*IFERROR(INDEX($AC$9:$AC$55,MATCH('King Node Model'!$AP$67,$AA$9:$AA$55,0)),0),$AC23&lt;=(1+$FA$6)*IFERROR(INDEX($AC$9:$AC$55,MATCH('King Node Model'!$AP$67,$AA$9:$AA$55,0)),0)),1,0)</f>
        <v>0</v>
      </c>
      <c r="FK23">
        <f>IF(AND($CW$2=1,$AA23='King Node Model'!$AP$67),1,IF(AND($FJ23=1,$FK22=1),1,0))</f>
        <v>0</v>
      </c>
      <c r="FL23">
        <f>IF(AND($CW$2=1,$AA23='King Node Model'!$AP$67),1,IF(AND($FJ23=1,$FL24=1),1,0))</f>
        <v>0</v>
      </c>
      <c r="FM23" t="str">
        <f>IF(OR($FK23=1,$FL23=1),15,"")</f>
        <v/>
      </c>
      <c r="FN23">
        <v>0</v>
      </c>
      <c r="FR23" t="str">
        <f t="shared" si="72"/>
        <v/>
      </c>
      <c r="FS23">
        <f t="shared" si="188"/>
        <v>0</v>
      </c>
      <c r="FT23">
        <f t="shared" si="73"/>
        <v>0.69409924902574049</v>
      </c>
      <c r="FU23">
        <f t="shared" si="74"/>
        <v>358734</v>
      </c>
      <c r="FV23">
        <f>IF($FW23=0,"",IF(OR($FW22=0,SIGN(IFERROR($BC23*1,0))&lt;&gt;SIGN(IFERROR($BC22*1,0)),$GH23=1,$GH22=1),MAX($FV$9:$FV22)+1,$FV22))</f>
        <v>4</v>
      </c>
      <c r="FW23">
        <f t="shared" si="75"/>
        <v>1</v>
      </c>
      <c r="FX23">
        <f t="shared" si="76"/>
        <v>874234</v>
      </c>
      <c r="FY23">
        <f t="shared" si="77"/>
        <v>0</v>
      </c>
      <c r="FZ23">
        <f t="shared" si="189"/>
        <v>0</v>
      </c>
      <c r="GA23">
        <f t="shared" si="78"/>
        <v>0</v>
      </c>
      <c r="GB23">
        <f t="shared" si="79"/>
        <v>2</v>
      </c>
      <c r="GC23">
        <f t="shared" si="80"/>
        <v>1630246</v>
      </c>
      <c r="GD23" t="str">
        <f t="shared" si="81"/>
        <v/>
      </c>
      <c r="GE23" t="str">
        <f t="shared" si="82"/>
        <v/>
      </c>
      <c r="GF23">
        <f t="shared" si="83"/>
        <v>0</v>
      </c>
      <c r="GH23">
        <f>IFERROR(IF(AND($AC23&gt;=(1+$FA$6)*INDEX($AC$9:$AC$55,15-1),$AC23&gt;=(1+$FA$6)*INDEX($AC$9:$AC$55,15+1)),1,0),0)</f>
        <v>0</v>
      </c>
      <c r="GK23">
        <v>0</v>
      </c>
      <c r="GO23">
        <v>0</v>
      </c>
      <c r="GP23">
        <v>0</v>
      </c>
      <c r="GQ23">
        <f t="shared" si="84"/>
        <v>0</v>
      </c>
      <c r="GR23">
        <f t="shared" si="85"/>
        <v>0</v>
      </c>
      <c r="GS23">
        <f>IF(AND($EY23=1,$AA23&lt;&gt;'King Node Model'!$B$23),0,IF(OR($GQ23=1,$GR23=1),1,IF($DC23=1,IF(OR('King Node Model'!$A$8="Neg",N($BG$72)=1),IF(OR(AND($AC23=MAX($AC$9:$AC$55),$AB23=MIN($AB$9:$AB$55)),$AN23=1,$EE23=1,$EF23=1,$EX23=1,$GV23=1),1,0),1),0)))</f>
        <v>0</v>
      </c>
      <c r="GT23">
        <f>IFERROR(IF(AND(OR('King Node Model'!$A$8="Neg",N($BG$72)=1),$EU22=1,$AG23="R",ISNUMBER($AA23),ISNUMBER($AF23),$AF23&lt;&gt;0,$AA23&gt;$B$4-$BG$9,$AA23-$B$4&lt;=$BG$47,IF($KC23="UP",SIGN($AF23),IF($KC23="DOWN",-SIGN($AF23),0))&lt;&gt;1),1,0),0)</f>
        <v>0</v>
      </c>
      <c r="GU23" t="str">
        <f t="shared" si="86"/>
        <v/>
      </c>
      <c r="GV23">
        <f t="shared" si="87"/>
        <v>0</v>
      </c>
      <c r="GW23">
        <f t="shared" si="88"/>
        <v>39.609999999999673</v>
      </c>
      <c r="GX23" t="str">
        <f t="shared" si="89"/>
        <v/>
      </c>
      <c r="GY23">
        <f t="shared" si="90"/>
        <v>0</v>
      </c>
      <c r="GZ23">
        <f t="shared" si="91"/>
        <v>0</v>
      </c>
      <c r="HA23">
        <v>1</v>
      </c>
      <c r="HF23">
        <f>IFERROR(IF(AND($GZ23=1,'King Node Model'!$A$8="Pos",$D$5="UP",$CF23=-1,$AJ23&lt;&gt;1),1,0),0)</f>
        <v>0</v>
      </c>
      <c r="HG23">
        <f t="shared" si="92"/>
        <v>0</v>
      </c>
      <c r="HH23" t="str">
        <f>IF($GZ23=1,"",IFERROR(IF(NOT(ISNUMBER($AA23)),"",IF($EY23=1,"",IF($GF23=1,IF($GD23=$GE23,"",$GD23),IF(OR(AND($DC22=1,$DC23=1,$DC24=1,INDEX($AC$9:$AC$55,15-1)&lt;=(1-$FA$6)*$AC23,INDEX($AC$9:$AC$55,15-1)&lt;=(1-$FA$6)*INDEX($AC$9:$AC$55,15-2)),AND($DC24=1,$DC23=1,INDEX($AC$9:$AC$55,15+1)&lt;=(1-$FA$6)*$AC23,INDEX($AC$9:$AC$55,15+1)&lt;=(1-$FA$6)*INDEX($AC$9:$AC$55,15+2)),AND($DC23=1,OR(INDEX($DC$9:$DC$55,15-1)=0,INDEX($DC$9:$DC$55,15+1)=0))),IF(MIN($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MAX($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MIN($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f>
        <v/>
      </c>
      <c r="HI23" t="str">
        <f>IF($GZ23=1,"",IFERROR(IF(NOT(ISNUMBER($AA23)),"",IF($EY23=1,"",IF($GF23=1,IF($GD23=$GE23,"",$GE23),IF(OR(AND($DC22=1,$DC23=1,$DC24=1,INDEX($AC$9:$AC$55,15-1)&lt;=(1-$FA$6)*$AC23,INDEX($AC$9:$AC$55,15-1)&lt;=(1-$FA$6)*INDEX($AC$9:$AC$55,15-2)),AND($DC24=1,$DC23=1,INDEX($AC$9:$AC$55,15+1)&lt;=(1-$FA$6)*$AC23,INDEX($AC$9:$AC$55,15+1)&lt;=(1-$FA$6)*INDEX($AC$9:$AC$55,15+2)),AND($DC23=1,OR(INDEX($DC$9:$DC$55,15-1)=0,INDEX($DC$9:$DC$55,15+1)=0))),IF(MIN($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MAX($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MAX($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f>
        <v/>
      </c>
      <c r="HL23">
        <f t="shared" si="93"/>
        <v>0</v>
      </c>
      <c r="HM23">
        <f>IFERROR(IF(AND($HL23=1,NOT(OR($AA23='King Node Model'!$T$22,$AA23='King Node Model'!$T$23,$AA23='King Node Model'!$F$24,AND($AG23="S",COUNTIF('Master Dashboard'!$AN$16:$AN$18,$AA23)&gt;0),AND($AG23="R",COUNTIF('Master Dashboard'!$AN$13:$AN$15,$AA23)&gt;0)))),1,0),0)</f>
        <v>0</v>
      </c>
      <c r="HN23">
        <f t="shared" si="94"/>
        <v>0</v>
      </c>
      <c r="HO23">
        <f t="shared" si="95"/>
        <v>0</v>
      </c>
      <c r="HP23">
        <f t="shared" si="96"/>
        <v>1</v>
      </c>
      <c r="HQ23" t="str">
        <f>IF(NOT(ISNUMBER($AA23)),"",IFERROR(TRIM(IF(N($MY23)=1,"DEXLEAN ","")&amp;IF(N($IZ23)=1,"DEXCAP ","")&amp;IF(AND($AG23="S",UPPER('King Node Model'!$L$5)="HIGH",$KC23="DOWN",N($AF23)&gt;0,$AA23='King Node Model'!$AN$70,$IY23="SELL"),"CHOPEDGEIV ","")&amp;IF(N($IS23)=1,"NOREV ","")&amp;IF(N($JY23)=1,"VFLAT ","")&amp;IF(N($KR23)=1,"GDEXVANNA ","")&amp;IF(N($LD23)=1,"KGSUPFAIL ","")&amp;IF(N($LE23)=1,"KGRESLEAK ","")&amp;IF(N($MH23)=1,"ZIGZAG ","")&amp;IF(N($KK23)=1,"DATAGAP ","")&amp;IF(N($KA23)&lt;&gt;0,"ACCUNDERCW ","")&amp;IF(AND($AG23="S",$HF23=1),"EDGE ","")&amp;IF(AND($HM23=1,'King Node Model'!$A$8="Pos",N($BG$72)&lt;&gt;1),"TROUGH ","")&amp;IF(AND($EU23=1,N($JZ23)&lt;&gt;1),"BUMP ","")&amp;IF(AND($GT23=1,N($JZ23)&lt;&gt;1),"SANDWICH ","")&amp;IF(AND($EX23&lt;&gt;1,OR('King Node Model'!$A$8="Neg",N($BG$72)=1),OR(AND(ISNUMBER($AC23),$AC23=MAX($AC$9:$AC$55)),AND(ISNUMBER($AB23),$AB23=MIN($AB$9:$AB$55))),NOT(AND(AND(ISNUMBER($AC23),$AC23=MAX($AC$9:$AC$55)),AND(ISNUMBER($AB23),$AB23=MIN($AB$9:$AB$55)))),$AG23="S",N($AB23)&lt;0,NOT(COUNTIF('Master Dashboard'!$AN$16:$AN$18,$AA23)&gt;0),NOT(AND(OR('King Node Model'!$A$8="Neg",N($BG$72)=1),ISNUMBER($AB23),$AB23=MIN($AB$9:$AB$55),$AA23=$BG$105))),"ACCEL ","")&amp;IF(AND($EX23&lt;&gt;1,ISNUMBER($AA23),OR('King Node Model'!$A$8="Neg",N($BG$72)=1),$EY23=1,NOT(AND($AG23="S",COUNTIF('Master Dashboard'!$AN$16:$AN$18,$AA23)&gt;0)),NOT(AND($AA23='King Node Model'!$B$23,IF($AG23="S",OR($AA23='King Node Model'!$C$24,COUNTIF('Master Dashboard'!$AN$16:$AN$18,$AA23)&gt;0),OR($AA23='King Node Model'!$C$23,COUNTIF('Master Dashboard'!$AN$13:$AN$15,$AA23)&gt;0)))),NOT(AND($EX23&lt;&gt;1,OR('King Node Model'!$A$8="Neg",N($BG$72)=1),OR(AND(ISNUMBER($AC23),$AC23=MAX($AC$9:$AC$55)),AND(ISNUMBER($AB23),$AB23=MIN($AB$9:$AB$55))),NOT(AND(AND(ISNUMBER($AC23),$AC23=MAX($AC$9:$AC$55)),AND(ISNUMBER($AB23),$AB23=MIN($AB$9:$AB$55)))),$AG23="S",N($AB23)&lt;0,NOT(COUNTIF('Master Dashboard'!$AN$16:$AN$18,$AA23)&gt;0)))),"AMPLIFY ","")&amp;IF(AND($AG23="S",OR('King Node Model'!$A$8="Neg",N($BG$72)=1),$AJ23&lt;&gt;1,N($MT23)&lt;&gt;1,NOT(AND(N($LR23)=1,N($MB23)=1)),ISNUMBER(SEARCH("ACCEL building",$CG23))),"ZACCEL ","")&amp;IF(AND($AG23="S",OR('King Node Model'!$A$8="Neg",N($BG$72)=1),$AA23='King Node Model'!$B$23,NOT(AND(AND(ISNUMBER($AC23),$AC23=MAX($AC$9:$AC$55)),AND(ISNUMBER($AB23),$AB23=MIN($AB$9:$AB$55)))),$EJ23&lt;&gt;1),"KINGACC ","")&amp;IF(AND($AG23="S",OR('King Node Model'!$A$8="Neg",N($BG$72)=1),ABS(N($AA23)-N('King Node Model'!$B$23))&lt;=$BG$107,NOT(AND(SUMPRODUCT((ABS($AF$9:$AF$55)&lt;=ABS(N($AF23)))*1)/COUNT($AF$9:$AF$55)&gt;=0.66,OR(ISNUMBER(SEARCH("firmer resistance",$CG23)),ISNUMBER(SEARCH("STRENGTHENING",$CG23)),ISNUMBER(SEARCH("firmer support",$CG23))))),NOT(AND(N($AB23)&gt;0,SUMPRODUCT((ABS($AB$9:$AB$55)&lt;=ABS(N($AB23)))*1)/COUNT($AB$9:$AB$55)&gt;=0.66)),$EJ23&lt;&gt;1,$AJ23&lt;&gt;1,COUNTIF('Master Dashboard'!$AN$16:$AN$18,$AA23)=0,NOT(AND($AG23="S",OR('King Node Model'!$A$8="Neg",N($BG$72)=1),$AA23='King Node Model'!$B$23,NOT(AND(AND(ISNUMBER($AC23),$AC23=MAX($AC$9:$AC$55)),AND(ISNUMBER($AB23),$AB23=MIN($AB$9:$AB$55)))),$EJ23&lt;&gt;1))),"KINGNODE ","")&amp;IF(AND($AG23="R",NOT(AND(AND(ISNUMBER($AC23),$AC23=MAX($AC$9:$AC$55)),AND(ISNUMBER($AB23),$AB23=MIN($AB$9:$AB$55)))),UPPER('King Node Model'!$L$5)="LOW",$KC23="DOWN",N($AF23)&gt;0),"LOWIVFALL ","")&amp;IF(AND($AG23="R",NOT(AND(AND(ISNUMBER($AC23),$AC23=MAX($AC$9:$AC$55)),AND(ISNUMBER($AB23),$AB23=MIN($AB$9:$AB$55)))),UPPER('King Node Model'!$L$5)="HIGH",$KC23="DOWN",N($AF23)&gt;0,IFERROR(MATCH($AA23,$W$9:$W$14,0)&gt;=4,FALSE)),"HIGHIVFALL ","")&amp;IF(AND($AG23="R",N($BG$99)=1),"SPOTUPVOLUP ","")&amp;IF(AND($AG23="R",ISNUMBER(SEARCH("5/5",'Master Dashboard'!$E$29)),OR(ISNUMBER(SEARCH("WEAKENING",$EQ23)),ISNUMBER(SEARCH("Pos gamma ↓",$EQ23)),ISNUMBER(SEARCH("thinning the ceiling",$EQ23)))),"SQUEEZE ","")&amp;IF(N($JU23)=1,"DEDGECLIFF ","")&amp;IF(N($KT23)=1,"DEXDRAIN ","")&amp;IF(N($HW23)&lt;&gt;0,"DEXDROP ","")&amp;IF(N($HX23)&lt;&gt;0,"PEAK+ ","")&amp;IF(N($IF23)=1,"CHOP ","")&amp;IF(N($IQ23)=1,"CONTESTED ","")&amp;IF(N($IW23)=1,"VSELL ","")&amp;IF(N($JK23)=1,"VBUYRES ","")&amp;IF(N($JL23)=1,"DOMFLAT ","")&amp;IF(N($JM23)=1,"DOMPULL ","")&amp;IF(N($JP23)=1,"OIZOMMA ","")&amp;IF(AND(N($JQ23)=1,N($JZ23)&lt;&gt;1),"OIDEX ","")),""))</f>
        <v>NOREV LOWIVFALL VBUYRES</v>
      </c>
      <c r="HR23" t="str">
        <f>IF(AND(ISNUMBER($W23),OR('King Node Model'!$A$8&lt;&gt;"Pos",N($BG$72)=1,IFERROR(INDEX($AM$9:$AM$55,MATCH($W23,$AA$9:$AA$55,0)),0)&gt;=$BG$20),$E23="REVERSAL",OR($F23="stable",$F23="VOMMA BID"),$W23&lt;&gt;'King Node Model'!$AL$49,$W23&lt;&gt;'King Node Model'!$AL$50,IFERROR(INDEX($HP$9:$HP$55,MATCH($W23,$AA$9:$AA$55,0)),1)=0),ABS($W23-'King Node Model'!$B$4),"")</f>
        <v/>
      </c>
      <c r="HS23">
        <f>IFERROR(IF(AND($DC23=1,OR(AND($AG23="R",INDEX($DC$9:$DC$55,14)=0,INDEX($DC$9:$DC$55,16)=1,INDEX($DC$9:$DC$55,17)=1),AND($AG23="S",INDEX($DC$9:$DC$55,16)=0,INDEX($DC$9:$DC$55,14)=1,INDEX($DC$9:$DC$55,13)=1))),1,0),0)</f>
        <v>0</v>
      </c>
      <c r="HT23">
        <f t="shared" si="97"/>
        <v>0</v>
      </c>
      <c r="HU23">
        <v>0</v>
      </c>
      <c r="HV23">
        <v>0</v>
      </c>
      <c r="HW23">
        <f>IFERROR(IF(OR(NOT(ISNUMBER($AA23)),'King Node Model'!$A$8&lt;&gt;"Pos",N($BG$72)=1,ABS(N($AE23))&lt;$BG$113,N($AV23)=1,$FA23="DOM",$AA23='King Node Model'!$T$23,AND(N($BG$116)=1,$AA23='King Node Model'!$F$24),NOT(ISNUMBER($KU23)),NOT(ISNUMBER($KV23))),0,IF(AND($AG23="S",COUNTIF('Master Dashboard'!$AN$16:$AN$18,$AA23)=0,$KU23&gt;=$BG$114,$KU23&gt;=$KV23+$BG$115,NOT(AND(N($AN24)=1,N($KV23)&lt;0)),N($AE23)&lt;=0),1,IF(AND($AG23="R",COUNTIF('Master Dashboard'!$AN$13:$AN$15,$AA23)=0,$KV23&gt;=$BG$114,$KV23&gt;=$KU23+$BG$115,NOT(AND(N($AN22)=1,N($KU23)&lt;0))),-1,0))),0)</f>
        <v>0</v>
      </c>
      <c r="HX23">
        <f>IFERROR(IF(AND(ISNUMBER($AA23),$FA23="PEAK+",N($AN23)&lt;&gt;1,NOT(AND('King Node Model'!$A$8="Pos",OR($AA23='King Node Model'!$T$22,$AA23='King Node Model'!$T$23,$AA23='King Node Model'!$F$24))),IF($AG23="S",COUNTIF('Master Dashboard'!$AN$16:$AN$18,$AA23)=0,IF($AG23="R",COUNTIF('Master Dashboard'!$AN$13:$AN$15,$AA23)=0,FALSE))),1,0),0)</f>
        <v>0</v>
      </c>
      <c r="HY23">
        <f t="shared" si="98"/>
        <v>0.66078379082930572</v>
      </c>
      <c r="HZ23">
        <v>1</v>
      </c>
      <c r="IA23">
        <f>IFERROR(IF(AND(IF($BG$44=1,OR(ISNUMBER(SEARCH("Choppy",'King Node Model'!$S$38)),'King Node Model'!$S$52&lt;&gt;"",'King Node Model'!$A$8="Pos"),TRUE()),OR($DC23=1,$DC22=1,$DC24=1),ABS($AA23-$B$4)&lt;=$BG$7,ABS($AA23-$BG$28)&gt;=$BG$45,OR(AND($AA23&gt;$BG$28,$AG23="R"),AND($AA23&lt;$BG$28,$AG23="S",N($BG$154)=1)),ABS(IF($AA23&gt;$BG$28,$AE24,$AE22))&gt;=$BG$43,ABS(N(IF($AA23&gt;$BG$28,$AE22,$AE24)))&lt;=$BG$153*ABS(IF($AA23&gt;$BG$28,$AE24,$AE22)),IF(ISNUMBER($HZ23),$HZ23=1,AND(ISNUMBER($HY23),$HY23&gt;=$BG$42))),1,0),0)</f>
        <v>0</v>
      </c>
      <c r="IB23">
        <f t="shared" si="99"/>
        <v>0</v>
      </c>
      <c r="IC23" t="str">
        <f>IF(NOT(ISNUMBER($AA23)),"",IFERROR(MID(IF(AND($AC23=MAX($AC$9:$AC$55),$AB23=MIN($AB$9:$AB$55))," · DOM","")&amp;IF(AND($DC22=1,$DC23=1,$DC24=1,INDEX($AC$9:$AC$55,15-1)&lt;=(1-$FA$6)*$AC23,INDEX($AC$9:$AC$55,15-1)&lt;=(1-$FA$6)*INDEX($AC$9:$AC$55,15-2))," · GAP↑ → "&amp;INDEX($AA$9:$AA$55,15-2),"")&amp;IF(AND($DC24=1,$DC23=1,INDEX($AC$9:$AC$55,15+1)&lt;=(1-$FA$6)*$AC23,INDEX($AC$9:$AC$55,15+1)&lt;=(1-$FA$6)*INDEX($AC$9:$AC$55,15+2))," · GAP↓ → "&amp;INDEX($AA$9:$AA$55,15+2),"")&amp;IF($CZ23=1," · dEdge Cliff","")&amp;IF($GY23=1," · γWall","")&amp;IF(AND($DC23=1,$AB23&lt;0,$AC23&gt;=(1+$FA$6)*INDEX($AC$9:$AC$55,15-1),$AC23&gt;=(1+$FA$6)*INDEX($AC$9:$AC$55,15+1))," · PEAK-","")&amp;IF($GZ23=1," · γSh Edge","")&amp;IF($HL23=1," · Trough","")&amp;IF($HN23=1," · PEAK+","")&amp;IF($GF23=1," · Cluster",""),FIND(" · ",IF(AND($AC23=MAX($AC$9:$AC$55),$AB23=MIN($AB$9:$AB$55))," · DOM","")&amp;IF(AND($DC22=1,$DC23=1,$DC24=1,INDEX($AC$9:$AC$55,15-1)&lt;=(1-$FA$6)*$AC23,INDEX($AC$9:$AC$55,15-1)&lt;=(1-$FA$6)*INDEX($AC$9:$AC$55,15-2))," · GAP↑ → "&amp;INDEX($AA$9:$AA$55,15-2),"")&amp;IF(AND($DC24=1,$DC23=1,INDEX($AC$9:$AC$55,15+1)&lt;=(1-$FA$6)*$AC23,INDEX($AC$9:$AC$55,15+1)&lt;=(1-$FA$6)*INDEX($AC$9:$AC$55,15+2))," · GAP↓ → "&amp;INDEX($AA$9:$AA$55,15+2),"")&amp;IF($CZ23=1," · dEdge Cliff","")&amp;IF($GY23=1," · γWall","")&amp;IF(AND($DC23=1,$AB23&lt;0,$AC23&gt;=(1+$FA$6)*INDEX($AC$9:$AC$55,15-1),$AC23&gt;=(1+$FA$6)*INDEX($AC$9:$AC$55,15+1))," · PEAK-","")&amp;IF($GZ23=1," · γSh Edge","")&amp;IF($HL23=1," · Trough","")&amp;IF($HN23=1," · PEAK+","")&amp;IF($GF23=1," · Cluster",""),2),999),""))</f>
        <v/>
      </c>
      <c r="ID23" t="str">
        <f>IF(NOT(ISNUMBER($AA23)),"",IFERROR(MID(IF(AND($AC23=MAX($AC$9:$AC$55),$AB23=MIN($AB$9:$AB$55))," · DOM","")&amp;IF(AND($DC22=1,$DC23=1,$DC24=1,INDEX($AC$9:$AC$55,15-1)&lt;=(1-$FA$6)*$AC23,INDEX($AC$9:$AC$55,15-1)&lt;=(1-$FA$6)*INDEX($AC$9:$AC$55,15-2))," · GAP↑ → "&amp;INDEX($AA$9:$AA$55,15-2),"")&amp;IF(AND($DC24=1,$DC23=1,INDEX($AC$9:$AC$55,15+1)&lt;=(1-$FA$6)*$AC23,INDEX($AC$9:$AC$55,15+1)&lt;=(1-$FA$6)*INDEX($AC$9:$AC$55,15+2))," · GAP↓ → "&amp;INDEX($AA$9:$AA$55,15+2),"")&amp;IF($CZ23=1," · dEdge Cliff","")&amp;IF($GY23=1," · γWall","")&amp;IF(AND($DC23=1,$AB23&lt;0,$AC23&gt;=(1+$FA$6)*INDEX($AC$9:$AC$55,15-1),$AC23&gt;=(1+$FA$6)*INDEX($AC$9:$AC$55,15+1))," · PEAK-","")&amp;IF($GZ23=1," · γSh Edge","")&amp;IF($HL23=1," · Trough","")&amp;IF($HN23=1," · PEAK+","")&amp;IF(AND(NOT($HN23=1),NOT(AND($DC23=1,$AB23&lt;0)),N($GY23)&lt;&gt;1,N($GF23)&lt;&gt;1,N($GZ23)&lt;&gt;1,N($HL23)&lt;&gt;1,N($CZ23)&lt;&gt;1,NOT(AND($AC23=MAX($AC$9:$AC$55),$AB23=MIN($AB$9:$AB$55))),$AC23&gt;=(1+$FA$6)*INDEX($AC$9:$AC$55,15-1),$AC23&gt;=(1+$FA$6)*INDEX($AC$9:$AC$55,15+1))," · Knoll","")&amp;IF($GF23=1," · Cluster",""),4,999),""))</f>
        <v/>
      </c>
      <c r="IF23">
        <f t="shared" si="100"/>
        <v>0</v>
      </c>
      <c r="IG23">
        <f>IFERROR(IF(AND(ISNUMBER($AA23),'King Node Model'!$A$8="Pos",OR($AG23="S",$AG23="R"),$IN23="interior",COUNTIF(IF($AG23="S",'Master Dashboard'!$AN$16:$AN$18,'Master Dashboard'!$AN$13:$AN$15),$AA23)=0,$AA23&lt;&gt;'King Node Model'!$T$22,$AA23&lt;&gt;'King Node Model'!$T$23,$AA23&lt;&gt;'King Node Model'!$F$24),1,0),0)</f>
        <v>0</v>
      </c>
      <c r="IH23">
        <f t="shared" si="101"/>
        <v>0</v>
      </c>
      <c r="II23">
        <f t="shared" si="190"/>
        <v>0</v>
      </c>
      <c r="IJ23">
        <f t="shared" si="102"/>
        <v>0</v>
      </c>
      <c r="IK23">
        <f t="shared" si="103"/>
        <v>0</v>
      </c>
      <c r="IL23">
        <f t="shared" si="191"/>
        <v>0</v>
      </c>
      <c r="IM23">
        <f t="shared" si="104"/>
        <v>0</v>
      </c>
      <c r="IN23" t="str">
        <f t="shared" si="105"/>
        <v/>
      </c>
      <c r="IO23">
        <v>0</v>
      </c>
      <c r="IP23">
        <v>0</v>
      </c>
      <c r="IQ23">
        <f>IFERROR(IF($AG23="S",IF(OR(COUNTIF($W$9:$W$14,$AA23)&gt;0,COUNTIF('King Node Model'!$AL$42:'King Node Model'!$AL$43,$AA23)&gt;0),1,0),IF($AG23="R",IF(OR(COUNTIF($W$18:$W$23,$AA23)&gt;0,COUNTIF('King Node Model'!$AL$49:'King Node Model'!$AL$50,$AA23)&gt;0),1,0),0)),0)</f>
        <v>0</v>
      </c>
      <c r="IR23">
        <f>IFERROR(IF(AND(ISNUMBER($W23),OR('King Node Model'!$A$8&lt;&gt;"Pos",N($BG$72)=1,IFERROR(INDEX($AM$9:$AM$55,MATCH($W23,$AA$9:$AA$55,0)),0)&gt;=$BG$20),COUNTIF('King Node Model'!$AL$49:'King Node Model'!$AL$50,$W23)=0),ABS($W23-$B$4),""),"")</f>
        <v>70.390000000000327</v>
      </c>
      <c r="IS23">
        <f>IF(AND(ISNUMBER($AA23),N($AN23)&lt;&gt;1,N($LR23)&lt;&gt;1,OR(N($EN23)&lt;&gt;1,AND('King Node Model'!$A$8&lt;&gt;"Neg",N($BG$72)&lt;&gt;1)),$AA23&lt;&gt;'King Node Model'!$T$22,$AA23&lt;&gt;'King Node Model'!$T$23,$AA23&lt;&gt;'King Node Model'!$F$24,NOT(AND($AG23="S",COUNTIF('Master Dashboard'!$AN$16:$AN$18,$AA23)&gt;0)),NOT(AND($AG23="R",COUNTIF('Master Dashboard'!$AN$13:$AN$15,$AA23)&gt;0)),NOT(AND('King Node Model'!$A$8&lt;&gt;"Neg",N($BG$72)&lt;&gt;1,COUNTIF('Master Dashboard'!$AN$13:$AN$18,$AA23)&gt;0))),1,0)</f>
        <v>1</v>
      </c>
      <c r="IT23">
        <v>0</v>
      </c>
      <c r="IU23">
        <f>IF(AND(ISNUMBER($AA23),$AA23='King Node Model'!$F$24,$AA23&gt;$GJ$3,N($AD23)&lt;0,$F$4="High"),1,0)</f>
        <v>0</v>
      </c>
      <c r="IV23" t="str">
        <f>""</f>
        <v/>
      </c>
      <c r="IW23">
        <f>IFERROR(IF(AND(ISNUMBER($AA23),NOT(AND(N($LR23)=1,N($MB23)=1)),$AG23="S",OR('King Node Model'!$A$8="Neg",N($BG$72)=1),$JV23="SELL",ABS(N($AD23))&gt;=$BG$94,NOT(AND(N($AD23)&gt;0,N($BG$78)=1,MEDIAN($AA23-$BG$82,$B$4,$AA23+$BG$83)=$B$4))),1,0),0)</f>
        <v>0</v>
      </c>
      <c r="IX23">
        <f>IFERROR(IF(AND(ISNUMBER($AA23),$AG23="S",OR('King Node Model'!$A$8="Neg",N($BG$72)=1),N($AD23)&gt;0,N($BG$78)=1,MEDIAN($AA23-$BG$82,$B$4,$AA23+$BG$83)=$B$4),1,0),0)</f>
        <v>0</v>
      </c>
      <c r="IY23" t="str">
        <f t="shared" si="106"/>
        <v>SELL</v>
      </c>
      <c r="IZ23">
        <f>IFERROR(IF(AND(ISNUMBER($AA23),$FA23&lt;&gt;"DOM",$AA23&lt;&gt;'King Node Model'!$F$24,OR(AND($AG23="S",COUNTIF('Master Dashboard'!$AN$16:$AN$18,$AA23)=0,N(INDEX($AE$9:$AE$55,MATCH($AA23+$BG$84,$AA$9:$AA$55,0)))&lt;=-$BG$85),AND($AG23="R",COUNTIF('Master Dashboard'!$AN$13:$AN$15,$AA23)=0,N(INDEX($AE$9:$AE$55,MATCH($AA23-$BG$84,$AA$9:$AA$55,0)))&gt;=$BG$85))),1,0),0)</f>
        <v>0</v>
      </c>
      <c r="JA23" t="str">
        <f t="shared" si="201"/>
        <v/>
      </c>
      <c r="JC23">
        <f t="shared" si="108"/>
        <v>0</v>
      </c>
      <c r="JD23" t="str">
        <f t="shared" si="193"/>
        <v>C</v>
      </c>
      <c r="JE23">
        <f>IF(ISNUMBER($AA23),N(IFERROR(INDEX('King Node Model'!$L$29:$L$75,MATCH($AA23,'King Node Model'!$A$29:$A$75,0)),0)),"")</f>
        <v>210</v>
      </c>
      <c r="JF23">
        <f>IF(ISNUMBER($AA23),N(IFERROR(INDEX('King Node Model'!$K$29:$K$75,MATCH($AA23,'King Node Model'!$A$29:$A$75,0)),0)),"")</f>
        <v>1163</v>
      </c>
      <c r="JG23">
        <f t="shared" si="109"/>
        <v>0.18056749785038692</v>
      </c>
      <c r="JH23">
        <f t="shared" si="110"/>
        <v>5.538095238095238</v>
      </c>
      <c r="JI23">
        <f t="shared" si="111"/>
        <v>0</v>
      </c>
      <c r="JJ23" t="str">
        <f t="shared" si="112"/>
        <v>Hollow</v>
      </c>
      <c r="JK23">
        <f t="shared" si="113"/>
        <v>1</v>
      </c>
      <c r="JL23">
        <f t="shared" si="114"/>
        <v>0</v>
      </c>
      <c r="JM23">
        <f t="shared" si="115"/>
        <v>0</v>
      </c>
      <c r="JN23">
        <f t="shared" si="116"/>
        <v>0</v>
      </c>
      <c r="JO23">
        <f t="shared" si="117"/>
        <v>0</v>
      </c>
      <c r="JP23">
        <f t="shared" si="118"/>
        <v>0</v>
      </c>
      <c r="JQ23">
        <f t="shared" si="119"/>
        <v>0</v>
      </c>
      <c r="JR23">
        <v>0</v>
      </c>
      <c r="JS23">
        <f>IFERROR(IF(AND(ISNUMBER($AA23),'King Node Model'!$A$8="Pos",OR($AG23="S",$AG23="R"),N($AB23)&gt;0,N($HP23)&lt;&gt;1,OR(AND($KC23="DOWN",N($AF23)&lt;0,N($AF23)=MIN($AF$9:$AF$55),-N($AF23)&gt;=MAX($AF$9:$AF$55)),AND($KC23="UP",N($AF23)&gt;0,N($AF23)=MAX($AF$9:$AF$55),N($AF23)&gt;=-MIN($AF$9:$AF$55)))),1,0),0)</f>
        <v>0</v>
      </c>
      <c r="JT23">
        <v>0</v>
      </c>
      <c r="JU23">
        <f>IFERROR(IF(AND(N($BG$109)=1,ISNUMBER($AA23),'King Node Model'!$A$8="Pos",N($CZ23)=1,N($AB23)&gt;0),1,0),0)</f>
        <v>0</v>
      </c>
      <c r="JV23" t="str">
        <f t="shared" si="120"/>
        <v>BUY</v>
      </c>
      <c r="JW23">
        <f t="shared" si="121"/>
        <v>0</v>
      </c>
      <c r="JX23">
        <f t="shared" si="122"/>
        <v>0</v>
      </c>
      <c r="JY23">
        <f t="shared" si="123"/>
        <v>0</v>
      </c>
      <c r="JZ23">
        <f t="shared" si="124"/>
        <v>0</v>
      </c>
      <c r="KA23">
        <f t="shared" si="125"/>
        <v>0</v>
      </c>
      <c r="KB23">
        <f t="shared" si="126"/>
        <v>0</v>
      </c>
      <c r="KC23" t="str">
        <f t="shared" si="127"/>
        <v>DOWN</v>
      </c>
      <c r="KE23" t="str">
        <f t="shared" si="128"/>
        <v>Now: strengthening the ceiling (IV rising) · if IV falls: weakens the ceiling · expected on arrival: WEAKENS ✗</v>
      </c>
      <c r="KF23" t="str">
        <f t="shared" si="129"/>
        <v>BUY</v>
      </c>
      <c r="KG23">
        <f t="shared" si="192"/>
        <v>0</v>
      </c>
      <c r="KH23" t="str">
        <f t="shared" si="130"/>
        <v/>
      </c>
      <c r="KI23" t="str">
        <f t="shared" si="131"/>
        <v/>
      </c>
      <c r="KJ23">
        <f t="shared" si="132"/>
        <v>0</v>
      </c>
      <c r="KK23">
        <f t="shared" si="133"/>
        <v>0</v>
      </c>
      <c r="KL23">
        <f t="shared" si="134"/>
        <v>0</v>
      </c>
      <c r="KM23">
        <f t="shared" si="135"/>
        <v>0</v>
      </c>
      <c r="KN23">
        <f t="shared" si="136"/>
        <v>0</v>
      </c>
      <c r="KO23">
        <v>0</v>
      </c>
      <c r="KP23">
        <f t="shared" si="137"/>
        <v>0</v>
      </c>
      <c r="KQ23">
        <f t="shared" si="138"/>
        <v>0</v>
      </c>
      <c r="KR23">
        <f t="shared" si="139"/>
        <v>0</v>
      </c>
      <c r="KS23">
        <f t="shared" si="140"/>
        <v>0</v>
      </c>
      <c r="KT23">
        <f t="shared" si="141"/>
        <v>0</v>
      </c>
      <c r="KU23">
        <f>IF(AND(ISNUMBER($AA23),ISNUMBER($AE23),ISNUMBER($AE22),N($AE23)&lt;&gt;0),($AE23-$AE22)/$AE23,"")</f>
      </c>
      <c r="KV23">
        <f>IF(AND(ISNUMBER($AA23),ISNUMBER($AE23),ISNUMBER($AE24),N($AE23)&lt;&gt;0),($AE23-$AE24)/$AE23,"")</f>
      </c>
      <c r="KW23">
        <f>IFERROR(IF(OR(NOT(ISNUMBER($AA23)),'King Node Model'!$A$8&lt;&gt;"Pos",N($BG$72)=1,ABS(N($AE23))&lt;$BG$113,$FA23="DOM",$AA23='King Node Model'!$T$23,AND(N($BG$116)=1,$AA23='King Node Model'!$F$24),NOT(ISNUMBER($KU23)),NOT(ISNUMBER($KV23))),0,IF(AND($AG23="S",COUNTIF('Master Dashboard'!$AN$16:$AN$18,$AA23)=0,$KU23&gt;=$BG$114,$KU23&gt;=$KV23+$BG$115),1,IF(AND($AG23="R",COUNTIF('Master Dashboard'!$AN$13:$AN$15,$AA23)=0,$KV23&gt;=$BG$114,$KV23&gt;=$KU23+$BG$115),-1,0))),0)</f>
        <v>0</v>
      </c>
      <c r="KX23">
        <f t="shared" si="144"/>
        <v>0</v>
      </c>
      <c r="KY23">
        <f t="shared" si="145"/>
        <v>0</v>
      </c>
      <c r="KZ23">
        <f t="shared" si="146"/>
        <v>0</v>
      </c>
      <c r="LA23">
        <f t="shared" si="147"/>
        <v>0</v>
      </c>
      <c r="LB23">
        <f t="shared" si="148"/>
        <v>1</v>
      </c>
      <c r="LC23">
        <f t="shared" si="149"/>
        <v>0</v>
      </c>
      <c r="LD23">
        <f t="shared" si="150"/>
        <v>0</v>
      </c>
      <c r="LE23">
        <f t="shared" si="151"/>
        <v>0</v>
      </c>
      <c r="LF23">
        <f t="shared" si="152"/>
        <v>0</v>
      </c>
      <c r="LG23" t="str">
        <f t="shared" si="153"/>
        <v/>
      </c>
      <c r="LH23" t="str">
        <f t="shared" si="154"/>
        <v/>
      </c>
      <c r="LI23" t="str">
        <f t="shared" si="155"/>
        <v/>
      </c>
      <c r="LJ23" t="str">
        <f t="shared" si="156"/>
        <v/>
      </c>
      <c r="LK23" t="str">
        <f t="shared" si="157"/>
        <v/>
      </c>
      <c r="LL23">
        <f t="shared" si="158"/>
        <v>0</v>
      </c>
      <c r="LM23">
        <f t="shared" si="159"/>
        <v>0</v>
      </c>
      <c r="LN23">
        <f t="shared" si="160"/>
        <v>0</v>
      </c>
      <c r="LO23">
        <v>0</v>
      </c>
      <c r="LP23">
        <f t="shared" si="161"/>
        <v>0</v>
      </c>
      <c r="LQ23" t="str">
        <f t="shared" si="162"/>
        <v/>
      </c>
      <c r="LR23">
        <f t="shared" si="163"/>
        <v>0</v>
      </c>
      <c r="LS23">
        <f t="shared" si="164"/>
        <v>0</v>
      </c>
      <c r="LT23">
        <f t="shared" si="165"/>
        <v>0</v>
      </c>
      <c r="LU23">
        <f t="shared" si="166"/>
        <v>0</v>
      </c>
      <c r="LV23">
        <f t="shared" si="167"/>
        <v>0</v>
      </c>
      <c r="LW23">
        <f t="shared" si="168"/>
        <v>0</v>
      </c>
      <c r="LX23">
        <f t="shared" si="169"/>
        <v>0</v>
      </c>
      <c r="LY23">
        <f t="shared" si="170"/>
        <v>0</v>
      </c>
      <c r="LZ23">
        <f t="shared" si="171"/>
        <v>0</v>
      </c>
      <c r="MA23">
        <f t="shared" si="172"/>
        <v>0</v>
      </c>
      <c r="MB23">
        <v>0</v>
      </c>
      <c r="MC23">
        <f t="shared" si="173"/>
        <v>1</v>
      </c>
      <c r="MD23">
        <f t="shared" si="174"/>
        <v>1</v>
      </c>
      <c r="ME23">
        <f t="shared" si="175"/>
        <v>0</v>
      </c>
      <c r="MF23">
        <f t="shared" si="176"/>
        <v>0</v>
      </c>
      <c r="MG23">
        <f t="shared" si="177"/>
        <v>0</v>
      </c>
      <c r="MH23">
        <f t="shared" si="178"/>
        <v>0</v>
      </c>
      <c r="MI23" t="str">
        <f t="shared" si="179"/>
        <v/>
      </c>
      <c r="MJ23">
        <f t="shared" si="180"/>
        <v>0</v>
      </c>
      <c r="MK23">
        <f t="shared" si="181"/>
        <v>0</v>
      </c>
      <c r="ML23">
        <f>IF(AND(OR('King Node Model'!$A$8="Neg",N($BG$72)=1),ISNUMBER($AA23),$AG23="R",N($AB23)&lt;0),IF(AND($AA22=$AA23+5,N($AB22)&gt;0,$AA21=$AA23+10,N($AB21)&lt;0),1,IF(AND($AA22=$AA23+5,N($AB22)&gt;0,$AA21=$AA23+10,N($AB21)&gt;0,$AA20=$AA23+15,N($AB20)&lt;0),2,IF(AND($AA22=$AA23+5,N($AB22)&gt;0,$AA21=$AA23+10,N($AB21)&gt;0,$AA20=$AA23+15,N($AB20)&gt;0,$AA19=$AA23+20,N($AB19)&lt;0),3,IF(AND($AA22=$AA23+5,N($AB22)&gt;0,$AA21=$AA23+10,N($AB21)&gt;0,$AA20=$AA23+15,N($AB20)&gt;0,$AA19=$AA23+20,N($AB19)&gt;0,$AA18=$AA23+25,N($AB18)&lt;0),4,0)))),0)</f>
      </c>
      <c r="MM23">
        <f>IF(AND(OR('King Node Model'!$A$8="Neg",N($BG$72)=1),ISNUMBER($AA23),$AG23="S",N($AB23)&lt;0),IF(AND($AA24=$AA23-5,N($AB24)&gt;0,$AA25=$AA23-10,N($AB25)&lt;0),1,IF(AND($AA24=$AA23-5,N($AB24)&gt;0,$AA25=$AA23-10,N($AB25)&gt;0,$AA26=$AA23-15,N($AB26)&lt;0),2,IF(AND($AA24=$AA23-5,N($AB24)&gt;0,$AA25=$AA23-10,N($AB25)&gt;0,$AA26=$AA23-15,N($AB26)&gt;0,$AA27=$AA23-20,N($AB27)&lt;0),3,IF(AND($AA24=$AA23-5,N($AB24)&gt;0,$AA25=$AA23-10,N($AB25)&gt;0,$AA26=$AA23-15,N($AB26)&gt;0,$AA27=$AA23-20,N($AB27)&gt;0,$AA28=$AA23-25,N($AB28)&lt;0),4,0)))),0)</f>
      </c>
      <c r="MN23">
        <f>IF(N($ML23)&gt;0,$AA23,0)</f>
      </c>
      <c r="MO23">
        <f>IF(N($MM23)&gt;0,$AA23,0)</f>
      </c>
      <c r="MP23">
        <f>IF(AND(OR('King Node Model'!$A$8="Neg",N($BG$72)=1),ISNUMBER($BG$155),$AA23=$BG$155,N($NC23)=1),2,IF(AND(OR('King Node Model'!$A$8="Neg",N($BG$72)=1),ISNUMBER($BG$156),$AA23=$BG$156,N($ND23)=1),1,0))</f>
      </c>
      <c r="MQ23">
        <f>IF(ABS(AE23)&lt;=0,0,IF($AG23="R",IF(ISNUMBER(AE22),IF((ABS(AE22)-ABS(AE23))/ABS(AE23)&lt;-0.4,1,0),0),IF(ISNUMBER(AE24),IF((ABS(AE24)-ABS(AE23))/ABS(AE23)&lt;-0.4,1,0),0)))</f>
      </c>
      <c r="MR23">
        <f>IF(OR(N($MQ23)&lt;&gt;1,N($BG$157)&lt;&gt;1,NOT(ISNUMBER($KU23)),NOT(ISNUMBER($KV23))),0,IF(OR(AND($AG23="S",OR(AND($KU23&gt;=$BG$114,$KU23&gt;=$KV23+$BG$115),AND($KU23&gt;1,$KV23&lt;=1,$KV23&gt;=$BG$114))),AND($AG23="R",OR(AND($KV23&gt;=$BG$114,$KV23&gt;=$KU23+$BG$115),AND($KV23&gt;1,$KU23&lt;=1,$KU23&gt;=$BG$114)))),1,0))</f>
      </c>
      <c r="MS23" t="str">
        <f>IF(AND(N($MR23)=1,N($NA23)&lt;&gt;1),"• DEX falls off more sharply "&amp;IF($AG23="S","above (","below (")&amp;TEXT(IF($AG23="S",$KU23,$KV23),"0%")&amp;") than "&amp;IF($AG23="S","below (","above (")&amp;TEXT(IF($AG23="S",$KV23,$KU23),"0%")&amp;") — Dex↓ not counted",IF(N($MW23)=1,"• Shoulder of the "&amp;IF($AG23="R",$AA24,$AA22)&amp;" wall — own DEX "&amp;TEXT($AE23/1000,"+#,##0;-#,##0")&amp;"K is "&amp;TEXT(ABS($AE23)/ABS(IF($AG23="R",$AE24,$AE22)),"0%")&amp;" of "&amp;TEXT(IF($AG23="R",$AE24,$AE22)/1000,"+#,##0;-#,##0")&amp;"K, Dex↓ not counted",""))</f>
      </c>
      <c r="MT23">
        <f>IF(AND(ISNUMBER($AA23),$AG23="S",ISNUMBER($AB23),$AB23=MIN($AB$9:$AB$55),$AA23=$BG$105,$JV23="BUY",ABS(N($AD23))&gt;=$BG$158),1,0)</f>
      </c>
      <c r="MU23" t="str">
        <f>IF(N($MY23)=1,"",IF(OR(N($MT23)=1,AND(OR('King Node Model'!$A$8="Neg",N($BG$72)=1),$AG23="S",ISNUMBER($AB23),$AB23=MIN($AB$9:$AB$55),$AA23=$BG$105)),"• Min GEX + Max Zomma (no reversal flag required) — accelerant warning not applied; zomma acceleration warning only within "&amp;$BG$98&amp;" pts of the level, and not when vanna buying is "&amp;TEXT($BG$158/1000,"0")&amp;"K or more"&amp;CHAR(10)&amp;IF(N($MT23)=1,"• Max Zomma and vanna buying ("&amp;TEXT(N($AD23)/1000,"+#,##0;-#,##0")&amp;"K) make this level safe","• Max Zomma is what makes this level safe"),"")&amp;$NB23&amp;$NI23)</f>
      </c>
      <c r="MV23" t="str">
        <f>IF(AND(ISNUMBER($AA23),OR($AA23=$BG$118,$AA23=$BG$119)),IF(N($AZ23)*IF($AG23="R",1,-1)&gt;0,"✓",IF(N($AZ23)*IF($AG23="R",1,-1)&lt;0,"✗","")),"")</f>
      </c>
      <c r="MW23">
        <f>IF(AND(N($MQ23)=1,N($BG$159)&gt;0,ISNUMBER(IF($AG23="R",$AE24,$AE22)),N(IF($AG23="R",$AE24,$AE22))&lt;&gt;0),IF(ABS(N($AE23))&lt;$BG$159*ABS(IF($AG23="R",$AE24,$AE22)),1,0),0)</f>
      </c>
      <c r="MX23">
        <f>IF(AND(ISNUMBER($AA23),$AA23=$BG$121,$AG23="R",N($AE23)&lt;0,OR(COUNTIF('King Node Model'!$AL$42:$AL$44,$AA23)=0,N($HP23)=1),N($NC23)=1),2,IF(AND(ISNUMBER($AA23),$AA23=$BG$120,$AG23="S",N($AE23)&gt;0,OR(COUNTIF('King Node Model'!$AL$49:$AL$51,$AA23)=0,N($HP23)=1),N($ND23)=1),1,0))</f>
      </c>
      <c r="MY23">
        <f>IF(AND(N($NA23)=1,NOT(AND(AND($AG23="S",ISNUMBER($AB23),$AB23=MIN($AB$9:$AB$55),$AA23=$BG$105),IFERROR(INDEX($AG$9:$AG$55,MATCH('King Node Model'!$B$23,$AA$9:$AA$55,0)),"")="R")),N($AV23)&lt;&gt;1),1,0)</f>
      </c>
      <c r="MZ23" t="str">
        <f>IF(N($MY23)&lt;&gt;1,"","• DEX falls off more sharply "&amp;IF($AG23="S","above (","below (")&amp;TEXT(IF($AG23="S",$KU23,$KV23),"0%")&amp;") than "&amp;IF($AG23="S","below (","above (")&amp;TEXT(IF($AG23="S",$KV23,$KU23),"0%")&amp;") — path of least resistance "&amp;IF($AG23="S","down","up")&amp;IF(N($AZ23)*IF($AG23="R",1,-1)&lt;0,CHAR(10)&amp;"• Speed against — GEX gets more negative as price "&amp;IF($AG23="R","rises","falls")&amp;" into it (speed "&amp;TEXT(N($AZ23),"#,##0;−#,##0")&amp;")","")&amp;IF(OR(N($NG23)=1,N($JC23)=1),CHAR(10)&amp;"• "&amp;IF(N($JC23)=1,"DOM with vanna BUY "&amp;TEXT(N($AD23)/1000,"+#,##0;−#,##0")&amp;"K","Put wall + Max Zomma + DOM")&amp;" backs the level, but it does not outweigh DEX"&amp;IF(N($AZ23)*IF($AG23="R",1,-1)&lt;0," and speed",""),IF(AND($AG23="S",ISNUMBER($AB23),$AB23=MIN($AB$9:$AB$55),$AA23=$BG$105),CHAR(10)&amp;"• Min GEX + Max Zomma backs the level, but it does not outweigh DEX"&amp;IF(N($AZ23)*IF($AG23="R",1,-1)&lt;0," and speed",""),IF(OR(N($JI23)=1,AND(N($GV23)=1,N($JK23)&lt;&gt;1,N($IW23)&lt;&gt;1),N($JC23)=1,AND($AA23='King Node Model'!$F$24,N($JN23)&lt;&gt;1,OR($AG23="R",AND($AG23="S",$F$4="High",IF($BG$80&lt;&gt;"",UPPER($BG$80),$D$5)="UP")))),CHAR(10)&amp;"• Vanna "&amp;IF($AG23="S","BUY ","SELL ")&amp;TEXT(N($AD23)/1000,"+#,##0;−#,##0")&amp;"K backs the level, but it does not outweigh DEX"&amp;IF(N($AZ23)*IF($AG23="R",1,-1)&lt;0," and speed",""),"")))&amp;IF(N($NE23)=1,CHAR(10)&amp;"• Buy-lean max-node exemption not applied — DEX leans against the level",""))</f>
      </c>
      <c r="NA23">
        <f>IF(AND(OR('King Node Model'!$A$8="Neg",N($BG$72)=1),ISNUMBER($AA23),ABS(N($AE23))&gt;=$BG$152,ISNUMBER($KU23),ISNUMBER($KV23)),IF(OR(AND($AG23="S",OR(AND($KU23&gt;=$BG$114,$KU23&gt;=$KV23+$BG$115),AND($KU23&gt;1,$KV23&lt;=1,$KV23&gt;=$BG$114))),AND($AG23="R",OR(AND($KV23&gt;=$BG$114,$KV23&gt;=$KU23+$BG$115),AND($KV23&gt;1,$KU23&lt;=1,$KU23&gt;=$BG$114)))),1,0),0)</f>
      </c>
      <c r="NB23" t="str">
        <f>IF(AND(N($NA23)=1,AND(AND($AG23="S",ISNUMBER($AB23),$AB23=MIN($AB$9:$AB$55),$AA23=$BG$105),IFERROR(INDEX($AG$9:$AG$55,MATCH('King Node Model'!$B$23,$AA$9:$AA$55,0)),"")="R")),CHAR(10)&amp;"• DEX falls off more sharply above ("&amp;TEXT($KU23,"0%")&amp;") than below ("&amp;TEXT($KV23,"0%")&amp;") — DEX-lean warning not applied: Min GEX + Max Zomma support with Max Gamma "&amp;'King Node Model'!$B$23&amp;" above (Dex↓ not counted)",IF(AND(OR(N($NA23)=1,N($NF23)=1),N($AV23)=1),IF(AND(OR('King Node Model'!$A$8="Neg",N($BG$72)=1),$AG23="S",ISNUMBER($AB23),$AB23=MIN($AB$9:$AB$55),$AA23=$BG$105),CHAR(10),"")&amp;"• DEX falls off more sharply "&amp;IF($AG23="S","above (","below (")&amp;TEXT(IF($AG23="S",$KU23,$KV23),"0%")&amp;") than "&amp;IF($AG23="S","below (","above (")&amp;TEXT(IF($AG23="S",$KV23,$KU23),"0%")&amp;") — DEX lean does not apply to iDex (isolated DEX)",""))</f>
      </c>
      <c r="NC23">
        <f>IF(OR($BG$163=1,AND($BG$161&gt;0,$BG$162&lt;99999,ISNUMBER($AA23),$AA23&lt;$BG$162)),1,0)</f>
      </c>
      <c r="ND23">
        <f>IF(OR($BG$163=-1,AND($BG$161&gt;0,$BG$162&lt;99999,ISNUMBER($AA23),$AA23&gt;$BG$161)),1,0)</f>
      </c>
      <c r="NE23">
        <f>IF(AND(OR('King Node Model'!$A$8="Neg",N($BG$72)=1),ISNUMBER(SEARCH("LOW",'Master Dashboard'!$M$5)),ISNUMBER(SEARCH("BUY",'Master Dashboard'!$G$8)),'King Node Model'!$T$23='King Node Model'!$B$23,OR($AA23='King Node Model'!$T$23,AND($AG23="R",$AA23='King Node Model'!$T$23+5)),OR(AND($AG23="S",$JV23="BUY"),AND($AG23="R",$JV23="SELL"))),1,0)</f>
      </c>
      <c r="NF23">
        <f>IFERROR(IF(OR(NOT(ISNUMBER($AA23)),'King Node Model'!$A$8&lt;&gt;"Pos",N($BG$72)=1,ABS(N($AE23))&lt;$BG$113,$FA23="DOM",$AA23='King Node Model'!$T$23,AND(N($BG$116)=1,$AA23='King Node Model'!$F$24),NOT(ISNUMBER($KU23)),NOT(ISNUMBER($KV23))),0,IF(AND($AG23="S",COUNTIF('Master Dashboard'!$AN$16:$AN$18,$AA23)=0,$KU23&gt;=$BG$114,$KU23&gt;=$KV23+$BG$115,NOT(AND(N($AN24)=1,N($KV23)&lt;0)),N($AE23)&lt;=0),1,IF(AND($AG23="R",COUNTIF('Master Dashboard'!$AN$13:$AN$15,$AA23)=0,$KV23&gt;=$BG$114,$KV23&gt;=$KU23+$BG$115,NOT(AND(N($AN22)=1,N($KU23)&lt;0))),-1,0))),0)</f>
      </c>
      <c r="NG23">
        <f t="shared" si="202"/>
      </c>
      <c r="NI23" t="str">
        <f>IF(AND(ISNUMBER($BG$165),ISNUMBER($AA23)),IF(OR(AND($AG23="S",$AA23&gt;$BG$165,$AA23-$BG$165&lt;=5),AND($AG23="R",$AA23&lt;$BG$165,$BG$165-$AA23&lt;=5)),IF(OR(AND(OR('King Node Model'!$A$8="Neg",N($BG$72)=1),$AG23="S",ISNUMBER($AB23),$AB23=MIN($AB$9:$AB$55),$AA23=$BG$105),$NB23&lt;&gt;""),CHAR(10),"")&amp;"• DOM forming at "&amp;$BG$165&amp;" (gamma "&amp;TEXT($BG$166,"0%")&amp;" of max) — price may be pulled to the node",""),"")</f>
      </c>
      <c r="NJ23">
        <f>IF(LEN($NI23)&gt;0,1,0)</f>
      </c>
    </row>
    <row r="24" spans="1:349" ht="15" customHeight="1" x14ac:dyDescent="0.25">
      <c r="AA24" s="181">
        <f>'King Node Model'!A44</f>
        <v>7810</v>
      </c>
      <c r="AB24" s="276">
        <f>'King Node Model'!C44</f>
        <v>353277</v>
      </c>
      <c r="AC24" s="181">
        <f>ABS('King Node Model'!B44)</f>
        <v>756012</v>
      </c>
      <c r="AD24" s="276">
        <f>'King Node Model'!F44</f>
        <v>1043369</v>
      </c>
      <c r="AE24" s="276">
        <f>'King Node Model'!E44</f>
        <v>-333737</v>
      </c>
      <c r="AF24" s="276">
        <f>'King Node Model'!D44</f>
        <v>3123983</v>
      </c>
      <c r="AG24" s="181" t="str">
        <f t="shared" si="6"/>
        <v>R</v>
      </c>
      <c r="AH24" s="181">
        <f t="shared" si="7"/>
        <v>7</v>
      </c>
      <c r="AI24" s="181" t="str">
        <f t="shared" si="8"/>
        <v>SELL</v>
      </c>
      <c r="AJ24" s="181">
        <f t="shared" si="9"/>
        <v>1</v>
      </c>
      <c r="AK24" s="181">
        <f>IF(ABS(N($AE24))&gt;=$BG$85,1,0)</f>
      </c>
      <c r="AL24" s="181">
        <f t="shared" si="10"/>
        <v>0</v>
      </c>
      <c r="AM24" s="181">
        <f t="shared" si="11"/>
        <v>4</v>
      </c>
      <c r="AN24" s="181">
        <f t="shared" si="12"/>
        <v>1</v>
      </c>
      <c r="AO24" s="1">
        <f t="shared" si="13"/>
        <v>333737</v>
      </c>
      <c r="AP24" s="1" t="str">
        <f t="shared" si="14"/>
        <v/>
      </c>
      <c r="AQ24" s="1">
        <f t="shared" si="15"/>
        <v>3123983</v>
      </c>
      <c r="AR24" s="181">
        <f t="shared" si="16"/>
        <v>0.93526064769320294</v>
      </c>
      <c r="AS24" s="181">
        <f t="shared" si="17"/>
        <v>3</v>
      </c>
      <c r="AT24" s="181" t="str">
        <f t="shared" si="18"/>
        <v/>
      </c>
      <c r="AU24" s="181" t="str">
        <f t="shared" si="19"/>
        <v/>
      </c>
      <c r="AV24" s="218">
        <f t="shared" si="183"/>
        <v>0</v>
      </c>
      <c r="AW24" s="181">
        <f>ABS('King Node Model'!G44)</f>
        <v>659</v>
      </c>
      <c r="AX24" s="181">
        <f t="shared" si="20"/>
        <v>0</v>
      </c>
      <c r="AY24" s="181">
        <f t="shared" si="21"/>
        <v>0</v>
      </c>
      <c r="AZ24" s="276">
        <f>'King Node Model'!I44</f>
        <v>6061</v>
      </c>
      <c r="BA24" s="181">
        <f t="shared" si="22"/>
        <v>0</v>
      </c>
      <c r="BB24" s="181" t="str">
        <f t="shared" si="23"/>
        <v>R3</v>
      </c>
      <c r="BC24" s="10">
        <f>'King Node Model'!C44</f>
        <v>353277</v>
      </c>
      <c r="BD24" s="218">
        <f t="shared" si="184"/>
        <v>0</v>
      </c>
      <c r="BE24" s="218">
        <f t="shared" si="185"/>
        <v>0</v>
      </c>
      <c r="BF24" s="336" t="s">
        <v>1231</v>
      </c>
      <c r="BG24" s="409">
        <v>40</v>
      </c>
      <c r="BI24" s="218">
        <f t="shared" si="186"/>
        <v>0</v>
      </c>
      <c r="BJ24" s="218">
        <f t="shared" si="187"/>
        <v>0</v>
      </c>
      <c r="BK24" s="218">
        <f t="shared" si="24"/>
        <v>0</v>
      </c>
      <c r="BL24" s="10">
        <f>'King Node Model'!H44</f>
        <v>42</v>
      </c>
      <c r="BM24" s="218">
        <f t="shared" si="25"/>
        <v>16</v>
      </c>
      <c r="BN24" s="218">
        <f t="shared" si="26"/>
        <v>10</v>
      </c>
      <c r="BO24" s="218">
        <f t="shared" si="27"/>
        <v>0</v>
      </c>
      <c r="BP24" s="218">
        <f t="shared" si="28"/>
        <v>0</v>
      </c>
      <c r="BQ24" t="str">
        <f t="shared" si="29"/>
        <v/>
      </c>
      <c r="BR24" t="str">
        <f t="shared" si="30"/>
        <v/>
      </c>
      <c r="BS24" s="218">
        <f t="shared" si="31"/>
        <v>1</v>
      </c>
      <c r="BT24">
        <f t="shared" si="32"/>
        <v>3</v>
      </c>
      <c r="BU24" t="str">
        <f t="shared" si="33"/>
        <v/>
      </c>
      <c r="BV24" s="218">
        <f t="shared" si="34"/>
        <v>1043369</v>
      </c>
      <c r="BW24" s="218">
        <f t="shared" si="35"/>
        <v>333737</v>
      </c>
      <c r="BX24" s="218">
        <f>IF(AND(ISNUMBER(BC24),BC24&gt;=$BG$160,OR('King Node Model'!$A$8="Neg",N($BG$72)=1)),1,0)</f>
        <v>1</v>
      </c>
      <c r="BY24" s="218">
        <f t="shared" si="36"/>
        <v>0</v>
      </c>
      <c r="BZ24" s="218">
        <f t="shared" si="37"/>
        <v>0</v>
      </c>
      <c r="CA24" t="str">
        <f t="shared" si="38"/>
        <v/>
      </c>
      <c r="CB24" s="218">
        <f>IF(AND(ISNUMBER('King Node Model'!$D$27),AG24&lt;&gt;"",AA24='King Node Model'!$D$27),1,0)</f>
        <v>0</v>
      </c>
      <c r="CC24" s="218">
        <f>IF(OR('King Node Model'!$A$8="Neg",N($BG$72)=1),$BG$14*IF(ISNUMBER('King Node Model'!$D$26),MAX(0,1-ABS(AA24-'King Node Model'!$D$26)/$BG$18),0)+$BG$15*IFERROR(BV24/MAX($BV$9:$BV$55),0)+$BG$16*IFERROR(BW24/MAX($BW$9:$BW$55),0)+$BG$17*IFERROR(AC24/$S$11,0)*MAX(0,1+$BG$21*CF24),AR24)</f>
        <v>1.3653660723949608</v>
      </c>
      <c r="CD24" s="218">
        <f>IF(OR('King Node Model'!$A$8="Neg",N($BG$72)=1),IF(AND(AG24&lt;&gt;"",ABS(AA24-$B$4)&lt;=$BG$7,OR(AX24=0,$D$5&lt;&gt;"UP"),AY24=0,BK24&lt;&gt;1,CI24=0,AM24&gt;=$BG$20,AC24&gt;$BG$19),1,0),IF(AND(BS24=1,(COUNTIF($W$9:$W$14,AA24)+COUNTIF($W$18:$W$23,AA24))&gt;0,CI24=0,AM24&gt;=$BG$20,AC24&gt;$BG$19),1,0))</f>
        <v>1</v>
      </c>
      <c r="CE24" t="str">
        <f t="shared" si="39"/>
        <v/>
      </c>
      <c r="CF24" s="218">
        <f t="shared" si="40"/>
        <v>0</v>
      </c>
      <c r="CG24" t="str">
        <f t="shared" si="41"/>
        <v/>
      </c>
      <c r="CH24" t="str">
        <f t="shared" si="42"/>
        <v>Dormant</v>
      </c>
      <c r="CI24" s="218">
        <f t="shared" si="43"/>
        <v>0</v>
      </c>
      <c r="CJ24" s="218">
        <f t="shared" si="44"/>
        <v>34.609999999999673</v>
      </c>
      <c r="CK24" s="218">
        <f t="shared" si="45"/>
        <v>0</v>
      </c>
      <c r="CL24" s="218">
        <f t="shared" si="46"/>
        <v>0</v>
      </c>
      <c r="CR24" t="s">
        <v>1484</v>
      </c>
      <c r="CS24">
        <f>'King Node Model'!$AL$49</f>
        <v>7775</v>
      </c>
      <c r="CT24">
        <v>0</v>
      </c>
      <c r="CU24" s="218">
        <f>IF(AND(AND('King Node Model'!$A$8&lt;&gt;"Neg",N($BG$72)&lt;&gt;1),SUMPRODUCT(($AG$9:$AG$55="S")*ISNUMBER($AT$9:$AT$55)*ISNUMBER($AU$9:$AU$55)*($AT$9:$AT$55&lt;&gt;$AU$9:$AU$55)*($AT$9:$AT$55&lt;=$AA24)*($AU$9:$AU$55&gt;=$AA24))&gt;0),0,IF(AND(OR($AA24='King Node Model'!$T$22,$AA24='King Node Model'!$F$24),$AG24="R",COUNTIF($W$9:$W$14,$AA24)&gt;0),1,IF(AND($FN24=1,$EU24&lt;&gt;1,$EM24&lt;&gt;1,$BK24&lt;&gt;1,$DH24&lt;&gt;1,$AG24="R",COUNTIF($W$9:$W$14,$AA24)&gt;0),1,IF($EU24=1,0,IF($EM24=1,0,IF(AND(OR($EE24=1,$GV24=1,AND($EL$7=1,$AA24='King Node Model'!$D$26,$EI24=1),AND(OR($AA24='King Node Model'!$T$22,$AA24='King Node Model'!$T$23),$AN24=1,OR($AX24=0,$D$5&lt;&gt;"UP"))),OR(NOT(OR('King Node Model'!$A$8="Neg",N($BG$72)=1)),$GV24=1,AND(OR($AA24='King Node Model'!$T$22,$AA24='King Node Model'!$T$23),$AN24=1,OR($AX24=0,$D$5&lt;&gt;"UP")),AND($AM24&gt;=$BG$20,$AC24&gt;IF($CZ24=1,$BG$48,$BG$19)))),1,IF($DH24=1,0,IF(AND($DC24=1,$GS24&lt;&gt;1,AND('King Node Model'!$A$8&lt;&gt;"Neg",N($BG$72)&lt;&gt;1)),0,IF(AND($EY24=1,NOT(OR('King Node Model'!$A$8="Neg",$BG$72=1)),$AA24&lt;&gt;'King Node Model'!$B$23),0,IF(AND($GS24=1,$AG24="R",OR($CI24=0,$EE24=1,$EX24=1,$GV24=1),COUNTIF($W$9:$W$14,$AA24)&gt;0,ABS($AA24-$B$4)&lt;=$BG$7,$BK24&lt;&gt;1,$AM24&gt;=$BG$20,$AC24&gt;IF($CZ24=1,$BG$48,$BG$19)),1,IF(OR('King Node Model'!$A$8="Neg",N($BG$72)=1),IF(AND(OR($AM24&gt;=$BG$20,$AA24='King Node Model'!$D$26,$GV24=1),$AG24="R",COUNTIF($W$9:$W$14,$AA24)&gt;0,ABS($AA24-$B$4)&lt;=$BG$7,OR($AX24=0,$D$5&lt;&gt;"UP"),$BK24&lt;&gt;1,OR(OR($CI24=0,$AJ24=1),AND($EI24=1,$LA24=1,COUNTIF($W$9:$W$11,$AA24)&gt;0,$AN24=1,OR($AX24=0,$D$5&lt;&gt;"UP"))),$AM24&gt;=$BG$20,$AC24&gt;IF($CZ24=1,$BG$48,$BG$19),OR($AN24=1,N($LR24)=1,$AA24='King Node Model'!$D$26,AND($BY24=1,$AA24&gt;$B$4),$BX24=1,$CF24=1,$CF24=1,AND(OR($AA24=$CP$4,$AA24=$CP$5,$AA24=$CP$6,$AA24=$CP$7),ABS($AA24-$B$4)&lt;=30),AND($AX24=1,$D$5="DOWN"))),1,0),IF(AND(OR($AM24&gt;=3,$AA24='King Node Model'!$D$26,$GV24=1),$AG24="R",COUNTIF($W$9:$W$14,$AA24)&gt;0,ABS($AA24-$B$4)&lt;=$BG$7,OR($AX24=0,$D$5&lt;&gt;"UP"),$BK24&lt;&gt;1,OR($CI24=0,$AJ24=1),$AM24&gt;=$BG$20,$AC24&gt;IF($CZ24=1,$BG$48,$BG$19),OR($AC24&gt;=MAX($AC$9:$AC$55),$BC24&gt;0,$AA24='King Node Model'!$D$26,AND(OR($AA24=$CP$4,$AA24=$CP$5,$AA24=$CP$6,$AA24=$CP$7),ABS($AA24-$B$4)&lt;=30),$CF24=1,$AN24=1,AND($AX24=1,$D$5="DOWN"))),1,0))))))))))))</f>
        <v>1</v>
      </c>
      <c r="CV24" s="218">
        <f>IF(AND(OR('King Node Model'!$A$8="Neg",N($BG$72)=1),$AG24="S",N($LR24)=1,N($MB24)=1),1,IF(AND(AND('King Node Model'!$A$8&lt;&gt;"Neg",N($BG$72)&lt;&gt;1),SUMPRODUCT(($AG$9:$AG$55="R")*ISNUMBER($AT$9:$AT$55)*ISNUMBER($AU$9:$AU$55)*($AT$9:$AT$55&lt;&gt;$AU$9:$AU$55)*($AT$9:$AT$55&lt;=$AA24)*($AU$9:$AU$55&gt;=$AA24))&gt;0,NOT(AND(N($LC24)=1,$AA24='King Node Model'!$B$23))),0,IF(AND($AA24='King Node Model'!$F$24,$AG24="S",COUNTIF($W$18:$W$23,$AA24)&gt;0),1,IF(AND($FN24=1,$EU24&lt;&gt;1,$EM24&lt;&gt;1,$DH24&lt;&gt;1,$AG24="S",COUNTIF($W$18:$W$23,$AA24)&gt;0),1,IF($EU24=1,0,IF(AND(OR($EF24=1,$GV24=1,AND(OR($AA24='King Node Model'!$T$22,$AA24='King Node Model'!$T$23,AND($AG24="S",COUNTIF('Master Dashboard'!$AN$16:$AN$18,$AA24)&gt;0)),$AN24=1,OR($AX24=0,$D$5&lt;&gt;"UP"))),OR(NOT(OR('King Node Model'!$A$8="Neg",N($BG$72)=1)),$GV24=1,AND(OR($AA24='King Node Model'!$T$22,$AA24='King Node Model'!$T$23,AND($AG24="S",COUNTIF('Master Dashboard'!$AN$16:$AN$18,$AA24)&gt;0)),$AN24=1,OR($AX24=0,$D$5&lt;&gt;"UP")),AND($AM24&gt;=$BG$20,$AC24&gt;IF($CZ24=1,$BG$48,$BG$19)))),1,IF($DH24=1,0,IF(AND($DC24=1,$GS24&lt;&gt;1,AND('King Node Model'!$A$8&lt;&gt;"Neg",N($BG$72)&lt;&gt;1)),0,IF(AND($EY24=1,NOT(OR('King Node Model'!$A$8="Neg",$BG$72=1)),$AA24&lt;&gt;'King Node Model'!$B$23,COUNTIF('Master Dashboard'!$AN$16:$AN$18,$AA24)=0),0,IF(AND($GS24=1,$AG24="S",OR($CI24=0,$EF24=1,$EX24=1,$GV24=1),COUNTIF($W$18:$W$23,$AA24)&gt;0,ABS($AA24-$B$4)&lt;=$BG$7,$BK24&lt;&gt;1,$AM24&gt;=$BG$20,$AC24&gt;IF($CZ24=1,$BG$48,$BG$19)),1,IF(OR('King Node Model'!$A$8="Neg",N($BG$72)=1),IF(AND(OR(OR($AM24&gt;=$BG$20,N($LR24)=1),$AA24='King Node Model'!$D$26,$GV24=1),$AG24="S",COUNTIF($W$18:$W$23,$AA24)&gt;0,ABS($AA24-$B$4)&lt;=$BG$7,OR($AX24=0,$D$5&lt;&gt;"UP"),$BK24&lt;&gt;1,OR($CI24=0,$AJ24=1,AND(N($LR24)=1,N($MB24)=1),N($MT24)=1),OR($AM24&gt;=$BG$20,N($LR24)=1),$AC24&gt;IF($CZ24=1,$BG$48,$BG$19),OR($AB24&gt;0,$AN24=1,N($MT24)=1,N($LR24)=1,$AA24='King Node Model'!$D$26,AND($BY24=1,$AA24&lt;$B$4),$BX24=1,$CF24=1,$CF24=1,AND(OR($AA24=$CP$4,$AA24=$CP$5,$AA24=$CP$6,$AA24=$CP$7),ABS($AA24-$B$4)&lt;=30),AND($AX24=1,$D$5="DOWN"))),1,0),IF(AND(OR($AM24&gt;=3,$AA24='King Node Model'!$D$26,$GV24=1),$AG24="S",COUNTIF($W$18:$W$23,$AA24)&gt;0,ABS($AA24-$B$4)&lt;=$BG$7,OR($AX24=0,$D$5&lt;&gt;"UP"),$BK24&lt;&gt;1,OR($CI24=0,$AJ24=1,AND(N($LR24)=1,N($MB24)=1),N($MT24)=1),$AM24&gt;=$BG$20,$AC24&gt;IF($CZ24=1,$BG$48,$BG$19),OR($AC24&gt;=MAX($AC$9:$AC$55),$BC24&gt;0,N($MT24)=1,$AA24='King Node Model'!$D$26,AND(OR($AA24=$CP$4,$AA24=$CP$5,$AA24=$CP$6,$AA24=$CP$7),ABS($AA24-$B$4)&lt;=30),$CF24=1,$AN24=1,AND($AX24=1,$D$5="DOWN"))),1,0))))))))))))</f>
        <v>0</v>
      </c>
      <c r="CX24" s="218">
        <f t="shared" si="48"/>
        <v>0</v>
      </c>
      <c r="CY24" t="str">
        <f t="shared" si="49"/>
        <v/>
      </c>
      <c r="CZ24" s="218">
        <f t="shared" si="50"/>
        <v>0</v>
      </c>
      <c r="DA24" t="str">
        <f t="shared" si="51"/>
        <v/>
      </c>
      <c r="DB24" t="str">
        <f t="shared" si="52"/>
        <v/>
      </c>
      <c r="DC24" s="218">
        <f t="shared" si="53"/>
        <v>0</v>
      </c>
      <c r="DD24" s="218">
        <f t="shared" si="54"/>
        <v>0</v>
      </c>
      <c r="DE24" s="218">
        <f t="shared" si="55"/>
        <v>0</v>
      </c>
      <c r="DF24" t="str">
        <f t="shared" si="56"/>
        <v/>
      </c>
      <c r="DG24" t="str">
        <f t="shared" si="57"/>
        <v/>
      </c>
      <c r="DH24" s="218">
        <f t="shared" si="58"/>
        <v>0</v>
      </c>
      <c r="DI24">
        <v>1</v>
      </c>
      <c r="DJ24">
        <v>1</v>
      </c>
      <c r="DK24">
        <v>1144005</v>
      </c>
      <c r="DL24">
        <v>0</v>
      </c>
      <c r="DM24" t="str">
        <f>IF(AND($CV24=1,$AG24="S"),IF(AND(OR('King Node Model'!$A$8="Neg",N($BG$72)=1),'King Node Model'!$S$52=""),IF(OR(N($AN24)=1,N($LR24)=1,$AB24&gt;0,$AJ24=1,N($JO24)=1,AND(NOT($AE24&gt;0),NOT(IFERROR(AND(ISNUMBER($BC24),ISNUMBER($BC23),($BC24&gt;=0)&lt;&gt;($BC23&gt;=0)),FALSE())),OR(AND($BM24&lt;=6,$BN24&lt;=6),ABS($AA24-'King Node Model'!$T$23)&lt;=5,$LA24=1))),1,0),1),"")</f>
        <v/>
      </c>
      <c r="DN24" t="str">
        <f t="shared" si="59"/>
        <v/>
      </c>
      <c r="DO24" t="str">
        <f t="shared" si="60"/>
        <v/>
      </c>
      <c r="DP24" t="str">
        <f>IF(AND(OR('King Node Model'!$A$8="Neg",N($BG$72)=1),$AG24="S",ISNUMBER($AT24),ISNUMBER($AU24),$AT24&lt;&gt;$AU24,$AA24=$AT24),IF(AND(SUMPRODUCT(($AA$9:$AA$55&gt;=$AT24)*($AA$9:$AA$55&lt;=$AU24)*($AB$9:$AB$55&gt;0))&gt;0,SUMPRODUCT(($AA$9:$AA$55&gt;=$AT24)*($AA$9:$AA$55&lt;=$AU24)*($DM$9:$DM$55=1))&gt;0,SUMPRODUCT(($AA$9:$AA$55&gt;=$AT24)*($AA$9:$AA$55&lt;=$AU24)*(COUNTIF($W$18:$W$20,$AA$9:$AA$55)&gt;0))&gt;0),1,0),"")</f>
        <v/>
      </c>
      <c r="DS24">
        <v>1</v>
      </c>
      <c r="DT24">
        <v>0</v>
      </c>
      <c r="DU24" t="str">
        <f>IF('King Node Model'!$A$8&lt;&gt;"Pos","",IF(OR($AA24="",NOT(ISNUMBER($AA24)),ABS($AA24-$B$4)&gt;$BG$7),"",TEXT($AA24,"0")&amp;" | "&amp;IF($AG24="","unclassified",IF($AG24&lt;&gt;IF($AA24&gt;$B$4,"R","S"),"orphan: in "&amp;$AG24&amp;"-list, "&amp;IF($AA24&lt;$B$4,"below","above")&amp;" spot",IF(IF($AG24="R",COUNTIF($W$9:$W$14,$AA24),COUNTIF($W$18:$W$23,$AA24))=0,"not in "&amp;$AG24&amp;"-list",IF($DH24=1,"absorbed into shelf box",IF($BK24=1,"absorbed: adjacent reversal",IF($CI24=1,"accel-accelerant",IF($AC24&lt;=$BG$19,"below gamma-floor",IF($AM24&lt;$BG$20,"confluence "&amp;TEXT($AM24,"0")&amp;" &lt; "&amp;TEXT($BG$20,"0"),IF(AND($AX24=1,$D$5="UP"),"accelerant in up-move",IF(NOT(OR($AC24&gt;=MAX($AC$9:$AC$55),$BC24&gt;0,$AA24='King Node Model'!$D$26,AND(OR($AA24=$CP$4,$AA24=$CP$5,$AA24=$CP$6,$AA24=$CP$7),ABS($AA24-$B$4)&lt;=30),ISNUMBER(SEARCH("STRENGTHENING",$CG24)),$AN24=1,AND($AX24=1,$D$5="DOWN"))),"no surface flag","-&gt; qualifies"))))))))))))</f>
        <v/>
      </c>
      <c r="DV24" s="218">
        <f t="shared" si="61"/>
        <v>99999</v>
      </c>
      <c r="DW24" s="218">
        <f t="shared" si="62"/>
        <v>99999</v>
      </c>
      <c r="DX24" t="str">
        <f>IF('King Node Model'!$A$8&lt;&gt;"Pos","",IF(AND($DV24&lt;99999,$DV24=MIN($DV$9:$DV$55),$DG24&gt;$AA24),"R-box: "&amp;TEXT($AA24,"0")&amp;"-"&amp;TEXT($DG24,"0"),IF(AND($DW24&lt;99999,$DW24=MIN($DW$9:$DW$55),$DF24&lt;$AA24),"S-box: "&amp;TEXT($DF24,"0")&amp;"-"&amp;TEXT($AA24,"0"),"")))</f>
        <v/>
      </c>
      <c r="EB24">
        <f t="shared" si="63"/>
        <v>34.609999999999673</v>
      </c>
      <c r="EC24">
        <f t="shared" si="64"/>
        <v>538591</v>
      </c>
      <c r="ED24">
        <f t="shared" si="65"/>
        <v>0</v>
      </c>
      <c r="EE24">
        <f>IF(AND(OR('King Node Model'!$A$8="Neg",N($BG$72)=1),$AG24="R",ISNUMBER($EB24),$EB24&lt;=$BG$7,$AB24&gt;0,$EC24&gt;0,$AB24=$EC24),1,0)</f>
        <v>0</v>
      </c>
      <c r="EF24">
        <f>IF(AND(OR('King Node Model'!$A$8="Neg",N($BG$72)=1),$AG24="S",ISNUMBER($EB24),$EB24&lt;=$BG$7,$AB24&gt;0,$ED24&gt;0,$AB24=$ED24),1,0)</f>
        <v>0</v>
      </c>
      <c r="EI24">
        <v>1</v>
      </c>
      <c r="EJ24">
        <f>IF($AA24="",0,IF(SUMPRODUCT(($AA$9:$AA$55&gt;=$AT24)*($AA$9:$AA$55&lt;=$AU24)*($DT$9:$DT$55=1))+SUMPRODUCT(($DT$9:$DT$55=1)*($AT$9:$AT$55&lt;=$AA24)*($AU$9:$AU$55&gt;=$AA24))+($DT24=1)+AND(OR('King Node Model'!$A$8="Neg",N($BG$72)=1),ISNUMBER(SEARCH("LOW",'Master Dashboard'!$M$5)),ISNUMBER(SEARCH("BUY",'Master Dashboard'!$G$8)),'King Node Model'!$T$23='King Node Model'!$B$23,$AA24&gt;='King Node Model'!$T$23,$AA24&lt;='King Node Model'!$T$23+5)*1&gt;0,1,0))</f>
        <v>0</v>
      </c>
      <c r="EM24">
        <f t="shared" si="66"/>
        <v>0</v>
      </c>
      <c r="EN24">
        <v>0</v>
      </c>
      <c r="EO24">
        <f t="shared" si="67"/>
        <v>0</v>
      </c>
      <c r="EP24">
        <f t="shared" si="68"/>
        <v>0</v>
      </c>
      <c r="EQ24" t="str">
        <f t="shared" si="69"/>
        <v>WEAKENING · Pos gamma ↓ · thinning the ceiling (sub-threshold)</v>
      </c>
      <c r="ES24">
        <f>IF(AND(ISNUMBER(AA24),ISNUMBER(AF24),ABS(AA24-'King Node Model'!$B$4)&lt;=$BG$7),ABS(AF24),"")</f>
        <v>3123983</v>
      </c>
      <c r="ET24">
        <v>0</v>
      </c>
      <c r="EU24" s="218">
        <f>IF(AND(OR('King Node Model'!$A$8="Neg",N($BG$72)=1),ISNUMBER($AA23),ISNUMBER($AA24),ISNUMBER($AA25),ISNUMBER($AB23),ISNUMBER($AB24),ISNUMBER($AB25),ISNUMBER($AF24),$AB24&gt;0,$AB23&lt;0,$AB25&lt;0,$AF24&lt;0),1,0)</f>
        <v>0</v>
      </c>
      <c r="EW24">
        <f>IF(OR(N($MY24)=1,N($JM24)=1),0,N($NE24))</f>
        <v>0</v>
      </c>
      <c r="EX24">
        <f>IF(AND(OR('King Node Model'!$A$8="Neg",N($BG$72)=1),ISNUMBER($AA24),OR(AND($AA24='King Node Model'!$F$24,OR(AND($AG24="S",$F$4="High",IF($BG$80&lt;&gt;"",UPPER($BG$80),$D$5)="DOWN"),AND($AG24="R",$F$4="Low",IF($BG$80&lt;&gt;"",UPPER($BG$80),$D$5)="UP"))),$GV24=1)),1,0)</f>
        <v>0</v>
      </c>
      <c r="EY24">
        <f>IFERROR(IF(AND($DC24=1,$AB24&lt;0,$AC24&gt;=(1+$FA$6)*INDEX($AC$9:$AC$55,16-1),$AC24&gt;=(1+$FA$6)*INDEX($AC$9:$AC$55,16+1),$AC24&gt;=IFERROR(INDEX($AC$9:$AC$55,16-2),0),$AC24&gt;=IFERROR(INDEX($AC$9:$AC$55,16+2),0)),1,0),0)</f>
        <v>0</v>
      </c>
      <c r="FA24" t="str">
        <f>IF(NOT(ISNUMBER($AA24)),"",IFERROR(IF(AND($AC24=MAX($AC$9:$AC$55),$AB24=MIN($AB$9:$AB$55)),"DOM",IF(AND($DC23=1,$DC24=1,$DC25=1,INDEX($AC$9:$AC$55,16-1)&lt;=(1-$FA$6)*$AC24,INDEX($AC$9:$AC$55,16-1)&lt;=(1-$FA$6)*INDEX($AC$9:$AC$55,16-2)),"GAP↑",IF(AND($DC25=1,$DC24=1,INDEX($AC$9:$AC$55,16+1)&lt;=(1-$FA$6)*$AC24,INDEX($AC$9:$AC$55,16+1)&lt;=(1-$FA$6)*INDEX($AC$9:$AC$55,16+2)),"GAP↓",IF($CZ24=1,"dEdge Cliff",IF($GY24=1,"γWall",IF(AND($DC24=1,$AB24&lt;0,$AC24&gt;=(1+$FA$6)*INDEX($AC$9:$AC$55,16-1),$AC24&gt;=(1+$FA$6)*INDEX($AC$9:$AC$55,16+1)),"PEAK-",IF($GZ24=1,"γSh Edge",IF($HL24=1,"Trough",IF($HN24=1,"PEAK+",IF($GF24=1,"Cluster","")))))))))),""))</f>
        <v>Cluster</v>
      </c>
      <c r="FB24" t="str">
        <f t="shared" si="70"/>
        <v/>
      </c>
      <c r="FC24" t="str">
        <f t="shared" si="71"/>
        <v/>
      </c>
      <c r="FD24">
        <f>IF(AND(ISNUMBER($AA24),ISNUMBER('King Node Model'!$AP$17),ISNUMBER('King Node Model'!$AQ$17),$AA24&gt;=MIN('King Node Model'!$AP$17,'King Node Model'!$AQ$17),$AA24&lt;=MAX('King Node Model'!$AP$17,'King Node Model'!$AQ$17),IFERROR(INDEX($AC$9:$AC$55,MATCH('King Node Model'!$AL$42,$AA$9:$AA$55,0)),0)&gt;0,$AC24&gt;=(1-$FA$6)*IFERROR(INDEX($AC$9:$AC$55,MATCH('King Node Model'!$AL$42,$AA$9:$AA$55,0)),0),$AC24&lt;=(1+$FA$6)*IFERROR(INDEX($AC$9:$AC$55,MATCH('King Node Model'!$AL$42,$AA$9:$AA$55,0)),0)),1,0)</f>
        <v>0</v>
      </c>
      <c r="FE24">
        <f>IF($AA24='King Node Model'!$AL$42,1,IF(AND($FD24=1,$FE23=1),1,0))</f>
        <v>0</v>
      </c>
      <c r="FF24">
        <f>IF($AA24='King Node Model'!$AL$42,1,IF(AND($FD24=1,$FF25=1),1,0))</f>
        <v>0</v>
      </c>
      <c r="FG24" t="str">
        <f>IF(OR($FE24=1,$FF24=1),16,"")</f>
        <v/>
      </c>
      <c r="FJ24">
        <f>IF(AND($CW$2=1,ISNUMBER($AA24),ISNUMBER($CW$3),ISNUMBER($CW$4),$AA24&gt;=MIN($CW$3,$CW$4),$AA24&lt;=MAX($CW$3,$CW$4),IFERROR(INDEX($AC$9:$AC$55,MATCH('King Node Model'!$AP$67,$AA$9:$AA$55,0)),0)&gt;0,$AC24&gt;=(1-$FA$6)*IFERROR(INDEX($AC$9:$AC$55,MATCH('King Node Model'!$AP$67,$AA$9:$AA$55,0)),0),$AC24&lt;=(1+$FA$6)*IFERROR(INDEX($AC$9:$AC$55,MATCH('King Node Model'!$AP$67,$AA$9:$AA$55,0)),0)),1,0)</f>
        <v>0</v>
      </c>
      <c r="FK24">
        <f>IF(AND($CW$2=1,$AA24='King Node Model'!$AP$67),1,IF(AND($FJ24=1,$FK23=1),1,0))</f>
        <v>0</v>
      </c>
      <c r="FL24">
        <f>IF(AND($CW$2=1,$AA24='King Node Model'!$AP$67),1,IF(AND($FJ24=1,$FL25=1),1,0))</f>
        <v>0</v>
      </c>
      <c r="FM24" t="str">
        <f>IF(OR($FK24=1,$FL24=1),16,"")</f>
        <v/>
      </c>
      <c r="FN24">
        <v>0</v>
      </c>
      <c r="FR24" t="str">
        <f t="shared" si="72"/>
        <v/>
      </c>
      <c r="FS24">
        <f t="shared" si="188"/>
        <v>0</v>
      </c>
      <c r="FT24">
        <f t="shared" si="73"/>
        <v>0.46729020174282948</v>
      </c>
      <c r="FU24">
        <f t="shared" si="74"/>
        <v>756012</v>
      </c>
      <c r="FV24">
        <f>IF($FW24=0,"",IF(OR($FW23=0,SIGN(IFERROR($BC24*1,0))&lt;&gt;SIGN(IFERROR($BC23*1,0)),$GH24=1,$GH23=1),MAX($FV$9:$FV23)+1,$FV23))</f>
        <v>4</v>
      </c>
      <c r="FW24">
        <f t="shared" si="75"/>
        <v>1</v>
      </c>
      <c r="FX24">
        <f t="shared" si="76"/>
        <v>874234</v>
      </c>
      <c r="FY24">
        <f t="shared" si="77"/>
        <v>1</v>
      </c>
      <c r="FZ24">
        <f t="shared" si="189"/>
        <v>0</v>
      </c>
      <c r="GA24">
        <f t="shared" si="78"/>
        <v>1</v>
      </c>
      <c r="GB24">
        <f t="shared" si="79"/>
        <v>2</v>
      </c>
      <c r="GC24">
        <f t="shared" si="80"/>
        <v>1630246</v>
      </c>
      <c r="GD24">
        <f t="shared" si="81"/>
        <v>7805</v>
      </c>
      <c r="GE24">
        <f t="shared" si="82"/>
        <v>7810</v>
      </c>
      <c r="GF24">
        <f t="shared" si="83"/>
        <v>1</v>
      </c>
      <c r="GH24">
        <f>IFERROR(IF(AND($AC24&gt;=(1+$FA$6)*INDEX($AC$9:$AC$55,16-1),$AC24&gt;=(1+$FA$6)*INDEX($AC$9:$AC$55,16+1)),1,0),0)</f>
        <v>0</v>
      </c>
      <c r="GK24">
        <v>1</v>
      </c>
      <c r="GO24">
        <v>0</v>
      </c>
      <c r="GP24">
        <v>0</v>
      </c>
      <c r="GQ24">
        <f t="shared" si="84"/>
        <v>0</v>
      </c>
      <c r="GR24">
        <f t="shared" si="85"/>
        <v>0</v>
      </c>
      <c r="GS24">
        <f>IF(AND($EY24=1,$AA24&lt;&gt;'King Node Model'!$B$23),0,IF(OR($GQ24=1,$GR24=1),1,IF($DC24=1,IF(OR('King Node Model'!$A$8="Neg",N($BG$72)=1),IF(OR(AND($AC24=MAX($AC$9:$AC$55),$AB24=MIN($AB$9:$AB$55)),$AN24=1,$EE24=1,$EF24=1,$EX24=1,$GV24=1),1,0),1),0)))</f>
        <v>0</v>
      </c>
      <c r="GT24">
        <f>IFERROR(IF(AND(OR('King Node Model'!$A$8="Neg",N($BG$72)=1),$EU23=1,$AG24="R",ISNUMBER($AA24),ISNUMBER($AF24),$AF24&lt;&gt;0,$AA24&gt;$B$4-$BG$9,$AA24-$B$4&lt;=$BG$47,IF($KC24="UP",SIGN($AF24),IF($KC24="DOWN",-SIGN($AF24),0))&lt;&gt;1),1,0),0)</f>
        <v>0</v>
      </c>
      <c r="GU24" t="str">
        <f t="shared" si="86"/>
        <v/>
      </c>
      <c r="GV24">
        <f t="shared" si="87"/>
        <v>0</v>
      </c>
      <c r="GW24">
        <f t="shared" si="88"/>
        <v>34.609999999999673</v>
      </c>
      <c r="GX24" t="str">
        <f t="shared" si="89"/>
        <v/>
      </c>
      <c r="GY24">
        <f t="shared" si="90"/>
        <v>0</v>
      </c>
      <c r="GZ24">
        <f t="shared" si="91"/>
        <v>0</v>
      </c>
      <c r="HA24">
        <v>1</v>
      </c>
      <c r="HF24">
        <f>IFERROR(IF(AND($GZ24=1,'King Node Model'!$A$8="Pos",$D$5="UP",$CF24=-1,$AJ24&lt;&gt;1),1,0),0)</f>
        <v>0</v>
      </c>
      <c r="HG24">
        <f t="shared" si="92"/>
        <v>1</v>
      </c>
      <c r="HH24">
        <f>IF($GZ24=1,"",IFERROR(IF(NOT(ISNUMBER($AA24)),"",IF($EY24=1,"",IF($GF24=1,IF($GD24=$GE24,"",$GD24),IF(OR(AND($DC23=1,$DC24=1,$DC25=1,INDEX($AC$9:$AC$55,16-1)&lt;=(1-$FA$6)*$AC24,INDEX($AC$9:$AC$55,16-1)&lt;=(1-$FA$6)*INDEX($AC$9:$AC$55,16-2)),AND($DC25=1,$DC24=1,INDEX($AC$9:$AC$55,16+1)&lt;=(1-$FA$6)*$AC24,INDEX($AC$9:$AC$55,16+1)&lt;=(1-$FA$6)*INDEX($AC$9:$AC$55,16+2)),AND($DC24=1,OR(INDEX($DC$9:$DC$55,16-1)=0,INDEX($DC$9:$DC$55,16+1)=0))),IF(MIN($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MAX($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MIN($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f>
        <v>7805</v>
      </c>
      <c r="HI24">
        <f>IF($GZ24=1,"",IFERROR(IF(NOT(ISNUMBER($AA24)),"",IF($EY24=1,"",IF($GF24=1,IF($GD24=$GE24,"",$GE24),IF(OR(AND($DC23=1,$DC24=1,$DC25=1,INDEX($AC$9:$AC$55,16-1)&lt;=(1-$FA$6)*$AC24,INDEX($AC$9:$AC$55,16-1)&lt;=(1-$FA$6)*INDEX($AC$9:$AC$55,16-2)),AND($DC25=1,$DC24=1,INDEX($AC$9:$AC$55,16+1)&lt;=(1-$FA$6)*$AC24,INDEX($AC$9:$AC$55,16+1)&lt;=(1-$FA$6)*INDEX($AC$9:$AC$55,16+2)),AND($DC24=1,OR(INDEX($DC$9:$DC$55,16-1)=0,INDEX($DC$9:$DC$55,16+1)=0))),IF(MIN($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MAX($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MAX($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f>
        <v>7810</v>
      </c>
      <c r="HL24">
        <f t="shared" si="93"/>
        <v>0</v>
      </c>
      <c r="HM24">
        <f>IFERROR(IF(AND($HL24=1,NOT(OR($AA24='King Node Model'!$T$22,$AA24='King Node Model'!$T$23,$AA24='King Node Model'!$F$24,AND($AG24="S",COUNTIF('Master Dashboard'!$AN$16:$AN$18,$AA24)&gt;0),AND($AG24="R",COUNTIF('Master Dashboard'!$AN$13:$AN$15,$AA24)&gt;0)))),1,0),0)</f>
        <v>0</v>
      </c>
      <c r="HN24">
        <f t="shared" si="94"/>
        <v>0</v>
      </c>
      <c r="HO24">
        <f t="shared" si="95"/>
        <v>0</v>
      </c>
      <c r="HP24">
        <f t="shared" si="96"/>
        <v>1</v>
      </c>
      <c r="HQ24" t="str">
        <f>IF(NOT(ISNUMBER($AA24)),"",IFERROR(TRIM(IF(N($MY24)=1,"DEXLEAN ","")&amp;IF(N($IZ24)=1,"DEXCAP ","")&amp;IF(AND($AG24="S",UPPER('King Node Model'!$L$5)="HIGH",$KC24="DOWN",N($AF24)&gt;0,$AA24='King Node Model'!$AN$70,$IY24="SELL"),"CHOPEDGEIV ","")&amp;IF(N($IS24)=1,"NOREV ","")&amp;IF(N($JY24)=1,"VFLAT ","")&amp;IF(N($KR24)=1,"GDEXVANNA ","")&amp;IF(N($LD24)=1,"KGSUPFAIL ","")&amp;IF(N($LE24)=1,"KGRESLEAK ","")&amp;IF(N($MH24)=1,"ZIGZAG ","")&amp;IF(N($KK24)=1,"DATAGAP ","")&amp;IF(N($KA24)&lt;&gt;0,"ACCUNDERCW ","")&amp;IF(AND($AG24="S",$HF24=1),"EDGE ","")&amp;IF(AND($HM24=1,'King Node Model'!$A$8="Pos",N($BG$72)&lt;&gt;1),"TROUGH ","")&amp;IF(AND($EU24=1,N($JZ24)&lt;&gt;1),"BUMP ","")&amp;IF(AND($GT24=1,N($JZ24)&lt;&gt;1),"SANDWICH ","")&amp;IF(AND($EX24&lt;&gt;1,OR('King Node Model'!$A$8="Neg",N($BG$72)=1),OR(AND(ISNUMBER($AC24),$AC24=MAX($AC$9:$AC$55)),AND(ISNUMBER($AB24),$AB24=MIN($AB$9:$AB$55))),NOT(AND(AND(ISNUMBER($AC24),$AC24=MAX($AC$9:$AC$55)),AND(ISNUMBER($AB24),$AB24=MIN($AB$9:$AB$55)))),$AG24="S",N($AB24)&lt;0,NOT(COUNTIF('Master Dashboard'!$AN$16:$AN$18,$AA24)&gt;0),NOT(AND(OR('King Node Model'!$A$8="Neg",N($BG$72)=1),ISNUMBER($AB24),$AB24=MIN($AB$9:$AB$55),$AA24=$BG$105))),"ACCEL ","")&amp;IF(AND($EX24&lt;&gt;1,ISNUMBER($AA24),OR('King Node Model'!$A$8="Neg",N($BG$72)=1),$EY24=1,NOT(AND($AG24="S",COUNTIF('Master Dashboard'!$AN$16:$AN$18,$AA24)&gt;0)),NOT(AND($AA24='King Node Model'!$B$23,IF($AG24="S",OR($AA24='King Node Model'!$C$24,COUNTIF('Master Dashboard'!$AN$16:$AN$18,$AA24)&gt;0),OR($AA24='King Node Model'!$C$23,COUNTIF('Master Dashboard'!$AN$13:$AN$15,$AA24)&gt;0)))),NOT(AND($EX24&lt;&gt;1,OR('King Node Model'!$A$8="Neg",N($BG$72)=1),OR(AND(ISNUMBER($AC24),$AC24=MAX($AC$9:$AC$55)),AND(ISNUMBER($AB24),$AB24=MIN($AB$9:$AB$55))),NOT(AND(AND(ISNUMBER($AC24),$AC24=MAX($AC$9:$AC$55)),AND(ISNUMBER($AB24),$AB24=MIN($AB$9:$AB$55)))),$AG24="S",N($AB24)&lt;0,NOT(COUNTIF('Master Dashboard'!$AN$16:$AN$18,$AA24)&gt;0)))),"AMPLIFY ","")&amp;IF(AND($AG24="S",OR('King Node Model'!$A$8="Neg",N($BG$72)=1),$AJ24&lt;&gt;1,N($MT24)&lt;&gt;1,NOT(AND(N($LR24)=1,N($MB24)=1)),ISNUMBER(SEARCH("ACCEL building",$CG24))),"ZACCEL ","")&amp;IF(AND($AG24="S",OR('King Node Model'!$A$8="Neg",N($BG$72)=1),$AA24='King Node Model'!$B$23,NOT(AND(AND(ISNUMBER($AC24),$AC24=MAX($AC$9:$AC$55)),AND(ISNUMBER($AB24),$AB24=MIN($AB$9:$AB$55)))),$EJ24&lt;&gt;1),"KINGACC ","")&amp;IF(AND($AG24="S",OR('King Node Model'!$A$8="Neg",N($BG$72)=1),ABS(N($AA24)-N('King Node Model'!$B$23))&lt;=$BG$107,NOT(AND(SUMPRODUCT((ABS($AF$9:$AF$55)&lt;=ABS(N($AF24)))*1)/COUNT($AF$9:$AF$55)&gt;=0.66,OR(ISNUMBER(SEARCH("firmer resistance",$CG24)),ISNUMBER(SEARCH("STRENGTHENING",$CG24)),ISNUMBER(SEARCH("firmer support",$CG24))))),NOT(AND(N($AB24)&gt;0,SUMPRODUCT((ABS($AB$9:$AB$55)&lt;=ABS(N($AB24)))*1)/COUNT($AB$9:$AB$55)&gt;=0.66)),$EJ24&lt;&gt;1,$AJ24&lt;&gt;1,COUNTIF('Master Dashboard'!$AN$16:$AN$18,$AA24)=0,NOT(AND($AG24="S",OR('King Node Model'!$A$8="Neg",N($BG$72)=1),$AA24='King Node Model'!$B$23,NOT(AND(AND(ISNUMBER($AC24),$AC24=MAX($AC$9:$AC$55)),AND(ISNUMBER($AB24),$AB24=MIN($AB$9:$AB$55)))),$EJ24&lt;&gt;1))),"KINGNODE ","")&amp;IF(AND($AG24="R",NOT(AND(AND(ISNUMBER($AC24),$AC24=MAX($AC$9:$AC$55)),AND(ISNUMBER($AB24),$AB24=MIN($AB$9:$AB$55)))),UPPER('King Node Model'!$L$5)="LOW",$KC24="DOWN",N($AF24)&gt;0),"LOWIVFALL ","")&amp;IF(AND($AG24="R",NOT(AND(AND(ISNUMBER($AC24),$AC24=MAX($AC$9:$AC$55)),AND(ISNUMBER($AB24),$AB24=MIN($AB$9:$AB$55)))),UPPER('King Node Model'!$L$5)="HIGH",$KC24="DOWN",N($AF24)&gt;0,IFERROR(MATCH($AA24,$W$9:$W$14,0)&gt;=4,FALSE)),"HIGHIVFALL ","")&amp;IF(AND($AG24="R",N($BG$99)=1),"SPOTUPVOLUP ","")&amp;IF(AND($AG24="R",ISNUMBER(SEARCH("5/5",'Master Dashboard'!$E$29)),OR(ISNUMBER(SEARCH("WEAKENING",$EQ24)),ISNUMBER(SEARCH("Pos gamma ↓",$EQ24)),ISNUMBER(SEARCH("thinning the ceiling",$EQ24)))),"SQUEEZE ","")&amp;IF(N($JU24)=1,"DEDGECLIFF ","")&amp;IF(N($KT24)=1,"DEXDRAIN ","")&amp;IF(N($HW24)&lt;&gt;0,"DEXDROP ","")&amp;IF(N($HX24)&lt;&gt;0,"PEAK+ ","")&amp;IF(N($IF24)=1,"CHOP ","")&amp;IF(N($IQ24)=1,"CONTESTED ","")&amp;IF(N($IW24)=1,"VSELL ","")&amp;IF(N($JK24)=1,"VBUYRES ","")&amp;IF(N($JL24)=1,"DOMFLAT ","")&amp;IF(N($JM24)=1,"DOMPULL ","")&amp;IF(N($JP24)=1,"OIZOMMA ","")&amp;IF(AND(N($JQ24)=1,N($JZ24)&lt;&gt;1),"OIDEX ","")),""))</f>
        <v>LOWIVFALL VBUYRES</v>
      </c>
      <c r="HS24">
        <f>IFERROR(IF(AND($DC24=1,OR(AND($AG24="R",INDEX($DC$9:$DC$55,15)=0,INDEX($DC$9:$DC$55,17)=1,INDEX($DC$9:$DC$55,18)=1),AND($AG24="S",INDEX($DC$9:$DC$55,17)=0,INDEX($DC$9:$DC$55,15)=1,INDEX($DC$9:$DC$55,14)=1))),1,0),0)</f>
        <v>0</v>
      </c>
      <c r="HT24">
        <f t="shared" si="97"/>
        <v>0</v>
      </c>
      <c r="HU24">
        <v>0</v>
      </c>
      <c r="HV24">
        <v>0</v>
      </c>
      <c r="HW24">
        <f>IFERROR(IF(OR(NOT(ISNUMBER($AA24)),'King Node Model'!$A$8&lt;&gt;"Pos",N($BG$72)=1,ABS(N($AE24))&lt;$BG$113,N($AV24)=1,$FA24="DOM",$AA24='King Node Model'!$T$23,AND(N($BG$116)=1,$AA24='King Node Model'!$F$24),NOT(ISNUMBER($KU24)),NOT(ISNUMBER($KV24))),0,IF(AND($AG24="S",COUNTIF('Master Dashboard'!$AN$16:$AN$18,$AA24)=0,$KU24&gt;=$BG$114,$KU24&gt;=$KV24+$BG$115,NOT(AND(N($AN25)=1,N($KV24)&lt;0)),N($AE24)&lt;=0),1,IF(AND($AG24="R",COUNTIF('Master Dashboard'!$AN$13:$AN$15,$AA24)=0,$KV24&gt;=$BG$114,$KV24&gt;=$KU24+$BG$115,NOT(AND(N($AN23)=1,N($KU24)&lt;0))),-1,0))),0)</f>
        <v>0</v>
      </c>
      <c r="HX24">
        <f>IFERROR(IF(AND(ISNUMBER($AA24),$FA24="PEAK+",N($AN24)&lt;&gt;1,NOT(AND('King Node Model'!$A$8="Pos",OR($AA24='King Node Model'!$T$22,$AA24='King Node Model'!$T$23,$AA24='King Node Model'!$F$24))),IF($AG24="S",COUNTIF('Master Dashboard'!$AN$16:$AN$18,$AA24)=0,IF($AG24="R",COUNTIF('Master Dashboard'!$AN$13:$AN$15,$AA24)=0,FALSE))),1,0),0)</f>
        <v>0</v>
      </c>
      <c r="HY24">
        <f t="shared" si="98"/>
        <v>-1.5700990328019526E-2</v>
      </c>
      <c r="HZ24">
        <v>0</v>
      </c>
      <c r="IA24">
        <f>IFERROR(IF(AND(IF($BG$44=1,OR(ISNUMBER(SEARCH("Choppy",'King Node Model'!$S$38)),'King Node Model'!$S$52&lt;&gt;"",'King Node Model'!$A$8="Pos"),TRUE()),OR($DC24=1,$DC23=1,$DC25=1),ABS($AA24-$B$4)&lt;=$BG$7,ABS($AA24-$BG$28)&gt;=$BG$45,OR(AND($AA24&gt;$BG$28,$AG24="R"),AND($AA24&lt;$BG$28,$AG24="S",N($BG$154)=1)),ABS(IF($AA24&gt;$BG$28,$AE25,$AE23))&gt;=$BG$43,ABS(N(IF($AA24&gt;$BG$28,$AE23,$AE25)))&lt;=$BG$153*ABS(IF($AA24&gt;$BG$28,$AE25,$AE23)),IF(ISNUMBER($HZ24),$HZ24=1,AND(ISNUMBER($HY24),$HY24&gt;=$BG$42))),1,0),0)</f>
        <v>0</v>
      </c>
      <c r="IB24">
        <f t="shared" si="99"/>
        <v>1</v>
      </c>
      <c r="IC24" t="str">
        <f>IF(NOT(ISNUMBER($AA24)),"",IFERROR(MID(IF(AND($AC24=MAX($AC$9:$AC$55),$AB24=MIN($AB$9:$AB$55))," · DOM","")&amp;IF(AND($DC23=1,$DC24=1,$DC25=1,INDEX($AC$9:$AC$55,16-1)&lt;=(1-$FA$6)*$AC24,INDEX($AC$9:$AC$55,16-1)&lt;=(1-$FA$6)*INDEX($AC$9:$AC$55,16-2))," · GAP↑ → "&amp;INDEX($AA$9:$AA$55,16-2),"")&amp;IF(AND($DC25=1,$DC24=1,INDEX($AC$9:$AC$55,16+1)&lt;=(1-$FA$6)*$AC24,INDEX($AC$9:$AC$55,16+1)&lt;=(1-$FA$6)*INDEX($AC$9:$AC$55,16+2))," · GAP↓ → "&amp;INDEX($AA$9:$AA$55,16+2),"")&amp;IF($CZ24=1," · dEdge Cliff","")&amp;IF($GY24=1," · γWall","")&amp;IF(AND($DC24=1,$AB24&lt;0,$AC24&gt;=(1+$FA$6)*INDEX($AC$9:$AC$55,16-1),$AC24&gt;=(1+$FA$6)*INDEX($AC$9:$AC$55,16+1))," · PEAK-","")&amp;IF($GZ24=1," · γSh Edge","")&amp;IF($HL24=1," · Trough","")&amp;IF($HN24=1," · PEAK+","")&amp;IF($GF24=1," · Cluster",""),FIND(" · ",IF(AND($AC24=MAX($AC$9:$AC$55),$AB24=MIN($AB$9:$AB$55))," · DOM","")&amp;IF(AND($DC23=1,$DC24=1,$DC25=1,INDEX($AC$9:$AC$55,16-1)&lt;=(1-$FA$6)*$AC24,INDEX($AC$9:$AC$55,16-1)&lt;=(1-$FA$6)*INDEX($AC$9:$AC$55,16-2))," · GAP↑ → "&amp;INDEX($AA$9:$AA$55,16-2),"")&amp;IF(AND($DC25=1,$DC24=1,INDEX($AC$9:$AC$55,16+1)&lt;=(1-$FA$6)*$AC24,INDEX($AC$9:$AC$55,16+1)&lt;=(1-$FA$6)*INDEX($AC$9:$AC$55,16+2))," · GAP↓ → "&amp;INDEX($AA$9:$AA$55,16+2),"")&amp;IF($CZ24=1," · dEdge Cliff","")&amp;IF($GY24=1," · γWall","")&amp;IF(AND($DC24=1,$AB24&lt;0,$AC24&gt;=(1+$FA$6)*INDEX($AC$9:$AC$55,16-1),$AC24&gt;=(1+$FA$6)*INDEX($AC$9:$AC$55,16+1))," · PEAK-","")&amp;IF($GZ24=1," · γSh Edge","")&amp;IF($HL24=1," · Trough","")&amp;IF($HN24=1," · PEAK+","")&amp;IF($GF24=1," · Cluster",""),2),999),""))</f>
        <v/>
      </c>
      <c r="ID24" t="str">
        <f>IF(NOT(ISNUMBER($AA24)),"",IFERROR(MID(IF(AND($AC24=MAX($AC$9:$AC$55),$AB24=MIN($AB$9:$AB$55))," · DOM","")&amp;IF(AND($DC23=1,$DC24=1,$DC25=1,INDEX($AC$9:$AC$55,16-1)&lt;=(1-$FA$6)*$AC24,INDEX($AC$9:$AC$55,16-1)&lt;=(1-$FA$6)*INDEX($AC$9:$AC$55,16-2))," · GAP↑ → "&amp;INDEX($AA$9:$AA$55,16-2),"")&amp;IF(AND($DC25=1,$DC24=1,INDEX($AC$9:$AC$55,16+1)&lt;=(1-$FA$6)*$AC24,INDEX($AC$9:$AC$55,16+1)&lt;=(1-$FA$6)*INDEX($AC$9:$AC$55,16+2))," · GAP↓ → "&amp;INDEX($AA$9:$AA$55,16+2),"")&amp;IF($CZ24=1," · dEdge Cliff","")&amp;IF($GY24=1," · γWall","")&amp;IF(AND($DC24=1,$AB24&lt;0,$AC24&gt;=(1+$FA$6)*INDEX($AC$9:$AC$55,16-1),$AC24&gt;=(1+$FA$6)*INDEX($AC$9:$AC$55,16+1))," · PEAK-","")&amp;IF($GZ24=1," · γSh Edge","")&amp;IF($HL24=1," · Trough","")&amp;IF($HN24=1," · PEAK+","")&amp;IF(AND(NOT($HN24=1),NOT(AND($DC24=1,$AB24&lt;0)),N($GY24)&lt;&gt;1,N($GF24)&lt;&gt;1,N($GZ24)&lt;&gt;1,N($HL24)&lt;&gt;1,N($CZ24)&lt;&gt;1,NOT(AND($AC24=MAX($AC$9:$AC$55),$AB24=MIN($AB$9:$AB$55))),$AC24&gt;=(1+$FA$6)*INDEX($AC$9:$AC$55,16-1),$AC24&gt;=(1+$FA$6)*INDEX($AC$9:$AC$55,16+1))," · Knoll","")&amp;IF($GF24=1," · Cluster",""),4,999),""))</f>
        <v>Cluster</v>
      </c>
      <c r="IF24">
        <f t="shared" si="100"/>
        <v>0</v>
      </c>
      <c r="IG24">
        <f>IFERROR(IF(AND(ISNUMBER($AA24),'King Node Model'!$A$8="Pos",OR($AG24="S",$AG24="R"),$IN24="interior",COUNTIF(IF($AG24="S",'Master Dashboard'!$AN$16:$AN$18,'Master Dashboard'!$AN$13:$AN$15),$AA24)=0,$AA24&lt;&gt;'King Node Model'!$T$22,$AA24&lt;&gt;'King Node Model'!$T$23,$AA24&lt;&gt;'King Node Model'!$F$24),1,0),0)</f>
        <v>0</v>
      </c>
      <c r="IH24">
        <f t="shared" si="101"/>
        <v>0</v>
      </c>
      <c r="II24">
        <f t="shared" si="190"/>
        <v>0</v>
      </c>
      <c r="IJ24">
        <f t="shared" si="102"/>
        <v>0</v>
      </c>
      <c r="IK24">
        <f t="shared" si="103"/>
        <v>0</v>
      </c>
      <c r="IL24">
        <f t="shared" si="191"/>
        <v>0</v>
      </c>
      <c r="IM24">
        <f t="shared" si="104"/>
        <v>0</v>
      </c>
      <c r="IN24" t="str">
        <f t="shared" si="105"/>
        <v/>
      </c>
      <c r="IO24">
        <v>0</v>
      </c>
      <c r="IP24">
        <v>0</v>
      </c>
      <c r="IQ24">
        <f>IFERROR(IF($AG24="S",IF(OR(COUNTIF($W$9:$W$14,$AA24)&gt;0,COUNTIF('King Node Model'!$AL$42:'King Node Model'!$AL$43,$AA24)&gt;0),1,0),IF($AG24="R",IF(OR(COUNTIF($W$18:$W$23,$AA24)&gt;0,COUNTIF('King Node Model'!$AL$49:'King Node Model'!$AL$50,$AA24)&gt;0),1,0),0)),0)</f>
        <v>0</v>
      </c>
      <c r="IS24">
        <f>IF(AND(ISNUMBER($AA24),N($AN24)&lt;&gt;1,N($LR24)&lt;&gt;1,OR(N($EN24)&lt;&gt;1,AND('King Node Model'!$A$8&lt;&gt;"Neg",N($BG$72)&lt;&gt;1)),$AA24&lt;&gt;'King Node Model'!$T$22,$AA24&lt;&gt;'King Node Model'!$T$23,$AA24&lt;&gt;'King Node Model'!$F$24,NOT(AND($AG24="S",COUNTIF('Master Dashboard'!$AN$16:$AN$18,$AA24)&gt;0)),NOT(AND($AG24="R",COUNTIF('Master Dashboard'!$AN$13:$AN$15,$AA24)&gt;0)),NOT(AND('King Node Model'!$A$8&lt;&gt;"Neg",N($BG$72)&lt;&gt;1,COUNTIF('Master Dashboard'!$AN$13:$AN$18,$AA24)&gt;0))),1,0)</f>
        <v>0</v>
      </c>
      <c r="IT24">
        <v>0</v>
      </c>
      <c r="IU24">
        <f>IF(AND(ISNUMBER($AA24),$AA24='King Node Model'!$F$24,$AA24&gt;$GJ$3,N($AD24)&lt;0,$F$4="High"),1,0)</f>
        <v>0</v>
      </c>
      <c r="IV24" t="str">
        <f>""</f>
        <v/>
      </c>
      <c r="IW24">
        <f>IFERROR(IF(AND(ISNUMBER($AA24),NOT(AND(N($LR24)=1,N($MB24)=1)),$AG24="S",OR('King Node Model'!$A$8="Neg",N($BG$72)=1),$JV24="SELL",ABS(N($AD24))&gt;=$BG$94,NOT(AND(N($AD24)&gt;0,N($BG$78)=1,MEDIAN($AA24-$BG$82,$B$4,$AA24+$BG$83)=$B$4))),1,0),0)</f>
        <v>0</v>
      </c>
      <c r="IX24">
        <f>IFERROR(IF(AND(ISNUMBER($AA24),$AG24="S",OR('King Node Model'!$A$8="Neg",N($BG$72)=1),N($AD24)&gt;0,N($BG$78)=1,MEDIAN($AA24-$BG$82,$B$4,$AA24+$BG$83)=$B$4),1,0),0)</f>
        <v>0</v>
      </c>
      <c r="IY24" t="str">
        <f t="shared" si="106"/>
        <v>SELL</v>
      </c>
      <c r="IZ24">
        <f>IFERROR(IF(AND(ISNUMBER($AA24),$FA24&lt;&gt;"DOM",$AA24&lt;&gt;'King Node Model'!$F$24,OR(AND($AG24="S",COUNTIF('Master Dashboard'!$AN$16:$AN$18,$AA24)=0,N(INDEX($AE$9:$AE$55,MATCH($AA24+$BG$84,$AA$9:$AA$55,0)))&lt;=-$BG$85),AND($AG24="R",COUNTIF('Master Dashboard'!$AN$13:$AN$15,$AA24)=0,N(INDEX($AE$9:$AE$55,MATCH($AA24-$BG$84,$AA$9:$AA$55,0)))&gt;=$BG$85))),1,0),0)</f>
        <v>0</v>
      </c>
      <c r="JC24">
        <f t="shared" si="108"/>
        <v>0</v>
      </c>
      <c r="JD24" t="str">
        <f t="shared" si="193"/>
        <v/>
      </c>
      <c r="JE24">
        <f>IF(ISNUMBER($AA24),N(IFERROR(INDEX('King Node Model'!$L$29:$L$75,MATCH($AA24,'King Node Model'!$A$29:$A$75,0)),0)),"")</f>
        <v>570</v>
      </c>
      <c r="JF24">
        <f>IF(ISNUMBER($AA24),N(IFERROR(INDEX('King Node Model'!$K$29:$K$75,MATCH($AA24,'King Node Model'!$A$29:$A$75,0)),0)),"")</f>
        <v>1570</v>
      </c>
      <c r="JG24">
        <f t="shared" si="109"/>
        <v>0.36305732484076431</v>
      </c>
      <c r="JH24">
        <f t="shared" si="110"/>
        <v>2.7543859649122808</v>
      </c>
      <c r="JI24">
        <f t="shared" si="111"/>
        <v>0</v>
      </c>
      <c r="JJ24" t="str">
        <f t="shared" si="112"/>
        <v/>
      </c>
      <c r="JK24">
        <f t="shared" si="113"/>
        <v>1</v>
      </c>
      <c r="JL24">
        <f t="shared" si="114"/>
        <v>0</v>
      </c>
      <c r="JM24">
        <f t="shared" si="115"/>
        <v>0</v>
      </c>
      <c r="JN24">
        <f t="shared" si="116"/>
        <v>0</v>
      </c>
      <c r="JO24">
        <f t="shared" si="117"/>
        <v>0</v>
      </c>
      <c r="JP24">
        <f t="shared" si="118"/>
        <v>0</v>
      </c>
      <c r="JQ24">
        <f t="shared" si="119"/>
        <v>0</v>
      </c>
      <c r="JR24">
        <v>0</v>
      </c>
      <c r="JS24">
        <f>IFERROR(IF(AND(ISNUMBER($AA24),'King Node Model'!$A$8="Pos",OR($AG24="S",$AG24="R"),N($AB24)&gt;0,N($HP24)&lt;&gt;1,OR(AND($KC24="DOWN",N($AF24)&lt;0,N($AF24)=MIN($AF$9:$AF$55),-N($AF24)&gt;=MAX($AF$9:$AF$55)),AND($KC24="UP",N($AF24)&gt;0,N($AF24)=MAX($AF$9:$AF$55),N($AF24)&gt;=-MIN($AF$9:$AF$55)))),1,0),0)</f>
        <v>0</v>
      </c>
      <c r="JT24">
        <v>0</v>
      </c>
      <c r="JU24">
        <f>IFERROR(IF(AND(N($BG$109)=1,ISNUMBER($AA24),'King Node Model'!$A$8="Pos",N($CZ24)=1,N($AB24)&gt;0),1,0),0)</f>
        <v>0</v>
      </c>
      <c r="JV24" t="str">
        <f t="shared" si="120"/>
        <v>BUY</v>
      </c>
      <c r="JW24">
        <f t="shared" si="121"/>
        <v>0</v>
      </c>
      <c r="JX24">
        <f t="shared" si="122"/>
        <v>0</v>
      </c>
      <c r="JY24">
        <f t="shared" si="123"/>
        <v>0</v>
      </c>
      <c r="JZ24">
        <f t="shared" si="124"/>
        <v>0</v>
      </c>
      <c r="KA24">
        <f t="shared" si="125"/>
        <v>0</v>
      </c>
      <c r="KB24">
        <f t="shared" si="126"/>
        <v>0</v>
      </c>
      <c r="KC24" t="str">
        <f t="shared" si="127"/>
        <v>DOWN</v>
      </c>
      <c r="KE24" t="str">
        <f t="shared" si="128"/>
        <v>Now: strengthening the ceiling (IV rising) · if IV falls: weakens the ceiling · expected on arrival: WEAKENS ✗</v>
      </c>
      <c r="KF24" t="str">
        <f t="shared" si="129"/>
        <v>BUY</v>
      </c>
      <c r="KG24">
        <f t="shared" si="192"/>
        <v>0</v>
      </c>
      <c r="KH24" t="str">
        <f t="shared" si="130"/>
        <v/>
      </c>
      <c r="KI24" t="str">
        <f t="shared" si="131"/>
        <v/>
      </c>
      <c r="KJ24">
        <f t="shared" si="132"/>
        <v>0</v>
      </c>
      <c r="KK24">
        <f t="shared" si="133"/>
        <v>0</v>
      </c>
      <c r="KL24">
        <f t="shared" si="134"/>
        <v>0</v>
      </c>
      <c r="KM24">
        <f t="shared" si="135"/>
        <v>0</v>
      </c>
      <c r="KN24">
        <f t="shared" si="136"/>
        <v>0</v>
      </c>
      <c r="KO24">
        <v>0</v>
      </c>
      <c r="KP24">
        <f t="shared" si="137"/>
        <v>0</v>
      </c>
      <c r="KQ24">
        <f t="shared" si="138"/>
        <v>0</v>
      </c>
      <c r="KR24">
        <f t="shared" si="139"/>
        <v>0</v>
      </c>
      <c r="KS24">
        <f t="shared" si="140"/>
        <v>0</v>
      </c>
      <c r="KT24">
        <f t="shared" si="141"/>
        <v>0</v>
      </c>
      <c r="KU24">
        <f>IF(AND(ISNUMBER($AA24),ISNUMBER($AE24),ISNUMBER($AE23),N($AE24)&lt;&gt;0),($AE24-$AE23)/$AE24,"")</f>
      </c>
      <c r="KV24">
        <f>IF(AND(ISNUMBER($AA24),ISNUMBER($AE24),ISNUMBER($AE25),N($AE24)&lt;&gt;0),($AE24-$AE25)/$AE24,"")</f>
      </c>
      <c r="KW24">
        <f>IFERROR(IF(OR(NOT(ISNUMBER($AA24)),'King Node Model'!$A$8&lt;&gt;"Pos",N($BG$72)=1,ABS(N($AE24))&lt;$BG$113,$FA24="DOM",$AA24='King Node Model'!$T$23,AND(N($BG$116)=1,$AA24='King Node Model'!$F$24),NOT(ISNUMBER($KU24)),NOT(ISNUMBER($KV24))),0,IF(AND($AG24="S",COUNTIF('Master Dashboard'!$AN$16:$AN$18,$AA24)=0,$KU24&gt;=$BG$114,$KU24&gt;=$KV24+$BG$115),1,IF(AND($AG24="R",COUNTIF('Master Dashboard'!$AN$13:$AN$15,$AA24)=0,$KV24&gt;=$BG$114,$KV24&gt;=$KU24+$BG$115),-1,0))),0)</f>
        <v>0</v>
      </c>
      <c r="KX24">
        <f t="shared" si="144"/>
        <v>0</v>
      </c>
      <c r="KY24">
        <f t="shared" si="145"/>
        <v>0</v>
      </c>
      <c r="KZ24">
        <f t="shared" si="146"/>
        <v>0</v>
      </c>
      <c r="LA24">
        <f t="shared" si="147"/>
        <v>0</v>
      </c>
      <c r="LB24">
        <f t="shared" si="148"/>
        <v>0</v>
      </c>
      <c r="LC24">
        <f t="shared" si="149"/>
        <v>0</v>
      </c>
      <c r="LD24">
        <f t="shared" si="150"/>
        <v>0</v>
      </c>
      <c r="LE24">
        <f t="shared" si="151"/>
        <v>0</v>
      </c>
      <c r="LF24">
        <f t="shared" si="152"/>
        <v>0</v>
      </c>
      <c r="LG24" t="str">
        <f t="shared" si="153"/>
        <v/>
      </c>
      <c r="LH24" t="str">
        <f t="shared" si="154"/>
        <v/>
      </c>
      <c r="LI24" t="str">
        <f t="shared" si="155"/>
        <v/>
      </c>
      <c r="LJ24" t="str">
        <f t="shared" si="156"/>
        <v/>
      </c>
      <c r="LK24" t="str">
        <f t="shared" si="157"/>
        <v/>
      </c>
      <c r="LL24">
        <f t="shared" si="158"/>
        <v>0</v>
      </c>
      <c r="LM24">
        <f t="shared" si="159"/>
        <v>0</v>
      </c>
      <c r="LN24">
        <f t="shared" si="160"/>
        <v>0</v>
      </c>
      <c r="LO24">
        <v>0</v>
      </c>
      <c r="LP24">
        <f t="shared" si="161"/>
        <v>0</v>
      </c>
      <c r="LQ24" t="str">
        <f t="shared" si="162"/>
        <v/>
      </c>
      <c r="LR24">
        <f t="shared" si="163"/>
        <v>0</v>
      </c>
      <c r="LS24">
        <f t="shared" si="164"/>
        <v>0</v>
      </c>
      <c r="LT24">
        <f t="shared" si="165"/>
        <v>1</v>
      </c>
      <c r="LU24">
        <f t="shared" si="166"/>
        <v>-333737</v>
      </c>
      <c r="LV24">
        <f t="shared" si="167"/>
        <v>0</v>
      </c>
      <c r="LW24">
        <f t="shared" si="168"/>
        <v>0</v>
      </c>
      <c r="LX24">
        <f t="shared" si="169"/>
        <v>0</v>
      </c>
      <c r="LY24">
        <f t="shared" si="170"/>
        <v>0</v>
      </c>
      <c r="LZ24">
        <f t="shared" si="171"/>
        <v>0</v>
      </c>
      <c r="MA24">
        <f t="shared" si="172"/>
        <v>0</v>
      </c>
      <c r="MB24">
        <v>0</v>
      </c>
      <c r="MC24">
        <f t="shared" si="173"/>
        <v>1</v>
      </c>
      <c r="MD24">
        <f t="shared" si="174"/>
        <v>1</v>
      </c>
      <c r="ME24">
        <f t="shared" si="175"/>
        <v>0</v>
      </c>
      <c r="MF24">
        <f t="shared" si="176"/>
        <v>0</v>
      </c>
      <c r="MG24">
        <f t="shared" si="177"/>
        <v>0</v>
      </c>
      <c r="MH24">
        <f t="shared" si="178"/>
        <v>0</v>
      </c>
      <c r="MI24" t="str">
        <f t="shared" si="179"/>
        <v/>
      </c>
      <c r="MJ24">
        <f t="shared" si="180"/>
        <v>0</v>
      </c>
      <c r="MK24">
        <f t="shared" si="181"/>
        <v>0</v>
      </c>
      <c r="ML24">
        <f>IF(AND(OR('King Node Model'!$A$8="Neg",N($BG$72)=1),ISNUMBER($AA24),$AG24="R",N($AB24)&lt;0),IF(AND($AA23=$AA24+5,N($AB23)&gt;0,$AA22=$AA24+10,N($AB22)&lt;0),1,IF(AND($AA23=$AA24+5,N($AB23)&gt;0,$AA22=$AA24+10,N($AB22)&gt;0,$AA21=$AA24+15,N($AB21)&lt;0),2,IF(AND($AA23=$AA24+5,N($AB23)&gt;0,$AA22=$AA24+10,N($AB22)&gt;0,$AA21=$AA24+15,N($AB21)&gt;0,$AA20=$AA24+20,N($AB20)&lt;0),3,IF(AND($AA23=$AA24+5,N($AB23)&gt;0,$AA22=$AA24+10,N($AB22)&gt;0,$AA21=$AA24+15,N($AB21)&gt;0,$AA20=$AA24+20,N($AB20)&gt;0,$AA19=$AA24+25,N($AB19)&lt;0),4,0)))),0)</f>
      </c>
      <c r="MM24">
        <f>IF(AND(OR('King Node Model'!$A$8="Neg",N($BG$72)=1),ISNUMBER($AA24),$AG24="S",N($AB24)&lt;0),IF(AND($AA25=$AA24-5,N($AB25)&gt;0,$AA26=$AA24-10,N($AB26)&lt;0),1,IF(AND($AA25=$AA24-5,N($AB25)&gt;0,$AA26=$AA24-10,N($AB26)&gt;0,$AA27=$AA24-15,N($AB27)&lt;0),2,IF(AND($AA25=$AA24-5,N($AB25)&gt;0,$AA26=$AA24-10,N($AB26)&gt;0,$AA27=$AA24-15,N($AB27)&gt;0,$AA28=$AA24-20,N($AB28)&lt;0),3,IF(AND($AA25=$AA24-5,N($AB25)&gt;0,$AA26=$AA24-10,N($AB26)&gt;0,$AA27=$AA24-15,N($AB27)&gt;0,$AA28=$AA24-20,N($AB28)&gt;0,$AA29=$AA24-25,N($AB29)&lt;0),4,0)))),0)</f>
      </c>
      <c r="MN24">
        <f>IF(N($ML24)&gt;0,$AA24,0)</f>
      </c>
      <c r="MO24">
        <f>IF(N($MM24)&gt;0,$AA24,0)</f>
      </c>
      <c r="MP24">
        <f>IF(AND(OR('King Node Model'!$A$8="Neg",N($BG$72)=1),ISNUMBER($BG$155),$AA24=$BG$155,N($NC24)=1),2,IF(AND(OR('King Node Model'!$A$8="Neg",N($BG$72)=1),ISNUMBER($BG$156),$AA24=$BG$156,N($ND24)=1),1,0))</f>
      </c>
      <c r="MQ24">
        <f>IF(ABS(AE24)&lt;=0,0,IF($AG24="R",IF(ISNUMBER(AE23),IF((ABS(AE23)-ABS(AE24))/ABS(AE24)&lt;-0.4,1,0),0),IF(ISNUMBER(AE25),IF((ABS(AE25)-ABS(AE24))/ABS(AE24)&lt;-0.4,1,0),0)))</f>
      </c>
      <c r="MR24">
        <f>IF(OR(N($MQ24)&lt;&gt;1,N($BG$157)&lt;&gt;1,NOT(ISNUMBER($KU24)),NOT(ISNUMBER($KV24))),0,IF(OR(AND($AG24="S",OR(AND($KU24&gt;=$BG$114,$KU24&gt;=$KV24+$BG$115),AND($KU24&gt;1,$KV24&lt;=1,$KV24&gt;=$BG$114))),AND($AG24="R",OR(AND($KV24&gt;=$BG$114,$KV24&gt;=$KU24+$BG$115),AND($KV24&gt;1,$KU24&lt;=1,$KU24&gt;=$BG$114)))),1,0))</f>
      </c>
      <c r="MS24" t="str">
        <f>IF(AND(N($MR24)=1,N($NA24)&lt;&gt;1),"• DEX falls off more sharply "&amp;IF($AG24="S","above (","below (")&amp;TEXT(IF($AG24="S",$KU24,$KV24),"0%")&amp;") than "&amp;IF($AG24="S","below (","above (")&amp;TEXT(IF($AG24="S",$KV24,$KU24),"0%")&amp;") — Dex↓ not counted",IF(N($MW24)=1,"• Shoulder of the "&amp;IF($AG24="R",$AA25,$AA23)&amp;" wall — own DEX "&amp;TEXT($AE24/1000,"+#,##0;-#,##0")&amp;"K is "&amp;TEXT(ABS($AE24)/ABS(IF($AG24="R",$AE25,$AE23)),"0%")&amp;" of "&amp;TEXT(IF($AG24="R",$AE25,$AE23)/1000,"+#,##0;-#,##0")&amp;"K, Dex↓ not counted",""))</f>
      </c>
      <c r="MT24">
        <f>IF(AND(ISNUMBER($AA24),$AG24="S",ISNUMBER($AB24),$AB24=MIN($AB$9:$AB$55),$AA24=$BG$105,$JV24="BUY",ABS(N($AD24))&gt;=$BG$158),1,0)</f>
      </c>
      <c r="MU24" t="str">
        <f>IF(N($MY24)=1,"",IF(OR(N($MT24)=1,AND(OR('King Node Model'!$A$8="Neg",N($BG$72)=1),$AG24="S",ISNUMBER($AB24),$AB24=MIN($AB$9:$AB$55),$AA24=$BG$105)),"• Min GEX + Max Zomma (no reversal flag required) — accelerant warning not applied; zomma acceleration warning only within "&amp;$BG$98&amp;" pts of the level, and not when vanna buying is "&amp;TEXT($BG$158/1000,"0")&amp;"K or more"&amp;CHAR(10)&amp;IF(N($MT24)=1,"• Max Zomma and vanna buying ("&amp;TEXT(N($AD24)/1000,"+#,##0;-#,##0")&amp;"K) make this level safe","• Max Zomma is what makes this level safe"),"")&amp;$NB24&amp;$NI24)</f>
      </c>
      <c r="MV24" t="str">
        <f>IF(AND(ISNUMBER($AA24),OR($AA24=$BG$118,$AA24=$BG$119)),IF(N($AZ24)*IF($AG24="R",1,-1)&gt;0,"✓",IF(N($AZ24)*IF($AG24="R",1,-1)&lt;0,"✗","")),"")</f>
      </c>
      <c r="MW24">
        <f>IF(AND(N($MQ24)=1,N($BG$159)&gt;0,ISNUMBER(IF($AG24="R",$AE25,$AE23)),N(IF($AG24="R",$AE25,$AE23))&lt;&gt;0),IF(ABS(N($AE24))&lt;$BG$159*ABS(IF($AG24="R",$AE25,$AE23)),1,0),0)</f>
      </c>
      <c r="MX24">
        <f>IF(AND(ISNUMBER($AA24),$AA24=$BG$121,$AG24="R",N($AE24)&lt;0,OR(COUNTIF('King Node Model'!$AL$42:$AL$44,$AA24)=0,N($HP24)=1),N($NC24)=1),2,IF(AND(ISNUMBER($AA24),$AA24=$BG$120,$AG24="S",N($AE24)&gt;0,OR(COUNTIF('King Node Model'!$AL$49:$AL$51,$AA24)=0,N($HP24)=1),N($ND24)=1),1,0))</f>
      </c>
      <c r="MY24">
        <f>IF(AND(N($NA24)=1,NOT(AND(AND($AG24="S",ISNUMBER($AB24),$AB24=MIN($AB$9:$AB$55),$AA24=$BG$105),IFERROR(INDEX($AG$9:$AG$55,MATCH('King Node Model'!$B$23,$AA$9:$AA$55,0)),"")="R")),N($AV24)&lt;&gt;1),1,0)</f>
      </c>
      <c r="MZ24" t="str">
        <f>IF(N($MY24)&lt;&gt;1,"","• DEX falls off more sharply "&amp;IF($AG24="S","above (","below (")&amp;TEXT(IF($AG24="S",$KU24,$KV24),"0%")&amp;") than "&amp;IF($AG24="S","below (","above (")&amp;TEXT(IF($AG24="S",$KV24,$KU24),"0%")&amp;") — path of least resistance "&amp;IF($AG24="S","down","up")&amp;IF(N($AZ24)*IF($AG24="R",1,-1)&lt;0,CHAR(10)&amp;"• Speed against — GEX gets more negative as price "&amp;IF($AG24="R","rises","falls")&amp;" into it (speed "&amp;TEXT(N($AZ24),"#,##0;−#,##0")&amp;")","")&amp;IF(OR(N($NG24)=1,N($JC24)=1),CHAR(10)&amp;"• "&amp;IF(N($JC24)=1,"DOM with vanna BUY "&amp;TEXT(N($AD24)/1000,"+#,##0;−#,##0")&amp;"K","Put wall + Max Zomma + DOM")&amp;" backs the level, but it does not outweigh DEX"&amp;IF(N($AZ24)*IF($AG24="R",1,-1)&lt;0," and speed",""),IF(AND($AG24="S",ISNUMBER($AB24),$AB24=MIN($AB$9:$AB$55),$AA24=$BG$105),CHAR(10)&amp;"• Min GEX + Max Zomma backs the level, but it does not outweigh DEX"&amp;IF(N($AZ24)*IF($AG24="R",1,-1)&lt;0," and speed",""),IF(OR(N($JI24)=1,AND(N($GV24)=1,N($JK24)&lt;&gt;1,N($IW24)&lt;&gt;1),N($JC24)=1,AND($AA24='King Node Model'!$F$24,N($JN24)&lt;&gt;1,OR($AG24="R",AND($AG24="S",$F$4="High",IF($BG$80&lt;&gt;"",UPPER($BG$80),$D$5)="UP")))),CHAR(10)&amp;"• Vanna "&amp;IF($AG24="S","BUY ","SELL ")&amp;TEXT(N($AD24)/1000,"+#,##0;−#,##0")&amp;"K backs the level, but it does not outweigh DEX"&amp;IF(N($AZ24)*IF($AG24="R",1,-1)&lt;0," and speed",""),"")))&amp;IF(N($NE24)=1,CHAR(10)&amp;"• Buy-lean max-node exemption not applied — DEX leans against the level",""))</f>
      </c>
      <c r="NA24">
        <f>IF(AND(OR('King Node Model'!$A$8="Neg",N($BG$72)=1),ISNUMBER($AA24),ABS(N($AE24))&gt;=$BG$152,ISNUMBER($KU24),ISNUMBER($KV24)),IF(OR(AND($AG24="S",OR(AND($KU24&gt;=$BG$114,$KU24&gt;=$KV24+$BG$115),AND($KU24&gt;1,$KV24&lt;=1,$KV24&gt;=$BG$114))),AND($AG24="R",OR(AND($KV24&gt;=$BG$114,$KV24&gt;=$KU24+$BG$115),AND($KV24&gt;1,$KU24&lt;=1,$KU24&gt;=$BG$114)))),1,0),0)</f>
      </c>
      <c r="NB24" t="str">
        <f>IF(AND(N($NA24)=1,AND(AND($AG24="S",ISNUMBER($AB24),$AB24=MIN($AB$9:$AB$55),$AA24=$BG$105),IFERROR(INDEX($AG$9:$AG$55,MATCH('King Node Model'!$B$23,$AA$9:$AA$55,0)),"")="R")),CHAR(10)&amp;"• DEX falls off more sharply above ("&amp;TEXT($KU24,"0%")&amp;") than below ("&amp;TEXT($KV24,"0%")&amp;") — DEX-lean warning not applied: Min GEX + Max Zomma support with Max Gamma "&amp;'King Node Model'!$B$23&amp;" above (Dex↓ not counted)",IF(AND(OR(N($NA24)=1,N($NF24)=1),N($AV24)=1),IF(AND(OR('King Node Model'!$A$8="Neg",N($BG$72)=1),$AG24="S",ISNUMBER($AB24),$AB24=MIN($AB$9:$AB$55),$AA24=$BG$105),CHAR(10),"")&amp;"• DEX falls off more sharply "&amp;IF($AG24="S","above (","below (")&amp;TEXT(IF($AG24="S",$KU24,$KV24),"0%")&amp;") than "&amp;IF($AG24="S","below (","above (")&amp;TEXT(IF($AG24="S",$KV24,$KU24),"0%")&amp;") — DEX lean does not apply to iDex (isolated DEX)",""))</f>
      </c>
      <c r="NC24">
        <f>IF(OR($BG$163=1,AND($BG$161&gt;0,$BG$162&lt;99999,ISNUMBER($AA24),$AA24&lt;$BG$162)),1,0)</f>
      </c>
      <c r="ND24">
        <f>IF(OR($BG$163=-1,AND($BG$161&gt;0,$BG$162&lt;99999,ISNUMBER($AA24),$AA24&gt;$BG$161)),1,0)</f>
      </c>
      <c r="NE24">
        <f>IF(AND(OR('King Node Model'!$A$8="Neg",N($BG$72)=1),ISNUMBER(SEARCH("LOW",'Master Dashboard'!$M$5)),ISNUMBER(SEARCH("BUY",'Master Dashboard'!$G$8)),'King Node Model'!$T$23='King Node Model'!$B$23,OR($AA24='King Node Model'!$T$23,AND($AG24="R",$AA24='King Node Model'!$T$23+5)),OR(AND($AG24="S",$JV24="BUY"),AND($AG24="R",$JV24="SELL"))),1,0)</f>
      </c>
      <c r="NF24">
        <f>IFERROR(IF(OR(NOT(ISNUMBER($AA24)),'King Node Model'!$A$8&lt;&gt;"Pos",N($BG$72)=1,ABS(N($AE24))&lt;$BG$113,$FA24="DOM",$AA24='King Node Model'!$T$23,AND(N($BG$116)=1,$AA24='King Node Model'!$F$24),NOT(ISNUMBER($KU24)),NOT(ISNUMBER($KV24))),0,IF(AND($AG24="S",COUNTIF('Master Dashboard'!$AN$16:$AN$18,$AA24)=0,$KU24&gt;=$BG$114,$KU24&gt;=$KV24+$BG$115,NOT(AND(N($AN25)=1,N($KV24)&lt;0)),N($AE24)&lt;=0),1,IF(AND($AG24="R",COUNTIF('Master Dashboard'!$AN$13:$AN$15,$AA24)=0,$KV24&gt;=$BG$114,$KV24&gt;=$KU24+$BG$115,NOT(AND(N($AN23)=1,N($KU24)&lt;0))),-1,0))),0)</f>
      </c>
      <c r="NG24">
        <f t="shared" si="202"/>
      </c>
      <c r="NI24" t="str">
        <f>IF(AND(ISNUMBER($BG$165),ISNUMBER($AA24)),IF(OR(AND($AG24="S",$AA24&gt;$BG$165,$AA24-$BG$165&lt;=5),AND($AG24="R",$AA24&lt;$BG$165,$BG$165-$AA24&lt;=5)),IF(OR(AND(OR('King Node Model'!$A$8="Neg",N($BG$72)=1),$AG24="S",ISNUMBER($AB24),$AB24=MIN($AB$9:$AB$55),$AA24=$BG$105),$NB24&lt;&gt;""),CHAR(10),"")&amp;"• DOM forming at "&amp;$BG$165&amp;" (gamma "&amp;TEXT($BG$166,"0%")&amp;" of max) — price may be pulled to the node",""),"")</f>
      </c>
      <c r="NJ24">
        <f>IF(LEN($NI24)&gt;0,1,0)</f>
      </c>
    </row>
    <row r="25" spans="1:349" ht="15" customHeight="1" x14ac:dyDescent="0.25">
      <c r="A25" s="275" t="s">
        <v>1232</v>
      </c>
      <c r="AA25" s="181">
        <f>'King Node Model'!A45</f>
        <v>7805</v>
      </c>
      <c r="AB25" s="276">
        <f>'King Node Model'!C45</f>
        <v>308525</v>
      </c>
      <c r="AC25" s="181">
        <f>ABS('King Node Model'!B45)</f>
        <v>874234</v>
      </c>
      <c r="AD25" s="276">
        <f>'King Node Model'!F45</f>
        <v>796346</v>
      </c>
      <c r="AE25" s="276">
        <f>'King Node Model'!E45</f>
        <v>-328578</v>
      </c>
      <c r="AF25" s="276">
        <f>'King Node Model'!D45</f>
        <v>1622710</v>
      </c>
      <c r="AG25" s="181" t="str">
        <f t="shared" si="6"/>
        <v>R</v>
      </c>
      <c r="AH25" s="181">
        <f t="shared" si="7"/>
        <v>6</v>
      </c>
      <c r="AI25" s="181" t="str">
        <f t="shared" si="8"/>
        <v>SELL</v>
      </c>
      <c r="AJ25" s="181">
        <f t="shared" si="9"/>
        <v>0</v>
      </c>
      <c r="AK25" s="181">
        <f>IF(ABS(N($AE25))&gt;=$BG$85,1,0)</f>
      </c>
      <c r="AL25" s="181">
        <f t="shared" si="10"/>
        <v>0</v>
      </c>
      <c r="AM25" s="181">
        <f t="shared" si="11"/>
        <v>3</v>
      </c>
      <c r="AN25" s="181">
        <f t="shared" si="12"/>
        <v>1</v>
      </c>
      <c r="AO25" s="1">
        <f t="shared" si="13"/>
        <v>328578</v>
      </c>
      <c r="AP25" s="1" t="str">
        <f t="shared" si="14"/>
        <v/>
      </c>
      <c r="AQ25" s="1">
        <f t="shared" si="15"/>
        <v>1622710</v>
      </c>
      <c r="AR25" s="181">
        <f t="shared" si="16"/>
        <v>0.85641214302870805</v>
      </c>
      <c r="AS25" s="181">
        <f t="shared" si="17"/>
        <v>5</v>
      </c>
      <c r="AT25" s="181" t="str">
        <f t="shared" si="18"/>
        <v/>
      </c>
      <c r="AU25" s="181" t="str">
        <f t="shared" si="19"/>
        <v/>
      </c>
      <c r="AV25" s="218">
        <f t="shared" si="183"/>
        <v>0</v>
      </c>
      <c r="AW25" s="181">
        <f>ABS('King Node Model'!G45)</f>
        <v>582</v>
      </c>
      <c r="AX25" s="181">
        <f t="shared" si="20"/>
        <v>0</v>
      </c>
      <c r="AY25" s="181">
        <f t="shared" si="21"/>
        <v>0</v>
      </c>
      <c r="AZ25" s="276">
        <f>'King Node Model'!I45</f>
        <v>4759</v>
      </c>
      <c r="BA25" s="181">
        <f t="shared" si="22"/>
        <v>0</v>
      </c>
      <c r="BB25" s="181" t="str">
        <f t="shared" si="23"/>
        <v>R5</v>
      </c>
      <c r="BC25" s="10">
        <f>'King Node Model'!C45</f>
        <v>308525</v>
      </c>
      <c r="BD25" s="218">
        <f t="shared" si="184"/>
        <v>0</v>
      </c>
      <c r="BE25" s="218">
        <f t="shared" si="185"/>
        <v>0</v>
      </c>
      <c r="BF25" s="336" t="s">
        <v>1233</v>
      </c>
      <c r="BG25" s="3">
        <v>25</v>
      </c>
      <c r="BI25" s="218">
        <f t="shared" si="186"/>
        <v>0</v>
      </c>
      <c r="BJ25" s="218">
        <f t="shared" si="187"/>
        <v>0</v>
      </c>
      <c r="BK25" s="218">
        <f t="shared" si="24"/>
        <v>0</v>
      </c>
      <c r="BL25" s="10">
        <f>'King Node Model'!H45</f>
        <v>47</v>
      </c>
      <c r="BM25" s="218">
        <f t="shared" si="25"/>
        <v>15</v>
      </c>
      <c r="BN25" s="218">
        <f t="shared" si="26"/>
        <v>15</v>
      </c>
      <c r="BO25" s="218">
        <f t="shared" si="27"/>
        <v>0</v>
      </c>
      <c r="BP25" s="218">
        <f t="shared" si="28"/>
        <v>0</v>
      </c>
      <c r="BQ25" t="str">
        <f t="shared" si="29"/>
        <v/>
      </c>
      <c r="BR25" t="str">
        <f t="shared" si="30"/>
        <v/>
      </c>
      <c r="BS25" s="218">
        <f t="shared" si="31"/>
        <v>1</v>
      </c>
      <c r="BT25">
        <f t="shared" si="32"/>
        <v>2</v>
      </c>
      <c r="BU25" t="str">
        <f t="shared" si="33"/>
        <v/>
      </c>
      <c r="BV25" s="218">
        <f t="shared" si="34"/>
        <v>796346</v>
      </c>
      <c r="BW25" s="218">
        <f t="shared" si="35"/>
        <v>328578</v>
      </c>
      <c r="BX25" s="218">
        <f>IF(AND(ISNUMBER(BC25),BC25&gt;=$BG$160,OR('King Node Model'!$A$8="Neg",N($BG$72)=1)),1,0)</f>
        <v>1</v>
      </c>
      <c r="BY25" s="218">
        <f t="shared" si="36"/>
        <v>1</v>
      </c>
      <c r="BZ25" s="218">
        <f t="shared" si="37"/>
        <v>0</v>
      </c>
      <c r="CA25" t="str">
        <f t="shared" si="38"/>
        <v/>
      </c>
      <c r="CB25" s="218">
        <f>IF(AND(ISNUMBER('King Node Model'!$D$27),AG25&lt;&gt;"",AA25='King Node Model'!$D$27),1,0)</f>
        <v>0</v>
      </c>
      <c r="CC25" s="218">
        <f>IF(OR('King Node Model'!$A$8="Neg",N($BG$72)=1),$BG$14*IF(ISNUMBER('King Node Model'!$D$26),MAX(0,1-ABS(AA25-'King Node Model'!$D$26)/$BG$18),0)+$BG$15*IFERROR(BV25/MAX($BV$9:$BV$55),0)+$BG$16*IFERROR(BW25/MAX($BW$9:$BW$55),0)+$BG$17*IFERROR(AC25/$S$11,0)*MAX(0,1+$BG$21*CF25),AR25)</f>
        <v>1.387627983597491</v>
      </c>
      <c r="CD25" s="218">
        <f>IF(OR('King Node Model'!$A$8="Neg",N($BG$72)=1),IF(AND(AG25&lt;&gt;"",ABS(AA25-$B$4)&lt;=$BG$7,OR(AX25=0,$D$5&lt;&gt;"UP"),AY25=0,BK25&lt;&gt;1,CI25=0,AM25&gt;=$BG$20,AC25&gt;$BG$19),1,0),IF(AND(BS25=1,(COUNTIF($W$9:$W$14,AA25)+COUNTIF($W$18:$W$23,AA25))&gt;0,CI25=0,AM25&gt;=$BG$20,AC25&gt;$BG$19),1,0))</f>
        <v>1</v>
      </c>
      <c r="CE25" t="str">
        <f t="shared" si="39"/>
        <v/>
      </c>
      <c r="CF25" s="218">
        <f t="shared" si="40"/>
        <v>0</v>
      </c>
      <c r="CG25" t="str">
        <f t="shared" si="41"/>
        <v/>
      </c>
      <c r="CH25" t="str">
        <f t="shared" si="42"/>
        <v>Dormant</v>
      </c>
      <c r="CI25" s="218">
        <f t="shared" si="43"/>
        <v>0</v>
      </c>
      <c r="CJ25" s="218">
        <f t="shared" si="44"/>
        <v>29.609999999999673</v>
      </c>
      <c r="CK25" s="218">
        <f t="shared" si="45"/>
        <v>0</v>
      </c>
      <c r="CL25" s="218">
        <f t="shared" si="46"/>
        <v>0</v>
      </c>
      <c r="CR25" t="s">
        <v>1485</v>
      </c>
      <c r="CS25">
        <f>IFERROR(INDEX($AB$9:$AB$55,MATCH('King Node Model'!$AL$42,$AA$9:$AA$55,0)),"")</f>
        <v>-2299593</v>
      </c>
      <c r="CT25" s="218" t="s">
        <v>1234</v>
      </c>
      <c r="CU25" s="218">
        <f>IF(AND(AND('King Node Model'!$A$8&lt;&gt;"Neg",N($BG$72)&lt;&gt;1),SUMPRODUCT(($AG$9:$AG$55="S")*ISNUMBER($AT$9:$AT$55)*ISNUMBER($AU$9:$AU$55)*($AT$9:$AT$55&lt;&gt;$AU$9:$AU$55)*($AT$9:$AT$55&lt;=$AA25)*($AU$9:$AU$55&gt;=$AA25))&gt;0),0,IF(AND(OR($AA25='King Node Model'!$T$22,$AA25='King Node Model'!$F$24),$AG25="R",COUNTIF($W$9:$W$14,$AA25)&gt;0),1,IF(AND($FN25=1,$EU25&lt;&gt;1,$EM25&lt;&gt;1,$BK25&lt;&gt;1,$DH25&lt;&gt;1,$AG25="R",COUNTIF($W$9:$W$14,$AA25)&gt;0),1,IF($EU25=1,0,IF($EM25=1,0,IF(AND(OR($EE25=1,$GV25=1,AND($EL$7=1,$AA25='King Node Model'!$D$26,$EI25=1),AND(OR($AA25='King Node Model'!$T$22,$AA25='King Node Model'!$T$23),$AN25=1,OR($AX25=0,$D$5&lt;&gt;"UP"))),OR(NOT(OR('King Node Model'!$A$8="Neg",N($BG$72)=1)),$GV25=1,AND(OR($AA25='King Node Model'!$T$22,$AA25='King Node Model'!$T$23),$AN25=1,OR($AX25=0,$D$5&lt;&gt;"UP")),AND($AM25&gt;=$BG$20,$AC25&gt;IF($CZ25=1,$BG$48,$BG$19)))),1,IF($DH25=1,0,IF(AND($DC25=1,$GS25&lt;&gt;1,AND('King Node Model'!$A$8&lt;&gt;"Neg",N($BG$72)&lt;&gt;1)),0,IF(AND($EY25=1,NOT(OR('King Node Model'!$A$8="Neg",$BG$72=1)),$AA25&lt;&gt;'King Node Model'!$B$23),0,IF(AND($GS25=1,$AG25="R",OR($CI25=0,$EE25=1,$EX25=1,$GV25=1),COUNTIF($W$9:$W$14,$AA25)&gt;0,ABS($AA25-$B$4)&lt;=$BG$7,$BK25&lt;&gt;1,$AM25&gt;=$BG$20,$AC25&gt;IF($CZ25=1,$BG$48,$BG$19)),1,IF(OR('King Node Model'!$A$8="Neg",N($BG$72)=1),IF(AND(OR($AM25&gt;=$BG$20,$AA25='King Node Model'!$D$26,$GV25=1),$AG25="R",COUNTIF($W$9:$W$14,$AA25)&gt;0,ABS($AA25-$B$4)&lt;=$BG$7,OR($AX25=0,$D$5&lt;&gt;"UP"),$BK25&lt;&gt;1,OR(OR($CI25=0,$AJ25=1),AND($EI25=1,$LA25=1,COUNTIF($W$9:$W$11,$AA25)&gt;0,$AN25=1,OR($AX25=0,$D$5&lt;&gt;"UP"))),$AM25&gt;=$BG$20,$AC25&gt;IF($CZ25=1,$BG$48,$BG$19),OR($AN25=1,N($LR25)=1,$AA25='King Node Model'!$D$26,AND($BY25=1,$AA25&gt;$B$4),$BX25=1,$CF25=1,$CF25=1,AND(OR($AA25=$CP$4,$AA25=$CP$5,$AA25=$CP$6,$AA25=$CP$7),ABS($AA25-$B$4)&lt;=30),AND($AX25=1,$D$5="DOWN"))),1,0),IF(AND(OR($AM25&gt;=3,$AA25='King Node Model'!$D$26,$GV25=1),$AG25="R",COUNTIF($W$9:$W$14,$AA25)&gt;0,ABS($AA25-$B$4)&lt;=$BG$7,OR($AX25=0,$D$5&lt;&gt;"UP"),$BK25&lt;&gt;1,OR($CI25=0,$AJ25=1),$AM25&gt;=$BG$20,$AC25&gt;IF($CZ25=1,$BG$48,$BG$19),OR($AC25&gt;=MAX($AC$9:$AC$55),$BC25&gt;0,$AA25='King Node Model'!$D$26,AND(OR($AA25=$CP$4,$AA25=$CP$5,$AA25=$CP$6,$AA25=$CP$7),ABS($AA25-$B$4)&lt;=30),$CF25=1,$AN25=1,AND($AX25=1,$D$5="DOWN"))),1,0))))))))))))</f>
        <v>1</v>
      </c>
      <c r="CV25" s="218">
        <f>IF(AND(OR('King Node Model'!$A$8="Neg",N($BG$72)=1),$AG25="S",N($LR25)=1,N($MB25)=1),1,IF(AND(AND('King Node Model'!$A$8&lt;&gt;"Neg",N($BG$72)&lt;&gt;1),SUMPRODUCT(($AG$9:$AG$55="R")*ISNUMBER($AT$9:$AT$55)*ISNUMBER($AU$9:$AU$55)*($AT$9:$AT$55&lt;&gt;$AU$9:$AU$55)*($AT$9:$AT$55&lt;=$AA25)*($AU$9:$AU$55&gt;=$AA25))&gt;0,NOT(AND(N($LC25)=1,$AA25='King Node Model'!$B$23))),0,IF(AND($AA25='King Node Model'!$F$24,$AG25="S",COUNTIF($W$18:$W$23,$AA25)&gt;0),1,IF(AND($FN25=1,$EU25&lt;&gt;1,$EM25&lt;&gt;1,$DH25&lt;&gt;1,$AG25="S",COUNTIF($W$18:$W$23,$AA25)&gt;0),1,IF($EU25=1,0,IF(AND(OR($EF25=1,$GV25=1,AND(OR($AA25='King Node Model'!$T$22,$AA25='King Node Model'!$T$23,AND($AG25="S",COUNTIF('Master Dashboard'!$AN$16:$AN$18,$AA25)&gt;0)),$AN25=1,OR($AX25=0,$D$5&lt;&gt;"UP"))),OR(NOT(OR('King Node Model'!$A$8="Neg",N($BG$72)=1)),$GV25=1,AND(OR($AA25='King Node Model'!$T$22,$AA25='King Node Model'!$T$23,AND($AG25="S",COUNTIF('Master Dashboard'!$AN$16:$AN$18,$AA25)&gt;0)),$AN25=1,OR($AX25=0,$D$5&lt;&gt;"UP")),AND($AM25&gt;=$BG$20,$AC25&gt;IF($CZ25=1,$BG$48,$BG$19)))),1,IF($DH25=1,0,IF(AND($DC25=1,$GS25&lt;&gt;1,AND('King Node Model'!$A$8&lt;&gt;"Neg",N($BG$72)&lt;&gt;1)),0,IF(AND($EY25=1,NOT(OR('King Node Model'!$A$8="Neg",$BG$72=1)),$AA25&lt;&gt;'King Node Model'!$B$23,COUNTIF('Master Dashboard'!$AN$16:$AN$18,$AA25)=0),0,IF(AND($GS25=1,$AG25="S",OR($CI25=0,$EF25=1,$EX25=1,$GV25=1),COUNTIF($W$18:$W$23,$AA25)&gt;0,ABS($AA25-$B$4)&lt;=$BG$7,$BK25&lt;&gt;1,$AM25&gt;=$BG$20,$AC25&gt;IF($CZ25=1,$BG$48,$BG$19)),1,IF(OR('King Node Model'!$A$8="Neg",N($BG$72)=1),IF(AND(OR(OR($AM25&gt;=$BG$20,N($LR25)=1),$AA25='King Node Model'!$D$26,$GV25=1),$AG25="S",COUNTIF($W$18:$W$23,$AA25)&gt;0,ABS($AA25-$B$4)&lt;=$BG$7,OR($AX25=0,$D$5&lt;&gt;"UP"),$BK25&lt;&gt;1,OR($CI25=0,$AJ25=1,AND(N($LR25)=1,N($MB25)=1),N($MT25)=1),OR($AM25&gt;=$BG$20,N($LR25)=1),$AC25&gt;IF($CZ25=1,$BG$48,$BG$19),OR($AB25&gt;0,$AN25=1,N($MT25)=1,N($LR25)=1,$AA25='King Node Model'!$D$26,AND($BY25=1,$AA25&lt;$B$4),$BX25=1,$CF25=1,$CF25=1,AND(OR($AA25=$CP$4,$AA25=$CP$5,$AA25=$CP$6,$AA25=$CP$7),ABS($AA25-$B$4)&lt;=30),AND($AX25=1,$D$5="DOWN"))),1,0),IF(AND(OR($AM25&gt;=3,$AA25='King Node Model'!$D$26,$GV25=1),$AG25="S",COUNTIF($W$18:$W$23,$AA25)&gt;0,ABS($AA25-$B$4)&lt;=$BG$7,OR($AX25=0,$D$5&lt;&gt;"UP"),$BK25&lt;&gt;1,OR($CI25=0,$AJ25=1,AND(N($LR25)=1,N($MB25)=1),N($MT25)=1),$AM25&gt;=$BG$20,$AC25&gt;IF($CZ25=1,$BG$48,$BG$19),OR($AC25&gt;=MAX($AC$9:$AC$55),$BC25&gt;0,N($MT25)=1,$AA25='King Node Model'!$D$26,AND(OR($AA25=$CP$4,$AA25=$CP$5,$AA25=$CP$6,$AA25=$CP$7),ABS($AA25-$B$4)&lt;=30),$CF25=1,$AN25=1,AND($AX25=1,$D$5="DOWN"))),1,0))))))))))))</f>
        <v>0</v>
      </c>
      <c r="CX25" s="218">
        <f t="shared" si="48"/>
        <v>0</v>
      </c>
      <c r="CY25" t="str">
        <f t="shared" si="49"/>
        <v/>
      </c>
      <c r="CZ25" s="218">
        <f t="shared" si="50"/>
        <v>0</v>
      </c>
      <c r="DA25" t="str">
        <f t="shared" si="51"/>
        <v/>
      </c>
      <c r="DB25" t="str">
        <f t="shared" si="52"/>
        <v/>
      </c>
      <c r="DC25" s="218">
        <f t="shared" si="53"/>
        <v>0</v>
      </c>
      <c r="DD25" s="218">
        <f t="shared" si="54"/>
        <v>0</v>
      </c>
      <c r="DE25" s="218">
        <f t="shared" si="55"/>
        <v>0</v>
      </c>
      <c r="DF25" t="str">
        <f t="shared" si="56"/>
        <v/>
      </c>
      <c r="DG25" t="str">
        <f t="shared" si="57"/>
        <v/>
      </c>
      <c r="DH25" s="218">
        <f t="shared" si="58"/>
        <v>0</v>
      </c>
      <c r="DI25">
        <v>1</v>
      </c>
      <c r="DJ25">
        <v>1</v>
      </c>
      <c r="DK25">
        <v>658046</v>
      </c>
      <c r="DL25">
        <v>0</v>
      </c>
      <c r="DM25" t="str">
        <f>IF(AND($CV25=1,$AG25="S"),IF(AND(OR('King Node Model'!$A$8="Neg",N($BG$72)=1),'King Node Model'!$S$52=""),IF(OR(N($AN25)=1,N($LR25)=1,$AB25&gt;0,$AJ25=1,N($JO25)=1,AND(NOT($AE25&gt;0),NOT(IFERROR(AND(ISNUMBER($BC25),ISNUMBER($BC24),($BC25&gt;=0)&lt;&gt;($BC24&gt;=0)),FALSE())),OR(AND($BM25&lt;=6,$BN25&lt;=6),ABS($AA25-'King Node Model'!$T$23)&lt;=5,$LA25=1))),1,0),1),"")</f>
        <v/>
      </c>
      <c r="DN25" t="str">
        <f t="shared" si="59"/>
        <v/>
      </c>
      <c r="DO25" t="str">
        <f t="shared" si="60"/>
        <v/>
      </c>
      <c r="DP25" t="str">
        <f>IF(AND(OR('King Node Model'!$A$8="Neg",N($BG$72)=1),$AG25="S",ISNUMBER($AT25),ISNUMBER($AU25),$AT25&lt;&gt;$AU25,$AA25=$AT25),IF(AND(SUMPRODUCT(($AA$9:$AA$55&gt;=$AT25)*($AA$9:$AA$55&lt;=$AU25)*($AB$9:$AB$55&gt;0))&gt;0,SUMPRODUCT(($AA$9:$AA$55&gt;=$AT25)*($AA$9:$AA$55&lt;=$AU25)*($DM$9:$DM$55=1))&gt;0,SUMPRODUCT(($AA$9:$AA$55&gt;=$AT25)*($AA$9:$AA$55&lt;=$AU25)*(COUNTIF($W$18:$W$20,$AA$9:$AA$55)&gt;0))&gt;0),1,0),"")</f>
        <v/>
      </c>
      <c r="DS25">
        <v>1</v>
      </c>
      <c r="DT25">
        <v>0</v>
      </c>
      <c r="DU25" t="str">
        <f>IF('King Node Model'!$A$8&lt;&gt;"Pos","",IF(OR($AA25="",NOT(ISNUMBER($AA25)),ABS($AA25-$B$4)&gt;$BG$7),"",TEXT($AA25,"0")&amp;" | "&amp;IF($AG25="","unclassified",IF($AG25&lt;&gt;IF($AA25&gt;$B$4,"R","S"),"orphan: in "&amp;$AG25&amp;"-list, "&amp;IF($AA25&lt;$B$4,"below","above")&amp;" spot",IF(IF($AG25="R",COUNTIF($W$9:$W$14,$AA25),COUNTIF($W$18:$W$23,$AA25))=0,"not in "&amp;$AG25&amp;"-list",IF($DH25=1,"absorbed into shelf box",IF($BK25=1,"absorbed: adjacent reversal",IF($CI25=1,"accel-accelerant",IF($AC25&lt;=$BG$19,"below gamma-floor",IF($AM25&lt;$BG$20,"confluence "&amp;TEXT($AM25,"0")&amp;" &lt; "&amp;TEXT($BG$20,"0"),IF(AND($AX25=1,$D$5="UP"),"accelerant in up-move",IF(NOT(OR($AC25&gt;=MAX($AC$9:$AC$55),$BC25&gt;0,$AA25='King Node Model'!$D$26,AND(OR($AA25=$CP$4,$AA25=$CP$5,$AA25=$CP$6,$AA25=$CP$7),ABS($AA25-$B$4)&lt;=30),ISNUMBER(SEARCH("STRENGTHENING",$CG25)),$AN25=1,AND($AX25=1,$D$5="DOWN"))),"no surface flag","-&gt; qualifies"))))))))))))</f>
        <v/>
      </c>
      <c r="DV25" s="218">
        <f t="shared" si="61"/>
        <v>99999</v>
      </c>
      <c r="DW25" s="218">
        <f t="shared" si="62"/>
        <v>99999</v>
      </c>
      <c r="DX25" t="str">
        <f>IF('King Node Model'!$A$8&lt;&gt;"Pos","",IF(AND($DV25&lt;99999,$DV25=MIN($DV$9:$DV$55),$DG25&gt;$AA25),"R-box: "&amp;TEXT($AA25,"0")&amp;"-"&amp;TEXT($DG25,"0"),IF(AND($DW25&lt;99999,$DW25=MIN($DW$9:$DW$55),$DF25&lt;$AA25),"S-box: "&amp;TEXT($DF25,"0")&amp;"-"&amp;TEXT($AA25,"0"),"")))</f>
        <v/>
      </c>
      <c r="EB25">
        <f t="shared" si="63"/>
        <v>29.609999999999673</v>
      </c>
      <c r="EC25">
        <f t="shared" si="64"/>
        <v>538591</v>
      </c>
      <c r="ED25">
        <f t="shared" si="65"/>
        <v>0</v>
      </c>
      <c r="EE25">
        <f>IF(AND(OR('King Node Model'!$A$8="Neg",N($BG$72)=1),$AG25="R",ISNUMBER($EB25),$EB25&lt;=$BG$7,$AB25&gt;0,$EC25&gt;0,$AB25=$EC25),1,0)</f>
        <v>0</v>
      </c>
      <c r="EF25">
        <f>IF(AND(OR('King Node Model'!$A$8="Neg",N($BG$72)=1),$AG25="S",ISNUMBER($EB25),$EB25&lt;=$BG$7,$AB25&gt;0,$ED25&gt;0,$AB25=$ED25),1,0)</f>
        <v>0</v>
      </c>
      <c r="EI25">
        <v>1</v>
      </c>
      <c r="EJ25">
        <f>IF($AA25="",0,IF(SUMPRODUCT(($AA$9:$AA$55&gt;=$AT25)*($AA$9:$AA$55&lt;=$AU25)*($DT$9:$DT$55=1))+SUMPRODUCT(($DT$9:$DT$55=1)*($AT$9:$AT$55&lt;=$AA25)*($AU$9:$AU$55&gt;=$AA25))+($DT25=1)+AND(OR('King Node Model'!$A$8="Neg",N($BG$72)=1),ISNUMBER(SEARCH("LOW",'Master Dashboard'!$M$5)),ISNUMBER(SEARCH("BUY",'Master Dashboard'!$G$8)),'King Node Model'!$T$23='King Node Model'!$B$23,$AA25&gt;='King Node Model'!$T$23,$AA25&lt;='King Node Model'!$T$23+5)*1&gt;0,1,0))</f>
        <v>0</v>
      </c>
      <c r="EM25">
        <f t="shared" si="66"/>
        <v>0</v>
      </c>
      <c r="EN25">
        <v>0</v>
      </c>
      <c r="EO25">
        <f t="shared" si="67"/>
        <v>0</v>
      </c>
      <c r="EP25">
        <f t="shared" si="68"/>
        <v>0</v>
      </c>
      <c r="EQ25" t="str">
        <f t="shared" si="69"/>
        <v>thinning the ceiling (magnitude weak)</v>
      </c>
      <c r="ES25">
        <f>IF(AND(ISNUMBER(AA25),ISNUMBER(AF25),ABS(AA25-'King Node Model'!$B$4)&lt;=$BG$7),ABS(AF25),"")</f>
        <v>1622710</v>
      </c>
      <c r="ET25">
        <v>0</v>
      </c>
      <c r="EU25" s="218">
        <f>IF(AND(OR('King Node Model'!$A$8="Neg",N($BG$72)=1),ISNUMBER($AA24),ISNUMBER($AA25),ISNUMBER($AA26),ISNUMBER($AB24),ISNUMBER($AB25),ISNUMBER($AB26),ISNUMBER($AF25),$AB25&gt;0,$AB24&lt;0,$AB26&lt;0,$AF25&lt;0),1,0)</f>
        <v>0</v>
      </c>
      <c r="EW25">
        <f>IF(OR(N($MY25)=1,N($JM25)=1),0,N($NE25))</f>
        <v>0</v>
      </c>
      <c r="EX25">
        <f>IF(AND(OR('King Node Model'!$A$8="Neg",N($BG$72)=1),ISNUMBER($AA25),OR(AND($AA25='King Node Model'!$F$24,OR(AND($AG25="S",$F$4="High",IF($BG$80&lt;&gt;"",UPPER($BG$80),$D$5)="DOWN"),AND($AG25="R",$F$4="Low",IF($BG$80&lt;&gt;"",UPPER($BG$80),$D$5)="UP"))),$GV25=1)),1,0)</f>
        <v>0</v>
      </c>
      <c r="EY25">
        <f>IFERROR(IF(AND($DC25=1,$AB25&lt;0,$AC25&gt;=(1+$FA$6)*INDEX($AC$9:$AC$55,17-1),$AC25&gt;=(1+$FA$6)*INDEX($AC$9:$AC$55,17+1),$AC25&gt;=IFERROR(INDEX($AC$9:$AC$55,17-2),0),$AC25&gt;=IFERROR(INDEX($AC$9:$AC$55,17+2),0)),1,0),0)</f>
        <v>0</v>
      </c>
      <c r="FA25" t="str">
        <f>IF(NOT(ISNUMBER($AA25)),"",IFERROR(IF(AND($AC25=MAX($AC$9:$AC$55),$AB25=MIN($AB$9:$AB$55)),"DOM",IF(AND($DC24=1,$DC25=1,$DC26=1,INDEX($AC$9:$AC$55,17-1)&lt;=(1-$FA$6)*$AC25,INDEX($AC$9:$AC$55,17-1)&lt;=(1-$FA$6)*INDEX($AC$9:$AC$55,17-2)),"GAP↑",IF(AND($DC26=1,$DC25=1,INDEX($AC$9:$AC$55,17+1)&lt;=(1-$FA$6)*$AC25,INDEX($AC$9:$AC$55,17+1)&lt;=(1-$FA$6)*INDEX($AC$9:$AC$55,17+2)),"GAP↓",IF($CZ25=1,"dEdge Cliff",IF($GY25=1,"γWall",IF(AND($DC25=1,$AB25&lt;0,$AC25&gt;=(1+$FA$6)*INDEX($AC$9:$AC$55,17-1),$AC25&gt;=(1+$FA$6)*INDEX($AC$9:$AC$55,17+1)),"PEAK-",IF($GZ25=1,"γSh Edge",IF($HL25=1,"Trough",IF($HN25=1,"PEAK+",IF($GF25=1,"Cluster","")))))))))),""))</f>
        <v>Cluster</v>
      </c>
      <c r="FB25" t="str">
        <f t="shared" si="70"/>
        <v/>
      </c>
      <c r="FC25" t="str">
        <f t="shared" si="71"/>
        <v/>
      </c>
      <c r="FD25">
        <f>IF(AND(ISNUMBER($AA25),ISNUMBER('King Node Model'!$AP$17),ISNUMBER('King Node Model'!$AQ$17),$AA25&gt;=MIN('King Node Model'!$AP$17,'King Node Model'!$AQ$17),$AA25&lt;=MAX('King Node Model'!$AP$17,'King Node Model'!$AQ$17),IFERROR(INDEX($AC$9:$AC$55,MATCH('King Node Model'!$AL$42,$AA$9:$AA$55,0)),0)&gt;0,$AC25&gt;=(1-$FA$6)*IFERROR(INDEX($AC$9:$AC$55,MATCH('King Node Model'!$AL$42,$AA$9:$AA$55,0)),0),$AC25&lt;=(1+$FA$6)*IFERROR(INDEX($AC$9:$AC$55,MATCH('King Node Model'!$AL$42,$AA$9:$AA$55,0)),0)),1,0)</f>
        <v>0</v>
      </c>
      <c r="FE25">
        <f>IF($AA25='King Node Model'!$AL$42,1,IF(AND($FD25=1,$FE24=1),1,0))</f>
        <v>0</v>
      </c>
      <c r="FF25">
        <f>IF($AA25='King Node Model'!$AL$42,1,IF(AND($FD25=1,$FF26=1),1,0))</f>
        <v>0</v>
      </c>
      <c r="FG25" t="str">
        <f>IF(OR($FE25=1,$FF25=1),17,"")</f>
        <v/>
      </c>
      <c r="FJ25">
        <f>IF(AND($CW$2=1,ISNUMBER($AA25),ISNUMBER($CW$3),ISNUMBER($CW$4),$AA25&gt;=MIN($CW$3,$CW$4),$AA25&lt;=MAX($CW$3,$CW$4),IFERROR(INDEX($AC$9:$AC$55,MATCH('King Node Model'!$AP$67,$AA$9:$AA$55,0)),0)&gt;0,$AC25&gt;=(1-$FA$6)*IFERROR(INDEX($AC$9:$AC$55,MATCH('King Node Model'!$AP$67,$AA$9:$AA$55,0)),0),$AC25&lt;=(1+$FA$6)*IFERROR(INDEX($AC$9:$AC$55,MATCH('King Node Model'!$AP$67,$AA$9:$AA$55,0)),0)),1,0)</f>
        <v>0</v>
      </c>
      <c r="FK25">
        <f>IF(AND($CW$2=1,$AA25='King Node Model'!$AP$67),1,IF(AND($FJ25=1,$FK24=1),1,0))</f>
        <v>0</v>
      </c>
      <c r="FL25">
        <f>IF(AND($CW$2=1,$AA25='King Node Model'!$AP$67),1,IF(AND($FJ25=1,$FL26=1),1,0))</f>
        <v>0</v>
      </c>
      <c r="FM25" t="str">
        <f>IF(OR($FK25=1,$FL25=1),17,"")</f>
        <v/>
      </c>
      <c r="FN25">
        <v>0</v>
      </c>
      <c r="FR25" t="str">
        <f t="shared" si="72"/>
        <v/>
      </c>
      <c r="FS25">
        <f t="shared" si="188"/>
        <v>0</v>
      </c>
      <c r="FT25">
        <f t="shared" si="73"/>
        <v>0.35290894657494448</v>
      </c>
      <c r="FU25">
        <f t="shared" si="74"/>
        <v>874234</v>
      </c>
      <c r="FV25">
        <f>IF($FW25=0,"",IF(OR($FW24=0,SIGN(IFERROR($BC25*1,0))&lt;&gt;SIGN(IFERROR($BC24*1,0)),$GH25=1,$GH24=1),MAX($FV$9:$FV24)+1,$FV24))</f>
        <v>4</v>
      </c>
      <c r="FW25">
        <f t="shared" si="75"/>
        <v>1</v>
      </c>
      <c r="FX25">
        <f t="shared" si="76"/>
        <v>874234</v>
      </c>
      <c r="FY25">
        <f t="shared" si="77"/>
        <v>1</v>
      </c>
      <c r="FZ25">
        <f t="shared" si="189"/>
        <v>1</v>
      </c>
      <c r="GA25">
        <f t="shared" si="78"/>
        <v>1</v>
      </c>
      <c r="GB25">
        <f t="shared" si="79"/>
        <v>2</v>
      </c>
      <c r="GC25">
        <f t="shared" si="80"/>
        <v>1630246</v>
      </c>
      <c r="GD25">
        <f t="shared" si="81"/>
        <v>7805</v>
      </c>
      <c r="GE25">
        <f t="shared" si="82"/>
        <v>7810</v>
      </c>
      <c r="GF25">
        <f t="shared" si="83"/>
        <v>1</v>
      </c>
      <c r="GH25">
        <f>IFERROR(IF(AND($AC25&gt;=(1+$FA$6)*INDEX($AC$9:$AC$55,17-1),$AC25&gt;=(1+$FA$6)*INDEX($AC$9:$AC$55,17+1)),1,0),0)</f>
        <v>0</v>
      </c>
      <c r="GK25">
        <v>0</v>
      </c>
      <c r="GO25">
        <v>0</v>
      </c>
      <c r="GP25">
        <v>0</v>
      </c>
      <c r="GQ25">
        <f t="shared" si="84"/>
        <v>0</v>
      </c>
      <c r="GR25">
        <f t="shared" si="85"/>
        <v>0</v>
      </c>
      <c r="GS25">
        <f>IF(AND($EY25=1,$AA25&lt;&gt;'King Node Model'!$B$23),0,IF(OR($GQ25=1,$GR25=1),1,IF($DC25=1,IF(OR('King Node Model'!$A$8="Neg",N($BG$72)=1),IF(OR(AND($AC25=MAX($AC$9:$AC$55),$AB25=MIN($AB$9:$AB$55)),$AN25=1,$EE25=1,$EF25=1,$EX25=1,$GV25=1),1,0),1),0)))</f>
        <v>0</v>
      </c>
      <c r="GT25">
        <f>IFERROR(IF(AND(OR('King Node Model'!$A$8="Neg",N($BG$72)=1),$EU24=1,$AG25="R",ISNUMBER($AA25),ISNUMBER($AF25),$AF25&lt;&gt;0,$AA25&gt;$B$4-$BG$9,$AA25-$B$4&lt;=$BG$47,IF($KC25="UP",SIGN($AF25),IF($KC25="DOWN",-SIGN($AF25),0))&lt;&gt;1),1,0),0)</f>
        <v>0</v>
      </c>
      <c r="GU25" t="str">
        <f t="shared" si="86"/>
        <v/>
      </c>
      <c r="GV25">
        <f t="shared" si="87"/>
        <v>0</v>
      </c>
      <c r="GW25">
        <f t="shared" si="88"/>
        <v>29.609999999999673</v>
      </c>
      <c r="GX25" t="str">
        <f t="shared" si="89"/>
        <v/>
      </c>
      <c r="GY25">
        <f t="shared" si="90"/>
        <v>0</v>
      </c>
      <c r="GZ25">
        <f t="shared" si="91"/>
        <v>0</v>
      </c>
      <c r="HA25">
        <v>1</v>
      </c>
      <c r="HF25">
        <f>IFERROR(IF(AND($GZ25=1,'King Node Model'!$A$8="Pos",$D$5="UP",$CF25=-1,$AJ25&lt;&gt;1),1,0),0)</f>
        <v>0</v>
      </c>
      <c r="HG25">
        <f t="shared" si="92"/>
        <v>1</v>
      </c>
      <c r="HH25">
        <f>IF($GZ25=1,"",IFERROR(IF(NOT(ISNUMBER($AA25)),"",IF($EY25=1,"",IF($GF25=1,IF($GD25=$GE25,"",$GD25),IF(OR(AND($DC24=1,$DC25=1,$DC26=1,INDEX($AC$9:$AC$55,17-1)&lt;=(1-$FA$6)*$AC25,INDEX($AC$9:$AC$55,17-1)&lt;=(1-$FA$6)*INDEX($AC$9:$AC$55,17-2)),AND($DC26=1,$DC25=1,INDEX($AC$9:$AC$55,17+1)&lt;=(1-$FA$6)*$AC25,INDEX($AC$9:$AC$55,17+1)&lt;=(1-$FA$6)*INDEX($AC$9:$AC$55,17+2)),AND($DC25=1,OR(INDEX($DC$9:$DC$55,17-1)=0,INDEX($DC$9:$DC$55,17+1)=0))),IF(MIN($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MAX($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MIN($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f>
        <v>7805</v>
      </c>
      <c r="HI25">
        <f>IF($GZ25=1,"",IFERROR(IF(NOT(ISNUMBER($AA25)),"",IF($EY25=1,"",IF($GF25=1,IF($GD25=$GE25,"",$GE25),IF(OR(AND($DC24=1,$DC25=1,$DC26=1,INDEX($AC$9:$AC$55,17-1)&lt;=(1-$FA$6)*$AC25,INDEX($AC$9:$AC$55,17-1)&lt;=(1-$FA$6)*INDEX($AC$9:$AC$55,17-2)),AND($DC26=1,$DC25=1,INDEX($AC$9:$AC$55,17+1)&lt;=(1-$FA$6)*$AC25,INDEX($AC$9:$AC$55,17+1)&lt;=(1-$FA$6)*INDEX($AC$9:$AC$55,17+2)),AND($DC25=1,OR(INDEX($DC$9:$DC$55,17-1)=0,INDEX($DC$9:$DC$55,17+1)=0))),IF(MIN($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MAX($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MAX($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f>
        <v>7810</v>
      </c>
      <c r="HL25">
        <f t="shared" si="93"/>
        <v>0</v>
      </c>
      <c r="HM25">
        <f>IFERROR(IF(AND($HL25=1,NOT(OR($AA25='King Node Model'!$T$22,$AA25='King Node Model'!$T$23,$AA25='King Node Model'!$F$24,AND($AG25="S",COUNTIF('Master Dashboard'!$AN$16:$AN$18,$AA25)&gt;0),AND($AG25="R",COUNTIF('Master Dashboard'!$AN$13:$AN$15,$AA25)&gt;0)))),1,0),0)</f>
        <v>0</v>
      </c>
      <c r="HN25">
        <f t="shared" si="94"/>
        <v>0</v>
      </c>
      <c r="HO25">
        <f t="shared" si="95"/>
        <v>0</v>
      </c>
      <c r="HP25">
        <f t="shared" si="96"/>
        <v>1</v>
      </c>
      <c r="HQ25" t="str">
        <f>IF(NOT(ISNUMBER($AA25)),"",IFERROR(TRIM(IF(N($MY25)=1,"DEXLEAN ","")&amp;IF(N($IZ25)=1,"DEXCAP ","")&amp;IF(AND($AG25="S",UPPER('King Node Model'!$L$5)="HIGH",$KC25="DOWN",N($AF25)&gt;0,$AA25='King Node Model'!$AN$70,$IY25="SELL"),"CHOPEDGEIV ","")&amp;IF(N($IS25)=1,"NOREV ","")&amp;IF(N($JY25)=1,"VFLAT ","")&amp;IF(N($KR25)=1,"GDEXVANNA ","")&amp;IF(N($LD25)=1,"KGSUPFAIL ","")&amp;IF(N($LE25)=1,"KGRESLEAK ","")&amp;IF(N($MH25)=1,"ZIGZAG ","")&amp;IF(N($KK25)=1,"DATAGAP ","")&amp;IF(N($KA25)&lt;&gt;0,"ACCUNDERCW ","")&amp;IF(AND($AG25="S",$HF25=1),"EDGE ","")&amp;IF(AND($HM25=1,'King Node Model'!$A$8="Pos",N($BG$72)&lt;&gt;1),"TROUGH ","")&amp;IF(AND($EU25=1,N($JZ25)&lt;&gt;1),"BUMP ","")&amp;IF(AND($GT25=1,N($JZ25)&lt;&gt;1),"SANDWICH ","")&amp;IF(AND($EX25&lt;&gt;1,OR('King Node Model'!$A$8="Neg",N($BG$72)=1),OR(AND(ISNUMBER($AC25),$AC25=MAX($AC$9:$AC$55)),AND(ISNUMBER($AB25),$AB25=MIN($AB$9:$AB$55))),NOT(AND(AND(ISNUMBER($AC25),$AC25=MAX($AC$9:$AC$55)),AND(ISNUMBER($AB25),$AB25=MIN($AB$9:$AB$55)))),$AG25="S",N($AB25)&lt;0,NOT(COUNTIF('Master Dashboard'!$AN$16:$AN$18,$AA25)&gt;0),NOT(AND(OR('King Node Model'!$A$8="Neg",N($BG$72)=1),ISNUMBER($AB25),$AB25=MIN($AB$9:$AB$55),$AA25=$BG$105))),"ACCEL ","")&amp;IF(AND($EX25&lt;&gt;1,ISNUMBER($AA25),OR('King Node Model'!$A$8="Neg",N($BG$72)=1),$EY25=1,NOT(AND($AG25="S",COUNTIF('Master Dashboard'!$AN$16:$AN$18,$AA25)&gt;0)),NOT(AND($AA25='King Node Model'!$B$23,IF($AG25="S",OR($AA25='King Node Model'!$C$24,COUNTIF('Master Dashboard'!$AN$16:$AN$18,$AA25)&gt;0),OR($AA25='King Node Model'!$C$23,COUNTIF('Master Dashboard'!$AN$13:$AN$15,$AA25)&gt;0)))),NOT(AND($EX25&lt;&gt;1,OR('King Node Model'!$A$8="Neg",N($BG$72)=1),OR(AND(ISNUMBER($AC25),$AC25=MAX($AC$9:$AC$55)),AND(ISNUMBER($AB25),$AB25=MIN($AB$9:$AB$55))),NOT(AND(AND(ISNUMBER($AC25),$AC25=MAX($AC$9:$AC$55)),AND(ISNUMBER($AB25),$AB25=MIN($AB$9:$AB$55)))),$AG25="S",N($AB25)&lt;0,NOT(COUNTIF('Master Dashboard'!$AN$16:$AN$18,$AA25)&gt;0)))),"AMPLIFY ","")&amp;IF(AND($AG25="S",OR('King Node Model'!$A$8="Neg",N($BG$72)=1),$AJ25&lt;&gt;1,N($MT25)&lt;&gt;1,NOT(AND(N($LR25)=1,N($MB25)=1)),ISNUMBER(SEARCH("ACCEL building",$CG25))),"ZACCEL ","")&amp;IF(AND($AG25="S",OR('King Node Model'!$A$8="Neg",N($BG$72)=1),$AA25='King Node Model'!$B$23,NOT(AND(AND(ISNUMBER($AC25),$AC25=MAX($AC$9:$AC$55)),AND(ISNUMBER($AB25),$AB25=MIN($AB$9:$AB$55)))),$EJ25&lt;&gt;1),"KINGACC ","")&amp;IF(AND($AG25="S",OR('King Node Model'!$A$8="Neg",N($BG$72)=1),ABS(N($AA25)-N('King Node Model'!$B$23))&lt;=$BG$107,NOT(AND(SUMPRODUCT((ABS($AF$9:$AF$55)&lt;=ABS(N($AF25)))*1)/COUNT($AF$9:$AF$55)&gt;=0.66,OR(ISNUMBER(SEARCH("firmer resistance",$CG25)),ISNUMBER(SEARCH("STRENGTHENING",$CG25)),ISNUMBER(SEARCH("firmer support",$CG25))))),NOT(AND(N($AB25)&gt;0,SUMPRODUCT((ABS($AB$9:$AB$55)&lt;=ABS(N($AB25)))*1)/COUNT($AB$9:$AB$55)&gt;=0.66)),$EJ25&lt;&gt;1,$AJ25&lt;&gt;1,COUNTIF('Master Dashboard'!$AN$16:$AN$18,$AA25)=0,NOT(AND($AG25="S",OR('King Node Model'!$A$8="Neg",N($BG$72)=1),$AA25='King Node Model'!$B$23,NOT(AND(AND(ISNUMBER($AC25),$AC25=MAX($AC$9:$AC$55)),AND(ISNUMBER($AB25),$AB25=MIN($AB$9:$AB$55)))),$EJ25&lt;&gt;1))),"KINGNODE ","")&amp;IF(AND($AG25="R",NOT(AND(AND(ISNUMBER($AC25),$AC25=MAX($AC$9:$AC$55)),AND(ISNUMBER($AB25),$AB25=MIN($AB$9:$AB$55)))),UPPER('King Node Model'!$L$5)="LOW",$KC25="DOWN",N($AF25)&gt;0),"LOWIVFALL ","")&amp;IF(AND($AG25="R",NOT(AND(AND(ISNUMBER($AC25),$AC25=MAX($AC$9:$AC$55)),AND(ISNUMBER($AB25),$AB25=MIN($AB$9:$AB$55)))),UPPER('King Node Model'!$L$5)="HIGH",$KC25="DOWN",N($AF25)&gt;0,IFERROR(MATCH($AA25,$W$9:$W$14,0)&gt;=4,FALSE)),"HIGHIVFALL ","")&amp;IF(AND($AG25="R",N($BG$99)=1),"SPOTUPVOLUP ","")&amp;IF(AND($AG25="R",ISNUMBER(SEARCH("5/5",'Master Dashboard'!$E$29)),OR(ISNUMBER(SEARCH("WEAKENING",$EQ25)),ISNUMBER(SEARCH("Pos gamma ↓",$EQ25)),ISNUMBER(SEARCH("thinning the ceiling",$EQ25)))),"SQUEEZE ","")&amp;IF(N($JU25)=1,"DEDGECLIFF ","")&amp;IF(N($KT25)=1,"DEXDRAIN ","")&amp;IF(N($HW25)&lt;&gt;0,"DEXDROP ","")&amp;IF(N($HX25)&lt;&gt;0,"PEAK+ ","")&amp;IF(N($IF25)=1,"CHOP ","")&amp;IF(N($IQ25)=1,"CONTESTED ","")&amp;IF(N($IW25)=1,"VSELL ","")&amp;IF(N($JK25)=1,"VBUYRES ","")&amp;IF(N($JL25)=1,"DOMFLAT ","")&amp;IF(N($JM25)=1,"DOMPULL ","")&amp;IF(N($JP25)=1,"OIZOMMA ","")&amp;IF(AND(N($JQ25)=1,N($JZ25)&lt;&gt;1),"OIDEX ","")),""))</f>
        <v>LOWIVFALL VBUYRES</v>
      </c>
      <c r="HS25">
        <f>IFERROR(IF(AND($DC25=1,OR(AND($AG25="R",INDEX($DC$9:$DC$55,16)=0,INDEX($DC$9:$DC$55,18)=1,INDEX($DC$9:$DC$55,19)=1),AND($AG25="S",INDEX($DC$9:$DC$55,18)=0,INDEX($DC$9:$DC$55,16)=1,INDEX($DC$9:$DC$55,15)=1))),1,0),0)</f>
        <v>0</v>
      </c>
      <c r="HT25">
        <f t="shared" si="97"/>
        <v>0</v>
      </c>
      <c r="HU25">
        <v>0</v>
      </c>
      <c r="HV25">
        <v>0</v>
      </c>
      <c r="HW25">
        <f>IFERROR(IF(OR(NOT(ISNUMBER($AA25)),'King Node Model'!$A$8&lt;&gt;"Pos",N($BG$72)=1,ABS(N($AE25))&lt;$BG$113,N($AV25)=1,$FA25="DOM",$AA25='King Node Model'!$T$23,AND(N($BG$116)=1,$AA25='King Node Model'!$F$24),NOT(ISNUMBER($KU25)),NOT(ISNUMBER($KV25))),0,IF(AND($AG25="S",COUNTIF('Master Dashboard'!$AN$16:$AN$18,$AA25)=0,$KU25&gt;=$BG$114,$KU25&gt;=$KV25+$BG$115,NOT(AND(N($AN26)=1,N($KV25)&lt;0)),N($AE25)&lt;=0),1,IF(AND($AG25="R",COUNTIF('Master Dashboard'!$AN$13:$AN$15,$AA25)=0,$KV25&gt;=$BG$114,$KV25&gt;=$KU25+$BG$115,NOT(AND(N($AN24)=1,N($KU25)&lt;0))),-1,0))),0)</f>
        <v>0</v>
      </c>
      <c r="HX25">
        <f>IFERROR(IF(AND(ISNUMBER($AA25),$FA25="PEAK+",N($AN25)&lt;&gt;1,NOT(AND('King Node Model'!$A$8="Pos",OR($AA25='King Node Model'!$T$22,$AA25='King Node Model'!$T$23,$AA25='King Node Model'!$F$24))),IF($AG25="S",COUNTIF('Master Dashboard'!$AN$16:$AN$18,$AA25)=0,IF($AG25="R",COUNTIF('Master Dashboard'!$AN$13:$AN$15,$AA25)=0,FALSE))),1,0),0)</f>
        <v>0</v>
      </c>
      <c r="HY25">
        <f t="shared" si="98"/>
        <v>0.81299674287493218</v>
      </c>
      <c r="HZ25">
        <v>1</v>
      </c>
      <c r="IA25">
        <f>IFERROR(IF(AND(IF($BG$44=1,OR(ISNUMBER(SEARCH("Choppy",'King Node Model'!$S$38)),'King Node Model'!$S$52&lt;&gt;"",'King Node Model'!$A$8="Pos"),TRUE()),OR($DC25=1,$DC24=1,$DC26=1),ABS($AA25-$B$4)&lt;=$BG$7,ABS($AA25-$BG$28)&gt;=$BG$45,OR(AND($AA25&gt;$BG$28,$AG25="R"),AND($AA25&lt;$BG$28,$AG25="S",N($BG$154)=1)),ABS(IF($AA25&gt;$BG$28,$AE26,$AE24))&gt;=$BG$43,ABS(N(IF($AA25&gt;$BG$28,$AE24,$AE26)))&lt;=$BG$153*ABS(IF($AA25&gt;$BG$28,$AE26,$AE24)),IF(ISNUMBER($HZ25),$HZ25=1,AND(ISNUMBER($HY25),$HY25&gt;=$BG$42))),1,0),0)</f>
        <v>0</v>
      </c>
      <c r="IB25">
        <f t="shared" si="99"/>
        <v>0</v>
      </c>
      <c r="IC25" t="str">
        <f>IF(NOT(ISNUMBER($AA25)),"",IFERROR(MID(IF(AND($AC25=MAX($AC$9:$AC$55),$AB25=MIN($AB$9:$AB$55))," · DOM","")&amp;IF(AND($DC24=1,$DC25=1,$DC26=1,INDEX($AC$9:$AC$55,17-1)&lt;=(1-$FA$6)*$AC25,INDEX($AC$9:$AC$55,17-1)&lt;=(1-$FA$6)*INDEX($AC$9:$AC$55,17-2))," · GAP↑ → "&amp;INDEX($AA$9:$AA$55,17-2),"")&amp;IF(AND($DC26=1,$DC25=1,INDEX($AC$9:$AC$55,17+1)&lt;=(1-$FA$6)*$AC25,INDEX($AC$9:$AC$55,17+1)&lt;=(1-$FA$6)*INDEX($AC$9:$AC$55,17+2))," · GAP↓ → "&amp;INDEX($AA$9:$AA$55,17+2),"")&amp;IF($CZ25=1," · dEdge Cliff","")&amp;IF($GY25=1," · γWall","")&amp;IF(AND($DC25=1,$AB25&lt;0,$AC25&gt;=(1+$FA$6)*INDEX($AC$9:$AC$55,17-1),$AC25&gt;=(1+$FA$6)*INDEX($AC$9:$AC$55,17+1))," · PEAK-","")&amp;IF($GZ25=1," · γSh Edge","")&amp;IF($HL25=1," · Trough","")&amp;IF($HN25=1," · PEAK+","")&amp;IF($GF25=1," · Cluster",""),FIND(" · ",IF(AND($AC25=MAX($AC$9:$AC$55),$AB25=MIN($AB$9:$AB$55))," · DOM","")&amp;IF(AND($DC24=1,$DC25=1,$DC26=1,INDEX($AC$9:$AC$55,17-1)&lt;=(1-$FA$6)*$AC25,INDEX($AC$9:$AC$55,17-1)&lt;=(1-$FA$6)*INDEX($AC$9:$AC$55,17-2))," · GAP↑ → "&amp;INDEX($AA$9:$AA$55,17-2),"")&amp;IF(AND($DC26=1,$DC25=1,INDEX($AC$9:$AC$55,17+1)&lt;=(1-$FA$6)*$AC25,INDEX($AC$9:$AC$55,17+1)&lt;=(1-$FA$6)*INDEX($AC$9:$AC$55,17+2))," · GAP↓ → "&amp;INDEX($AA$9:$AA$55,17+2),"")&amp;IF($CZ25=1," · dEdge Cliff","")&amp;IF($GY25=1," · γWall","")&amp;IF(AND($DC25=1,$AB25&lt;0,$AC25&gt;=(1+$FA$6)*INDEX($AC$9:$AC$55,17-1),$AC25&gt;=(1+$FA$6)*INDEX($AC$9:$AC$55,17+1))," · PEAK-","")&amp;IF($GZ25=1," · γSh Edge","")&amp;IF($HL25=1," · Trough","")&amp;IF($HN25=1," · PEAK+","")&amp;IF($GF25=1," · Cluster",""),2),999),""))</f>
        <v/>
      </c>
      <c r="ID25" t="str">
        <f>IF(NOT(ISNUMBER($AA25)),"",IFERROR(MID(IF(AND($AC25=MAX($AC$9:$AC$55),$AB25=MIN($AB$9:$AB$55))," · DOM","")&amp;IF(AND($DC24=1,$DC25=1,$DC26=1,INDEX($AC$9:$AC$55,17-1)&lt;=(1-$FA$6)*$AC25,INDEX($AC$9:$AC$55,17-1)&lt;=(1-$FA$6)*INDEX($AC$9:$AC$55,17-2))," · GAP↑ → "&amp;INDEX($AA$9:$AA$55,17-2),"")&amp;IF(AND($DC26=1,$DC25=1,INDEX($AC$9:$AC$55,17+1)&lt;=(1-$FA$6)*$AC25,INDEX($AC$9:$AC$55,17+1)&lt;=(1-$FA$6)*INDEX($AC$9:$AC$55,17+2))," · GAP↓ → "&amp;INDEX($AA$9:$AA$55,17+2),"")&amp;IF($CZ25=1," · dEdge Cliff","")&amp;IF($GY25=1," · γWall","")&amp;IF(AND($DC25=1,$AB25&lt;0,$AC25&gt;=(1+$FA$6)*INDEX($AC$9:$AC$55,17-1),$AC25&gt;=(1+$FA$6)*INDEX($AC$9:$AC$55,17+1))," · PEAK-","")&amp;IF($GZ25=1," · γSh Edge","")&amp;IF($HL25=1," · Trough","")&amp;IF($HN25=1," · PEAK+","")&amp;IF(AND(NOT($HN25=1),NOT(AND($DC25=1,$AB25&lt;0)),N($GY25)&lt;&gt;1,N($GF25)&lt;&gt;1,N($GZ25)&lt;&gt;1,N($HL25)&lt;&gt;1,N($CZ25)&lt;&gt;1,NOT(AND($AC25=MAX($AC$9:$AC$55),$AB25=MIN($AB$9:$AB$55))),$AC25&gt;=(1+$FA$6)*INDEX($AC$9:$AC$55,17-1),$AC25&gt;=(1+$FA$6)*INDEX($AC$9:$AC$55,17+1))," · Knoll","")&amp;IF($GF25=1," · Cluster",""),4,999),""))</f>
        <v>Cluster</v>
      </c>
      <c r="IF25">
        <f t="shared" si="100"/>
        <v>0</v>
      </c>
      <c r="IG25">
        <f>IFERROR(IF(AND(ISNUMBER($AA25),'King Node Model'!$A$8="Pos",OR($AG25="S",$AG25="R"),$IN25="interior",COUNTIF(IF($AG25="S",'Master Dashboard'!$AN$16:$AN$18,'Master Dashboard'!$AN$13:$AN$15),$AA25)=0,$AA25&lt;&gt;'King Node Model'!$T$22,$AA25&lt;&gt;'King Node Model'!$T$23,$AA25&lt;&gt;'King Node Model'!$F$24),1,0),0)</f>
        <v>0</v>
      </c>
      <c r="IH25">
        <f t="shared" si="101"/>
        <v>0</v>
      </c>
      <c r="II25">
        <f t="shared" si="190"/>
        <v>0</v>
      </c>
      <c r="IJ25">
        <f t="shared" si="102"/>
        <v>0</v>
      </c>
      <c r="IK25">
        <f t="shared" si="103"/>
        <v>0</v>
      </c>
      <c r="IL25">
        <f t="shared" si="191"/>
        <v>0</v>
      </c>
      <c r="IM25">
        <f t="shared" si="104"/>
        <v>0</v>
      </c>
      <c r="IN25" t="str">
        <f t="shared" si="105"/>
        <v/>
      </c>
      <c r="IO25">
        <v>0</v>
      </c>
      <c r="IP25">
        <v>0</v>
      </c>
      <c r="IQ25">
        <f>IFERROR(IF($AG25="S",IF(OR(COUNTIF($W$9:$W$14,$AA25)&gt;0,COUNTIF('King Node Model'!$AL$42:'King Node Model'!$AL$43,$AA25)&gt;0),1,0),IF($AG25="R",IF(OR(COUNTIF($W$18:$W$23,$AA25)&gt;0,COUNTIF('King Node Model'!$AL$49:'King Node Model'!$AL$50,$AA25)&gt;0),1,0),0)),0)</f>
        <v>0</v>
      </c>
      <c r="IS25">
        <f>IF(AND(ISNUMBER($AA25),N($AN25)&lt;&gt;1,N($LR25)&lt;&gt;1,OR(N($EN25)&lt;&gt;1,AND('King Node Model'!$A$8&lt;&gt;"Neg",N($BG$72)&lt;&gt;1)),$AA25&lt;&gt;'King Node Model'!$T$22,$AA25&lt;&gt;'King Node Model'!$T$23,$AA25&lt;&gt;'King Node Model'!$F$24,NOT(AND($AG25="S",COUNTIF('Master Dashboard'!$AN$16:$AN$18,$AA25)&gt;0)),NOT(AND($AG25="R",COUNTIF('Master Dashboard'!$AN$13:$AN$15,$AA25)&gt;0)),NOT(AND('King Node Model'!$A$8&lt;&gt;"Neg",N($BG$72)&lt;&gt;1,COUNTIF('Master Dashboard'!$AN$13:$AN$18,$AA25)&gt;0))),1,0)</f>
        <v>0</v>
      </c>
      <c r="IT25">
        <v>0</v>
      </c>
      <c r="IU25">
        <f>IF(AND(ISNUMBER($AA25),$AA25='King Node Model'!$F$24,$AA25&gt;$GJ$3,N($AD25)&lt;0,$F$4="High"),1,0)</f>
        <v>0</v>
      </c>
      <c r="IV25" t="str">
        <f>""</f>
        <v/>
      </c>
      <c r="IW25">
        <f>IFERROR(IF(AND(ISNUMBER($AA25),NOT(AND(N($LR25)=1,N($MB25)=1)),$AG25="S",OR('King Node Model'!$A$8="Neg",N($BG$72)=1),$JV25="SELL",ABS(N($AD25))&gt;=$BG$94,NOT(AND(N($AD25)&gt;0,N($BG$78)=1,MEDIAN($AA25-$BG$82,$B$4,$AA25+$BG$83)=$B$4))),1,0),0)</f>
        <v>0</v>
      </c>
      <c r="IX25">
        <f>IFERROR(IF(AND(ISNUMBER($AA25),$AG25="S",OR('King Node Model'!$A$8="Neg",N($BG$72)=1),N($AD25)&gt;0,N($BG$78)=1,MEDIAN($AA25-$BG$82,$B$4,$AA25+$BG$83)=$B$4),1,0),0)</f>
        <v>0</v>
      </c>
      <c r="IY25" t="str">
        <f t="shared" si="106"/>
        <v>SELL</v>
      </c>
      <c r="IZ25">
        <f>IFERROR(IF(AND(ISNUMBER($AA25),$FA25&lt;&gt;"DOM",$AA25&lt;&gt;'King Node Model'!$F$24,OR(AND($AG25="S",COUNTIF('Master Dashboard'!$AN$16:$AN$18,$AA25)=0,N(INDEX($AE$9:$AE$55,MATCH($AA25+$BG$84,$AA$9:$AA$55,0)))&lt;=-$BG$85),AND($AG25="R",COUNTIF('Master Dashboard'!$AN$13:$AN$15,$AA25)=0,N(INDEX($AE$9:$AE$55,MATCH($AA25-$BG$84,$AA$9:$AA$55,0)))&gt;=$BG$85))),1,0),0)</f>
        <v>0</v>
      </c>
      <c r="JC25">
        <f t="shared" si="108"/>
        <v>0</v>
      </c>
      <c r="JD25" t="str">
        <f t="shared" si="193"/>
        <v/>
      </c>
      <c r="JE25">
        <f>IF(ISNUMBER($AA25),N(IFERROR(INDEX('King Node Model'!$L$29:$L$75,MATCH($AA25,'King Node Model'!$A$29:$A$75,0)),0)),"")</f>
        <v>595</v>
      </c>
      <c r="JF25">
        <f>IF(ISNUMBER($AA25),N(IFERROR(INDEX('King Node Model'!$K$29:$K$75,MATCH($AA25,'King Node Model'!$A$29:$A$75,0)),0)),"")</f>
        <v>1244</v>
      </c>
      <c r="JG25">
        <f t="shared" si="109"/>
        <v>0.47829581993569131</v>
      </c>
      <c r="JH25">
        <f t="shared" si="110"/>
        <v>2.0907563025210085</v>
      </c>
      <c r="JI25">
        <f t="shared" si="111"/>
        <v>0</v>
      </c>
      <c r="JJ25" t="str">
        <f t="shared" si="112"/>
        <v/>
      </c>
      <c r="JK25">
        <f t="shared" si="113"/>
        <v>1</v>
      </c>
      <c r="JL25">
        <f t="shared" si="114"/>
        <v>0</v>
      </c>
      <c r="JM25">
        <f t="shared" si="115"/>
        <v>0</v>
      </c>
      <c r="JN25">
        <f t="shared" si="116"/>
        <v>0</v>
      </c>
      <c r="JO25">
        <f t="shared" si="117"/>
        <v>0</v>
      </c>
      <c r="JP25">
        <f t="shared" si="118"/>
        <v>0</v>
      </c>
      <c r="JQ25">
        <f t="shared" si="119"/>
        <v>0</v>
      </c>
      <c r="JR25">
        <v>0</v>
      </c>
      <c r="JS25">
        <f>IFERROR(IF(AND(ISNUMBER($AA25),'King Node Model'!$A$8="Pos",OR($AG25="S",$AG25="R"),N($AB25)&gt;0,N($HP25)&lt;&gt;1,OR(AND($KC25="DOWN",N($AF25)&lt;0,N($AF25)=MIN($AF$9:$AF$55),-N($AF25)&gt;=MAX($AF$9:$AF$55)),AND($KC25="UP",N($AF25)&gt;0,N($AF25)=MAX($AF$9:$AF$55),N($AF25)&gt;=-MIN($AF$9:$AF$55)))),1,0),0)</f>
        <v>0</v>
      </c>
      <c r="JT25">
        <v>0</v>
      </c>
      <c r="JU25">
        <f>IFERROR(IF(AND(N($BG$109)=1,ISNUMBER($AA25),'King Node Model'!$A$8="Pos",N($CZ25)=1,N($AB25)&gt;0),1,0),0)</f>
        <v>0</v>
      </c>
      <c r="JV25" t="str">
        <f t="shared" si="120"/>
        <v>BUY</v>
      </c>
      <c r="JW25">
        <f t="shared" si="121"/>
        <v>0</v>
      </c>
      <c r="JX25">
        <f t="shared" si="122"/>
        <v>0</v>
      </c>
      <c r="JY25">
        <f t="shared" si="123"/>
        <v>0</v>
      </c>
      <c r="JZ25">
        <f t="shared" si="124"/>
        <v>0</v>
      </c>
      <c r="KA25">
        <f t="shared" si="125"/>
        <v>0</v>
      </c>
      <c r="KB25">
        <f t="shared" si="126"/>
        <v>0</v>
      </c>
      <c r="KC25" t="str">
        <f t="shared" si="127"/>
        <v>DOWN</v>
      </c>
      <c r="KE25" t="str">
        <f t="shared" si="128"/>
        <v>Now: strengthening the ceiling (IV rising) · if IV falls: weakens the ceiling · expected on arrival: WEAKENS ✗</v>
      </c>
      <c r="KF25" t="str">
        <f t="shared" si="129"/>
        <v>BUY</v>
      </c>
      <c r="KG25">
        <f t="shared" si="192"/>
        <v>0</v>
      </c>
      <c r="KH25" t="str">
        <f t="shared" si="130"/>
        <v/>
      </c>
      <c r="KI25" t="str">
        <f t="shared" si="131"/>
        <v/>
      </c>
      <c r="KJ25">
        <f t="shared" si="132"/>
        <v>0</v>
      </c>
      <c r="KK25">
        <f t="shared" si="133"/>
        <v>0</v>
      </c>
      <c r="KL25">
        <f t="shared" si="134"/>
        <v>0</v>
      </c>
      <c r="KM25">
        <f t="shared" si="135"/>
        <v>0</v>
      </c>
      <c r="KN25">
        <f t="shared" si="136"/>
        <v>0</v>
      </c>
      <c r="KO25">
        <v>0</v>
      </c>
      <c r="KP25">
        <f t="shared" si="137"/>
        <v>0</v>
      </c>
      <c r="KQ25">
        <f t="shared" si="138"/>
        <v>0</v>
      </c>
      <c r="KR25">
        <f t="shared" si="139"/>
        <v>0</v>
      </c>
      <c r="KS25">
        <f t="shared" si="140"/>
        <v>0</v>
      </c>
      <c r="KT25">
        <f t="shared" si="141"/>
        <v>0</v>
      </c>
      <c r="KU25">
        <f>IF(AND(ISNUMBER($AA25),ISNUMBER($AE25),ISNUMBER($AE24),N($AE25)&lt;&gt;0),($AE25-$AE24)/$AE25,"")</f>
      </c>
      <c r="KV25">
        <f>IF(AND(ISNUMBER($AA25),ISNUMBER($AE25),ISNUMBER($AE26),N($AE25)&lt;&gt;0),($AE25-$AE26)/$AE25,"")</f>
      </c>
      <c r="KW25">
        <f>IFERROR(IF(OR(NOT(ISNUMBER($AA25)),'King Node Model'!$A$8&lt;&gt;"Pos",N($BG$72)=1,ABS(N($AE25))&lt;$BG$113,$FA25="DOM",$AA25='King Node Model'!$T$23,AND(N($BG$116)=1,$AA25='King Node Model'!$F$24),NOT(ISNUMBER($KU25)),NOT(ISNUMBER($KV25))),0,IF(AND($AG25="S",COUNTIF('Master Dashboard'!$AN$16:$AN$18,$AA25)=0,$KU25&gt;=$BG$114,$KU25&gt;=$KV25+$BG$115),1,IF(AND($AG25="R",COUNTIF('Master Dashboard'!$AN$13:$AN$15,$AA25)=0,$KV25&gt;=$BG$114,$KV25&gt;=$KU25+$BG$115),-1,0))),0)</f>
        <v>0</v>
      </c>
      <c r="KX25">
        <f t="shared" si="144"/>
        <v>0</v>
      </c>
      <c r="KY25">
        <f t="shared" si="145"/>
        <v>0</v>
      </c>
      <c r="KZ25">
        <f t="shared" si="146"/>
        <v>0</v>
      </c>
      <c r="LA25">
        <f t="shared" si="147"/>
        <v>0</v>
      </c>
      <c r="LB25">
        <f t="shared" si="148"/>
        <v>0</v>
      </c>
      <c r="LC25">
        <f t="shared" si="149"/>
        <v>0</v>
      </c>
      <c r="LD25">
        <f t="shared" si="150"/>
        <v>0</v>
      </c>
      <c r="LE25">
        <f t="shared" si="151"/>
        <v>0</v>
      </c>
      <c r="LF25">
        <f t="shared" si="152"/>
        <v>0</v>
      </c>
      <c r="LG25" t="str">
        <f t="shared" si="153"/>
        <v/>
      </c>
      <c r="LH25" t="str">
        <f t="shared" si="154"/>
        <v/>
      </c>
      <c r="LI25" t="str">
        <f t="shared" si="155"/>
        <v/>
      </c>
      <c r="LJ25" t="str">
        <f t="shared" si="156"/>
        <v/>
      </c>
      <c r="LK25" t="str">
        <f t="shared" si="157"/>
        <v/>
      </c>
      <c r="LL25">
        <f t="shared" si="158"/>
        <v>0</v>
      </c>
      <c r="LM25">
        <f t="shared" si="159"/>
        <v>0</v>
      </c>
      <c r="LN25">
        <f t="shared" si="160"/>
        <v>0</v>
      </c>
      <c r="LO25">
        <v>0</v>
      </c>
      <c r="LP25">
        <f t="shared" si="161"/>
        <v>0</v>
      </c>
      <c r="LQ25" t="str">
        <f t="shared" si="162"/>
        <v/>
      </c>
      <c r="LR25">
        <f t="shared" si="163"/>
        <v>0</v>
      </c>
      <c r="LS25">
        <f t="shared" si="164"/>
        <v>0</v>
      </c>
      <c r="LT25">
        <f t="shared" si="165"/>
        <v>2</v>
      </c>
      <c r="LU25">
        <f t="shared" si="166"/>
        <v>-662315</v>
      </c>
      <c r="LV25">
        <f t="shared" si="167"/>
        <v>0</v>
      </c>
      <c r="LW25">
        <f t="shared" si="168"/>
        <v>0</v>
      </c>
      <c r="LX25">
        <f t="shared" si="169"/>
        <v>0</v>
      </c>
      <c r="LY25">
        <f t="shared" si="170"/>
        <v>0</v>
      </c>
      <c r="LZ25">
        <f t="shared" si="171"/>
        <v>0</v>
      </c>
      <c r="MA25">
        <f t="shared" si="172"/>
        <v>0</v>
      </c>
      <c r="MB25">
        <v>0</v>
      </c>
      <c r="MC25">
        <f t="shared" si="173"/>
        <v>1</v>
      </c>
      <c r="MD25">
        <f t="shared" si="174"/>
        <v>4</v>
      </c>
      <c r="ME25">
        <f t="shared" si="175"/>
        <v>0</v>
      </c>
      <c r="MF25">
        <f t="shared" si="176"/>
        <v>0</v>
      </c>
      <c r="MG25">
        <f t="shared" si="177"/>
        <v>1</v>
      </c>
      <c r="MH25">
        <f t="shared" si="178"/>
        <v>0</v>
      </c>
      <c r="MI25" t="str">
        <f t="shared" si="179"/>
        <v/>
      </c>
      <c r="MJ25">
        <f t="shared" si="180"/>
        <v>0</v>
      </c>
      <c r="MK25">
        <f t="shared" si="181"/>
        <v>0</v>
      </c>
      <c r="ML25">
        <f>IF(AND(OR('King Node Model'!$A$8="Neg",N($BG$72)=1),ISNUMBER($AA25),$AG25="R",N($AB25)&lt;0),IF(AND($AA24=$AA25+5,N($AB24)&gt;0,$AA23=$AA25+10,N($AB23)&lt;0),1,IF(AND($AA24=$AA25+5,N($AB24)&gt;0,$AA23=$AA25+10,N($AB23)&gt;0,$AA22=$AA25+15,N($AB22)&lt;0),2,IF(AND($AA24=$AA25+5,N($AB24)&gt;0,$AA23=$AA25+10,N($AB23)&gt;0,$AA22=$AA25+15,N($AB22)&gt;0,$AA21=$AA25+20,N($AB21)&lt;0),3,IF(AND($AA24=$AA25+5,N($AB24)&gt;0,$AA23=$AA25+10,N($AB23)&gt;0,$AA22=$AA25+15,N($AB22)&gt;0,$AA21=$AA25+20,N($AB21)&gt;0,$AA20=$AA25+25,N($AB20)&lt;0),4,0)))),0)</f>
      </c>
      <c r="MM25">
        <f>IF(AND(OR('King Node Model'!$A$8="Neg",N($BG$72)=1),ISNUMBER($AA25),$AG25="S",N($AB25)&lt;0),IF(AND($AA26=$AA25-5,N($AB26)&gt;0,$AA27=$AA25-10,N($AB27)&lt;0),1,IF(AND($AA26=$AA25-5,N($AB26)&gt;0,$AA27=$AA25-10,N($AB27)&gt;0,$AA28=$AA25-15,N($AB28)&lt;0),2,IF(AND($AA26=$AA25-5,N($AB26)&gt;0,$AA27=$AA25-10,N($AB27)&gt;0,$AA28=$AA25-15,N($AB28)&gt;0,$AA29=$AA25-20,N($AB29)&lt;0),3,IF(AND($AA26=$AA25-5,N($AB26)&gt;0,$AA27=$AA25-10,N($AB27)&gt;0,$AA28=$AA25-15,N($AB28)&gt;0,$AA29=$AA25-20,N($AB29)&gt;0,$AA30=$AA25-25,N($AB30)&lt;0),4,0)))),0)</f>
      </c>
      <c r="MN25">
        <f>IF(N($ML25)&gt;0,$AA25,0)</f>
      </c>
      <c r="MO25">
        <f>IF(N($MM25)&gt;0,$AA25,0)</f>
      </c>
      <c r="MP25">
        <f>IF(AND(OR('King Node Model'!$A$8="Neg",N($BG$72)=1),ISNUMBER($BG$155),$AA25=$BG$155,N($NC25)=1),2,IF(AND(OR('King Node Model'!$A$8="Neg",N($BG$72)=1),ISNUMBER($BG$156),$AA25=$BG$156,N($ND25)=1),1,0))</f>
      </c>
      <c r="MQ25">
        <f>IF(ABS(AE25)&lt;=0,0,IF($AG25="R",IF(ISNUMBER(AE24),IF((ABS(AE24)-ABS(AE25))/ABS(AE25)&lt;-0.4,1,0),0),IF(ISNUMBER(AE26),IF((ABS(AE26)-ABS(AE25))/ABS(AE25)&lt;-0.4,1,0),0)))</f>
      </c>
      <c r="MR25">
        <f>IF(OR(N($MQ25)&lt;&gt;1,N($BG$157)&lt;&gt;1,NOT(ISNUMBER($KU25)),NOT(ISNUMBER($KV25))),0,IF(OR(AND($AG25="S",OR(AND($KU25&gt;=$BG$114,$KU25&gt;=$KV25+$BG$115),AND($KU25&gt;1,$KV25&lt;=1,$KV25&gt;=$BG$114))),AND($AG25="R",OR(AND($KV25&gt;=$BG$114,$KV25&gt;=$KU25+$BG$115),AND($KV25&gt;1,$KU25&lt;=1,$KU25&gt;=$BG$114)))),1,0))</f>
      </c>
      <c r="MS25" t="str">
        <f>IF(AND(N($MR25)=1,N($NA25)&lt;&gt;1),"• DEX falls off more sharply "&amp;IF($AG25="S","above (","below (")&amp;TEXT(IF($AG25="S",$KU25,$KV25),"0%")&amp;") than "&amp;IF($AG25="S","below (","above (")&amp;TEXT(IF($AG25="S",$KV25,$KU25),"0%")&amp;") — Dex↓ not counted",IF(N($MW25)=1,"• Shoulder of the "&amp;IF($AG25="R",$AA26,$AA24)&amp;" wall — own DEX "&amp;TEXT($AE25/1000,"+#,##0;-#,##0")&amp;"K is "&amp;TEXT(ABS($AE25)/ABS(IF($AG25="R",$AE26,$AE24)),"0%")&amp;" of "&amp;TEXT(IF($AG25="R",$AE26,$AE24)/1000,"+#,##0;-#,##0")&amp;"K, Dex↓ not counted",""))</f>
      </c>
      <c r="MT25">
        <f>IF(AND(ISNUMBER($AA25),$AG25="S",ISNUMBER($AB25),$AB25=MIN($AB$9:$AB$55),$AA25=$BG$105,$JV25="BUY",ABS(N($AD25))&gt;=$BG$158),1,0)</f>
      </c>
      <c r="MU25" t="str">
        <f>IF(N($MY25)=1,"",IF(OR(N($MT25)=1,AND(OR('King Node Model'!$A$8="Neg",N($BG$72)=1),$AG25="S",ISNUMBER($AB25),$AB25=MIN($AB$9:$AB$55),$AA25=$BG$105)),"• Min GEX + Max Zomma (no reversal flag required) — accelerant warning not applied; zomma acceleration warning only within "&amp;$BG$98&amp;" pts of the level, and not when vanna buying is "&amp;TEXT($BG$158/1000,"0")&amp;"K or more"&amp;CHAR(10)&amp;IF(N($MT25)=1,"• Max Zomma and vanna buying ("&amp;TEXT(N($AD25)/1000,"+#,##0;-#,##0")&amp;"K) make this level safe","• Max Zomma is what makes this level safe"),"")&amp;$NB25&amp;$NI25)</f>
      </c>
      <c r="MV25" t="str">
        <f>IF(AND(ISNUMBER($AA25),OR($AA25=$BG$118,$AA25=$BG$119)),IF(N($AZ25)*IF($AG25="R",1,-1)&gt;0,"✓",IF(N($AZ25)*IF($AG25="R",1,-1)&lt;0,"✗","")),"")</f>
      </c>
      <c r="MW25">
        <f>IF(AND(N($MQ25)=1,N($BG$159)&gt;0,ISNUMBER(IF($AG25="R",$AE26,$AE24)),N(IF($AG25="R",$AE26,$AE24))&lt;&gt;0),IF(ABS(N($AE25))&lt;$BG$159*ABS(IF($AG25="R",$AE26,$AE24)),1,0),0)</f>
      </c>
      <c r="MX25">
        <f>IF(AND(ISNUMBER($AA25),$AA25=$BG$121,$AG25="R",N($AE25)&lt;0,OR(COUNTIF('King Node Model'!$AL$42:$AL$44,$AA25)=0,N($HP25)=1),N($NC25)=1),2,IF(AND(ISNUMBER($AA25),$AA25=$BG$120,$AG25="S",N($AE25)&gt;0,OR(COUNTIF('King Node Model'!$AL$49:$AL$51,$AA25)=0,N($HP25)=1),N($ND25)=1),1,0))</f>
      </c>
      <c r="MY25">
        <f>IF(AND(N($NA25)=1,NOT(AND(AND($AG25="S",ISNUMBER($AB25),$AB25=MIN($AB$9:$AB$55),$AA25=$BG$105),IFERROR(INDEX($AG$9:$AG$55,MATCH('King Node Model'!$B$23,$AA$9:$AA$55,0)),"")="R")),N($AV25)&lt;&gt;1),1,0)</f>
      </c>
      <c r="MZ25" t="str">
        <f>IF(N($MY25)&lt;&gt;1,"","• DEX falls off more sharply "&amp;IF($AG25="S","above (","below (")&amp;TEXT(IF($AG25="S",$KU25,$KV25),"0%")&amp;") than "&amp;IF($AG25="S","below (","above (")&amp;TEXT(IF($AG25="S",$KV25,$KU25),"0%")&amp;") — path of least resistance "&amp;IF($AG25="S","down","up")&amp;IF(N($AZ25)*IF($AG25="R",1,-1)&lt;0,CHAR(10)&amp;"• Speed against — GEX gets more negative as price "&amp;IF($AG25="R","rises","falls")&amp;" into it (speed "&amp;TEXT(N($AZ25),"#,##0;−#,##0")&amp;")","")&amp;IF(OR(N($NG25)=1,N($JC25)=1),CHAR(10)&amp;"• "&amp;IF(N($JC25)=1,"DOM with vanna BUY "&amp;TEXT(N($AD25)/1000,"+#,##0;−#,##0")&amp;"K","Put wall + Max Zomma + DOM")&amp;" backs the level, but it does not outweigh DEX"&amp;IF(N($AZ25)*IF($AG25="R",1,-1)&lt;0," and speed",""),IF(AND($AG25="S",ISNUMBER($AB25),$AB25=MIN($AB$9:$AB$55),$AA25=$BG$105),CHAR(10)&amp;"• Min GEX + Max Zomma backs the level, but it does not outweigh DEX"&amp;IF(N($AZ25)*IF($AG25="R",1,-1)&lt;0," and speed",""),IF(OR(N($JI25)=1,AND(N($GV25)=1,N($JK25)&lt;&gt;1,N($IW25)&lt;&gt;1),N($JC25)=1,AND($AA25='King Node Model'!$F$24,N($JN25)&lt;&gt;1,OR($AG25="R",AND($AG25="S",$F$4="High",IF($BG$80&lt;&gt;"",UPPER($BG$80),$D$5)="UP")))),CHAR(10)&amp;"• Vanna "&amp;IF($AG25="S","BUY ","SELL ")&amp;TEXT(N($AD25)/1000,"+#,##0;−#,##0")&amp;"K backs the level, but it does not outweigh DEX"&amp;IF(N($AZ25)*IF($AG25="R",1,-1)&lt;0," and speed",""),"")))&amp;IF(N($NE25)=1,CHAR(10)&amp;"• Buy-lean max-node exemption not applied — DEX leans against the level",""))</f>
      </c>
      <c r="NA25">
        <f>IF(AND(OR('King Node Model'!$A$8="Neg",N($BG$72)=1),ISNUMBER($AA25),ABS(N($AE25))&gt;=$BG$152,ISNUMBER($KU25),ISNUMBER($KV25)),IF(OR(AND($AG25="S",OR(AND($KU25&gt;=$BG$114,$KU25&gt;=$KV25+$BG$115),AND($KU25&gt;1,$KV25&lt;=1,$KV25&gt;=$BG$114))),AND($AG25="R",OR(AND($KV25&gt;=$BG$114,$KV25&gt;=$KU25+$BG$115),AND($KV25&gt;1,$KU25&lt;=1,$KU25&gt;=$BG$114)))),1,0),0)</f>
      </c>
      <c r="NB25" t="str">
        <f>IF(AND(N($NA25)=1,AND(AND($AG25="S",ISNUMBER($AB25),$AB25=MIN($AB$9:$AB$55),$AA25=$BG$105),IFERROR(INDEX($AG$9:$AG$55,MATCH('King Node Model'!$B$23,$AA$9:$AA$55,0)),"")="R")),CHAR(10)&amp;"• DEX falls off more sharply above ("&amp;TEXT($KU25,"0%")&amp;") than below ("&amp;TEXT($KV25,"0%")&amp;") — DEX-lean warning not applied: Min GEX + Max Zomma support with Max Gamma "&amp;'King Node Model'!$B$23&amp;" above (Dex↓ not counted)",IF(AND(OR(N($NA25)=1,N($NF25)=1),N($AV25)=1),IF(AND(OR('King Node Model'!$A$8="Neg",N($BG$72)=1),$AG25="S",ISNUMBER($AB25),$AB25=MIN($AB$9:$AB$55),$AA25=$BG$105),CHAR(10),"")&amp;"• DEX falls off more sharply "&amp;IF($AG25="S","above (","below (")&amp;TEXT(IF($AG25="S",$KU25,$KV25),"0%")&amp;") than "&amp;IF($AG25="S","below (","above (")&amp;TEXT(IF($AG25="S",$KV25,$KU25),"0%")&amp;") — DEX lean does not apply to iDex (isolated DEX)",""))</f>
      </c>
      <c r="NC25">
        <f>IF(OR($BG$163=1,AND($BG$161&gt;0,$BG$162&lt;99999,ISNUMBER($AA25),$AA25&lt;$BG$162)),1,0)</f>
      </c>
      <c r="ND25">
        <f>IF(OR($BG$163=-1,AND($BG$161&gt;0,$BG$162&lt;99999,ISNUMBER($AA25),$AA25&gt;$BG$161)),1,0)</f>
      </c>
      <c r="NE25">
        <f>IF(AND(OR('King Node Model'!$A$8="Neg",N($BG$72)=1),ISNUMBER(SEARCH("LOW",'Master Dashboard'!$M$5)),ISNUMBER(SEARCH("BUY",'Master Dashboard'!$G$8)),'King Node Model'!$T$23='King Node Model'!$B$23,OR($AA25='King Node Model'!$T$23,AND($AG25="R",$AA25='King Node Model'!$T$23+5)),OR(AND($AG25="S",$JV25="BUY"),AND($AG25="R",$JV25="SELL"))),1,0)</f>
      </c>
      <c r="NF25">
        <f>IFERROR(IF(OR(NOT(ISNUMBER($AA25)),'King Node Model'!$A$8&lt;&gt;"Pos",N($BG$72)=1,ABS(N($AE25))&lt;$BG$113,$FA25="DOM",$AA25='King Node Model'!$T$23,AND(N($BG$116)=1,$AA25='King Node Model'!$F$24),NOT(ISNUMBER($KU25)),NOT(ISNUMBER($KV25))),0,IF(AND($AG25="S",COUNTIF('Master Dashboard'!$AN$16:$AN$18,$AA25)=0,$KU25&gt;=$BG$114,$KU25&gt;=$KV25+$BG$115,NOT(AND(N($AN26)=1,N($KV25)&lt;0)),N($AE25)&lt;=0),1,IF(AND($AG25="R",COUNTIF('Master Dashboard'!$AN$13:$AN$15,$AA25)=0,$KV25&gt;=$BG$114,$KV25&gt;=$KU25+$BG$115,NOT(AND(N($AN24)=1,N($KU25)&lt;0))),-1,0))),0)</f>
      </c>
      <c r="NG25">
        <f t="shared" si="202"/>
      </c>
      <c r="NI25" t="str">
        <f>IF(AND(ISNUMBER($BG$165),ISNUMBER($AA25)),IF(OR(AND($AG25="S",$AA25&gt;$BG$165,$AA25-$BG$165&lt;=5),AND($AG25="R",$AA25&lt;$BG$165,$BG$165-$AA25&lt;=5)),IF(OR(AND(OR('King Node Model'!$A$8="Neg",N($BG$72)=1),$AG25="S",ISNUMBER($AB25),$AB25=MIN($AB$9:$AB$55),$AA25=$BG$105),$NB25&lt;&gt;""),CHAR(10),"")&amp;"• DOM forming at "&amp;$BG$165&amp;" (gamma "&amp;TEXT($BG$166,"0%")&amp;" of max) — price may be pulled to the node",""),"")</f>
      </c>
      <c r="NJ25">
        <f>IF(LEN($NI25)&gt;0,1,0)</f>
      </c>
    </row>
    <row r="26" spans="1:349" ht="15" customHeight="1" x14ac:dyDescent="0.25">
      <c r="AA26" s="181">
        <f>'King Node Model'!A46</f>
        <v>7800</v>
      </c>
      <c r="AB26" s="276">
        <f>'King Node Model'!C46</f>
        <v>-80182</v>
      </c>
      <c r="AC26" s="181">
        <f>ABS('King Node Model'!B46)</f>
        <v>3752257</v>
      </c>
      <c r="AD26" s="276">
        <f>'King Node Model'!F46</f>
        <v>-174329</v>
      </c>
      <c r="AE26" s="276">
        <f>'King Node Model'!E46</f>
        <v>-1757071</v>
      </c>
      <c r="AF26" s="276">
        <f>'King Node Model'!D46</f>
        <v>-135715</v>
      </c>
      <c r="AG26" s="181" t="str">
        <f t="shared" si="6"/>
        <v>R</v>
      </c>
      <c r="AH26" s="181">
        <f t="shared" si="7"/>
        <v>2</v>
      </c>
      <c r="AI26" s="181" t="str">
        <f t="shared" si="8"/>
        <v>BUY</v>
      </c>
      <c r="AJ26" s="181">
        <f t="shared" si="9"/>
        <v>1</v>
      </c>
      <c r="AK26" s="181">
        <f>IF(ABS(N($AE26))&gt;=$BG$85,1,0)</f>
      </c>
      <c r="AL26" s="181">
        <f t="shared" si="10"/>
        <v>0</v>
      </c>
      <c r="AM26" s="181">
        <f t="shared" si="11"/>
        <v>5</v>
      </c>
      <c r="AN26" s="181">
        <f t="shared" si="12"/>
        <v>1</v>
      </c>
      <c r="AO26" s="1">
        <f t="shared" si="13"/>
        <v>1757071</v>
      </c>
      <c r="AP26" s="1" t="str">
        <f t="shared" si="14"/>
        <v/>
      </c>
      <c r="AQ26" s="1">
        <f t="shared" si="15"/>
        <v>135715</v>
      </c>
      <c r="AR26" s="181">
        <f t="shared" si="16"/>
        <v>1.5713289102968666</v>
      </c>
      <c r="AS26" s="181">
        <f t="shared" si="17"/>
        <v>2</v>
      </c>
      <c r="AT26" s="181" t="str">
        <f t="shared" si="18"/>
        <v/>
      </c>
      <c r="AU26" s="181" t="str">
        <f t="shared" si="19"/>
        <v/>
      </c>
      <c r="AV26" s="218">
        <f t="shared" si="183"/>
        <v>0</v>
      </c>
      <c r="AW26" s="181">
        <f>ABS('King Node Model'!G46)</f>
        <v>1772</v>
      </c>
      <c r="AX26" s="181">
        <f t="shared" si="20"/>
        <v>1</v>
      </c>
      <c r="AY26" s="181">
        <f t="shared" si="21"/>
        <v>1</v>
      </c>
      <c r="AZ26" s="276">
        <f>'King Node Model'!I46</f>
        <v>-1066</v>
      </c>
      <c r="BA26" s="181">
        <f t="shared" si="22"/>
        <v>0</v>
      </c>
      <c r="BB26" s="181" t="str">
        <f t="shared" si="23"/>
        <v>R2</v>
      </c>
      <c r="BC26" s="10">
        <f>'King Node Model'!C46</f>
        <v>-80182</v>
      </c>
      <c r="BD26" s="218">
        <f t="shared" si="184"/>
        <v>0</v>
      </c>
      <c r="BE26" s="218">
        <f t="shared" si="185"/>
        <v>0</v>
      </c>
      <c r="BF26" s="336" t="s">
        <v>1235</v>
      </c>
      <c r="BG26" s="10">
        <v>500000</v>
      </c>
      <c r="BI26" s="218">
        <f t="shared" si="186"/>
        <v>0</v>
      </c>
      <c r="BJ26" s="218">
        <f t="shared" si="187"/>
        <v>1</v>
      </c>
      <c r="BK26" s="218">
        <f t="shared" si="24"/>
        <v>0</v>
      </c>
      <c r="BL26" s="10">
        <f>'King Node Model'!H46</f>
        <v>196</v>
      </c>
      <c r="BM26" s="218">
        <f t="shared" si="25"/>
        <v>4</v>
      </c>
      <c r="BN26" s="218">
        <f t="shared" si="26"/>
        <v>40</v>
      </c>
      <c r="BO26" s="218">
        <f t="shared" si="27"/>
        <v>0</v>
      </c>
      <c r="BP26" s="218">
        <f t="shared" si="28"/>
        <v>0</v>
      </c>
      <c r="BQ26" t="str">
        <f t="shared" si="29"/>
        <v/>
      </c>
      <c r="BR26" t="str">
        <f t="shared" si="30"/>
        <v/>
      </c>
      <c r="BS26" s="218">
        <f t="shared" si="31"/>
        <v>0</v>
      </c>
      <c r="BT26" t="str">
        <f t="shared" si="32"/>
        <v/>
      </c>
      <c r="BU26" t="str">
        <f t="shared" si="33"/>
        <v/>
      </c>
      <c r="BV26" s="218">
        <f t="shared" si="34"/>
        <v>174329</v>
      </c>
      <c r="BW26" s="218">
        <f t="shared" si="35"/>
        <v>1757071</v>
      </c>
      <c r="BX26" s="218">
        <f>IF(AND(ISNUMBER(BC26),BC26&gt;=$BG$160,OR('King Node Model'!$A$8="Neg",N($BG$72)=1)),1,0)</f>
        <v>0</v>
      </c>
      <c r="BY26" s="218">
        <f t="shared" si="36"/>
        <v>1</v>
      </c>
      <c r="BZ26" s="218">
        <f t="shared" si="37"/>
        <v>1</v>
      </c>
      <c r="CA26">
        <f t="shared" si="38"/>
        <v>1</v>
      </c>
      <c r="CB26" s="218">
        <f>IF(AND(ISNUMBER('King Node Model'!$D$27),AG26&lt;&gt;"",AA26='King Node Model'!$D$27),1,0)</f>
        <v>0</v>
      </c>
      <c r="CC26" s="218">
        <f>IF(OR('King Node Model'!$A$8="Neg",N($BG$72)=1),$BG$14*IF(ISNUMBER('King Node Model'!$D$26),MAX(0,1-ABS(AA26-'King Node Model'!$D$26)/$BG$18),0)+$BG$15*IFERROR(BV26/MAX($BV$9:$BV$55),0)+$BG$16*IFERROR(BW26/MAX($BW$9:$BW$55),0)+$BG$17*IFERROR(AC26/$S$11,0)*MAX(0,1+$BG$21*CF26),AR26)</f>
        <v>1.8158686959789374</v>
      </c>
      <c r="CD26" s="218">
        <f>IF(OR('King Node Model'!$A$8="Neg",N($BG$72)=1),IF(AND(AG26&lt;&gt;"",ABS(AA26-$B$4)&lt;=$BG$7,OR(AX26=0,$D$5&lt;&gt;"UP"),AY26=0,BK26&lt;&gt;1,CI26=0,AM26&gt;=$BG$20,AC26&gt;$BG$19),1,0),IF(AND(BS26=1,(COUNTIF($W$9:$W$14,AA26)+COUNTIF($W$18:$W$23,AA26))&gt;0,CI26=0,AM26&gt;=$BG$20,AC26&gt;$BG$19),1,0))</f>
        <v>0</v>
      </c>
      <c r="CE26" t="str">
        <f t="shared" si="39"/>
        <v/>
      </c>
      <c r="CF26" s="218">
        <f t="shared" si="40"/>
        <v>0</v>
      </c>
      <c r="CG26" t="str">
        <f t="shared" si="41"/>
        <v/>
      </c>
      <c r="CH26" t="str">
        <f t="shared" si="42"/>
        <v>Dormant</v>
      </c>
      <c r="CI26" s="218">
        <f t="shared" si="43"/>
        <v>0</v>
      </c>
      <c r="CJ26" s="218">
        <f t="shared" si="44"/>
        <v>387420489</v>
      </c>
      <c r="CK26" s="218">
        <f t="shared" si="45"/>
        <v>0</v>
      </c>
      <c r="CL26" s="218">
        <f t="shared" si="46"/>
        <v>0</v>
      </c>
      <c r="CR26" t="s">
        <v>1486</v>
      </c>
      <c r="CS26">
        <f>IFERROR(INDEX($AB$9:$AB$55,MATCH('King Node Model'!$AL$49,$AA$9:$AA$55,0)),"")</f>
        <v>-49207</v>
      </c>
      <c r="CT26">
        <v>0</v>
      </c>
      <c r="CU26" s="218">
        <f>IF(AND(AND('King Node Model'!$A$8&lt;&gt;"Neg",N($BG$72)&lt;&gt;1),SUMPRODUCT(($AG$9:$AG$55="S")*ISNUMBER($AT$9:$AT$55)*ISNUMBER($AU$9:$AU$55)*($AT$9:$AT$55&lt;&gt;$AU$9:$AU$55)*($AT$9:$AT$55&lt;=$AA26)*($AU$9:$AU$55&gt;=$AA26))&gt;0),0,IF(AND(OR($AA26='King Node Model'!$T$22,$AA26='King Node Model'!$F$24),$AG26="R",COUNTIF($W$9:$W$14,$AA26)&gt;0),1,IF(AND($FN26=1,$EU26&lt;&gt;1,$EM26&lt;&gt;1,$BK26&lt;&gt;1,$DH26&lt;&gt;1,$AG26="R",COUNTIF($W$9:$W$14,$AA26)&gt;0),1,IF($EU26=1,0,IF($EM26=1,0,IF(AND(OR($EE26=1,$GV26=1,AND($EL$7=1,$AA26='King Node Model'!$D$26,$EI26=1),AND(OR($AA26='King Node Model'!$T$22,$AA26='King Node Model'!$T$23),$AN26=1,OR($AX26=0,$D$5&lt;&gt;"UP"))),OR(NOT(OR('King Node Model'!$A$8="Neg",N($BG$72)=1)),$GV26=1,AND(OR($AA26='King Node Model'!$T$22,$AA26='King Node Model'!$T$23),$AN26=1,OR($AX26=0,$D$5&lt;&gt;"UP")),AND($AM26&gt;=$BG$20,$AC26&gt;IF($CZ26=1,$BG$48,$BG$19)))),1,IF($DH26=1,0,IF(AND($DC26=1,$GS26&lt;&gt;1,AND('King Node Model'!$A$8&lt;&gt;"Neg",N($BG$72)&lt;&gt;1)),0,IF(AND($EY26=1,NOT(OR('King Node Model'!$A$8="Neg",$BG$72=1)),$AA26&lt;&gt;'King Node Model'!$B$23),0,IF(AND($GS26=1,$AG26="R",OR($CI26=0,$EE26=1,$EX26=1,$GV26=1),COUNTIF($W$9:$W$14,$AA26)&gt;0,ABS($AA26-$B$4)&lt;=$BG$7,$BK26&lt;&gt;1,$AM26&gt;=$BG$20,$AC26&gt;IF($CZ26=1,$BG$48,$BG$19)),1,IF(OR('King Node Model'!$A$8="Neg",N($BG$72)=1),IF(AND(OR($AM26&gt;=$BG$20,$AA26='King Node Model'!$D$26,$GV26=1),$AG26="R",COUNTIF($W$9:$W$14,$AA26)&gt;0,ABS($AA26-$B$4)&lt;=$BG$7,OR($AX26=0,$D$5&lt;&gt;"UP"),$BK26&lt;&gt;1,OR(OR($CI26=0,$AJ26=1),AND($EI26=1,$LA26=1,COUNTIF($W$9:$W$11,$AA26)&gt;0,$AN26=1,OR($AX26=0,$D$5&lt;&gt;"UP"))),$AM26&gt;=$BG$20,$AC26&gt;IF($CZ26=1,$BG$48,$BG$19),OR($AN26=1,N($LR26)=1,$AA26='King Node Model'!$D$26,AND($BY26=1,$AA26&gt;$B$4),$BX26=1,$CF26=1,$CF26=1,AND(OR($AA26=$CP$4,$AA26=$CP$5,$AA26=$CP$6,$AA26=$CP$7),ABS($AA26-$B$4)&lt;=30),AND($AX26=1,$D$5="DOWN"))),1,0),IF(AND(OR($AM26&gt;=3,$AA26='King Node Model'!$D$26,$GV26=1),$AG26="R",COUNTIF($W$9:$W$14,$AA26)&gt;0,ABS($AA26-$B$4)&lt;=$BG$7,OR($AX26=0,$D$5&lt;&gt;"UP"),$BK26&lt;&gt;1,OR($CI26=0,$AJ26=1),$AM26&gt;=$BG$20,$AC26&gt;IF($CZ26=1,$BG$48,$BG$19),OR($AC26&gt;=MAX($AC$9:$AC$55),$BC26&gt;0,$AA26='King Node Model'!$D$26,AND(OR($AA26=$CP$4,$AA26=$CP$5,$AA26=$CP$6,$AA26=$CP$7),ABS($AA26-$B$4)&lt;=30),$CF26=1,$AN26=1,AND($AX26=1,$D$5="DOWN"))),1,0))))))))))))</f>
        <v>0</v>
      </c>
      <c r="CV26" s="218">
        <f>IF(AND(OR('King Node Model'!$A$8="Neg",N($BG$72)=1),$AG26="S",N($LR26)=1,N($MB26)=1),1,IF(AND(AND('King Node Model'!$A$8&lt;&gt;"Neg",N($BG$72)&lt;&gt;1),SUMPRODUCT(($AG$9:$AG$55="R")*ISNUMBER($AT$9:$AT$55)*ISNUMBER($AU$9:$AU$55)*($AT$9:$AT$55&lt;&gt;$AU$9:$AU$55)*($AT$9:$AT$55&lt;=$AA26)*($AU$9:$AU$55&gt;=$AA26))&gt;0,NOT(AND(N($LC26)=1,$AA26='King Node Model'!$B$23))),0,IF(AND($AA26='King Node Model'!$F$24,$AG26="S",COUNTIF($W$18:$W$23,$AA26)&gt;0),1,IF(AND($FN26=1,$EU26&lt;&gt;1,$EM26&lt;&gt;1,$DH26&lt;&gt;1,$AG26="S",COUNTIF($W$18:$W$23,$AA26)&gt;0),1,IF($EU26=1,0,IF(AND(OR($EF26=1,$GV26=1,AND(OR($AA26='King Node Model'!$T$22,$AA26='King Node Model'!$T$23,AND($AG26="S",COUNTIF('Master Dashboard'!$AN$16:$AN$18,$AA26)&gt;0)),$AN26=1,OR($AX26=0,$D$5&lt;&gt;"UP"))),OR(NOT(OR('King Node Model'!$A$8="Neg",N($BG$72)=1)),$GV26=1,AND(OR($AA26='King Node Model'!$T$22,$AA26='King Node Model'!$T$23,AND($AG26="S",COUNTIF('Master Dashboard'!$AN$16:$AN$18,$AA26)&gt;0)),$AN26=1,OR($AX26=0,$D$5&lt;&gt;"UP")),AND($AM26&gt;=$BG$20,$AC26&gt;IF($CZ26=1,$BG$48,$BG$19)))),1,IF($DH26=1,0,IF(AND($DC26=1,$GS26&lt;&gt;1,AND('King Node Model'!$A$8&lt;&gt;"Neg",N($BG$72)&lt;&gt;1)),0,IF(AND($EY26=1,NOT(OR('King Node Model'!$A$8="Neg",$BG$72=1)),$AA26&lt;&gt;'King Node Model'!$B$23,COUNTIF('Master Dashboard'!$AN$16:$AN$18,$AA26)=0),0,IF(AND($GS26=1,$AG26="S",OR($CI26=0,$EF26=1,$EX26=1,$GV26=1),COUNTIF($W$18:$W$23,$AA26)&gt;0,ABS($AA26-$B$4)&lt;=$BG$7,$BK26&lt;&gt;1,$AM26&gt;=$BG$20,$AC26&gt;IF($CZ26=1,$BG$48,$BG$19)),1,IF(OR('King Node Model'!$A$8="Neg",N($BG$72)=1),IF(AND(OR(OR($AM26&gt;=$BG$20,N($LR26)=1),$AA26='King Node Model'!$D$26,$GV26=1),$AG26="S",COUNTIF($W$18:$W$23,$AA26)&gt;0,ABS($AA26-$B$4)&lt;=$BG$7,OR($AX26=0,$D$5&lt;&gt;"UP"),$BK26&lt;&gt;1,OR($CI26=0,$AJ26=1,AND(N($LR26)=1,N($MB26)=1),N($MT26)=1),OR($AM26&gt;=$BG$20,N($LR26)=1),$AC26&gt;IF($CZ26=1,$BG$48,$BG$19),OR($AB26&gt;0,$AN26=1,N($MT26)=1,N($LR26)=1,$AA26='King Node Model'!$D$26,AND($BY26=1,$AA26&lt;$B$4),$BX26=1,$CF26=1,$CF26=1,AND(OR($AA26=$CP$4,$AA26=$CP$5,$AA26=$CP$6,$AA26=$CP$7),ABS($AA26-$B$4)&lt;=30),AND($AX26=1,$D$5="DOWN"))),1,0),IF(AND(OR($AM26&gt;=3,$AA26='King Node Model'!$D$26,$GV26=1),$AG26="S",COUNTIF($W$18:$W$23,$AA26)&gt;0,ABS($AA26-$B$4)&lt;=$BG$7,OR($AX26=0,$D$5&lt;&gt;"UP"),$BK26&lt;&gt;1,OR($CI26=0,$AJ26=1,AND(N($LR26)=1,N($MB26)=1),N($MT26)=1),$AM26&gt;=$BG$20,$AC26&gt;IF($CZ26=1,$BG$48,$BG$19),OR($AC26&gt;=MAX($AC$9:$AC$55),$BC26&gt;0,N($MT26)=1,$AA26='King Node Model'!$D$26,AND(OR($AA26=$CP$4,$AA26=$CP$5,$AA26=$CP$6,$AA26=$CP$7),ABS($AA26-$B$4)&lt;=30),$CF26=1,$AN26=1,AND($AX26=1,$D$5="DOWN"))),1,0))))))))))))</f>
        <v>0</v>
      </c>
      <c r="CX26" s="218">
        <f t="shared" si="48"/>
        <v>0</v>
      </c>
      <c r="CY26" t="str">
        <f t="shared" si="49"/>
        <v/>
      </c>
      <c r="CZ26" s="218">
        <f t="shared" si="50"/>
        <v>0</v>
      </c>
      <c r="DA26" s="218" t="str">
        <f t="shared" si="51"/>
        <v/>
      </c>
      <c r="DB26" t="str">
        <f t="shared" si="52"/>
        <v/>
      </c>
      <c r="DC26" s="218">
        <f t="shared" si="53"/>
        <v>0</v>
      </c>
      <c r="DD26" s="218">
        <f t="shared" si="54"/>
        <v>0</v>
      </c>
      <c r="DE26" s="218">
        <f t="shared" si="55"/>
        <v>0</v>
      </c>
      <c r="DF26" s="218" t="str">
        <f t="shared" si="56"/>
        <v/>
      </c>
      <c r="DG26" s="218" t="str">
        <f t="shared" si="57"/>
        <v/>
      </c>
      <c r="DH26" s="218">
        <f t="shared" si="58"/>
        <v>0</v>
      </c>
      <c r="DI26">
        <v>1</v>
      </c>
      <c r="DJ26">
        <v>1</v>
      </c>
      <c r="DK26">
        <v>1239229</v>
      </c>
      <c r="DL26">
        <v>0</v>
      </c>
      <c r="DM26" t="str">
        <f>IF(AND($CV26=1,$AG26="S"),IF(AND(OR('King Node Model'!$A$8="Neg",N($BG$72)=1),'King Node Model'!$S$52=""),IF(OR(N($AN26)=1,N($LR26)=1,$AB26&gt;0,$AJ26=1,N($JO26)=1,AND(NOT($AE26&gt;0),NOT(IFERROR(AND(ISNUMBER($BC26),ISNUMBER($BC25),($BC26&gt;=0)&lt;&gt;($BC25&gt;=0)),FALSE())),OR(AND($BM26&lt;=6,$BN26&lt;=6),ABS($AA26-'King Node Model'!$T$23)&lt;=5,$LA26=1))),1,0),1),"")</f>
        <v/>
      </c>
      <c r="DN26" t="str">
        <f t="shared" si="59"/>
        <v/>
      </c>
      <c r="DO26" t="str">
        <f t="shared" si="60"/>
        <v>vommaIVup</v>
      </c>
      <c r="DP26" t="str">
        <f>IF(AND(OR('King Node Model'!$A$8="Neg",N($BG$72)=1),$AG26="S",ISNUMBER($AT26),ISNUMBER($AU26),$AT26&lt;&gt;$AU26,$AA26=$AT26),IF(AND(SUMPRODUCT(($AA$9:$AA$55&gt;=$AT26)*($AA$9:$AA$55&lt;=$AU26)*($AB$9:$AB$55&gt;0))&gt;0,SUMPRODUCT(($AA$9:$AA$55&gt;=$AT26)*($AA$9:$AA$55&lt;=$AU26)*($DM$9:$DM$55=1))&gt;0,SUMPRODUCT(($AA$9:$AA$55&gt;=$AT26)*($AA$9:$AA$55&lt;=$AU26)*(COUNTIF($W$18:$W$20,$AA$9:$AA$55)&gt;0))&gt;0),1,0),"")</f>
        <v/>
      </c>
      <c r="DS26">
        <v>0</v>
      </c>
      <c r="DT26">
        <v>0</v>
      </c>
      <c r="DU26" t="str">
        <f>IF('King Node Model'!$A$8&lt;&gt;"Pos","",IF(OR($AA26="",NOT(ISNUMBER($AA26)),ABS($AA26-$B$4)&gt;$BG$7),"",TEXT($AA26,"0")&amp;" | "&amp;IF($AG26="","unclassified",IF($AG26&lt;&gt;IF($AA26&gt;$B$4,"R","S"),"orphan: in "&amp;$AG26&amp;"-list, "&amp;IF($AA26&lt;$B$4,"below","above")&amp;" spot",IF(IF($AG26="R",COUNTIF($W$9:$W$14,$AA26),COUNTIF($W$18:$W$23,$AA26))=0,"not in "&amp;$AG26&amp;"-list",IF($DH26=1,"absorbed into shelf box",IF($BK26=1,"absorbed: adjacent reversal",IF($CI26=1,"accel-accelerant",IF($AC26&lt;=$BG$19,"below gamma-floor",IF($AM26&lt;$BG$20,"confluence "&amp;TEXT($AM26,"0")&amp;" &lt; "&amp;TEXT($BG$20,"0"),IF(AND($AX26=1,$D$5="UP"),"accelerant in up-move",IF(NOT(OR($AC26&gt;=MAX($AC$9:$AC$55),$BC26&gt;0,$AA26='King Node Model'!$D$26,AND(OR($AA26=$CP$4,$AA26=$CP$5,$AA26=$CP$6,$AA26=$CP$7),ABS($AA26-$B$4)&lt;=30),ISNUMBER(SEARCH("STRENGTHENING",$CG26)),$AN26=1,AND($AX26=1,$D$5="DOWN"))),"no surface flag","-&gt; qualifies"))))))))))))</f>
        <v/>
      </c>
      <c r="DV26" s="218">
        <f t="shared" si="61"/>
        <v>99999</v>
      </c>
      <c r="DW26" s="218">
        <f t="shared" si="62"/>
        <v>99999</v>
      </c>
      <c r="DX26" t="str">
        <f>IF('King Node Model'!$A$8&lt;&gt;"Pos","",IF(AND($DV26&lt;99999,$DV26=MIN($DV$9:$DV$55),$DG26&gt;$AA26),"R-box: "&amp;TEXT($AA26,"0")&amp;"-"&amp;TEXT($DG26,"0"),IF(AND($DW26&lt;99999,$DW26=MIN($DW$9:$DW$55),$DF26&lt;$AA26),"S-box: "&amp;TEXT($DF26,"0")&amp;"-"&amp;TEXT($AA26,"0"),"")))</f>
        <v/>
      </c>
      <c r="EB26">
        <f t="shared" si="63"/>
        <v>24.609999999999673</v>
      </c>
      <c r="EC26">
        <f t="shared" si="64"/>
        <v>538591</v>
      </c>
      <c r="ED26">
        <f t="shared" si="65"/>
        <v>0</v>
      </c>
      <c r="EE26">
        <f>IF(AND(OR('King Node Model'!$A$8="Neg",N($BG$72)=1),$AG26="R",ISNUMBER($EB26),$EB26&lt;=$BG$7,$AB26&gt;0,$EC26&gt;0,$AB26=$EC26),1,0)</f>
        <v>0</v>
      </c>
      <c r="EF26">
        <f>IF(AND(OR('King Node Model'!$A$8="Neg",N($BG$72)=1),$AG26="S",ISNUMBER($EB26),$EB26&lt;=$BG$7,$AB26&gt;0,$ED26&gt;0,$AB26=$ED26),1,0)</f>
        <v>0</v>
      </c>
      <c r="EI26">
        <v>1</v>
      </c>
      <c r="EJ26">
        <f>IF($AA26="",0,IF(SUMPRODUCT(($AA$9:$AA$55&gt;=$AT26)*($AA$9:$AA$55&lt;=$AU26)*($DT$9:$DT$55=1))+SUMPRODUCT(($DT$9:$DT$55=1)*($AT$9:$AT$55&lt;=$AA26)*($AU$9:$AU$55&gt;=$AA26))+($DT26=1)+AND(OR('King Node Model'!$A$8="Neg",N($BG$72)=1),ISNUMBER(SEARCH("LOW",'Master Dashboard'!$M$5)),ISNUMBER(SEARCH("BUY",'Master Dashboard'!$G$8)),'King Node Model'!$T$23='King Node Model'!$B$23,$AA26&gt;='King Node Model'!$T$23,$AA26&lt;='King Node Model'!$T$23+5)*1&gt;0,1,0))</f>
        <v>0</v>
      </c>
      <c r="EM26">
        <f t="shared" si="66"/>
        <v>0</v>
      </c>
      <c r="EN26">
        <v>0</v>
      </c>
      <c r="EO26">
        <f t="shared" si="67"/>
        <v>0</v>
      </c>
      <c r="EP26">
        <f t="shared" si="68"/>
        <v>0</v>
      </c>
      <c r="EQ26" t="str">
        <f t="shared" si="69"/>
        <v>firming the ceiling (magnitude weak)</v>
      </c>
      <c r="ES26">
        <f>IF(AND(ISNUMBER(AA26),ISNUMBER(AF26),ABS(AA26-'King Node Model'!$B$4)&lt;=$BG$7),ABS(AF26),"")</f>
        <v>135715</v>
      </c>
      <c r="ET26">
        <v>0</v>
      </c>
      <c r="EU26" s="218">
        <f>IF(AND(OR('King Node Model'!$A$8="Neg",N($BG$72)=1),ISNUMBER($AA25),ISNUMBER($AA26),ISNUMBER($AA27),ISNUMBER($AB25),ISNUMBER($AB26),ISNUMBER($AB27),ISNUMBER($AF26),$AB26&gt;0,$AB25&lt;0,$AB27&lt;0,$AF26&lt;0),1,0)</f>
        <v>0</v>
      </c>
      <c r="EW26">
        <f>IF(OR(N($MY26)=1,N($JM26)=1),0,N($NE26))</f>
        <v>0</v>
      </c>
      <c r="EX26">
        <f>IF(AND(OR('King Node Model'!$A$8="Neg",N($BG$72)=1),ISNUMBER($AA26),OR(AND($AA26='King Node Model'!$F$24,OR(AND($AG26="S",$F$4="High",IF($BG$80&lt;&gt;"",UPPER($BG$80),$D$5)="DOWN"),AND($AG26="R",$F$4="Low",IF($BG$80&lt;&gt;"",UPPER($BG$80),$D$5)="UP"))),$GV26=1)),1,0)</f>
        <v>0</v>
      </c>
      <c r="EY26">
        <f>IFERROR(IF(AND($DC26=1,$AB26&lt;0,$AC26&gt;=(1+$FA$6)*INDEX($AC$9:$AC$55,18-1),$AC26&gt;=(1+$FA$6)*INDEX($AC$9:$AC$55,18+1),$AC26&gt;=IFERROR(INDEX($AC$9:$AC$55,18-2),0),$AC26&gt;=IFERROR(INDEX($AC$9:$AC$55,18+2),0)),1,0),0)</f>
        <v>0</v>
      </c>
      <c r="FA26" t="str">
        <f>IF(NOT(ISNUMBER($AA26)),"",IFERROR(IF(AND($AC26=MAX($AC$9:$AC$55),$AB26=MIN($AB$9:$AB$55)),"DOM",IF(AND($DC25=1,$DC26=1,$DC27=1,INDEX($AC$9:$AC$55,18-1)&lt;=(1-$FA$6)*$AC26,INDEX($AC$9:$AC$55,18-1)&lt;=(1-$FA$6)*INDEX($AC$9:$AC$55,18-2)),"GAP↑",IF(AND($DC27=1,$DC26=1,INDEX($AC$9:$AC$55,18+1)&lt;=(1-$FA$6)*$AC26,INDEX($AC$9:$AC$55,18+1)&lt;=(1-$FA$6)*INDEX($AC$9:$AC$55,18+2)),"GAP↓",IF($CZ26=1,"dEdge Cliff",IF($GY26=1,"γWall",IF(AND($DC26=1,$AB26&lt;0,$AC26&gt;=(1+$FA$6)*INDEX($AC$9:$AC$55,18-1),$AC26&gt;=(1+$FA$6)*INDEX($AC$9:$AC$55,18+1)),"PEAK-",IF($GZ26=1,"γSh Edge",IF($HL26=1,"Trough",IF($HN26=1,"PEAK+",IF($GF26=1,"Cluster","")))))))))),""))</f>
        <v>γWall</v>
      </c>
      <c r="FB26" t="str">
        <f t="shared" si="70"/>
        <v/>
      </c>
      <c r="FC26" t="str">
        <f t="shared" si="71"/>
        <v/>
      </c>
      <c r="FD26">
        <f>IF(AND(ISNUMBER($AA26),ISNUMBER('King Node Model'!$AP$17),ISNUMBER('King Node Model'!$AQ$17),$AA26&gt;=MIN('King Node Model'!$AP$17,'King Node Model'!$AQ$17),$AA26&lt;=MAX('King Node Model'!$AP$17,'King Node Model'!$AQ$17),IFERROR(INDEX($AC$9:$AC$55,MATCH('King Node Model'!$AL$42,$AA$9:$AA$55,0)),0)&gt;0,$AC26&gt;=(1-$FA$6)*IFERROR(INDEX($AC$9:$AC$55,MATCH('King Node Model'!$AL$42,$AA$9:$AA$55,0)),0),$AC26&lt;=(1+$FA$6)*IFERROR(INDEX($AC$9:$AC$55,MATCH('King Node Model'!$AL$42,$AA$9:$AA$55,0)),0)),1,0)</f>
        <v>0</v>
      </c>
      <c r="FE26">
        <f>IF($AA26='King Node Model'!$AL$42,1,IF(AND($FD26=1,$FE25=1),1,0))</f>
        <v>0</v>
      </c>
      <c r="FF26">
        <f>IF($AA26='King Node Model'!$AL$42,1,IF(AND($FD26=1,$FF27=1),1,0))</f>
        <v>0</v>
      </c>
      <c r="FG26" t="str">
        <f>IF(OR($FE26=1,$FF26=1),18,"")</f>
        <v/>
      </c>
      <c r="FJ26">
        <f>IF(AND($CW$2=1,ISNUMBER($AA26),ISNUMBER($CW$3),ISNUMBER($CW$4),$AA26&gt;=MIN($CW$3,$CW$4),$AA26&lt;=MAX($CW$3,$CW$4),IFERROR(INDEX($AC$9:$AC$55,MATCH('King Node Model'!$AP$67,$AA$9:$AA$55,0)),0)&gt;0,$AC26&gt;=(1-$FA$6)*IFERROR(INDEX($AC$9:$AC$55,MATCH('King Node Model'!$AP$67,$AA$9:$AA$55,0)),0),$AC26&lt;=(1+$FA$6)*IFERROR(INDEX($AC$9:$AC$55,MATCH('King Node Model'!$AP$67,$AA$9:$AA$55,0)),0)),1,0)</f>
        <v>0</v>
      </c>
      <c r="FK26">
        <f>IF(AND($CW$2=1,$AA26='King Node Model'!$AP$67),1,IF(AND($FJ26=1,$FK25=1),1,0))</f>
        <v>0</v>
      </c>
      <c r="FL26">
        <f>IF(AND($CW$2=1,$AA26='King Node Model'!$AP$67),1,IF(AND($FJ26=1,$FL27=1),1,0))</f>
        <v>0</v>
      </c>
      <c r="FM26" t="str">
        <f>IF(OR($FK26=1,$FL26=1),18,"")</f>
        <v/>
      </c>
      <c r="FN26">
        <v>0</v>
      </c>
      <c r="FR26" t="str">
        <f t="shared" si="72"/>
        <v/>
      </c>
      <c r="FS26">
        <f t="shared" si="188"/>
        <v>0</v>
      </c>
      <c r="FT26">
        <f t="shared" si="73"/>
        <v>-2.1369005374631853E-2</v>
      </c>
      <c r="FU26">
        <f t="shared" si="74"/>
        <v>3752257</v>
      </c>
      <c r="FV26">
        <f>IF($FW26=0,"",IF(OR($FW25=0,SIGN(IFERROR($BC26*1,0))&lt;&gt;SIGN(IFERROR($BC25*1,0)),$GH26=1,$GH25=1),MAX($FV$9:$FV25)+1,$FV25))</f>
        <v>5</v>
      </c>
      <c r="FW26">
        <f t="shared" si="75"/>
        <v>1</v>
      </c>
      <c r="FX26">
        <f t="shared" si="76"/>
        <v>3752257</v>
      </c>
      <c r="FY26">
        <f t="shared" si="77"/>
        <v>1</v>
      </c>
      <c r="FZ26">
        <f t="shared" si="189"/>
        <v>1</v>
      </c>
      <c r="GA26">
        <f t="shared" si="78"/>
        <v>1</v>
      </c>
      <c r="GB26">
        <f t="shared" si="79"/>
        <v>1</v>
      </c>
      <c r="GC26">
        <f t="shared" si="80"/>
        <v>3752257</v>
      </c>
      <c r="GD26">
        <f t="shared" si="81"/>
        <v>7800</v>
      </c>
      <c r="GE26">
        <f t="shared" si="82"/>
        <v>7800</v>
      </c>
      <c r="GF26">
        <f t="shared" si="83"/>
        <v>0</v>
      </c>
      <c r="GH26">
        <f>IFERROR(IF(AND($AC26&gt;=(1+$FA$6)*INDEX($AC$9:$AC$55,18-1),$AC26&gt;=(1+$FA$6)*INDEX($AC$9:$AC$55,18+1)),1,0),0)</f>
        <v>1</v>
      </c>
      <c r="GK26">
        <v>0</v>
      </c>
      <c r="GO26">
        <v>1</v>
      </c>
      <c r="GP26">
        <v>0</v>
      </c>
      <c r="GQ26">
        <f t="shared" si="84"/>
        <v>0</v>
      </c>
      <c r="GR26">
        <f t="shared" si="85"/>
        <v>0</v>
      </c>
      <c r="GS26">
        <f>IF(AND($EY26=1,$AA26&lt;&gt;'King Node Model'!$B$23),0,IF(OR($GQ26=1,$GR26=1),1,IF($DC26=1,IF(OR('King Node Model'!$A$8="Neg",N($BG$72)=1),IF(OR(AND($AC26=MAX($AC$9:$AC$55),$AB26=MIN($AB$9:$AB$55)),$AN26=1,$EE26=1,$EF26=1,$EX26=1,$GV26=1),1,0),1),0)))</f>
        <v>0</v>
      </c>
      <c r="GT26">
        <f>IFERROR(IF(AND(OR('King Node Model'!$A$8="Neg",N($BG$72)=1),$EU25=1,$AG26="R",ISNUMBER($AA26),ISNUMBER($AF26),$AF26&lt;&gt;0,$AA26&gt;$B$4-$BG$9,$AA26-$B$4&lt;=$BG$47,IF($KC26="UP",SIGN($AF26),IF($KC26="DOWN",-SIGN($AF26),0))&lt;&gt;1),1,0),0)</f>
        <v>0</v>
      </c>
      <c r="GU26" t="str">
        <f t="shared" si="86"/>
        <v/>
      </c>
      <c r="GV26">
        <f t="shared" si="87"/>
        <v>0</v>
      </c>
      <c r="GW26">
        <f t="shared" si="88"/>
        <v>24.609999999999673</v>
      </c>
      <c r="GX26" t="str">
        <f t="shared" si="89"/>
        <v/>
      </c>
      <c r="GY26">
        <f t="shared" si="90"/>
        <v>1</v>
      </c>
      <c r="GZ26">
        <f t="shared" si="91"/>
        <v>0</v>
      </c>
      <c r="HA26">
        <v>1</v>
      </c>
      <c r="HF26">
        <f>IFERROR(IF(AND($GZ26=1,'King Node Model'!$A$8="Pos",$D$5="UP",$CF26=-1,$AJ26&lt;&gt;1),1,0),0)</f>
        <v>0</v>
      </c>
      <c r="HG26">
        <f t="shared" si="92"/>
        <v>0</v>
      </c>
      <c r="HH26" t="str">
        <f>IF($GZ26=1,"",IFERROR(IF(NOT(ISNUMBER($AA26)),"",IF($EY26=1,"",IF($GF26=1,IF($GD26=$GE26,"",$GD26),IF(OR(AND($DC25=1,$DC26=1,$DC27=1,INDEX($AC$9:$AC$55,18-1)&lt;=(1-$FA$6)*$AC26,INDEX($AC$9:$AC$55,18-1)&lt;=(1-$FA$6)*INDEX($AC$9:$AC$55,18-2)),AND($DC27=1,$DC26=1,INDEX($AC$9:$AC$55,18+1)&lt;=(1-$FA$6)*$AC26,INDEX($AC$9:$AC$55,18+1)&lt;=(1-$FA$6)*INDEX($AC$9:$AC$55,18+2)),AND($DC26=1,OR(INDEX($DC$9:$DC$55,18-1)=0,INDEX($DC$9:$DC$55,18+1)=0))),IF(MIN($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MAX($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MIN($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f>
        <v/>
      </c>
      <c r="HI26" t="str">
        <f>IF($GZ26=1,"",IFERROR(IF(NOT(ISNUMBER($AA26)),"",IF($EY26=1,"",IF($GF26=1,IF($GD26=$GE26,"",$GE26),IF(OR(AND($DC25=1,$DC26=1,$DC27=1,INDEX($AC$9:$AC$55,18-1)&lt;=(1-$FA$6)*$AC26,INDEX($AC$9:$AC$55,18-1)&lt;=(1-$FA$6)*INDEX($AC$9:$AC$55,18-2)),AND($DC27=1,$DC26=1,INDEX($AC$9:$AC$55,18+1)&lt;=(1-$FA$6)*$AC26,INDEX($AC$9:$AC$55,18+1)&lt;=(1-$FA$6)*INDEX($AC$9:$AC$55,18+2)),AND($DC26=1,OR(INDEX($DC$9:$DC$55,18-1)=0,INDEX($DC$9:$DC$55,18+1)=0))),IF(MIN($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MAX($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MAX($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f>
        <v/>
      </c>
      <c r="HL26">
        <f t="shared" si="93"/>
        <v>0</v>
      </c>
      <c r="HM26">
        <f>IFERROR(IF(AND($HL26=1,NOT(OR($AA26='King Node Model'!$T$22,$AA26='King Node Model'!$T$23,$AA26='King Node Model'!$F$24,AND($AG26="S",COUNTIF('Master Dashboard'!$AN$16:$AN$18,$AA26)&gt;0),AND($AG26="R",COUNTIF('Master Dashboard'!$AN$13:$AN$15,$AA26)&gt;0)))),1,0),0)</f>
        <v>0</v>
      </c>
      <c r="HN26">
        <f t="shared" si="94"/>
        <v>0</v>
      </c>
      <c r="HO26">
        <f t="shared" si="95"/>
        <v>0</v>
      </c>
      <c r="HP26">
        <f t="shared" si="96"/>
        <v>1</v>
      </c>
      <c r="HQ26" t="str">
        <f>IF(NOT(ISNUMBER($AA26)),"",IFERROR(TRIM(IF(N($MY26)=1,"DEXLEAN ","")&amp;IF(N($IZ26)=1,"DEXCAP ","")&amp;IF(AND($AG26="S",UPPER('King Node Model'!$L$5)="HIGH",$KC26="DOWN",N($AF26)&gt;0,$AA26='King Node Model'!$AN$70,$IY26="SELL"),"CHOPEDGEIV ","")&amp;IF(N($IS26)=1,"NOREV ","")&amp;IF(N($JY26)=1,"VFLAT ","")&amp;IF(N($KR26)=1,"GDEXVANNA ","")&amp;IF(N($LD26)=1,"KGSUPFAIL ","")&amp;IF(N($LE26)=1,"KGRESLEAK ","")&amp;IF(N($MH26)=1,"ZIGZAG ","")&amp;IF(N($KK26)=1,"DATAGAP ","")&amp;IF(N($KA26)&lt;&gt;0,"ACCUNDERCW ","")&amp;IF(AND($AG26="S",$HF26=1),"EDGE ","")&amp;IF(AND($HM26=1,'King Node Model'!$A$8="Pos",N($BG$72)&lt;&gt;1),"TROUGH ","")&amp;IF(AND($EU26=1,N($JZ26)&lt;&gt;1),"BUMP ","")&amp;IF(AND($GT26=1,N($JZ26)&lt;&gt;1),"SANDWICH ","")&amp;IF(AND($EX26&lt;&gt;1,OR('King Node Model'!$A$8="Neg",N($BG$72)=1),OR(AND(ISNUMBER($AC26),$AC26=MAX($AC$9:$AC$55)),AND(ISNUMBER($AB26),$AB26=MIN($AB$9:$AB$55))),NOT(AND(AND(ISNUMBER($AC26),$AC26=MAX($AC$9:$AC$55)),AND(ISNUMBER($AB26),$AB26=MIN($AB$9:$AB$55)))),$AG26="S",N($AB26)&lt;0,NOT(COUNTIF('Master Dashboard'!$AN$16:$AN$18,$AA26)&gt;0),NOT(AND(OR('King Node Model'!$A$8="Neg",N($BG$72)=1),ISNUMBER($AB26),$AB26=MIN($AB$9:$AB$55),$AA26=$BG$105))),"ACCEL ","")&amp;IF(AND($EX26&lt;&gt;1,ISNUMBER($AA26),OR('King Node Model'!$A$8="Neg",N($BG$72)=1),$EY26=1,NOT(AND($AG26="S",COUNTIF('Master Dashboard'!$AN$16:$AN$18,$AA26)&gt;0)),NOT(AND($AA26='King Node Model'!$B$23,IF($AG26="S",OR($AA26='King Node Model'!$C$24,COUNTIF('Master Dashboard'!$AN$16:$AN$18,$AA26)&gt;0),OR($AA26='King Node Model'!$C$23,COUNTIF('Master Dashboard'!$AN$13:$AN$15,$AA26)&gt;0)))),NOT(AND($EX26&lt;&gt;1,OR('King Node Model'!$A$8="Neg",N($BG$72)=1),OR(AND(ISNUMBER($AC26),$AC26=MAX($AC$9:$AC$55)),AND(ISNUMBER($AB26),$AB26=MIN($AB$9:$AB$55))),NOT(AND(AND(ISNUMBER($AC26),$AC26=MAX($AC$9:$AC$55)),AND(ISNUMBER($AB26),$AB26=MIN($AB$9:$AB$55)))),$AG26="S",N($AB26)&lt;0,NOT(COUNTIF('Master Dashboard'!$AN$16:$AN$18,$AA26)&gt;0)))),"AMPLIFY ","")&amp;IF(AND($AG26="S",OR('King Node Model'!$A$8="Neg",N($BG$72)=1),$AJ26&lt;&gt;1,N($MT26)&lt;&gt;1,NOT(AND(N($LR26)=1,N($MB26)=1)),ISNUMBER(SEARCH("ACCEL building",$CG26))),"ZACCEL ","")&amp;IF(AND($AG26="S",OR('King Node Model'!$A$8="Neg",N($BG$72)=1),$AA26='King Node Model'!$B$23,NOT(AND(AND(ISNUMBER($AC26),$AC26=MAX($AC$9:$AC$55)),AND(ISNUMBER($AB26),$AB26=MIN($AB$9:$AB$55)))),$EJ26&lt;&gt;1),"KINGACC ","")&amp;IF(AND($AG26="S",OR('King Node Model'!$A$8="Neg",N($BG$72)=1),ABS(N($AA26)-N('King Node Model'!$B$23))&lt;=$BG$107,NOT(AND(SUMPRODUCT((ABS($AF$9:$AF$55)&lt;=ABS(N($AF26)))*1)/COUNT($AF$9:$AF$55)&gt;=0.66,OR(ISNUMBER(SEARCH("firmer resistance",$CG26)),ISNUMBER(SEARCH("STRENGTHENING",$CG26)),ISNUMBER(SEARCH("firmer support",$CG26))))),NOT(AND(N($AB26)&gt;0,SUMPRODUCT((ABS($AB$9:$AB$55)&lt;=ABS(N($AB26)))*1)/COUNT($AB$9:$AB$55)&gt;=0.66)),$EJ26&lt;&gt;1,$AJ26&lt;&gt;1,COUNTIF('Master Dashboard'!$AN$16:$AN$18,$AA26)=0,NOT(AND($AG26="S",OR('King Node Model'!$A$8="Neg",N($BG$72)=1),$AA26='King Node Model'!$B$23,NOT(AND(AND(ISNUMBER($AC26),$AC26=MAX($AC$9:$AC$55)),AND(ISNUMBER($AB26),$AB26=MIN($AB$9:$AB$55)))),$EJ26&lt;&gt;1))),"KINGNODE ","")&amp;IF(AND($AG26="R",NOT(AND(AND(ISNUMBER($AC26),$AC26=MAX($AC$9:$AC$55)),AND(ISNUMBER($AB26),$AB26=MIN($AB$9:$AB$55)))),UPPER('King Node Model'!$L$5)="LOW",$KC26="DOWN",N($AF26)&gt;0),"LOWIVFALL ","")&amp;IF(AND($AG26="R",NOT(AND(AND(ISNUMBER($AC26),$AC26=MAX($AC$9:$AC$55)),AND(ISNUMBER($AB26),$AB26=MIN($AB$9:$AB$55)))),UPPER('King Node Model'!$L$5)="HIGH",$KC26="DOWN",N($AF26)&gt;0,IFERROR(MATCH($AA26,$W$9:$W$14,0)&gt;=4,FALSE)),"HIGHIVFALL ","")&amp;IF(AND($AG26="R",N($BG$99)=1),"SPOTUPVOLUP ","")&amp;IF(AND($AG26="R",ISNUMBER(SEARCH("5/5",'Master Dashboard'!$E$29)),OR(ISNUMBER(SEARCH("WEAKENING",$EQ26)),ISNUMBER(SEARCH("Pos gamma ↓",$EQ26)),ISNUMBER(SEARCH("thinning the ceiling",$EQ26)))),"SQUEEZE ","")&amp;IF(N($JU26)=1,"DEDGECLIFF ","")&amp;IF(N($KT26)=1,"DEXDRAIN ","")&amp;IF(N($HW26)&lt;&gt;0,"DEXDROP ","")&amp;IF(N($HX26)&lt;&gt;0,"PEAK+ ","")&amp;IF(N($IF26)=1,"CHOP ","")&amp;IF(N($IQ26)=1,"CONTESTED ","")&amp;IF(N($IW26)=1,"VSELL ","")&amp;IF(N($JK26)=1,"VBUYRES ","")&amp;IF(N($JL26)=1,"DOMFLAT ","")&amp;IF(N($JM26)=1,"DOMPULL ","")&amp;IF(N($JP26)=1,"OIZOMMA ","")&amp;IF(AND(N($JQ26)=1,N($JZ26)&lt;&gt;1),"OIDEX ","")),""))</f>
        <v>ZIGZAG</v>
      </c>
      <c r="HS26">
        <f>IFERROR(IF(AND($DC26=1,OR(AND($AG26="R",INDEX($DC$9:$DC$55,17)=0,INDEX($DC$9:$DC$55,19)=1,INDEX($DC$9:$DC$55,20)=1),AND($AG26="S",INDEX($DC$9:$DC$55,19)=0,INDEX($DC$9:$DC$55,17)=1,INDEX($DC$9:$DC$55,16)=1))),1,0),0)</f>
        <v>0</v>
      </c>
      <c r="HT26">
        <f t="shared" si="97"/>
        <v>0</v>
      </c>
      <c r="HU26">
        <v>0</v>
      </c>
      <c r="HV26">
        <v>0</v>
      </c>
      <c r="HW26">
        <f>IFERROR(IF(OR(NOT(ISNUMBER($AA26)),'King Node Model'!$A$8&lt;&gt;"Pos",N($BG$72)=1,ABS(N($AE26))&lt;$BG$113,N($AV26)=1,$FA26="DOM",$AA26='King Node Model'!$T$23,AND(N($BG$116)=1,$AA26='King Node Model'!$F$24),NOT(ISNUMBER($KU26)),NOT(ISNUMBER($KV26))),0,IF(AND($AG26="S",COUNTIF('Master Dashboard'!$AN$16:$AN$18,$AA26)=0,$KU26&gt;=$BG$114,$KU26&gt;=$KV26+$BG$115,NOT(AND(N($AN27)=1,N($KV26)&lt;0)),N($AE26)&lt;=0),1,IF(AND($AG26="R",COUNTIF('Master Dashboard'!$AN$13:$AN$15,$AA26)=0,$KV26&gt;=$BG$114,$KV26&gt;=$KU26+$BG$115,NOT(AND(N($AN25)=1,N($KU26)&lt;0))),-1,0))),0)</f>
        <v>0</v>
      </c>
      <c r="HX26">
        <f>IFERROR(IF(AND(ISNUMBER($AA26),$FA26="PEAK+",N($AN26)&lt;&gt;1,NOT(AND('King Node Model'!$A$8="Pos",OR($AA26='King Node Model'!$T$22,$AA26='King Node Model'!$T$23,$AA26='King Node Model'!$F$24))),IF($AG26="S",COUNTIF('Master Dashboard'!$AN$16:$AN$18,$AA26)=0,IF($AG26="R",COUNTIF('Master Dashboard'!$AN$13:$AN$15,$AA26)=0,FALSE))),1,0),0)</f>
        <v>0</v>
      </c>
      <c r="HY26">
        <f t="shared" si="98"/>
        <v>-4.347500441295522</v>
      </c>
      <c r="HZ26">
        <v>0</v>
      </c>
      <c r="IA26">
        <f>IFERROR(IF(AND(IF($BG$44=1,OR(ISNUMBER(SEARCH("Choppy",'King Node Model'!$S$38)),'King Node Model'!$S$52&lt;&gt;"",'King Node Model'!$A$8="Pos"),TRUE()),OR($DC26=1,$DC25=1,$DC27=1),ABS($AA26-$B$4)&lt;=$BG$7,ABS($AA26-$BG$28)&gt;=$BG$45,OR(AND($AA26&gt;$BG$28,$AG26="R"),AND($AA26&lt;$BG$28,$AG26="S",N($BG$154)=1)),ABS(IF($AA26&gt;$BG$28,$AE27,$AE25))&gt;=$BG$43,ABS(N(IF($AA26&gt;$BG$28,$AE25,$AE27)))&lt;=$BG$153*ABS(IF($AA26&gt;$BG$28,$AE27,$AE25)),IF(ISNUMBER($HZ26),$HZ26=1,AND(ISNUMBER($HY26),$HY26&gt;=$BG$42))),1,0),0)</f>
        <v>0</v>
      </c>
      <c r="IB26">
        <f t="shared" si="99"/>
        <v>0</v>
      </c>
      <c r="IC26" t="str">
        <f>IF(NOT(ISNUMBER($AA26)),"",IFERROR(MID(IF(AND($AC26=MAX($AC$9:$AC$55),$AB26=MIN($AB$9:$AB$55))," · DOM","")&amp;IF(AND($DC25=1,$DC26=1,$DC27=1,INDEX($AC$9:$AC$55,18-1)&lt;=(1-$FA$6)*$AC26,INDEX($AC$9:$AC$55,18-1)&lt;=(1-$FA$6)*INDEX($AC$9:$AC$55,18-2))," · GAP↑ → "&amp;INDEX($AA$9:$AA$55,18-2),"")&amp;IF(AND($DC27=1,$DC26=1,INDEX($AC$9:$AC$55,18+1)&lt;=(1-$FA$6)*$AC26,INDEX($AC$9:$AC$55,18+1)&lt;=(1-$FA$6)*INDEX($AC$9:$AC$55,18+2))," · GAP↓ → "&amp;INDEX($AA$9:$AA$55,18+2),"")&amp;IF($CZ26=1," · dEdge Cliff","")&amp;IF($GY26=1," · γWall","")&amp;IF(AND($DC26=1,$AB26&lt;0,$AC26&gt;=(1+$FA$6)*INDEX($AC$9:$AC$55,18-1),$AC26&gt;=(1+$FA$6)*INDEX($AC$9:$AC$55,18+1))," · PEAK-","")&amp;IF($GZ26=1," · γSh Edge","")&amp;IF($HL26=1," · Trough","")&amp;IF($HN26=1," · PEAK+","")&amp;IF($GF26=1," · Cluster",""),FIND(" · ",IF(AND($AC26=MAX($AC$9:$AC$55),$AB26=MIN($AB$9:$AB$55))," · DOM","")&amp;IF(AND($DC25=1,$DC26=1,$DC27=1,INDEX($AC$9:$AC$55,18-1)&lt;=(1-$FA$6)*$AC26,INDEX($AC$9:$AC$55,18-1)&lt;=(1-$FA$6)*INDEX($AC$9:$AC$55,18-2))," · GAP↑ → "&amp;INDEX($AA$9:$AA$55,18-2),"")&amp;IF(AND($DC27=1,$DC26=1,INDEX($AC$9:$AC$55,18+1)&lt;=(1-$FA$6)*$AC26,INDEX($AC$9:$AC$55,18+1)&lt;=(1-$FA$6)*INDEX($AC$9:$AC$55,18+2))," · GAP↓ → "&amp;INDEX($AA$9:$AA$55,18+2),"")&amp;IF($CZ26=1," · dEdge Cliff","")&amp;IF($GY26=1," · γWall","")&amp;IF(AND($DC26=1,$AB26&lt;0,$AC26&gt;=(1+$FA$6)*INDEX($AC$9:$AC$55,18-1),$AC26&gt;=(1+$FA$6)*INDEX($AC$9:$AC$55,18+1))," · PEAK-","")&amp;IF($GZ26=1," · γSh Edge","")&amp;IF($HL26=1," · Trough","")&amp;IF($HN26=1," · PEAK+","")&amp;IF($GF26=1," · Cluster",""),2),999),""))</f>
        <v/>
      </c>
      <c r="ID26" t="str">
        <f>IF(NOT(ISNUMBER($AA26)),"",IFERROR(MID(IF(AND($AC26=MAX($AC$9:$AC$55),$AB26=MIN($AB$9:$AB$55))," · DOM","")&amp;IF(AND($DC25=1,$DC26=1,$DC27=1,INDEX($AC$9:$AC$55,18-1)&lt;=(1-$FA$6)*$AC26,INDEX($AC$9:$AC$55,18-1)&lt;=(1-$FA$6)*INDEX($AC$9:$AC$55,18-2))," · GAP↑ → "&amp;INDEX($AA$9:$AA$55,18-2),"")&amp;IF(AND($DC27=1,$DC26=1,INDEX($AC$9:$AC$55,18+1)&lt;=(1-$FA$6)*$AC26,INDEX($AC$9:$AC$55,18+1)&lt;=(1-$FA$6)*INDEX($AC$9:$AC$55,18+2))," · GAP↓ → "&amp;INDEX($AA$9:$AA$55,18+2),"")&amp;IF($CZ26=1," · dEdge Cliff","")&amp;IF($GY26=1," · γWall","")&amp;IF(AND($DC26=1,$AB26&lt;0,$AC26&gt;=(1+$FA$6)*INDEX($AC$9:$AC$55,18-1),$AC26&gt;=(1+$FA$6)*INDEX($AC$9:$AC$55,18+1))," · PEAK-","")&amp;IF($GZ26=1," · γSh Edge","")&amp;IF($HL26=1," · Trough","")&amp;IF($HN26=1," · PEAK+","")&amp;IF(AND(NOT($HN26=1),NOT(AND($DC26=1,$AB26&lt;0)),N($GY26)&lt;&gt;1,N($GF26)&lt;&gt;1,N($GZ26)&lt;&gt;1,N($HL26)&lt;&gt;1,N($CZ26)&lt;&gt;1,NOT(AND($AC26=MAX($AC$9:$AC$55),$AB26=MIN($AB$9:$AB$55))),$AC26&gt;=(1+$FA$6)*INDEX($AC$9:$AC$55,18-1),$AC26&gt;=(1+$FA$6)*INDEX($AC$9:$AC$55,18+1))," · Knoll","")&amp;IF($GF26=1," · Cluster",""),4,999),""))</f>
        <v>γWall</v>
      </c>
      <c r="IF26">
        <f t="shared" si="100"/>
        <v>0</v>
      </c>
      <c r="IG26">
        <f>IFERROR(IF(AND(ISNUMBER($AA26),'King Node Model'!$A$8="Pos",OR($AG26="S",$AG26="R"),$IN26="interior",COUNTIF(IF($AG26="S",'Master Dashboard'!$AN$16:$AN$18,'Master Dashboard'!$AN$13:$AN$15),$AA26)=0,$AA26&lt;&gt;'King Node Model'!$T$22,$AA26&lt;&gt;'King Node Model'!$T$23,$AA26&lt;&gt;'King Node Model'!$F$24),1,0),0)</f>
        <v>0</v>
      </c>
      <c r="IH26">
        <f t="shared" si="101"/>
        <v>1</v>
      </c>
      <c r="II26">
        <f t="shared" si="190"/>
        <v>1</v>
      </c>
      <c r="IJ26">
        <f t="shared" si="102"/>
        <v>1</v>
      </c>
      <c r="IK26">
        <f t="shared" si="103"/>
        <v>0</v>
      </c>
      <c r="IL26">
        <f t="shared" si="191"/>
        <v>0</v>
      </c>
      <c r="IM26">
        <f t="shared" si="104"/>
        <v>0</v>
      </c>
      <c r="IN26" t="str">
        <f t="shared" si="105"/>
        <v/>
      </c>
      <c r="IO26">
        <v>1</v>
      </c>
      <c r="IP26">
        <v>0</v>
      </c>
      <c r="IQ26">
        <f>IFERROR(IF($AG26="S",IF(OR(COUNTIF($W$9:$W$14,$AA26)&gt;0,COUNTIF('King Node Model'!$AL$42:'King Node Model'!$AL$43,$AA26)&gt;0),1,0),IF($AG26="R",IF(OR(COUNTIF($W$18:$W$23,$AA26)&gt;0,COUNTIF('King Node Model'!$AL$49:'King Node Model'!$AL$50,$AA26)&gt;0),1,0),0)),0)</f>
        <v>0</v>
      </c>
      <c r="IS26">
        <f>IF(AND(ISNUMBER($AA26),N($AN26)&lt;&gt;1,N($LR26)&lt;&gt;1,OR(N($EN26)&lt;&gt;1,AND('King Node Model'!$A$8&lt;&gt;"Neg",N($BG$72)&lt;&gt;1)),$AA26&lt;&gt;'King Node Model'!$T$22,$AA26&lt;&gt;'King Node Model'!$T$23,$AA26&lt;&gt;'King Node Model'!$F$24,NOT(AND($AG26="S",COUNTIF('Master Dashboard'!$AN$16:$AN$18,$AA26)&gt;0)),NOT(AND($AG26="R",COUNTIF('Master Dashboard'!$AN$13:$AN$15,$AA26)&gt;0)),NOT(AND('King Node Model'!$A$8&lt;&gt;"Neg",N($BG$72)&lt;&gt;1,COUNTIF('Master Dashboard'!$AN$13:$AN$18,$AA26)&gt;0))),1,0)</f>
        <v>0</v>
      </c>
      <c r="IT26">
        <v>1</v>
      </c>
      <c r="IU26">
        <f>IF(AND(ISNUMBER($AA26),$AA26='King Node Model'!$F$24,$AA26&gt;$GJ$3,N($AD26)&lt;0,$F$4="High"),1,0)</f>
        <v>0</v>
      </c>
      <c r="IV26" t="str">
        <f>""</f>
        <v/>
      </c>
      <c r="IW26">
        <f>IFERROR(IF(AND(ISNUMBER($AA26),NOT(AND(N($LR26)=1,N($MB26)=1)),$AG26="S",OR('King Node Model'!$A$8="Neg",N($BG$72)=1),$JV26="SELL",ABS(N($AD26))&gt;=$BG$94,NOT(AND(N($AD26)&gt;0,N($BG$78)=1,MEDIAN($AA26-$BG$82,$B$4,$AA26+$BG$83)=$B$4))),1,0),0)</f>
        <v>0</v>
      </c>
      <c r="IX26">
        <f>IFERROR(IF(AND(ISNUMBER($AA26),$AG26="S",OR('King Node Model'!$A$8="Neg",N($BG$72)=1),N($AD26)&gt;0,N($BG$78)=1,MEDIAN($AA26-$BG$82,$B$4,$AA26+$BG$83)=$B$4),1,0),0)</f>
        <v>0</v>
      </c>
      <c r="IY26" t="str">
        <f t="shared" si="106"/>
        <v>BUY</v>
      </c>
      <c r="IZ26">
        <f>IFERROR(IF(AND(ISNUMBER($AA26),$FA26&lt;&gt;"DOM",$AA26&lt;&gt;'King Node Model'!$F$24,OR(AND($AG26="S",COUNTIF('Master Dashboard'!$AN$16:$AN$18,$AA26)=0,N(INDEX($AE$9:$AE$55,MATCH($AA26+$BG$84,$AA$9:$AA$55,0)))&lt;=-$BG$85),AND($AG26="R",COUNTIF('Master Dashboard'!$AN$13:$AN$15,$AA26)=0,N(INDEX($AE$9:$AE$55,MATCH($AA26-$BG$84,$AA$9:$AA$55,0)))&gt;=$BG$85))),1,0),0)</f>
        <v>0</v>
      </c>
      <c r="JC26">
        <f t="shared" si="108"/>
        <v>0</v>
      </c>
      <c r="JD26" t="str">
        <f t="shared" si="193"/>
        <v/>
      </c>
      <c r="JE26">
        <f>IF(ISNUMBER($AA26),N(IFERROR(INDEX('King Node Model'!$L$29:$L$75,MATCH($AA26,'King Node Model'!$A$29:$A$75,0)),0)),"")</f>
        <v>3059</v>
      </c>
      <c r="JF26">
        <f>IF(ISNUMBER($AA26),N(IFERROR(INDEX('King Node Model'!$K$29:$K$75,MATCH($AA26,'King Node Model'!$A$29:$A$75,0)),0)),"")</f>
        <v>2931</v>
      </c>
      <c r="JG26">
        <f t="shared" si="109"/>
        <v>1.0436711020129648</v>
      </c>
      <c r="JH26">
        <f t="shared" si="110"/>
        <v>0.95815626021575684</v>
      </c>
      <c r="JI26">
        <f t="shared" si="111"/>
        <v>1</v>
      </c>
      <c r="JJ26" t="str">
        <f t="shared" si="112"/>
        <v/>
      </c>
      <c r="JK26">
        <f t="shared" si="113"/>
        <v>0</v>
      </c>
      <c r="JL26">
        <f t="shared" si="114"/>
        <v>0</v>
      </c>
      <c r="JM26">
        <f t="shared" si="115"/>
        <v>0</v>
      </c>
      <c r="JN26">
        <f t="shared" si="116"/>
        <v>0</v>
      </c>
      <c r="JO26">
        <f t="shared" si="117"/>
        <v>0</v>
      </c>
      <c r="JP26">
        <f t="shared" si="118"/>
        <v>0</v>
      </c>
      <c r="JQ26">
        <f t="shared" si="119"/>
        <v>0</v>
      </c>
      <c r="JR26">
        <v>1</v>
      </c>
      <c r="JS26">
        <f>IFERROR(IF(AND(ISNUMBER($AA26),'King Node Model'!$A$8="Pos",OR($AG26="S",$AG26="R"),N($AB26)&gt;0,N($HP26)&lt;&gt;1,OR(AND($KC26="DOWN",N($AF26)&lt;0,N($AF26)=MIN($AF$9:$AF$55),-N($AF26)&gt;=MAX($AF$9:$AF$55)),AND($KC26="UP",N($AF26)&gt;0,N($AF26)=MAX($AF$9:$AF$55),N($AF26)&gt;=-MIN($AF$9:$AF$55)))),1,0),0)</f>
        <v>0</v>
      </c>
      <c r="JT26">
        <v>0</v>
      </c>
      <c r="JU26">
        <f>IFERROR(IF(AND(N($BG$109)=1,ISNUMBER($AA26),'King Node Model'!$A$8="Pos",N($CZ26)=1,N($AB26)&gt;0),1,0),0)</f>
        <v>0</v>
      </c>
      <c r="JV26" t="str">
        <f t="shared" si="120"/>
        <v>SELL</v>
      </c>
      <c r="JW26">
        <f t="shared" si="121"/>
        <v>0</v>
      </c>
      <c r="JX26">
        <f t="shared" si="122"/>
        <v>0</v>
      </c>
      <c r="JY26">
        <f t="shared" si="123"/>
        <v>0</v>
      </c>
      <c r="JZ26">
        <f t="shared" si="124"/>
        <v>0</v>
      </c>
      <c r="KA26">
        <f t="shared" si="125"/>
        <v>0</v>
      </c>
      <c r="KB26">
        <f t="shared" si="126"/>
        <v>0</v>
      </c>
      <c r="KC26" t="str">
        <f t="shared" si="127"/>
        <v>DOWN</v>
      </c>
      <c r="KE26" t="str">
        <f t="shared" si="128"/>
        <v>Now: weakening the ceiling (IV rising) · if IV falls: strengthens the ceiling · expected on arrival: STRENGTHENS ✓</v>
      </c>
      <c r="KF26" t="str">
        <f t="shared" si="129"/>
        <v>SELL</v>
      </c>
      <c r="KG26">
        <f t="shared" si="192"/>
        <v>0</v>
      </c>
      <c r="KH26" t="str">
        <f t="shared" si="130"/>
        <v/>
      </c>
      <c r="KI26" t="str">
        <f t="shared" si="131"/>
        <v/>
      </c>
      <c r="KJ26">
        <f t="shared" si="132"/>
        <v>0</v>
      </c>
      <c r="KK26">
        <f t="shared" si="133"/>
        <v>0</v>
      </c>
      <c r="KL26">
        <f t="shared" si="134"/>
        <v>0</v>
      </c>
      <c r="KM26">
        <f t="shared" si="135"/>
        <v>0</v>
      </c>
      <c r="KN26">
        <f t="shared" si="136"/>
        <v>0</v>
      </c>
      <c r="KO26">
        <v>0</v>
      </c>
      <c r="KP26">
        <f t="shared" si="137"/>
        <v>0</v>
      </c>
      <c r="KQ26">
        <f t="shared" si="138"/>
        <v>0</v>
      </c>
      <c r="KR26">
        <f t="shared" si="139"/>
        <v>0</v>
      </c>
      <c r="KS26">
        <f t="shared" si="140"/>
        <v>0</v>
      </c>
      <c r="KT26">
        <f t="shared" si="141"/>
        <v>0</v>
      </c>
      <c r="KU26">
        <f>IF(AND(ISNUMBER($AA26),ISNUMBER($AE26),ISNUMBER($AE25),N($AE26)&lt;&gt;0),($AE26-$AE25)/$AE26,"")</f>
      </c>
      <c r="KV26">
        <f>IF(AND(ISNUMBER($AA26),ISNUMBER($AE26),ISNUMBER($AE27),N($AE26)&lt;&gt;0),($AE26-$AE27)/$AE26,"")</f>
      </c>
      <c r="KW26">
        <f>IFERROR(IF(OR(NOT(ISNUMBER($AA26)),'King Node Model'!$A$8&lt;&gt;"Pos",N($BG$72)=1,ABS(N($AE26))&lt;$BG$113,$FA26="DOM",$AA26='King Node Model'!$T$23,AND(N($BG$116)=1,$AA26='King Node Model'!$F$24),NOT(ISNUMBER($KU26)),NOT(ISNUMBER($KV26))),0,IF(AND($AG26="S",COUNTIF('Master Dashboard'!$AN$16:$AN$18,$AA26)=0,$KU26&gt;=$BG$114,$KU26&gt;=$KV26+$BG$115),1,IF(AND($AG26="R",COUNTIF('Master Dashboard'!$AN$13:$AN$15,$AA26)=0,$KV26&gt;=$BG$114,$KV26&gt;=$KU26+$BG$115),-1,0))),0)</f>
        <v>0</v>
      </c>
      <c r="KX26">
        <f t="shared" si="144"/>
        <v>0</v>
      </c>
      <c r="KY26">
        <f t="shared" si="145"/>
        <v>0</v>
      </c>
      <c r="KZ26">
        <f t="shared" si="146"/>
        <v>0</v>
      </c>
      <c r="LA26">
        <f t="shared" si="147"/>
        <v>0</v>
      </c>
      <c r="LB26">
        <f t="shared" si="148"/>
        <v>0</v>
      </c>
      <c r="LC26">
        <f t="shared" si="149"/>
        <v>0</v>
      </c>
      <c r="LD26">
        <f t="shared" si="150"/>
        <v>0</v>
      </c>
      <c r="LE26">
        <f t="shared" si="151"/>
        <v>0</v>
      </c>
      <c r="LF26">
        <f t="shared" si="152"/>
        <v>0</v>
      </c>
      <c r="LG26" t="str">
        <f t="shared" si="153"/>
        <v/>
      </c>
      <c r="LH26" t="str">
        <f t="shared" si="154"/>
        <v/>
      </c>
      <c r="LI26" t="str">
        <f t="shared" si="155"/>
        <v/>
      </c>
      <c r="LJ26" t="str">
        <f t="shared" si="156"/>
        <v/>
      </c>
      <c r="LK26" t="str">
        <f t="shared" si="157"/>
        <v/>
      </c>
      <c r="LL26">
        <f t="shared" si="158"/>
        <v>0</v>
      </c>
      <c r="LM26">
        <f t="shared" si="159"/>
        <v>0</v>
      </c>
      <c r="LN26">
        <f t="shared" si="160"/>
        <v>0</v>
      </c>
      <c r="LO26">
        <v>0</v>
      </c>
      <c r="LP26">
        <f t="shared" si="161"/>
        <v>0</v>
      </c>
      <c r="LQ26" t="str">
        <f t="shared" si="162"/>
        <v/>
      </c>
      <c r="LR26">
        <f t="shared" si="163"/>
        <v>0</v>
      </c>
      <c r="LS26">
        <f t="shared" si="164"/>
        <v>0</v>
      </c>
      <c r="LT26">
        <f t="shared" si="165"/>
        <v>3</v>
      </c>
      <c r="LU26">
        <f t="shared" si="166"/>
        <v>-2419386</v>
      </c>
      <c r="LV26">
        <f t="shared" si="167"/>
        <v>0</v>
      </c>
      <c r="LW26">
        <f t="shared" si="168"/>
        <v>0</v>
      </c>
      <c r="LX26">
        <f t="shared" si="169"/>
        <v>0</v>
      </c>
      <c r="LY26">
        <f t="shared" si="170"/>
        <v>0</v>
      </c>
      <c r="LZ26">
        <f t="shared" si="171"/>
        <v>0</v>
      </c>
      <c r="MA26">
        <f t="shared" si="172"/>
        <v>0</v>
      </c>
      <c r="MB26">
        <v>0</v>
      </c>
      <c r="MC26">
        <f t="shared" si="173"/>
        <v>2</v>
      </c>
      <c r="MD26">
        <f t="shared" si="174"/>
        <v>3</v>
      </c>
      <c r="ME26">
        <f t="shared" si="175"/>
        <v>1</v>
      </c>
      <c r="MF26">
        <f t="shared" si="176"/>
        <v>0</v>
      </c>
      <c r="MG26">
        <f t="shared" si="177"/>
        <v>0</v>
      </c>
      <c r="MH26">
        <f t="shared" si="178"/>
        <v>1</v>
      </c>
      <c r="MI26" t="str">
        <f t="shared" si="179"/>
        <v>• Zigzag GEX — inside the 7795–7800 chop, don't trade</v>
      </c>
      <c r="MJ26">
        <f t="shared" si="180"/>
        <v>0</v>
      </c>
      <c r="MK26">
        <f t="shared" si="181"/>
        <v>0</v>
      </c>
      <c r="ML26">
        <f>IF(AND(OR('King Node Model'!$A$8="Neg",N($BG$72)=1),ISNUMBER($AA26),$AG26="R",N($AB26)&lt;0),IF(AND($AA25=$AA26+5,N($AB25)&gt;0,$AA24=$AA26+10,N($AB24)&lt;0),1,IF(AND($AA25=$AA26+5,N($AB25)&gt;0,$AA24=$AA26+10,N($AB24)&gt;0,$AA23=$AA26+15,N($AB23)&lt;0),2,IF(AND($AA25=$AA26+5,N($AB25)&gt;0,$AA24=$AA26+10,N($AB24)&gt;0,$AA23=$AA26+15,N($AB23)&gt;0,$AA22=$AA26+20,N($AB22)&lt;0),3,IF(AND($AA25=$AA26+5,N($AB25)&gt;0,$AA24=$AA26+10,N($AB24)&gt;0,$AA23=$AA26+15,N($AB23)&gt;0,$AA22=$AA26+20,N($AB22)&gt;0,$AA21=$AA26+25,N($AB21)&lt;0),4,0)))),0)</f>
      </c>
      <c r="MM26">
        <f>IF(AND(OR('King Node Model'!$A$8="Neg",N($BG$72)=1),ISNUMBER($AA26),$AG26="S",N($AB26)&lt;0),IF(AND($AA27=$AA26-5,N($AB27)&gt;0,$AA28=$AA26-10,N($AB28)&lt;0),1,IF(AND($AA27=$AA26-5,N($AB27)&gt;0,$AA28=$AA26-10,N($AB28)&gt;0,$AA29=$AA26-15,N($AB29)&lt;0),2,IF(AND($AA27=$AA26-5,N($AB27)&gt;0,$AA28=$AA26-10,N($AB28)&gt;0,$AA29=$AA26-15,N($AB29)&gt;0,$AA30=$AA26-20,N($AB30)&lt;0),3,IF(AND($AA27=$AA26-5,N($AB27)&gt;0,$AA28=$AA26-10,N($AB28)&gt;0,$AA29=$AA26-15,N($AB29)&gt;0,$AA30=$AA26-20,N($AB30)&gt;0,$AA31=$AA26-25,N($AB31)&lt;0),4,0)))),0)</f>
      </c>
      <c r="MN26">
        <f>IF(N($ML26)&gt;0,$AA26,0)</f>
      </c>
      <c r="MO26">
        <f>IF(N($MM26)&gt;0,$AA26,0)</f>
      </c>
      <c r="MP26">
        <f>IF(AND(OR('King Node Model'!$A$8="Neg",N($BG$72)=1),ISNUMBER($BG$155),$AA26=$BG$155,N($NC26)=1),2,IF(AND(OR('King Node Model'!$A$8="Neg",N($BG$72)=1),ISNUMBER($BG$156),$AA26=$BG$156,N($ND26)=1),1,0))</f>
      </c>
      <c r="MQ26">
        <f>IF(ABS(AE26)&lt;=0,0,IF($AG26="R",IF(ISNUMBER(AE25),IF((ABS(AE25)-ABS(AE26))/ABS(AE26)&lt;-0.4,1,0),0),IF(ISNUMBER(AE27),IF((ABS(AE27)-ABS(AE26))/ABS(AE26)&lt;-0.4,1,0),0)))</f>
      </c>
      <c r="MR26">
        <f>IF(OR(N($MQ26)&lt;&gt;1,N($BG$157)&lt;&gt;1,NOT(ISNUMBER($KU26)),NOT(ISNUMBER($KV26))),0,IF(OR(AND($AG26="S",OR(AND($KU26&gt;=$BG$114,$KU26&gt;=$KV26+$BG$115),AND($KU26&gt;1,$KV26&lt;=1,$KV26&gt;=$BG$114))),AND($AG26="R",OR(AND($KV26&gt;=$BG$114,$KV26&gt;=$KU26+$BG$115),AND($KV26&gt;1,$KU26&lt;=1,$KU26&gt;=$BG$114)))),1,0))</f>
      </c>
      <c r="MS26" t="str">
        <f>IF(AND(N($MR26)=1,N($NA26)&lt;&gt;1),"• DEX falls off more sharply "&amp;IF($AG26="S","above (","below (")&amp;TEXT(IF($AG26="S",$KU26,$KV26),"0%")&amp;") than "&amp;IF($AG26="S","below (","above (")&amp;TEXT(IF($AG26="S",$KV26,$KU26),"0%")&amp;") — Dex↓ not counted",IF(N($MW26)=1,"• Shoulder of the "&amp;IF($AG26="R",$AA27,$AA25)&amp;" wall — own DEX "&amp;TEXT($AE26/1000,"+#,##0;-#,##0")&amp;"K is "&amp;TEXT(ABS($AE26)/ABS(IF($AG26="R",$AE27,$AE25)),"0%")&amp;" of "&amp;TEXT(IF($AG26="R",$AE27,$AE25)/1000,"+#,##0;-#,##0")&amp;"K, Dex↓ not counted",""))</f>
      </c>
      <c r="MT26">
        <f>IF(AND(ISNUMBER($AA26),$AG26="S",ISNUMBER($AB26),$AB26=MIN($AB$9:$AB$55),$AA26=$BG$105,$JV26="BUY",ABS(N($AD26))&gt;=$BG$158),1,0)</f>
      </c>
      <c r="MU26" t="str">
        <f>IF(N($MY26)=1,"",IF(OR(N($MT26)=1,AND(OR('King Node Model'!$A$8="Neg",N($BG$72)=1),$AG26="S",ISNUMBER($AB26),$AB26=MIN($AB$9:$AB$55),$AA26=$BG$105)),"• Min GEX + Max Zomma (no reversal flag required) — accelerant warning not applied; zomma acceleration warning only within "&amp;$BG$98&amp;" pts of the level, and not when vanna buying is "&amp;TEXT($BG$158/1000,"0")&amp;"K or more"&amp;CHAR(10)&amp;IF(N($MT26)=1,"• Max Zomma and vanna buying ("&amp;TEXT(N($AD26)/1000,"+#,##0;-#,##0")&amp;"K) make this level safe","• Max Zomma is what makes this level safe"),"")&amp;$NB26&amp;$NI26)</f>
      </c>
      <c r="MV26" t="str">
        <f>IF(AND(ISNUMBER($AA26),OR($AA26=$BG$118,$AA26=$BG$119)),IF(N($AZ26)*IF($AG26="R",1,-1)&gt;0,"✓",IF(N($AZ26)*IF($AG26="R",1,-1)&lt;0,"✗","")),"")</f>
      </c>
      <c r="MW26">
        <f>IF(AND(N($MQ26)=1,N($BG$159)&gt;0,ISNUMBER(IF($AG26="R",$AE27,$AE25)),N(IF($AG26="R",$AE27,$AE25))&lt;&gt;0),IF(ABS(N($AE26))&lt;$BG$159*ABS(IF($AG26="R",$AE27,$AE25)),1,0),0)</f>
      </c>
      <c r="MX26">
        <f>IF(AND(ISNUMBER($AA26),$AA26=$BG$121,$AG26="R",N($AE26)&lt;0,OR(COUNTIF('King Node Model'!$AL$42:$AL$44,$AA26)=0,N($HP26)=1),N($NC26)=1),2,IF(AND(ISNUMBER($AA26),$AA26=$BG$120,$AG26="S",N($AE26)&gt;0,OR(COUNTIF('King Node Model'!$AL$49:$AL$51,$AA26)=0,N($HP26)=1),N($ND26)=1),1,0))</f>
      </c>
      <c r="MY26">
        <f>IF(AND(N($NA26)=1,NOT(AND(AND($AG26="S",ISNUMBER($AB26),$AB26=MIN($AB$9:$AB$55),$AA26=$BG$105),IFERROR(INDEX($AG$9:$AG$55,MATCH('King Node Model'!$B$23,$AA$9:$AA$55,0)),"")="R")),N($AV26)&lt;&gt;1),1,0)</f>
      </c>
      <c r="MZ26" t="str">
        <f>IF(N($MY26)&lt;&gt;1,"","• DEX falls off more sharply "&amp;IF($AG26="S","above (","below (")&amp;TEXT(IF($AG26="S",$KU26,$KV26),"0%")&amp;") than "&amp;IF($AG26="S","below (","above (")&amp;TEXT(IF($AG26="S",$KV26,$KU26),"0%")&amp;") — path of least resistance "&amp;IF($AG26="S","down","up")&amp;IF(N($AZ26)*IF($AG26="R",1,-1)&lt;0,CHAR(10)&amp;"• Speed against — GEX gets more negative as price "&amp;IF($AG26="R","rises","falls")&amp;" into it (speed "&amp;TEXT(N($AZ26),"#,##0;−#,##0")&amp;")","")&amp;IF(OR(N($NG26)=1,N($JC26)=1),CHAR(10)&amp;"• "&amp;IF(N($JC26)=1,"DOM with vanna BUY "&amp;TEXT(N($AD26)/1000,"+#,##0;−#,##0")&amp;"K","Put wall + Max Zomma + DOM")&amp;" backs the level, but it does not outweigh DEX"&amp;IF(N($AZ26)*IF($AG26="R",1,-1)&lt;0," and speed",""),IF(AND($AG26="S",ISNUMBER($AB26),$AB26=MIN($AB$9:$AB$55),$AA26=$BG$105),CHAR(10)&amp;"• Min GEX + Max Zomma backs the level, but it does not outweigh DEX"&amp;IF(N($AZ26)*IF($AG26="R",1,-1)&lt;0," and speed",""),IF(OR(N($JI26)=1,AND(N($GV26)=1,N($JK26)&lt;&gt;1,N($IW26)&lt;&gt;1),N($JC26)=1,AND($AA26='King Node Model'!$F$24,N($JN26)&lt;&gt;1,OR($AG26="R",AND($AG26="S",$F$4="High",IF($BG$80&lt;&gt;"",UPPER($BG$80),$D$5)="UP")))),CHAR(10)&amp;"• Vanna "&amp;IF($AG26="S","BUY ","SELL ")&amp;TEXT(N($AD26)/1000,"+#,##0;−#,##0")&amp;"K backs the level, but it does not outweigh DEX"&amp;IF(N($AZ26)*IF($AG26="R",1,-1)&lt;0," and speed",""),"")))&amp;IF(N($NE26)=1,CHAR(10)&amp;"• Buy-lean max-node exemption not applied — DEX leans against the level",""))</f>
      </c>
      <c r="NA26">
        <f>IF(AND(OR('King Node Model'!$A$8="Neg",N($BG$72)=1),ISNUMBER($AA26),ABS(N($AE26))&gt;=$BG$152,ISNUMBER($KU26),ISNUMBER($KV26)),IF(OR(AND($AG26="S",OR(AND($KU26&gt;=$BG$114,$KU26&gt;=$KV26+$BG$115),AND($KU26&gt;1,$KV26&lt;=1,$KV26&gt;=$BG$114))),AND($AG26="R",OR(AND($KV26&gt;=$BG$114,$KV26&gt;=$KU26+$BG$115),AND($KV26&gt;1,$KU26&lt;=1,$KU26&gt;=$BG$114)))),1,0),0)</f>
      </c>
      <c r="NB26" t="str">
        <f>IF(AND(N($NA26)=1,AND(AND($AG26="S",ISNUMBER($AB26),$AB26=MIN($AB$9:$AB$55),$AA26=$BG$105),IFERROR(INDEX($AG$9:$AG$55,MATCH('King Node Model'!$B$23,$AA$9:$AA$55,0)),"")="R")),CHAR(10)&amp;"• DEX falls off more sharply above ("&amp;TEXT($KU26,"0%")&amp;") than below ("&amp;TEXT($KV26,"0%")&amp;") — DEX-lean warning not applied: Min GEX + Max Zomma support with Max Gamma "&amp;'King Node Model'!$B$23&amp;" above (Dex↓ not counted)",IF(AND(OR(N($NA26)=1,N($NF26)=1),N($AV26)=1),IF(AND(OR('King Node Model'!$A$8="Neg",N($BG$72)=1),$AG26="S",ISNUMBER($AB26),$AB26=MIN($AB$9:$AB$55),$AA26=$BG$105),CHAR(10),"")&amp;"• DEX falls off more sharply "&amp;IF($AG26="S","above (","below (")&amp;TEXT(IF($AG26="S",$KU26,$KV26),"0%")&amp;") than "&amp;IF($AG26="S","below (","above (")&amp;TEXT(IF($AG26="S",$KV26,$KU26),"0%")&amp;") — DEX lean does not apply to iDex (isolated DEX)",""))</f>
      </c>
      <c r="NC26">
        <f>IF(OR($BG$163=1,AND($BG$161&gt;0,$BG$162&lt;99999,ISNUMBER($AA26),$AA26&lt;$BG$162)),1,0)</f>
      </c>
      <c r="ND26">
        <f>IF(OR($BG$163=-1,AND($BG$161&gt;0,$BG$162&lt;99999,ISNUMBER($AA26),$AA26&gt;$BG$161)),1,0)</f>
      </c>
      <c r="NE26">
        <f>IF(AND(OR('King Node Model'!$A$8="Neg",N($BG$72)=1),ISNUMBER(SEARCH("LOW",'Master Dashboard'!$M$5)),ISNUMBER(SEARCH("BUY",'Master Dashboard'!$G$8)),'King Node Model'!$T$23='King Node Model'!$B$23,OR($AA26='King Node Model'!$T$23,AND($AG26="R",$AA26='King Node Model'!$T$23+5)),OR(AND($AG26="S",$JV26="BUY"),AND($AG26="R",$JV26="SELL"))),1,0)</f>
      </c>
      <c r="NF26">
        <f>IFERROR(IF(OR(NOT(ISNUMBER($AA26)),'King Node Model'!$A$8&lt;&gt;"Pos",N($BG$72)=1,ABS(N($AE26))&lt;$BG$113,$FA26="DOM",$AA26='King Node Model'!$T$23,AND(N($BG$116)=1,$AA26='King Node Model'!$F$24),NOT(ISNUMBER($KU26)),NOT(ISNUMBER($KV26))),0,IF(AND($AG26="S",COUNTIF('Master Dashboard'!$AN$16:$AN$18,$AA26)=0,$KU26&gt;=$BG$114,$KU26&gt;=$KV26+$BG$115,NOT(AND(N($AN27)=1,N($KV26)&lt;0)),N($AE26)&lt;=0),1,IF(AND($AG26="R",COUNTIF('Master Dashboard'!$AN$13:$AN$15,$AA26)=0,$KV26&gt;=$BG$114,$KV26&gt;=$KU26+$BG$115,NOT(AND(N($AN25)=1,N($KU26)&lt;0))),-1,0))),0)</f>
      </c>
      <c r="NG26">
        <f t="shared" si="202"/>
      </c>
      <c r="NI26" t="str">
        <f>IF(AND(ISNUMBER($BG$165),ISNUMBER($AA26)),IF(OR(AND($AG26="S",$AA26&gt;$BG$165,$AA26-$BG$165&lt;=5),AND($AG26="R",$AA26&lt;$BG$165,$BG$165-$AA26&lt;=5)),IF(OR(AND(OR('King Node Model'!$A$8="Neg",N($BG$72)=1),$AG26="S",ISNUMBER($AB26),$AB26=MIN($AB$9:$AB$55),$AA26=$BG$105),$NB26&lt;&gt;""),CHAR(10),"")&amp;"• DOM forming at "&amp;$BG$165&amp;" (gamma "&amp;TEXT($BG$166,"0%")&amp;" of max) — price may be pulled to the node",""),"")</f>
      </c>
      <c r="NJ26">
        <f>IF(LEN($NI26)&gt;0,1,0)</f>
      </c>
    </row>
    <row r="27" spans="1:349" ht="15" customHeight="1" x14ac:dyDescent="0.25">
      <c r="AA27" s="181">
        <f>'King Node Model'!A47</f>
        <v>7795</v>
      </c>
      <c r="AB27" s="276">
        <f>'King Node Model'!C47</f>
        <v>46251</v>
      </c>
      <c r="AC27" s="181">
        <f>ABS('King Node Model'!B47)</f>
        <v>1459310</v>
      </c>
      <c r="AD27" s="276">
        <f>'King Node Model'!F47</f>
        <v>80270</v>
      </c>
      <c r="AE27" s="276">
        <f>'King Node Model'!E47</f>
        <v>-421779</v>
      </c>
      <c r="AF27" s="276">
        <f>'King Node Model'!D47</f>
        <v>-74441</v>
      </c>
      <c r="AG27" s="181" t="str">
        <f t="shared" si="6"/>
        <v>R</v>
      </c>
      <c r="AH27" s="181">
        <f t="shared" si="7"/>
        <v>5</v>
      </c>
      <c r="AI27" s="181" t="str">
        <f t="shared" si="8"/>
        <v>SELL</v>
      </c>
      <c r="AJ27" s="181">
        <f t="shared" si="9"/>
        <v>0</v>
      </c>
      <c r="AK27" s="181">
        <f>IF(ABS(N($AE27))&gt;=$BG$85,1,0)</f>
      </c>
      <c r="AL27" s="181">
        <f t="shared" si="10"/>
        <v>0</v>
      </c>
      <c r="AM27" s="181">
        <f t="shared" si="11"/>
        <v>3</v>
      </c>
      <c r="AN27" s="181">
        <f t="shared" si="12"/>
        <v>0</v>
      </c>
      <c r="AO27" s="1">
        <f t="shared" si="13"/>
        <v>421779</v>
      </c>
      <c r="AP27" s="1" t="str">
        <f t="shared" si="14"/>
        <v/>
      </c>
      <c r="AQ27" s="1">
        <f t="shared" si="15"/>
        <v>74441</v>
      </c>
      <c r="AR27" s="181">
        <f t="shared" si="16"/>
        <v>0.56109005648742083</v>
      </c>
      <c r="AS27" s="181">
        <f t="shared" si="17"/>
        <v>7</v>
      </c>
      <c r="AT27" s="181" t="str">
        <f t="shared" si="18"/>
        <v/>
      </c>
      <c r="AU27" s="181" t="str">
        <f t="shared" si="19"/>
        <v/>
      </c>
      <c r="AV27" s="218">
        <f t="shared" si="183"/>
        <v>0</v>
      </c>
      <c r="AW27" s="181">
        <f>ABS('King Node Model'!G47)</f>
        <v>439</v>
      </c>
      <c r="AX27" s="181">
        <f t="shared" si="20"/>
        <v>0</v>
      </c>
      <c r="AY27" s="181">
        <f t="shared" si="21"/>
        <v>0</v>
      </c>
      <c r="AZ27" s="276">
        <f>'King Node Model'!I47</f>
        <v>499</v>
      </c>
      <c r="BA27" s="181">
        <f t="shared" si="22"/>
        <v>0</v>
      </c>
      <c r="BB27" s="181" t="str">
        <f t="shared" si="23"/>
        <v>R7</v>
      </c>
      <c r="BC27" s="10">
        <f>'King Node Model'!C47</f>
        <v>46251</v>
      </c>
      <c r="BD27" s="218">
        <f t="shared" si="184"/>
        <v>0</v>
      </c>
      <c r="BE27" s="218">
        <f t="shared" si="185"/>
        <v>0</v>
      </c>
      <c r="BF27" s="336" t="s">
        <v>1236</v>
      </c>
      <c r="BG27" s="10">
        <f>MAX(MAX('King Node Model'!$E$29:$E$75),-MIN('King Node Model'!$E$29:$E$75))</f>
        <v>1757071</v>
      </c>
      <c r="BI27" s="218">
        <f t="shared" si="186"/>
        <v>0</v>
      </c>
      <c r="BJ27" s="218">
        <f t="shared" si="187"/>
        <v>0</v>
      </c>
      <c r="BK27" s="218">
        <f t="shared" si="24"/>
        <v>0</v>
      </c>
      <c r="BL27" s="10">
        <f>'King Node Model'!H47</f>
        <v>75</v>
      </c>
      <c r="BM27" s="218">
        <f t="shared" si="25"/>
        <v>11</v>
      </c>
      <c r="BN27" s="218">
        <f t="shared" si="26"/>
        <v>44</v>
      </c>
      <c r="BO27" s="218">
        <f t="shared" si="27"/>
        <v>0</v>
      </c>
      <c r="BP27" s="218">
        <f t="shared" si="28"/>
        <v>0</v>
      </c>
      <c r="BQ27" t="str">
        <f t="shared" si="29"/>
        <v/>
      </c>
      <c r="BR27" t="str">
        <f t="shared" si="30"/>
        <v/>
      </c>
      <c r="BS27" s="218">
        <f t="shared" si="31"/>
        <v>0</v>
      </c>
      <c r="BT27" t="str">
        <f t="shared" si="32"/>
        <v/>
      </c>
      <c r="BU27" t="str">
        <f t="shared" si="33"/>
        <v/>
      </c>
      <c r="BV27" s="218">
        <f t="shared" si="34"/>
        <v>80270</v>
      </c>
      <c r="BW27" s="218">
        <f t="shared" si="35"/>
        <v>421779</v>
      </c>
      <c r="BX27" s="218">
        <f>IF(AND(ISNUMBER(BC27),BC27&gt;=$BG$160,OR('King Node Model'!$A$8="Neg",N($BG$72)=1)),1,0)</f>
        <v>1</v>
      </c>
      <c r="BY27" s="218">
        <f t="shared" si="36"/>
        <v>1</v>
      </c>
      <c r="BZ27" s="218">
        <f t="shared" si="37"/>
        <v>0</v>
      </c>
      <c r="CA27" t="str">
        <f t="shared" si="38"/>
        <v/>
      </c>
      <c r="CB27" s="218">
        <f>IF(AND(ISNUMBER('King Node Model'!$D$27),AG27&lt;&gt;"",AA27='King Node Model'!$D$27),1,0)</f>
        <v>0</v>
      </c>
      <c r="CC27" s="218">
        <f>IF(OR('King Node Model'!$A$8="Neg",N($BG$72)=1),$BG$14*IF(ISNUMBER('King Node Model'!$D$26),MAX(0,1-ABS(AA27-'King Node Model'!$D$26)/$BG$18),0)+$BG$15*IFERROR(BV27/MAX($BV$9:$BV$55),0)+$BG$16*IFERROR(BW27/MAX($BW$9:$BW$55),0)+$BG$17*IFERROR(AC27/$S$11,0)*MAX(0,1+$BG$21*CF27),AR27)</f>
        <v>1.0971202003135336</v>
      </c>
      <c r="CD27" s="218">
        <f>IF(OR('King Node Model'!$A$8="Neg",N($BG$72)=1),IF(AND(AG27&lt;&gt;"",ABS(AA27-$B$4)&lt;=$BG$7,OR(AX27=0,$D$5&lt;&gt;"UP"),AY27=0,BK27&lt;&gt;1,CI27=0,AM27&gt;=$BG$20,AC27&gt;$BG$19),1,0),IF(AND(BS27=1,(COUNTIF($W$9:$W$14,AA27)+COUNTIF($W$18:$W$23,AA27))&gt;0,CI27=0,AM27&gt;=$BG$20,AC27&gt;$BG$19),1,0))</f>
        <v>1</v>
      </c>
      <c r="CE27" t="str">
        <f t="shared" si="39"/>
        <v/>
      </c>
      <c r="CF27" s="218">
        <f t="shared" si="40"/>
        <v>0</v>
      </c>
      <c r="CG27" t="str">
        <f t="shared" si="41"/>
        <v/>
      </c>
      <c r="CH27" t="str">
        <f t="shared" si="42"/>
        <v>Dormant</v>
      </c>
      <c r="CI27" s="218">
        <f t="shared" si="43"/>
        <v>0</v>
      </c>
      <c r="CJ27" s="218">
        <f t="shared" si="44"/>
        <v>19.609999999999673</v>
      </c>
      <c r="CK27" s="218">
        <f t="shared" si="45"/>
        <v>0</v>
      </c>
      <c r="CL27" s="218">
        <f t="shared" si="46"/>
        <v>0</v>
      </c>
      <c r="CR27" t="s">
        <v>1487</v>
      </c>
      <c r="CS27">
        <f>IFERROR(PERCENTILE(ABS($AB$9:$AB$55),0.66),"#ERR needs CSE")</f>
        <v>46251</v>
      </c>
      <c r="CU27" s="218">
        <f>IF(AND(AND('King Node Model'!$A$8&lt;&gt;"Neg",N($BG$72)&lt;&gt;1),SUMPRODUCT(($AG$9:$AG$55="S")*ISNUMBER($AT$9:$AT$55)*ISNUMBER($AU$9:$AU$55)*($AT$9:$AT$55&lt;&gt;$AU$9:$AU$55)*($AT$9:$AT$55&lt;=$AA27)*($AU$9:$AU$55&gt;=$AA27))&gt;0),0,IF(AND(OR($AA27='King Node Model'!$T$22,$AA27='King Node Model'!$F$24),$AG27="R",COUNTIF($W$9:$W$14,$AA27)&gt;0),1,IF(AND($FN27=1,$EU27&lt;&gt;1,$EM27&lt;&gt;1,$BK27&lt;&gt;1,$DH27&lt;&gt;1,$AG27="R",COUNTIF($W$9:$W$14,$AA27)&gt;0),1,IF($EU27=1,0,IF($EM27=1,0,IF(AND(OR($EE27=1,$GV27=1,AND($EL$7=1,$AA27='King Node Model'!$D$26,$EI27=1),AND(OR($AA27='King Node Model'!$T$22,$AA27='King Node Model'!$T$23),$AN27=1,OR($AX27=0,$D$5&lt;&gt;"UP"))),OR(NOT(OR('King Node Model'!$A$8="Neg",N($BG$72)=1)),$GV27=1,AND(OR($AA27='King Node Model'!$T$22,$AA27='King Node Model'!$T$23),$AN27=1,OR($AX27=0,$D$5&lt;&gt;"UP")),AND($AM27&gt;=$BG$20,$AC27&gt;IF($CZ27=1,$BG$48,$BG$19)))),1,IF($DH27=1,0,IF(AND($DC27=1,$GS27&lt;&gt;1,AND('King Node Model'!$A$8&lt;&gt;"Neg",N($BG$72)&lt;&gt;1)),0,IF(AND($EY27=1,NOT(OR('King Node Model'!$A$8="Neg",$BG$72=1)),$AA27&lt;&gt;'King Node Model'!$B$23),0,IF(AND($GS27=1,$AG27="R",OR($CI27=0,$EE27=1,$EX27=1,$GV27=1),COUNTIF($W$9:$W$14,$AA27)&gt;0,ABS($AA27-$B$4)&lt;=$BG$7,$BK27&lt;&gt;1,$AM27&gt;=$BG$20,$AC27&gt;IF($CZ27=1,$BG$48,$BG$19)),1,IF(OR('King Node Model'!$A$8="Neg",N($BG$72)=1),IF(AND(OR($AM27&gt;=$BG$20,$AA27='King Node Model'!$D$26,$GV27=1),$AG27="R",COUNTIF($W$9:$W$14,$AA27)&gt;0,ABS($AA27-$B$4)&lt;=$BG$7,OR($AX27=0,$D$5&lt;&gt;"UP"),$BK27&lt;&gt;1,OR(OR($CI27=0,$AJ27=1),AND($EI27=1,$LA27=1,COUNTIF($W$9:$W$11,$AA27)&gt;0,$AN27=1,OR($AX27=0,$D$5&lt;&gt;"UP"))),$AM27&gt;=$BG$20,$AC27&gt;IF($CZ27=1,$BG$48,$BG$19),OR($AN27=1,N($LR27)=1,$AA27='King Node Model'!$D$26,AND($BY27=1,$AA27&gt;$B$4),$BX27=1,$CF27=1,$CF27=1,AND(OR($AA27=$CP$4,$AA27=$CP$5,$AA27=$CP$6,$AA27=$CP$7),ABS($AA27-$B$4)&lt;=30),AND($AX27=1,$D$5="DOWN"))),1,0),IF(AND(OR($AM27&gt;=3,$AA27='King Node Model'!$D$26,$GV27=1),$AG27="R",COUNTIF($W$9:$W$14,$AA27)&gt;0,ABS($AA27-$B$4)&lt;=$BG$7,OR($AX27=0,$D$5&lt;&gt;"UP"),$BK27&lt;&gt;1,OR($CI27=0,$AJ27=1),$AM27&gt;=$BG$20,$AC27&gt;IF($CZ27=1,$BG$48,$BG$19),OR($AC27&gt;=MAX($AC$9:$AC$55),$BC27&gt;0,$AA27='King Node Model'!$D$26,AND(OR($AA27=$CP$4,$AA27=$CP$5,$AA27=$CP$6,$AA27=$CP$7),ABS($AA27-$B$4)&lt;=30),$CF27=1,$AN27=1,AND($AX27=1,$D$5="DOWN"))),1,0))))))))))))</f>
        <v>0</v>
      </c>
      <c r="CV27" s="218">
        <f>IF(AND(OR('King Node Model'!$A$8="Neg",N($BG$72)=1),$AG27="S",N($LR27)=1,N($MB27)=1),1,IF(AND(AND('King Node Model'!$A$8&lt;&gt;"Neg",N($BG$72)&lt;&gt;1),SUMPRODUCT(($AG$9:$AG$55="R")*ISNUMBER($AT$9:$AT$55)*ISNUMBER($AU$9:$AU$55)*($AT$9:$AT$55&lt;&gt;$AU$9:$AU$55)*($AT$9:$AT$55&lt;=$AA27)*($AU$9:$AU$55&gt;=$AA27))&gt;0,NOT(AND(N($LC27)=1,$AA27='King Node Model'!$B$23))),0,IF(AND($AA27='King Node Model'!$F$24,$AG27="S",COUNTIF($W$18:$W$23,$AA27)&gt;0),1,IF(AND($FN27=1,$EU27&lt;&gt;1,$EM27&lt;&gt;1,$DH27&lt;&gt;1,$AG27="S",COUNTIF($W$18:$W$23,$AA27)&gt;0),1,IF($EU27=1,0,IF(AND(OR($EF27=1,$GV27=1,AND(OR($AA27='King Node Model'!$T$22,$AA27='King Node Model'!$T$23,AND($AG27="S",COUNTIF('Master Dashboard'!$AN$16:$AN$18,$AA27)&gt;0)),$AN27=1,OR($AX27=0,$D$5&lt;&gt;"UP"))),OR(NOT(OR('King Node Model'!$A$8="Neg",N($BG$72)=1)),$GV27=1,AND(OR($AA27='King Node Model'!$T$22,$AA27='King Node Model'!$T$23,AND($AG27="S",COUNTIF('Master Dashboard'!$AN$16:$AN$18,$AA27)&gt;0)),$AN27=1,OR($AX27=0,$D$5&lt;&gt;"UP")),AND($AM27&gt;=$BG$20,$AC27&gt;IF($CZ27=1,$BG$48,$BG$19)))),1,IF($DH27=1,0,IF(AND($DC27=1,$GS27&lt;&gt;1,AND('King Node Model'!$A$8&lt;&gt;"Neg",N($BG$72)&lt;&gt;1)),0,IF(AND($EY27=1,NOT(OR('King Node Model'!$A$8="Neg",$BG$72=1)),$AA27&lt;&gt;'King Node Model'!$B$23,COUNTIF('Master Dashboard'!$AN$16:$AN$18,$AA27)=0),0,IF(AND($GS27=1,$AG27="S",OR($CI27=0,$EF27=1,$EX27=1,$GV27=1),COUNTIF($W$18:$W$23,$AA27)&gt;0,ABS($AA27-$B$4)&lt;=$BG$7,$BK27&lt;&gt;1,$AM27&gt;=$BG$20,$AC27&gt;IF($CZ27=1,$BG$48,$BG$19)),1,IF(OR('King Node Model'!$A$8="Neg",N($BG$72)=1),IF(AND(OR(OR($AM27&gt;=$BG$20,N($LR27)=1),$AA27='King Node Model'!$D$26,$GV27=1),$AG27="S",COUNTIF($W$18:$W$23,$AA27)&gt;0,ABS($AA27-$B$4)&lt;=$BG$7,OR($AX27=0,$D$5&lt;&gt;"UP"),$BK27&lt;&gt;1,OR($CI27=0,$AJ27=1,AND(N($LR27)=1,N($MB27)=1),N($MT27)=1),OR($AM27&gt;=$BG$20,N($LR27)=1),$AC27&gt;IF($CZ27=1,$BG$48,$BG$19),OR($AB27&gt;0,$AN27=1,N($MT27)=1,N($LR27)=1,$AA27='King Node Model'!$D$26,AND($BY27=1,$AA27&lt;$B$4),$BX27=1,$CF27=1,$CF27=1,AND(OR($AA27=$CP$4,$AA27=$CP$5,$AA27=$CP$6,$AA27=$CP$7),ABS($AA27-$B$4)&lt;=30),AND($AX27=1,$D$5="DOWN"))),1,0),IF(AND(OR($AM27&gt;=3,$AA27='King Node Model'!$D$26,$GV27=1),$AG27="S",COUNTIF($W$18:$W$23,$AA27)&gt;0,ABS($AA27-$B$4)&lt;=$BG$7,OR($AX27=0,$D$5&lt;&gt;"UP"),$BK27&lt;&gt;1,OR($CI27=0,$AJ27=1,AND(N($LR27)=1,N($MB27)=1),N($MT27)=1),$AM27&gt;=$BG$20,$AC27&gt;IF($CZ27=1,$BG$48,$BG$19),OR($AC27&gt;=MAX($AC$9:$AC$55),$BC27&gt;0,N($MT27)=1,$AA27='King Node Model'!$D$26,AND(OR($AA27=$CP$4,$AA27=$CP$5,$AA27=$CP$6,$AA27=$CP$7),ABS($AA27-$B$4)&lt;=30),$CF27=1,$AN27=1,AND($AX27=1,$D$5="DOWN"))),1,0))))))))))))</f>
        <v>0</v>
      </c>
      <c r="CX27" s="218">
        <f t="shared" si="48"/>
        <v>0</v>
      </c>
      <c r="CY27" t="str">
        <f t="shared" si="49"/>
        <v/>
      </c>
      <c r="CZ27" s="218">
        <f t="shared" si="50"/>
        <v>0</v>
      </c>
      <c r="DA27" s="218">
        <f t="shared" si="51"/>
        <v>1459310</v>
      </c>
      <c r="DB27" t="str">
        <f t="shared" si="52"/>
        <v/>
      </c>
      <c r="DC27" s="218">
        <f t="shared" si="53"/>
        <v>1</v>
      </c>
      <c r="DD27" s="218">
        <f t="shared" si="54"/>
        <v>1</v>
      </c>
      <c r="DE27" s="218">
        <f t="shared" si="55"/>
        <v>9</v>
      </c>
      <c r="DF27" s="218">
        <f t="shared" si="56"/>
        <v>7755</v>
      </c>
      <c r="DG27" s="218">
        <f t="shared" si="57"/>
        <v>7795</v>
      </c>
      <c r="DH27" s="218">
        <f t="shared" si="58"/>
        <v>0</v>
      </c>
      <c r="DI27">
        <v>1</v>
      </c>
      <c r="DJ27">
        <v>1</v>
      </c>
      <c r="DK27">
        <v>372597</v>
      </c>
      <c r="DL27">
        <v>0</v>
      </c>
      <c r="DM27" t="str">
        <f>IF(AND($CV27=1,$AG27="S"),IF(AND(OR('King Node Model'!$A$8="Neg",N($BG$72)=1),'King Node Model'!$S$52=""),IF(OR(N($AN27)=1,N($LR27)=1,$AB27&gt;0,$AJ27=1,N($JO27)=1,AND(NOT($AE27&gt;0),NOT(IFERROR(AND(ISNUMBER($BC27),ISNUMBER($BC26),($BC27&gt;=0)&lt;&gt;($BC26&gt;=0)),FALSE())),OR(AND($BM27&lt;=6,$BN27&lt;=6),ABS($AA27-'King Node Model'!$T$23)&lt;=5,$LA27=1))),1,0),1),"")</f>
        <v/>
      </c>
      <c r="DN27" t="str">
        <f t="shared" si="59"/>
        <v/>
      </c>
      <c r="DO27" t="str">
        <f t="shared" si="60"/>
        <v>W-list</v>
      </c>
      <c r="DP27" t="str">
        <f>IF(AND(OR('King Node Model'!$A$8="Neg",N($BG$72)=1),$AG27="S",ISNUMBER($AT27),ISNUMBER($AU27),$AT27&lt;&gt;$AU27,$AA27=$AT27),IF(AND(SUMPRODUCT(($AA$9:$AA$55&gt;=$AT27)*($AA$9:$AA$55&lt;=$AU27)*($AB$9:$AB$55&gt;0))&gt;0,SUMPRODUCT(($AA$9:$AA$55&gt;=$AT27)*($AA$9:$AA$55&lt;=$AU27)*($DM$9:$DM$55=1))&gt;0,SUMPRODUCT(($AA$9:$AA$55&gt;=$AT27)*($AA$9:$AA$55&lt;=$AU27)*(COUNTIF($W$18:$W$20,$AA$9:$AA$55)&gt;0))&gt;0),1,0),"")</f>
        <v/>
      </c>
      <c r="DS27">
        <v>0</v>
      </c>
      <c r="DT27">
        <v>0</v>
      </c>
      <c r="DU27" t="str">
        <f>IF('King Node Model'!$A$8&lt;&gt;"Pos","",IF(OR($AA27="",NOT(ISNUMBER($AA27)),ABS($AA27-$B$4)&gt;$BG$7),"",TEXT($AA27,"0")&amp;" | "&amp;IF($AG27="","unclassified",IF($AG27&lt;&gt;IF($AA27&gt;$B$4,"R","S"),"orphan: in "&amp;$AG27&amp;"-list, "&amp;IF($AA27&lt;$B$4,"below","above")&amp;" spot",IF(IF($AG27="R",COUNTIF($W$9:$W$14,$AA27),COUNTIF($W$18:$W$23,$AA27))=0,"not in "&amp;$AG27&amp;"-list",IF($DH27=1,"absorbed into shelf box",IF($BK27=1,"absorbed: adjacent reversal",IF($CI27=1,"accel-accelerant",IF($AC27&lt;=$BG$19,"below gamma-floor",IF($AM27&lt;$BG$20,"confluence "&amp;TEXT($AM27,"0")&amp;" &lt; "&amp;TEXT($BG$20,"0"),IF(AND($AX27=1,$D$5="UP"),"accelerant in up-move",IF(NOT(OR($AC27&gt;=MAX($AC$9:$AC$55),$BC27&gt;0,$AA27='King Node Model'!$D$26,AND(OR($AA27=$CP$4,$AA27=$CP$5,$AA27=$CP$6,$AA27=$CP$7),ABS($AA27-$B$4)&lt;=30),ISNUMBER(SEARCH("STRENGTHENING",$CG27)),$AN27=1,AND($AX27=1,$D$5="DOWN"))),"no surface flag","-&gt; qualifies"))))))))))))</f>
        <v/>
      </c>
      <c r="DV27" s="218">
        <f t="shared" si="61"/>
        <v>99999</v>
      </c>
      <c r="DW27" s="218">
        <f t="shared" si="62"/>
        <v>99999</v>
      </c>
      <c r="DX27" t="str">
        <f>IF('King Node Model'!$A$8&lt;&gt;"Pos","",IF(AND($DV27&lt;99999,$DV27=MIN($DV$9:$DV$55),$DG27&gt;$AA27),"R-box: "&amp;TEXT($AA27,"0")&amp;"-"&amp;TEXT($DG27,"0"),IF(AND($DW27&lt;99999,$DW27=MIN($DW$9:$DW$55),$DF27&lt;$AA27),"S-box: "&amp;TEXT($DF27,"0")&amp;"-"&amp;TEXT($AA27,"0"),"")))</f>
        <v/>
      </c>
      <c r="EB27">
        <f t="shared" si="63"/>
        <v>19.609999999999673</v>
      </c>
      <c r="EC27">
        <f t="shared" si="64"/>
        <v>538591</v>
      </c>
      <c r="ED27">
        <f t="shared" si="65"/>
        <v>0</v>
      </c>
      <c r="EE27">
        <f>IF(AND(OR('King Node Model'!$A$8="Neg",N($BG$72)=1),$AG27="R",ISNUMBER($EB27),$EB27&lt;=$BG$7,$AB27&gt;0,$EC27&gt;0,$AB27=$EC27),1,0)</f>
        <v>0</v>
      </c>
      <c r="EF27">
        <f>IF(AND(OR('King Node Model'!$A$8="Neg",N($BG$72)=1),$AG27="S",ISNUMBER($EB27),$EB27&lt;=$BG$7,$AB27&gt;0,$ED27&gt;0,$AB27=$ED27),1,0)</f>
        <v>0</v>
      </c>
      <c r="EI27">
        <v>1</v>
      </c>
      <c r="EJ27">
        <f>IF($AA27="",0,IF(SUMPRODUCT(($AA$9:$AA$55&gt;=$AT27)*($AA$9:$AA$55&lt;=$AU27)*($DT$9:$DT$55=1))+SUMPRODUCT(($DT$9:$DT$55=1)*($AT$9:$AT$55&lt;=$AA27)*($AU$9:$AU$55&gt;=$AA27))+($DT27=1)+AND(OR('King Node Model'!$A$8="Neg",N($BG$72)=1),ISNUMBER(SEARCH("LOW",'Master Dashboard'!$M$5)),ISNUMBER(SEARCH("BUY",'Master Dashboard'!$G$8)),'King Node Model'!$T$23='King Node Model'!$B$23,$AA27&gt;='King Node Model'!$T$23,$AA27&lt;='King Node Model'!$T$23+5)*1&gt;0,1,0))</f>
        <v>0</v>
      </c>
      <c r="EM27">
        <f t="shared" si="66"/>
        <v>0</v>
      </c>
      <c r="EN27">
        <v>0</v>
      </c>
      <c r="EO27">
        <f t="shared" si="67"/>
        <v>0</v>
      </c>
      <c r="EP27">
        <f t="shared" si="68"/>
        <v>0</v>
      </c>
      <c r="EQ27" t="str">
        <f t="shared" si="69"/>
        <v>firming the ceiling (magnitude weak)</v>
      </c>
      <c r="ES27">
        <f>IF(AND(ISNUMBER(AA27),ISNUMBER(AF27),ABS(AA27-'King Node Model'!$B$4)&lt;=$BG$7),ABS(AF27),"")</f>
        <v>74441</v>
      </c>
      <c r="ET27">
        <v>0</v>
      </c>
      <c r="EU27" s="218">
        <f>IF(AND(OR('King Node Model'!$A$8="Neg",N($BG$72)=1),ISNUMBER($AA26),ISNUMBER($AA27),ISNUMBER($AA28),ISNUMBER($AB26),ISNUMBER($AB27),ISNUMBER($AB28),ISNUMBER($AF27),$AB27&gt;0,$AB26&lt;0,$AB28&lt;0,$AF27&lt;0),1,0)</f>
        <v>1</v>
      </c>
      <c r="EW27">
        <f>IF(OR(N($MY27)=1,N($JM27)=1),0,N($NE27))</f>
        <v>0</v>
      </c>
      <c r="EX27">
        <f>IF(AND(OR('King Node Model'!$A$8="Neg",N($BG$72)=1),ISNUMBER($AA27),OR(AND($AA27='King Node Model'!$F$24,OR(AND($AG27="S",$F$4="High",IF($BG$80&lt;&gt;"",UPPER($BG$80),$D$5)="DOWN"),AND($AG27="R",$F$4="Low",IF($BG$80&lt;&gt;"",UPPER($BG$80),$D$5)="UP"))),$GV27=1)),1,0)</f>
        <v>0</v>
      </c>
      <c r="EY27">
        <f>IFERROR(IF(AND($DC27=1,$AB27&lt;0,$AC27&gt;=(1+$FA$6)*INDEX($AC$9:$AC$55,19-1),$AC27&gt;=(1+$FA$6)*INDEX($AC$9:$AC$55,19+1),$AC27&gt;=IFERROR(INDEX($AC$9:$AC$55,19-2),0),$AC27&gt;=IFERROR(INDEX($AC$9:$AC$55,19+2),0)),1,0),0)</f>
        <v>0</v>
      </c>
      <c r="FA27" t="str">
        <f>IF(NOT(ISNUMBER($AA27)),"",IFERROR(IF(AND($AC27=MAX($AC$9:$AC$55),$AB27=MIN($AB$9:$AB$55)),"DOM",IF(AND($DC26=1,$DC27=1,$DC28=1,INDEX($AC$9:$AC$55,19-1)&lt;=(1-$FA$6)*$AC27,INDEX($AC$9:$AC$55,19-1)&lt;=(1-$FA$6)*INDEX($AC$9:$AC$55,19-2)),"GAP↑",IF(AND($DC28=1,$DC27=1,INDEX($AC$9:$AC$55,19+1)&lt;=(1-$FA$6)*$AC27,INDEX($AC$9:$AC$55,19+1)&lt;=(1-$FA$6)*INDEX($AC$9:$AC$55,19+2)),"GAP↓",IF($CZ27=1,"dEdge Cliff",IF($GY27=1,"γWall",IF(AND($DC27=1,$AB27&lt;0,$AC27&gt;=(1+$FA$6)*INDEX($AC$9:$AC$55,19-1),$AC27&gt;=(1+$FA$6)*INDEX($AC$9:$AC$55,19+1)),"PEAK-",IF($GZ27=1,"γSh Edge",IF($HL27=1,"Trough",IF($HN27=1,"PEAK+",IF($GF27=1,"Cluster","")))))))))),""))</f>
        <v>γSh Edge</v>
      </c>
      <c r="FB27" t="str">
        <f t="shared" si="70"/>
        <v/>
      </c>
      <c r="FC27" t="str">
        <f t="shared" si="71"/>
        <v/>
      </c>
      <c r="FD27">
        <f>IF(AND(ISNUMBER($AA27),ISNUMBER('King Node Model'!$AP$17),ISNUMBER('King Node Model'!$AQ$17),$AA27&gt;=MIN('King Node Model'!$AP$17,'King Node Model'!$AQ$17),$AA27&lt;=MAX('King Node Model'!$AP$17,'King Node Model'!$AQ$17),IFERROR(INDEX($AC$9:$AC$55,MATCH('King Node Model'!$AL$42,$AA$9:$AA$55,0)),0)&gt;0,$AC27&gt;=(1-$FA$6)*IFERROR(INDEX($AC$9:$AC$55,MATCH('King Node Model'!$AL$42,$AA$9:$AA$55,0)),0),$AC27&lt;=(1+$FA$6)*IFERROR(INDEX($AC$9:$AC$55,MATCH('King Node Model'!$AL$42,$AA$9:$AA$55,0)),0)),1,0)</f>
        <v>0</v>
      </c>
      <c r="FE27">
        <f>IF($AA27='King Node Model'!$AL$42,1,IF(AND($FD27=1,$FE26=1),1,0))</f>
        <v>0</v>
      </c>
      <c r="FF27">
        <f>IF($AA27='King Node Model'!$AL$42,1,IF(AND($FD27=1,$FF28=1),1,0))</f>
        <v>0</v>
      </c>
      <c r="FG27" t="str">
        <f>IF(OR($FE27=1,$FF27=1),19,"")</f>
        <v/>
      </c>
      <c r="FJ27">
        <f>IF(AND($CW$2=1,ISNUMBER($AA27),ISNUMBER($CW$3),ISNUMBER($CW$4),$AA27&gt;=MIN($CW$3,$CW$4),$AA27&lt;=MAX($CW$3,$CW$4),IFERROR(INDEX($AC$9:$AC$55,MATCH('King Node Model'!$AP$67,$AA$9:$AA$55,0)),0)&gt;0,$AC27&gt;=(1-$FA$6)*IFERROR(INDEX($AC$9:$AC$55,MATCH('King Node Model'!$AP$67,$AA$9:$AA$55,0)),0),$AC27&lt;=(1+$FA$6)*IFERROR(INDEX($AC$9:$AC$55,MATCH('King Node Model'!$AP$67,$AA$9:$AA$55,0)),0)),1,0)</f>
        <v>0</v>
      </c>
      <c r="FK27">
        <f>IF(AND($CW$2=1,$AA27='King Node Model'!$AP$67),1,IF(AND($FJ27=1,$FK26=1),1,0))</f>
        <v>0</v>
      </c>
      <c r="FL27">
        <f>IF(AND($CW$2=1,$AA27='King Node Model'!$AP$67),1,IF(AND($FJ27=1,$FL28=1),1,0))</f>
        <v>0</v>
      </c>
      <c r="FM27" t="str">
        <f>IF(OR($FK27=1,$FL27=1),19,"")</f>
        <v/>
      </c>
      <c r="FN27">
        <v>0</v>
      </c>
      <c r="FR27" t="str">
        <f t="shared" si="72"/>
        <v/>
      </c>
      <c r="FS27">
        <f t="shared" si="188"/>
        <v>0</v>
      </c>
      <c r="FT27">
        <f t="shared" si="73"/>
        <v>3.1693745674325535E-2</v>
      </c>
      <c r="FU27">
        <f t="shared" si="74"/>
        <v>1459310</v>
      </c>
      <c r="FV27">
        <f>IF($FW27=0,"",IF(OR($FW26=0,SIGN(IFERROR($BC27*1,0))&lt;&gt;SIGN(IFERROR($BC26*1,0)),$GH27=1,$GH26=1),MAX($FV$9:$FV26)+1,$FV26))</f>
        <v>6</v>
      </c>
      <c r="FW27">
        <f t="shared" si="75"/>
        <v>1</v>
      </c>
      <c r="FX27">
        <f t="shared" si="76"/>
        <v>1459310</v>
      </c>
      <c r="FY27">
        <f t="shared" si="77"/>
        <v>1</v>
      </c>
      <c r="FZ27">
        <f t="shared" si="189"/>
        <v>1</v>
      </c>
      <c r="GA27">
        <f t="shared" si="78"/>
        <v>1</v>
      </c>
      <c r="GB27">
        <f t="shared" si="79"/>
        <v>1</v>
      </c>
      <c r="GC27">
        <f t="shared" si="80"/>
        <v>1459310</v>
      </c>
      <c r="GD27">
        <f t="shared" si="81"/>
        <v>7795</v>
      </c>
      <c r="GE27">
        <f t="shared" si="82"/>
        <v>7795</v>
      </c>
      <c r="GF27">
        <f t="shared" si="83"/>
        <v>0</v>
      </c>
      <c r="GH27">
        <f>IFERROR(IF(AND($AC27&gt;=(1+$FA$6)*INDEX($AC$9:$AC$55,19-1),$AC27&gt;=(1+$FA$6)*INDEX($AC$9:$AC$55,19+1)),1,0),0)</f>
        <v>0</v>
      </c>
      <c r="GK27">
        <v>0</v>
      </c>
      <c r="GO27">
        <v>0</v>
      </c>
      <c r="GP27">
        <v>0</v>
      </c>
      <c r="GQ27">
        <f t="shared" si="84"/>
        <v>0</v>
      </c>
      <c r="GR27">
        <f t="shared" si="85"/>
        <v>1</v>
      </c>
      <c r="GS27">
        <f>IF(AND($EY27=1,$AA27&lt;&gt;'King Node Model'!$B$23),0,IF(OR($GQ27=1,$GR27=1),1,IF($DC27=1,IF(OR('King Node Model'!$A$8="Neg",N($BG$72)=1),IF(OR(AND($AC27=MAX($AC$9:$AC$55),$AB27=MIN($AB$9:$AB$55)),$AN27=1,$EE27=1,$EF27=1,$EX27=1,$GV27=1),1,0),1),0)))</f>
        <v>1</v>
      </c>
      <c r="GT27">
        <f>IFERROR(IF(AND(OR('King Node Model'!$A$8="Neg",N($BG$72)=1),$EU26=1,$AG27="R",ISNUMBER($AA27),ISNUMBER($AF27),$AF27&lt;&gt;0,$AA27&gt;$B$4-$BG$9,$AA27-$B$4&lt;=$BG$47,IF($KC27="UP",SIGN($AF27),IF($KC27="DOWN",-SIGN($AF27),0))&lt;&gt;1),1,0),0)</f>
        <v>0</v>
      </c>
      <c r="GU27" t="str">
        <f t="shared" si="86"/>
        <v/>
      </c>
      <c r="GV27">
        <f t="shared" si="87"/>
        <v>0</v>
      </c>
      <c r="GW27">
        <f t="shared" si="88"/>
        <v>19.609999999999673</v>
      </c>
      <c r="GX27" t="str">
        <f t="shared" si="89"/>
        <v/>
      </c>
      <c r="GY27">
        <f t="shared" si="90"/>
        <v>0</v>
      </c>
      <c r="GZ27">
        <f t="shared" si="91"/>
        <v>1</v>
      </c>
      <c r="HA27">
        <v>1</v>
      </c>
      <c r="HF27">
        <f>IFERROR(IF(AND($GZ27=1,'King Node Model'!$A$8="Pos",$D$5="UP",$CF27=-1,$AJ27&lt;&gt;1),1,0),0)</f>
        <v>0</v>
      </c>
      <c r="HG27">
        <f t="shared" si="92"/>
        <v>0</v>
      </c>
      <c r="HH27" t="str">
        <f>IF($GZ27=1,"",IFERROR(IF(NOT(ISNUMBER($AA27)),"",IF($EY27=1,"",IF($GF27=1,IF($GD27=$GE27,"",$GD27),IF(OR(AND($DC26=1,$DC27=1,$DC28=1,INDEX($AC$9:$AC$55,19-1)&lt;=(1-$FA$6)*$AC27,INDEX($AC$9:$AC$55,19-1)&lt;=(1-$FA$6)*INDEX($AC$9:$AC$55,19-2)),AND($DC28=1,$DC27=1,INDEX($AC$9:$AC$55,19+1)&lt;=(1-$FA$6)*$AC27,INDEX($AC$9:$AC$55,19+1)&lt;=(1-$FA$6)*INDEX($AC$9:$AC$55,19+2)),AND($DC27=1,OR(INDEX($DC$9:$DC$55,19-1)=0,INDEX($DC$9:$DC$55,19+1)=0))),IF(MIN($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MAX($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MIN($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f>
        <v/>
      </c>
      <c r="HI27" t="str">
        <f>IF($GZ27=1,"",IFERROR(IF(NOT(ISNUMBER($AA27)),"",IF($EY27=1,"",IF($GF27=1,IF($GD27=$GE27,"",$GE27),IF(OR(AND($DC26=1,$DC27=1,$DC28=1,INDEX($AC$9:$AC$55,19-1)&lt;=(1-$FA$6)*$AC27,INDEX($AC$9:$AC$55,19-1)&lt;=(1-$FA$6)*INDEX($AC$9:$AC$55,19-2)),AND($DC28=1,$DC27=1,INDEX($AC$9:$AC$55,19+1)&lt;=(1-$FA$6)*$AC27,INDEX($AC$9:$AC$55,19+1)&lt;=(1-$FA$6)*INDEX($AC$9:$AC$55,19+2)),AND($DC27=1,OR(INDEX($DC$9:$DC$55,19-1)=0,INDEX($DC$9:$DC$55,19+1)=0))),IF(MIN($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MAX($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MAX($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f>
        <v/>
      </c>
      <c r="HL27">
        <f t="shared" si="93"/>
        <v>0</v>
      </c>
      <c r="HM27">
        <f>IFERROR(IF(AND($HL27=1,NOT(OR($AA27='King Node Model'!$T$22,$AA27='King Node Model'!$T$23,$AA27='King Node Model'!$F$24,AND($AG27="S",COUNTIF('Master Dashboard'!$AN$16:$AN$18,$AA27)&gt;0),AND($AG27="R",COUNTIF('Master Dashboard'!$AN$13:$AN$15,$AA27)&gt;0)))),1,0),0)</f>
        <v>0</v>
      </c>
      <c r="HN27">
        <f t="shared" si="94"/>
        <v>0</v>
      </c>
      <c r="HO27">
        <f t="shared" si="95"/>
        <v>0</v>
      </c>
      <c r="HP27">
        <f t="shared" si="96"/>
        <v>1</v>
      </c>
      <c r="HQ27" t="str">
        <f>IF(NOT(ISNUMBER($AA27)),"",IFERROR(TRIM(IF(N($MY27)=1,"DEXLEAN ","")&amp;IF(N($IZ27)=1,"DEXCAP ","")&amp;IF(AND($AG27="S",UPPER('King Node Model'!$L$5)="HIGH",$KC27="DOWN",N($AF27)&gt;0,$AA27='King Node Model'!$AN$70,$IY27="SELL"),"CHOPEDGEIV ","")&amp;IF(N($IS27)=1,"NOREV ","")&amp;IF(N($JY27)=1,"VFLAT ","")&amp;IF(N($KR27)=1,"GDEXVANNA ","")&amp;IF(N($LD27)=1,"KGSUPFAIL ","")&amp;IF(N($LE27)=1,"KGRESLEAK ","")&amp;IF(N($MH27)=1,"ZIGZAG ","")&amp;IF(N($KK27)=1,"DATAGAP ","")&amp;IF(N($KA27)&lt;&gt;0,"ACCUNDERCW ","")&amp;IF(AND($AG27="S",$HF27=1),"EDGE ","")&amp;IF(AND($HM27=1,'King Node Model'!$A$8="Pos",N($BG$72)&lt;&gt;1),"TROUGH ","")&amp;IF(AND($EU27=1,N($JZ27)&lt;&gt;1),"BUMP ","")&amp;IF(AND($GT27=1,N($JZ27)&lt;&gt;1),"SANDWICH ","")&amp;IF(AND($EX27&lt;&gt;1,OR('King Node Model'!$A$8="Neg",N($BG$72)=1),OR(AND(ISNUMBER($AC27),$AC27=MAX($AC$9:$AC$55)),AND(ISNUMBER($AB27),$AB27=MIN($AB$9:$AB$55))),NOT(AND(AND(ISNUMBER($AC27),$AC27=MAX($AC$9:$AC$55)),AND(ISNUMBER($AB27),$AB27=MIN($AB$9:$AB$55)))),$AG27="S",N($AB27)&lt;0,NOT(COUNTIF('Master Dashboard'!$AN$16:$AN$18,$AA27)&gt;0),NOT(AND(OR('King Node Model'!$A$8="Neg",N($BG$72)=1),ISNUMBER($AB27),$AB27=MIN($AB$9:$AB$55),$AA27=$BG$105))),"ACCEL ","")&amp;IF(AND($EX27&lt;&gt;1,ISNUMBER($AA27),OR('King Node Model'!$A$8="Neg",N($BG$72)=1),$EY27=1,NOT(AND($AG27="S",COUNTIF('Master Dashboard'!$AN$16:$AN$18,$AA27)&gt;0)),NOT(AND($AA27='King Node Model'!$B$23,IF($AG27="S",OR($AA27='King Node Model'!$C$24,COUNTIF('Master Dashboard'!$AN$16:$AN$18,$AA27)&gt;0),OR($AA27='King Node Model'!$C$23,COUNTIF('Master Dashboard'!$AN$13:$AN$15,$AA27)&gt;0)))),NOT(AND($EX27&lt;&gt;1,OR('King Node Model'!$A$8="Neg",N($BG$72)=1),OR(AND(ISNUMBER($AC27),$AC27=MAX($AC$9:$AC$55)),AND(ISNUMBER($AB27),$AB27=MIN($AB$9:$AB$55))),NOT(AND(AND(ISNUMBER($AC27),$AC27=MAX($AC$9:$AC$55)),AND(ISNUMBER($AB27),$AB27=MIN($AB$9:$AB$55)))),$AG27="S",N($AB27)&lt;0,NOT(COUNTIF('Master Dashboard'!$AN$16:$AN$18,$AA27)&gt;0)))),"AMPLIFY ","")&amp;IF(AND($AG27="S",OR('King Node Model'!$A$8="Neg",N($BG$72)=1),$AJ27&lt;&gt;1,N($MT27)&lt;&gt;1,NOT(AND(N($LR27)=1,N($MB27)=1)),ISNUMBER(SEARCH("ACCEL building",$CG27))),"ZACCEL ","")&amp;IF(AND($AG27="S",OR('King Node Model'!$A$8="Neg",N($BG$72)=1),$AA27='King Node Model'!$B$23,NOT(AND(AND(ISNUMBER($AC27),$AC27=MAX($AC$9:$AC$55)),AND(ISNUMBER($AB27),$AB27=MIN($AB$9:$AB$55)))),$EJ27&lt;&gt;1),"KINGACC ","")&amp;IF(AND($AG27="S",OR('King Node Model'!$A$8="Neg",N($BG$72)=1),ABS(N($AA27)-N('King Node Model'!$B$23))&lt;=$BG$107,NOT(AND(SUMPRODUCT((ABS($AF$9:$AF$55)&lt;=ABS(N($AF27)))*1)/COUNT($AF$9:$AF$55)&gt;=0.66,OR(ISNUMBER(SEARCH("firmer resistance",$CG27)),ISNUMBER(SEARCH("STRENGTHENING",$CG27)),ISNUMBER(SEARCH("firmer support",$CG27))))),NOT(AND(N($AB27)&gt;0,SUMPRODUCT((ABS($AB$9:$AB$55)&lt;=ABS(N($AB27)))*1)/COUNT($AB$9:$AB$55)&gt;=0.66)),$EJ27&lt;&gt;1,$AJ27&lt;&gt;1,COUNTIF('Master Dashboard'!$AN$16:$AN$18,$AA27)=0,NOT(AND($AG27="S",OR('King Node Model'!$A$8="Neg",N($BG$72)=1),$AA27='King Node Model'!$B$23,NOT(AND(AND(ISNUMBER($AC27),$AC27=MAX($AC$9:$AC$55)),AND(ISNUMBER($AB27),$AB27=MIN($AB$9:$AB$55)))),$EJ27&lt;&gt;1))),"KINGNODE ","")&amp;IF(AND($AG27="R",NOT(AND(AND(ISNUMBER($AC27),$AC27=MAX($AC$9:$AC$55)),AND(ISNUMBER($AB27),$AB27=MIN($AB$9:$AB$55)))),UPPER('King Node Model'!$L$5)="LOW",$KC27="DOWN",N($AF27)&gt;0),"LOWIVFALL ","")&amp;IF(AND($AG27="R",NOT(AND(AND(ISNUMBER($AC27),$AC27=MAX($AC$9:$AC$55)),AND(ISNUMBER($AB27),$AB27=MIN($AB$9:$AB$55)))),UPPER('King Node Model'!$L$5)="HIGH",$KC27="DOWN",N($AF27)&gt;0,IFERROR(MATCH($AA27,$W$9:$W$14,0)&gt;=4,FALSE)),"HIGHIVFALL ","")&amp;IF(AND($AG27="R",N($BG$99)=1),"SPOTUPVOLUP ","")&amp;IF(AND($AG27="R",ISNUMBER(SEARCH("5/5",'Master Dashboard'!$E$29)),OR(ISNUMBER(SEARCH("WEAKENING",$EQ27)),ISNUMBER(SEARCH("Pos gamma ↓",$EQ27)),ISNUMBER(SEARCH("thinning the ceiling",$EQ27)))),"SQUEEZE ","")&amp;IF(N($JU27)=1,"DEDGECLIFF ","")&amp;IF(N($KT27)=1,"DEXDRAIN ","")&amp;IF(N($HW27)&lt;&gt;0,"DEXDROP ","")&amp;IF(N($HX27)&lt;&gt;0,"PEAK+ ","")&amp;IF(N($IF27)=1,"CHOP ","")&amp;IF(N($IQ27)=1,"CONTESTED ","")&amp;IF(N($IW27)=1,"VSELL ","")&amp;IF(N($JK27)=1,"VBUYRES ","")&amp;IF(N($JL27)=1,"DOMFLAT ","")&amp;IF(N($JM27)=1,"DOMPULL ","")&amp;IF(N($JP27)=1,"OIZOMMA ","")&amp;IF(AND(N($JQ27)=1,N($JZ27)&lt;&gt;1),"OIDEX ","")),""))</f>
        <v>NOREV ZIGZAG BUMP</v>
      </c>
      <c r="HS27">
        <f>IFERROR(IF(AND($DC27=1,OR(AND($AG27="R",INDEX($DC$9:$DC$55,18)=0,INDEX($DC$9:$DC$55,20)=1,INDEX($DC$9:$DC$55,21)=1),AND($AG27="S",INDEX($DC$9:$DC$55,20)=0,INDEX($DC$9:$DC$55,18)=1,INDEX($DC$9:$DC$55,17)=1))),1,0),0)</f>
        <v>1</v>
      </c>
      <c r="HT27">
        <f t="shared" si="97"/>
        <v>0</v>
      </c>
      <c r="HU27">
        <v>1</v>
      </c>
      <c r="HV27">
        <v>0</v>
      </c>
      <c r="HW27">
        <f>IFERROR(IF(OR(NOT(ISNUMBER($AA27)),'King Node Model'!$A$8&lt;&gt;"Pos",N($BG$72)=1,ABS(N($AE27))&lt;$BG$113,N($AV27)=1,$FA27="DOM",$AA27='King Node Model'!$T$23,AND(N($BG$116)=1,$AA27='King Node Model'!$F$24),NOT(ISNUMBER($KU27)),NOT(ISNUMBER($KV27))),0,IF(AND($AG27="S",COUNTIF('Master Dashboard'!$AN$16:$AN$18,$AA27)=0,$KU27&gt;=$BG$114,$KU27&gt;=$KV27+$BG$115,NOT(AND(N($AN28)=1,N($KV27)&lt;0)),N($AE27)&lt;=0),1,IF(AND($AG27="R",COUNTIF('Master Dashboard'!$AN$13:$AN$15,$AA27)=0,$KV27&gt;=$BG$114,$KV27&gt;=$KU27+$BG$115,NOT(AND(N($AN26)=1,N($KU27)&lt;0))),-1,0))),0)</f>
        <v>0</v>
      </c>
      <c r="HX27">
        <f>IFERROR(IF(AND(ISNUMBER($AA27),$FA27="PEAK+",N($AN27)&lt;&gt;1,NOT(AND('King Node Model'!$A$8="Pos",OR($AA27='King Node Model'!$T$22,$AA27='King Node Model'!$T$23,$AA27='King Node Model'!$F$24))),IF($AG27="S",COUNTIF('Master Dashboard'!$AN$16:$AN$18,$AA27)=0,IF($AG27="R",COUNTIF('Master Dashboard'!$AN$13:$AN$15,$AA27)=0,FALSE))),1,0),0)</f>
        <v>0</v>
      </c>
      <c r="HY27">
        <f t="shared" si="98"/>
        <v>0.75995335419001286</v>
      </c>
      <c r="HZ27">
        <v>1</v>
      </c>
      <c r="IA27">
        <f>IFERROR(IF(AND(IF($BG$44=1,OR(ISNUMBER(SEARCH("Choppy",'King Node Model'!$S$38)),'King Node Model'!$S$52&lt;&gt;"",'King Node Model'!$A$8="Pos"),TRUE()),OR($DC27=1,$DC26=1,$DC28=1),ABS($AA27-$B$4)&lt;=$BG$7,ABS($AA27-$BG$28)&gt;=$BG$45,OR(AND($AA27&gt;$BG$28,$AG27="R"),AND($AA27&lt;$BG$28,$AG27="S",N($BG$154)=1)),ABS(IF($AA27&gt;$BG$28,$AE28,$AE26))&gt;=$BG$43,ABS(N(IF($AA27&gt;$BG$28,$AE26,$AE28)))&lt;=$BG$153*ABS(IF($AA27&gt;$BG$28,$AE28,$AE26)),IF(ISNUMBER($HZ27),$HZ27=1,AND(ISNUMBER($HY27),$HY27&gt;=$BG$42))),1,0),0)</f>
        <v>0</v>
      </c>
      <c r="IB27">
        <f t="shared" si="99"/>
        <v>0</v>
      </c>
      <c r="IC27" t="str">
        <f>IF(NOT(ISNUMBER($AA27)),"",IFERROR(MID(IF(AND($AC27=MAX($AC$9:$AC$55),$AB27=MIN($AB$9:$AB$55))," · DOM","")&amp;IF(AND($DC26=1,$DC27=1,$DC28=1,INDEX($AC$9:$AC$55,19-1)&lt;=(1-$FA$6)*$AC27,INDEX($AC$9:$AC$55,19-1)&lt;=(1-$FA$6)*INDEX($AC$9:$AC$55,19-2))," · GAP↑ → "&amp;INDEX($AA$9:$AA$55,19-2),"")&amp;IF(AND($DC28=1,$DC27=1,INDEX($AC$9:$AC$55,19+1)&lt;=(1-$FA$6)*$AC27,INDEX($AC$9:$AC$55,19+1)&lt;=(1-$FA$6)*INDEX($AC$9:$AC$55,19+2))," · GAP↓ → "&amp;INDEX($AA$9:$AA$55,19+2),"")&amp;IF($CZ27=1," · dEdge Cliff","")&amp;IF($GY27=1," · γWall","")&amp;IF(AND($DC27=1,$AB27&lt;0,$AC27&gt;=(1+$FA$6)*INDEX($AC$9:$AC$55,19-1),$AC27&gt;=(1+$FA$6)*INDEX($AC$9:$AC$55,19+1))," · PEAK-","")&amp;IF($GZ27=1," · γSh Edge","")&amp;IF($HL27=1," · Trough","")&amp;IF($HN27=1," · PEAK+","")&amp;IF($GF27=1," · Cluster",""),FIND(" · ",IF(AND($AC27=MAX($AC$9:$AC$55),$AB27=MIN($AB$9:$AB$55))," · DOM","")&amp;IF(AND($DC26=1,$DC27=1,$DC28=1,INDEX($AC$9:$AC$55,19-1)&lt;=(1-$FA$6)*$AC27,INDEX($AC$9:$AC$55,19-1)&lt;=(1-$FA$6)*INDEX($AC$9:$AC$55,19-2))," · GAP↑ → "&amp;INDEX($AA$9:$AA$55,19-2),"")&amp;IF(AND($DC28=1,$DC27=1,INDEX($AC$9:$AC$55,19+1)&lt;=(1-$FA$6)*$AC27,INDEX($AC$9:$AC$55,19+1)&lt;=(1-$FA$6)*INDEX($AC$9:$AC$55,19+2))," · GAP↓ → "&amp;INDEX($AA$9:$AA$55,19+2),"")&amp;IF($CZ27=1," · dEdge Cliff","")&amp;IF($GY27=1," · γWall","")&amp;IF(AND($DC27=1,$AB27&lt;0,$AC27&gt;=(1+$FA$6)*INDEX($AC$9:$AC$55,19-1),$AC27&gt;=(1+$FA$6)*INDEX($AC$9:$AC$55,19+1))," · PEAK-","")&amp;IF($GZ27=1," · γSh Edge","")&amp;IF($HL27=1," · Trough","")&amp;IF($HN27=1," · PEAK+","")&amp;IF($GF27=1," · Cluster",""),2),999),""))</f>
        <v/>
      </c>
      <c r="ID27" t="str">
        <f>IF(NOT(ISNUMBER($AA27)),"",IFERROR(MID(IF(AND($AC27=MAX($AC$9:$AC$55),$AB27=MIN($AB$9:$AB$55))," · DOM","")&amp;IF(AND($DC26=1,$DC27=1,$DC28=1,INDEX($AC$9:$AC$55,19-1)&lt;=(1-$FA$6)*$AC27,INDEX($AC$9:$AC$55,19-1)&lt;=(1-$FA$6)*INDEX($AC$9:$AC$55,19-2))," · GAP↑ → "&amp;INDEX($AA$9:$AA$55,19-2),"")&amp;IF(AND($DC28=1,$DC27=1,INDEX($AC$9:$AC$55,19+1)&lt;=(1-$FA$6)*$AC27,INDEX($AC$9:$AC$55,19+1)&lt;=(1-$FA$6)*INDEX($AC$9:$AC$55,19+2))," · GAP↓ → "&amp;INDEX($AA$9:$AA$55,19+2),"")&amp;IF($CZ27=1," · dEdge Cliff","")&amp;IF($GY27=1," · γWall","")&amp;IF(AND($DC27=1,$AB27&lt;0,$AC27&gt;=(1+$FA$6)*INDEX($AC$9:$AC$55,19-1),$AC27&gt;=(1+$FA$6)*INDEX($AC$9:$AC$55,19+1))," · PEAK-","")&amp;IF($GZ27=1," · γSh Edge","")&amp;IF($HL27=1," · Trough","")&amp;IF($HN27=1," · PEAK+","")&amp;IF(AND(NOT($HN27=1),NOT(AND($DC27=1,$AB27&lt;0)),N($GY27)&lt;&gt;1,N($GF27)&lt;&gt;1,N($GZ27)&lt;&gt;1,N($HL27)&lt;&gt;1,N($CZ27)&lt;&gt;1,NOT(AND($AC27=MAX($AC$9:$AC$55),$AB27=MIN($AB$9:$AB$55))),$AC27&gt;=(1+$FA$6)*INDEX($AC$9:$AC$55,19-1),$AC27&gt;=(1+$FA$6)*INDEX($AC$9:$AC$55,19+1))," · Knoll","")&amp;IF($GF27=1," · Cluster",""),4,999),""))</f>
        <v>γSh Edge</v>
      </c>
      <c r="IF27">
        <f t="shared" si="100"/>
        <v>0</v>
      </c>
      <c r="IG27">
        <f>IFERROR(IF(AND(ISNUMBER($AA27),'King Node Model'!$A$8="Pos",OR($AG27="S",$AG27="R"),$IN27="interior",COUNTIF(IF($AG27="S",'Master Dashboard'!$AN$16:$AN$18,'Master Dashboard'!$AN$13:$AN$15),$AA27)=0,$AA27&lt;&gt;'King Node Model'!$T$22,$AA27&lt;&gt;'King Node Model'!$T$23,$AA27&lt;&gt;'King Node Model'!$F$24),1,0),0)</f>
        <v>0</v>
      </c>
      <c r="IH27">
        <f t="shared" si="101"/>
        <v>0</v>
      </c>
      <c r="II27">
        <f t="shared" si="190"/>
        <v>0</v>
      </c>
      <c r="IJ27">
        <f t="shared" si="102"/>
        <v>0</v>
      </c>
      <c r="IK27">
        <f t="shared" si="103"/>
        <v>0</v>
      </c>
      <c r="IL27">
        <f t="shared" si="191"/>
        <v>0</v>
      </c>
      <c r="IM27">
        <f t="shared" si="104"/>
        <v>0</v>
      </c>
      <c r="IN27" t="str">
        <f t="shared" si="105"/>
        <v/>
      </c>
      <c r="IO27">
        <v>0</v>
      </c>
      <c r="IP27">
        <v>0</v>
      </c>
      <c r="IQ27">
        <f>IFERROR(IF($AG27="S",IF(OR(COUNTIF($W$9:$W$14,$AA27)&gt;0,COUNTIF('King Node Model'!$AL$42:'King Node Model'!$AL$43,$AA27)&gt;0),1,0),IF($AG27="R",IF(OR(COUNTIF($W$18:$W$23,$AA27)&gt;0,COUNTIF('King Node Model'!$AL$49:'King Node Model'!$AL$50,$AA27)&gt;0),1,0),0)),0)</f>
        <v>0</v>
      </c>
      <c r="IS27">
        <f>IF(AND(ISNUMBER($AA27),N($AN27)&lt;&gt;1,N($LR27)&lt;&gt;1,OR(N($EN27)&lt;&gt;1,AND('King Node Model'!$A$8&lt;&gt;"Neg",N($BG$72)&lt;&gt;1)),$AA27&lt;&gt;'King Node Model'!$T$22,$AA27&lt;&gt;'King Node Model'!$T$23,$AA27&lt;&gt;'King Node Model'!$F$24,NOT(AND($AG27="S",COUNTIF('Master Dashboard'!$AN$16:$AN$18,$AA27)&gt;0)),NOT(AND($AG27="R",COUNTIF('Master Dashboard'!$AN$13:$AN$15,$AA27)&gt;0)),NOT(AND('King Node Model'!$A$8&lt;&gt;"Neg",N($BG$72)&lt;&gt;1,COUNTIF('Master Dashboard'!$AN$13:$AN$18,$AA27)&gt;0))),1,0)</f>
        <v>1</v>
      </c>
      <c r="IT27">
        <v>0</v>
      </c>
      <c r="IU27">
        <f>IF(AND(ISNUMBER($AA27),$AA27='King Node Model'!$F$24,$AA27&gt;$GJ$3,N($AD27)&lt;0,$F$4="High"),1,0)</f>
        <v>0</v>
      </c>
      <c r="IV27" t="str">
        <f>""</f>
        <v/>
      </c>
      <c r="IW27">
        <f>IFERROR(IF(AND(ISNUMBER($AA27),NOT(AND(N($LR27)=1,N($MB27)=1)),$AG27="S",OR('King Node Model'!$A$8="Neg",N($BG$72)=1),$JV27="SELL",ABS(N($AD27))&gt;=$BG$94,NOT(AND(N($AD27)&gt;0,N($BG$78)=1,MEDIAN($AA27-$BG$82,$B$4,$AA27+$BG$83)=$B$4))),1,0),0)</f>
        <v>0</v>
      </c>
      <c r="IX27">
        <f>IFERROR(IF(AND(ISNUMBER($AA27),$AG27="S",OR('King Node Model'!$A$8="Neg",N($BG$72)=1),N($AD27)&gt;0,N($BG$78)=1,MEDIAN($AA27-$BG$82,$B$4,$AA27+$BG$83)=$B$4),1,0),0)</f>
        <v>0</v>
      </c>
      <c r="IY27" t="str">
        <f t="shared" si="106"/>
        <v>SELL</v>
      </c>
      <c r="IZ27">
        <f>IFERROR(IF(AND(ISNUMBER($AA27),$FA27&lt;&gt;"DOM",$AA27&lt;&gt;'King Node Model'!$F$24,OR(AND($AG27="S",COUNTIF('Master Dashboard'!$AN$16:$AN$18,$AA27)=0,N(INDEX($AE$9:$AE$55,MATCH($AA27+$BG$84,$AA$9:$AA$55,0)))&lt;=-$BG$85),AND($AG27="R",COUNTIF('Master Dashboard'!$AN$13:$AN$15,$AA27)=0,N(INDEX($AE$9:$AE$55,MATCH($AA27-$BG$84,$AA$9:$AA$55,0)))&gt;=$BG$85))),1,0),0)</f>
        <v>0</v>
      </c>
      <c r="JC27">
        <f t="shared" si="108"/>
        <v>0</v>
      </c>
      <c r="JD27" t="str">
        <f t="shared" si="193"/>
        <v/>
      </c>
      <c r="JE27">
        <f>IF(ISNUMBER($AA27),N(IFERROR(INDEX('King Node Model'!$L$29:$L$75,MATCH($AA27,'King Node Model'!$A$29:$A$75,0)),0)),"")</f>
        <v>886</v>
      </c>
      <c r="JF27">
        <f>IF(ISNUMBER($AA27),N(IFERROR(INDEX('King Node Model'!$K$29:$K$75,MATCH($AA27,'King Node Model'!$A$29:$A$75,0)),0)),"")</f>
        <v>944</v>
      </c>
      <c r="JG27">
        <f t="shared" si="109"/>
        <v>0.93855932203389836</v>
      </c>
      <c r="JH27">
        <f t="shared" si="110"/>
        <v>1.0654627539503385</v>
      </c>
      <c r="JI27">
        <f t="shared" si="111"/>
        <v>0</v>
      </c>
      <c r="JJ27" t="str">
        <f t="shared" si="112"/>
        <v/>
      </c>
      <c r="JK27">
        <f t="shared" si="113"/>
        <v>0</v>
      </c>
      <c r="JL27">
        <f t="shared" si="114"/>
        <v>0</v>
      </c>
      <c r="JM27">
        <f t="shared" si="115"/>
        <v>0</v>
      </c>
      <c r="JN27">
        <f t="shared" si="116"/>
        <v>0</v>
      </c>
      <c r="JO27">
        <f t="shared" si="117"/>
        <v>0</v>
      </c>
      <c r="JP27">
        <f t="shared" si="118"/>
        <v>0</v>
      </c>
      <c r="JQ27">
        <f t="shared" si="119"/>
        <v>0</v>
      </c>
      <c r="JR27">
        <v>0</v>
      </c>
      <c r="JS27">
        <f>IFERROR(IF(AND(ISNUMBER($AA27),'King Node Model'!$A$8="Pos",OR($AG27="S",$AG27="R"),N($AB27)&gt;0,N($HP27)&lt;&gt;1,OR(AND($KC27="DOWN",N($AF27)&lt;0,N($AF27)=MIN($AF$9:$AF$55),-N($AF27)&gt;=MAX($AF$9:$AF$55)),AND($KC27="UP",N($AF27)&gt;0,N($AF27)=MAX($AF$9:$AF$55),N($AF27)&gt;=-MIN($AF$9:$AF$55)))),1,0),0)</f>
        <v>0</v>
      </c>
      <c r="JT27">
        <v>0</v>
      </c>
      <c r="JU27">
        <f>IFERROR(IF(AND(N($BG$109)=1,ISNUMBER($AA27),'King Node Model'!$A$8="Pos",N($CZ27)=1,N($AB27)&gt;0),1,0),0)</f>
        <v>0</v>
      </c>
      <c r="JV27" t="str">
        <f t="shared" si="120"/>
        <v>BUY</v>
      </c>
      <c r="JW27">
        <f t="shared" si="121"/>
        <v>0</v>
      </c>
      <c r="JX27">
        <f t="shared" si="122"/>
        <v>0</v>
      </c>
      <c r="JY27">
        <f t="shared" si="123"/>
        <v>0</v>
      </c>
      <c r="JZ27">
        <f t="shared" si="124"/>
        <v>0</v>
      </c>
      <c r="KA27">
        <f t="shared" si="125"/>
        <v>0</v>
      </c>
      <c r="KB27">
        <f t="shared" si="126"/>
        <v>0</v>
      </c>
      <c r="KC27" t="str">
        <f t="shared" si="127"/>
        <v>DOWN</v>
      </c>
      <c r="KE27" t="str">
        <f t="shared" si="128"/>
        <v>Now: weakening the ceiling (IV rising) · if IV falls: strengthens the ceiling · expected on arrival: STRENGTHENS ✓</v>
      </c>
      <c r="KF27" t="str">
        <f t="shared" si="129"/>
        <v>BUY</v>
      </c>
      <c r="KG27">
        <f t="shared" si="192"/>
        <v>0</v>
      </c>
      <c r="KH27" t="str">
        <f t="shared" si="130"/>
        <v/>
      </c>
      <c r="KI27" t="str">
        <f t="shared" si="131"/>
        <v/>
      </c>
      <c r="KJ27">
        <f t="shared" si="132"/>
        <v>0</v>
      </c>
      <c r="KK27">
        <f t="shared" si="133"/>
        <v>0</v>
      </c>
      <c r="KL27">
        <f t="shared" si="134"/>
        <v>0</v>
      </c>
      <c r="KM27">
        <f t="shared" si="135"/>
        <v>0</v>
      </c>
      <c r="KN27">
        <f t="shared" si="136"/>
        <v>0</v>
      </c>
      <c r="KO27">
        <v>0</v>
      </c>
      <c r="KP27">
        <f t="shared" si="137"/>
        <v>0</v>
      </c>
      <c r="KQ27">
        <f t="shared" si="138"/>
        <v>0</v>
      </c>
      <c r="KR27">
        <f t="shared" si="139"/>
        <v>0</v>
      </c>
      <c r="KS27">
        <f t="shared" si="140"/>
        <v>0</v>
      </c>
      <c r="KT27">
        <f t="shared" si="141"/>
        <v>0</v>
      </c>
      <c r="KU27">
        <f>IF(AND(ISNUMBER($AA27),ISNUMBER($AE27),ISNUMBER($AE26),N($AE27)&lt;&gt;0),($AE27-$AE26)/$AE27,"")</f>
      </c>
      <c r="KV27">
        <f>IF(AND(ISNUMBER($AA27),ISNUMBER($AE27),ISNUMBER($AE28),N($AE27)&lt;&gt;0),($AE27-$AE28)/$AE27,"")</f>
      </c>
      <c r="KW27">
        <f>IFERROR(IF(OR(NOT(ISNUMBER($AA27)),'King Node Model'!$A$8&lt;&gt;"Pos",N($BG$72)=1,ABS(N($AE27))&lt;$BG$113,$FA27="DOM",$AA27='King Node Model'!$T$23,AND(N($BG$116)=1,$AA27='King Node Model'!$F$24),NOT(ISNUMBER($KU27)),NOT(ISNUMBER($KV27))),0,IF(AND($AG27="S",COUNTIF('Master Dashboard'!$AN$16:$AN$18,$AA27)=0,$KU27&gt;=$BG$114,$KU27&gt;=$KV27+$BG$115),1,IF(AND($AG27="R",COUNTIF('Master Dashboard'!$AN$13:$AN$15,$AA27)=0,$KV27&gt;=$BG$114,$KV27&gt;=$KU27+$BG$115),-1,0))),0)</f>
        <v>0</v>
      </c>
      <c r="KX27">
        <f t="shared" si="144"/>
        <v>0</v>
      </c>
      <c r="KY27">
        <f t="shared" si="145"/>
        <v>0</v>
      </c>
      <c r="KZ27">
        <f t="shared" si="146"/>
        <v>0</v>
      </c>
      <c r="LA27">
        <f t="shared" si="147"/>
        <v>0</v>
      </c>
      <c r="LB27">
        <f t="shared" si="148"/>
        <v>0</v>
      </c>
      <c r="LC27">
        <f t="shared" si="149"/>
        <v>0</v>
      </c>
      <c r="LD27">
        <f t="shared" si="150"/>
        <v>0</v>
      </c>
      <c r="LE27">
        <f t="shared" si="151"/>
        <v>0</v>
      </c>
      <c r="LF27">
        <f t="shared" si="152"/>
        <v>0</v>
      </c>
      <c r="LG27" t="str">
        <f t="shared" si="153"/>
        <v/>
      </c>
      <c r="LH27" t="str">
        <f t="shared" si="154"/>
        <v/>
      </c>
      <c r="LI27" t="str">
        <f t="shared" si="155"/>
        <v/>
      </c>
      <c r="LJ27" t="str">
        <f t="shared" si="156"/>
        <v/>
      </c>
      <c r="LK27" t="str">
        <f t="shared" si="157"/>
        <v/>
      </c>
      <c r="LL27">
        <f t="shared" si="158"/>
        <v>0</v>
      </c>
      <c r="LM27">
        <f t="shared" si="159"/>
        <v>0</v>
      </c>
      <c r="LN27">
        <f t="shared" si="160"/>
        <v>0</v>
      </c>
      <c r="LO27">
        <v>0</v>
      </c>
      <c r="LP27">
        <f t="shared" si="161"/>
        <v>0</v>
      </c>
      <c r="LQ27" t="str">
        <f t="shared" si="162"/>
        <v/>
      </c>
      <c r="LR27">
        <f t="shared" si="163"/>
        <v>0</v>
      </c>
      <c r="LS27">
        <f t="shared" si="164"/>
        <v>0</v>
      </c>
      <c r="LT27">
        <f t="shared" si="165"/>
        <v>4</v>
      </c>
      <c r="LU27">
        <f t="shared" si="166"/>
        <v>-2841165</v>
      </c>
      <c r="LV27">
        <f t="shared" si="167"/>
        <v>0</v>
      </c>
      <c r="LW27">
        <f t="shared" si="168"/>
        <v>0</v>
      </c>
      <c r="LX27">
        <f t="shared" si="169"/>
        <v>0</v>
      </c>
      <c r="LY27">
        <f t="shared" si="170"/>
        <v>0</v>
      </c>
      <c r="LZ27">
        <f t="shared" si="171"/>
        <v>0</v>
      </c>
      <c r="MA27">
        <f t="shared" si="172"/>
        <v>0</v>
      </c>
      <c r="MB27">
        <v>0</v>
      </c>
      <c r="MC27">
        <f t="shared" si="173"/>
        <v>3</v>
      </c>
      <c r="MD27">
        <f t="shared" si="174"/>
        <v>2</v>
      </c>
      <c r="ME27">
        <f t="shared" si="175"/>
        <v>1</v>
      </c>
      <c r="MF27">
        <f t="shared" si="176"/>
        <v>0</v>
      </c>
      <c r="MG27">
        <f t="shared" si="177"/>
        <v>0</v>
      </c>
      <c r="MH27">
        <f t="shared" si="178"/>
        <v>1</v>
      </c>
      <c r="MI27" t="str">
        <f t="shared" si="179"/>
        <v>• Zigzag GEX — inside the 7795–7800 chop, don't trade</v>
      </c>
      <c r="MJ27">
        <f t="shared" si="180"/>
        <v>0</v>
      </c>
      <c r="MK27">
        <f t="shared" si="181"/>
        <v>0</v>
      </c>
      <c r="ML27">
        <f>IF(AND(OR('King Node Model'!$A$8="Neg",N($BG$72)=1),ISNUMBER($AA27),$AG27="R",N($AB27)&lt;0),IF(AND($AA26=$AA27+5,N($AB26)&gt;0,$AA25=$AA27+10,N($AB25)&lt;0),1,IF(AND($AA26=$AA27+5,N($AB26)&gt;0,$AA25=$AA27+10,N($AB25)&gt;0,$AA24=$AA27+15,N($AB24)&lt;0),2,IF(AND($AA26=$AA27+5,N($AB26)&gt;0,$AA25=$AA27+10,N($AB25)&gt;0,$AA24=$AA27+15,N($AB24)&gt;0,$AA23=$AA27+20,N($AB23)&lt;0),3,IF(AND($AA26=$AA27+5,N($AB26)&gt;0,$AA25=$AA27+10,N($AB25)&gt;0,$AA24=$AA27+15,N($AB24)&gt;0,$AA23=$AA27+20,N($AB23)&gt;0,$AA22=$AA27+25,N($AB22)&lt;0),4,0)))),0)</f>
      </c>
      <c r="MM27">
        <f>IF(AND(OR('King Node Model'!$A$8="Neg",N($BG$72)=1),ISNUMBER($AA27),$AG27="S",N($AB27)&lt;0),IF(AND($AA28=$AA27-5,N($AB28)&gt;0,$AA29=$AA27-10,N($AB29)&lt;0),1,IF(AND($AA28=$AA27-5,N($AB28)&gt;0,$AA29=$AA27-10,N($AB29)&gt;0,$AA30=$AA27-15,N($AB30)&lt;0),2,IF(AND($AA28=$AA27-5,N($AB28)&gt;0,$AA29=$AA27-10,N($AB29)&gt;0,$AA30=$AA27-15,N($AB30)&gt;0,$AA31=$AA27-20,N($AB31)&lt;0),3,IF(AND($AA28=$AA27-5,N($AB28)&gt;0,$AA29=$AA27-10,N($AB29)&gt;0,$AA30=$AA27-15,N($AB30)&gt;0,$AA31=$AA27-20,N($AB31)&gt;0,$AA32=$AA27-25,N($AB32)&lt;0),4,0)))),0)</f>
      </c>
      <c r="MN27">
        <f>IF(N($ML27)&gt;0,$AA27,0)</f>
      </c>
      <c r="MO27">
        <f>IF(N($MM27)&gt;0,$AA27,0)</f>
      </c>
      <c r="MP27">
        <f>IF(AND(OR('King Node Model'!$A$8="Neg",N($BG$72)=1),ISNUMBER($BG$155),$AA27=$BG$155,N($NC27)=1),2,IF(AND(OR('King Node Model'!$A$8="Neg",N($BG$72)=1),ISNUMBER($BG$156),$AA27=$BG$156,N($ND27)=1),1,0))</f>
      </c>
      <c r="MQ27">
        <f>IF(ABS(AE27)&lt;=0,0,IF($AG27="R",IF(ISNUMBER(AE26),IF((ABS(AE26)-ABS(AE27))/ABS(AE27)&lt;-0.4,1,0),0),IF(ISNUMBER(AE28),IF((ABS(AE28)-ABS(AE27))/ABS(AE27)&lt;-0.4,1,0),0)))</f>
      </c>
      <c r="MR27">
        <f>IF(OR(N($MQ27)&lt;&gt;1,N($BG$157)&lt;&gt;1,NOT(ISNUMBER($KU27)),NOT(ISNUMBER($KV27))),0,IF(OR(AND($AG27="S",OR(AND($KU27&gt;=$BG$114,$KU27&gt;=$KV27+$BG$115),AND($KU27&gt;1,$KV27&lt;=1,$KV27&gt;=$BG$114))),AND($AG27="R",OR(AND($KV27&gt;=$BG$114,$KV27&gt;=$KU27+$BG$115),AND($KV27&gt;1,$KU27&lt;=1,$KU27&gt;=$BG$114)))),1,0))</f>
      </c>
      <c r="MS27" t="str">
        <f>IF(AND(N($MR27)=1,N($NA27)&lt;&gt;1),"• DEX falls off more sharply "&amp;IF($AG27="S","above (","below (")&amp;TEXT(IF($AG27="S",$KU27,$KV27),"0%")&amp;") than "&amp;IF($AG27="S","below (","above (")&amp;TEXT(IF($AG27="S",$KV27,$KU27),"0%")&amp;") — Dex↓ not counted",IF(N($MW27)=1,"• Shoulder of the "&amp;IF($AG27="R",$AA28,$AA26)&amp;" wall — own DEX "&amp;TEXT($AE27/1000,"+#,##0;-#,##0")&amp;"K is "&amp;TEXT(ABS($AE27)/ABS(IF($AG27="R",$AE28,$AE26)),"0%")&amp;" of "&amp;TEXT(IF($AG27="R",$AE28,$AE26)/1000,"+#,##0;-#,##0")&amp;"K, Dex↓ not counted",""))</f>
      </c>
      <c r="MT27">
        <f>IF(AND(ISNUMBER($AA27),$AG27="S",ISNUMBER($AB27),$AB27=MIN($AB$9:$AB$55),$AA27=$BG$105,$JV27="BUY",ABS(N($AD27))&gt;=$BG$158),1,0)</f>
      </c>
      <c r="MU27" t="str">
        <f>IF(N($MY27)=1,"",IF(OR(N($MT27)=1,AND(OR('King Node Model'!$A$8="Neg",N($BG$72)=1),$AG27="S",ISNUMBER($AB27),$AB27=MIN($AB$9:$AB$55),$AA27=$BG$105)),"• Min GEX + Max Zomma (no reversal flag required) — accelerant warning not applied; zomma acceleration warning only within "&amp;$BG$98&amp;" pts of the level, and not when vanna buying is "&amp;TEXT($BG$158/1000,"0")&amp;"K or more"&amp;CHAR(10)&amp;IF(N($MT27)=1,"• Max Zomma and vanna buying ("&amp;TEXT(N($AD27)/1000,"+#,##0;-#,##0")&amp;"K) make this level safe","• Max Zomma is what makes this level safe"),"")&amp;$NB27&amp;$NI27)</f>
      </c>
      <c r="MV27" t="str">
        <f>IF(AND(ISNUMBER($AA27),OR($AA27=$BG$118,$AA27=$BG$119)),IF(N($AZ27)*IF($AG27="R",1,-1)&gt;0,"✓",IF(N($AZ27)*IF($AG27="R",1,-1)&lt;0,"✗","")),"")</f>
      </c>
      <c r="MW27">
        <f>IF(AND(N($MQ27)=1,N($BG$159)&gt;0,ISNUMBER(IF($AG27="R",$AE28,$AE26)),N(IF($AG27="R",$AE28,$AE26))&lt;&gt;0),IF(ABS(N($AE27))&lt;$BG$159*ABS(IF($AG27="R",$AE28,$AE26)),1,0),0)</f>
      </c>
      <c r="MX27">
        <f>IF(AND(ISNUMBER($AA27),$AA27=$BG$121,$AG27="R",N($AE27)&lt;0,OR(COUNTIF('King Node Model'!$AL$42:$AL$44,$AA27)=0,N($HP27)=1),N($NC27)=1),2,IF(AND(ISNUMBER($AA27),$AA27=$BG$120,$AG27="S",N($AE27)&gt;0,OR(COUNTIF('King Node Model'!$AL$49:$AL$51,$AA27)=0,N($HP27)=1),N($ND27)=1),1,0))</f>
      </c>
      <c r="MY27">
        <f>IF(AND(N($NA27)=1,NOT(AND(AND($AG27="S",ISNUMBER($AB27),$AB27=MIN($AB$9:$AB$55),$AA27=$BG$105),IFERROR(INDEX($AG$9:$AG$55,MATCH('King Node Model'!$B$23,$AA$9:$AA$55,0)),"")="R")),N($AV27)&lt;&gt;1),1,0)</f>
      </c>
      <c r="MZ27" t="str">
        <f>IF(N($MY27)&lt;&gt;1,"","• DEX falls off more sharply "&amp;IF($AG27="S","above (","below (")&amp;TEXT(IF($AG27="S",$KU27,$KV27),"0%")&amp;") than "&amp;IF($AG27="S","below (","above (")&amp;TEXT(IF($AG27="S",$KV27,$KU27),"0%")&amp;") — path of least resistance "&amp;IF($AG27="S","down","up")&amp;IF(N($AZ27)*IF($AG27="R",1,-1)&lt;0,CHAR(10)&amp;"• Speed against — GEX gets more negative as price "&amp;IF($AG27="R","rises","falls")&amp;" into it (speed "&amp;TEXT(N($AZ27),"#,##0;−#,##0")&amp;")","")&amp;IF(OR(N($NG27)=1,N($JC27)=1),CHAR(10)&amp;"• "&amp;IF(N($JC27)=1,"DOM with vanna BUY "&amp;TEXT(N($AD27)/1000,"+#,##0;−#,##0")&amp;"K","Put wall + Max Zomma + DOM")&amp;" backs the level, but it does not outweigh DEX"&amp;IF(N($AZ27)*IF($AG27="R",1,-1)&lt;0," and speed",""),IF(AND($AG27="S",ISNUMBER($AB27),$AB27=MIN($AB$9:$AB$55),$AA27=$BG$105),CHAR(10)&amp;"• Min GEX + Max Zomma backs the level, but it does not outweigh DEX"&amp;IF(N($AZ27)*IF($AG27="R",1,-1)&lt;0," and speed",""),IF(OR(N($JI27)=1,AND(N($GV27)=1,N($JK27)&lt;&gt;1,N($IW27)&lt;&gt;1),N($JC27)=1,AND($AA27='King Node Model'!$F$24,N($JN27)&lt;&gt;1,OR($AG27="R",AND($AG27="S",$F$4="High",IF($BG$80&lt;&gt;"",UPPER($BG$80),$D$5)="UP")))),CHAR(10)&amp;"• Vanna "&amp;IF($AG27="S","BUY ","SELL ")&amp;TEXT(N($AD27)/1000,"+#,##0;−#,##0")&amp;"K backs the level, but it does not outweigh DEX"&amp;IF(N($AZ27)*IF($AG27="R",1,-1)&lt;0," and speed",""),"")))&amp;IF(N($NE27)=1,CHAR(10)&amp;"• Buy-lean max-node exemption not applied — DEX leans against the level",""))</f>
      </c>
      <c r="NA27">
        <f>IF(AND(OR('King Node Model'!$A$8="Neg",N($BG$72)=1),ISNUMBER($AA27),ABS(N($AE27))&gt;=$BG$152,ISNUMBER($KU27),ISNUMBER($KV27)),IF(OR(AND($AG27="S",OR(AND($KU27&gt;=$BG$114,$KU27&gt;=$KV27+$BG$115),AND($KU27&gt;1,$KV27&lt;=1,$KV27&gt;=$BG$114))),AND($AG27="R",OR(AND($KV27&gt;=$BG$114,$KV27&gt;=$KU27+$BG$115),AND($KV27&gt;1,$KU27&lt;=1,$KU27&gt;=$BG$114)))),1,0),0)</f>
      </c>
      <c r="NB27" t="str">
        <f>IF(AND(N($NA27)=1,AND(AND($AG27="S",ISNUMBER($AB27),$AB27=MIN($AB$9:$AB$55),$AA27=$BG$105),IFERROR(INDEX($AG$9:$AG$55,MATCH('King Node Model'!$B$23,$AA$9:$AA$55,0)),"")="R")),CHAR(10)&amp;"• DEX falls off more sharply above ("&amp;TEXT($KU27,"0%")&amp;") than below ("&amp;TEXT($KV27,"0%")&amp;") — DEX-lean warning not applied: Min GEX + Max Zomma support with Max Gamma "&amp;'King Node Model'!$B$23&amp;" above (Dex↓ not counted)",IF(AND(OR(N($NA27)=1,N($NF27)=1),N($AV27)=1),IF(AND(OR('King Node Model'!$A$8="Neg",N($BG$72)=1),$AG27="S",ISNUMBER($AB27),$AB27=MIN($AB$9:$AB$55),$AA27=$BG$105),CHAR(10),"")&amp;"• DEX falls off more sharply "&amp;IF($AG27="S","above (","below (")&amp;TEXT(IF($AG27="S",$KU27,$KV27),"0%")&amp;") than "&amp;IF($AG27="S","below (","above (")&amp;TEXT(IF($AG27="S",$KV27,$KU27),"0%")&amp;") — DEX lean does not apply to iDex (isolated DEX)",""))</f>
      </c>
      <c r="NC27">
        <f>IF(OR($BG$163=1,AND($BG$161&gt;0,$BG$162&lt;99999,ISNUMBER($AA27),$AA27&lt;$BG$162)),1,0)</f>
      </c>
      <c r="ND27">
        <f>IF(OR($BG$163=-1,AND($BG$161&gt;0,$BG$162&lt;99999,ISNUMBER($AA27),$AA27&gt;$BG$161)),1,0)</f>
      </c>
      <c r="NE27">
        <f>IF(AND(OR('King Node Model'!$A$8="Neg",N($BG$72)=1),ISNUMBER(SEARCH("LOW",'Master Dashboard'!$M$5)),ISNUMBER(SEARCH("BUY",'Master Dashboard'!$G$8)),'King Node Model'!$T$23='King Node Model'!$B$23,OR($AA27='King Node Model'!$T$23,AND($AG27="R",$AA27='King Node Model'!$T$23+5)),OR(AND($AG27="S",$JV27="BUY"),AND($AG27="R",$JV27="SELL"))),1,0)</f>
      </c>
      <c r="NF27">
        <f>IFERROR(IF(OR(NOT(ISNUMBER($AA27)),'King Node Model'!$A$8&lt;&gt;"Pos",N($BG$72)=1,ABS(N($AE27))&lt;$BG$113,$FA27="DOM",$AA27='King Node Model'!$T$23,AND(N($BG$116)=1,$AA27='King Node Model'!$F$24),NOT(ISNUMBER($KU27)),NOT(ISNUMBER($KV27))),0,IF(AND($AG27="S",COUNTIF('Master Dashboard'!$AN$16:$AN$18,$AA27)=0,$KU27&gt;=$BG$114,$KU27&gt;=$KV27+$BG$115,NOT(AND(N($AN28)=1,N($KV27)&lt;0)),N($AE27)&lt;=0),1,IF(AND($AG27="R",COUNTIF('Master Dashboard'!$AN$13:$AN$15,$AA27)=0,$KV27&gt;=$BG$114,$KV27&gt;=$KU27+$BG$115,NOT(AND(N($AN26)=1,N($KU27)&lt;0))),-1,0))),0)</f>
      </c>
      <c r="NG27">
        <f t="shared" si="202"/>
      </c>
      <c r="NI27" t="str">
        <f>IF(AND(ISNUMBER($BG$165),ISNUMBER($AA27)),IF(OR(AND($AG27="S",$AA27&gt;$BG$165,$AA27-$BG$165&lt;=5),AND($AG27="R",$AA27&lt;$BG$165,$BG$165-$AA27&lt;=5)),IF(OR(AND(OR('King Node Model'!$A$8="Neg",N($BG$72)=1),$AG27="S",ISNUMBER($AB27),$AB27=MIN($AB$9:$AB$55),$AA27=$BG$105),$NB27&lt;&gt;""),CHAR(10),"")&amp;"• DOM forming at "&amp;$BG$165&amp;" (gamma "&amp;TEXT($BG$166,"0%")&amp;" of max) — price may be pulled to the node",""),"")</f>
      </c>
      <c r="NJ27">
        <f>IF(LEN($NI27)&gt;0,1,0)</f>
      </c>
    </row>
    <row r="28" spans="1:349" ht="15" customHeight="1" x14ac:dyDescent="0.25">
      <c r="AA28" s="181">
        <f>'King Node Model'!A48</f>
        <v>7790</v>
      </c>
      <c r="AB28" s="276">
        <f>'King Node Model'!C48</f>
        <v>-302758</v>
      </c>
      <c r="AC28" s="181">
        <f>ABS('King Node Model'!B48)</f>
        <v>1987754</v>
      </c>
      <c r="AD28" s="276">
        <f>'King Node Model'!F48</f>
        <v>-385075</v>
      </c>
      <c r="AE28" s="276">
        <f>'King Node Model'!E48</f>
        <v>-508371</v>
      </c>
      <c r="AF28" s="276">
        <f>'King Node Model'!D48</f>
        <v>1321863</v>
      </c>
      <c r="AG28" s="181" t="str">
        <f t="shared" si="6"/>
        <v>R</v>
      </c>
      <c r="AH28" s="181">
        <f t="shared" si="7"/>
        <v>3</v>
      </c>
      <c r="AI28" s="181" t="str">
        <f t="shared" si="8"/>
        <v>BUY</v>
      </c>
      <c r="AJ28" s="181">
        <f t="shared" si="9"/>
        <v>0</v>
      </c>
      <c r="AK28" s="181">
        <f>IF(ABS(N($AE28))&gt;=$BG$85,1,0)</f>
      </c>
      <c r="AL28" s="181">
        <f t="shared" si="10"/>
        <v>0</v>
      </c>
      <c r="AM28" s="181">
        <f t="shared" si="11"/>
        <v>1</v>
      </c>
      <c r="AN28" s="181">
        <f t="shared" si="12"/>
        <v>0</v>
      </c>
      <c r="AO28" s="1">
        <f t="shared" si="13"/>
        <v>508371</v>
      </c>
      <c r="AP28" s="1" t="str">
        <f t="shared" si="14"/>
        <v/>
      </c>
      <c r="AQ28" s="1">
        <f t="shared" si="15"/>
        <v>1321863</v>
      </c>
      <c r="AR28" s="181">
        <f t="shared" si="16"/>
        <v>0.45563574849969968</v>
      </c>
      <c r="AS28" s="181">
        <f t="shared" si="17"/>
        <v>9</v>
      </c>
      <c r="AT28" s="181" t="str">
        <f t="shared" si="18"/>
        <v/>
      </c>
      <c r="AU28" s="181" t="str">
        <f t="shared" si="19"/>
        <v/>
      </c>
      <c r="AV28" s="218">
        <f t="shared" si="183"/>
        <v>0</v>
      </c>
      <c r="AW28" s="181">
        <f>ABS('King Node Model'!G48)</f>
        <v>322</v>
      </c>
      <c r="AX28" s="181">
        <f t="shared" si="20"/>
        <v>0</v>
      </c>
      <c r="AY28" s="181">
        <f t="shared" si="21"/>
        <v>0</v>
      </c>
      <c r="AZ28" s="276">
        <f>'King Node Model'!I48</f>
        <v>-2416</v>
      </c>
      <c r="BA28" s="181">
        <f t="shared" si="22"/>
        <v>0</v>
      </c>
      <c r="BB28" s="181" t="str">
        <f t="shared" si="23"/>
        <v>R9</v>
      </c>
      <c r="BC28" s="10">
        <f>'King Node Model'!C48</f>
        <v>-302758</v>
      </c>
      <c r="BD28" s="218">
        <f t="shared" si="184"/>
        <v>0</v>
      </c>
      <c r="BE28" s="218">
        <f t="shared" si="185"/>
        <v>0</v>
      </c>
      <c r="BF28" s="336" t="s">
        <v>1237</v>
      </c>
      <c r="BG28" s="3">
        <f t="array" ref="BG28">IF(ISNUMBER($BG$53),$BG$53,IFERROR(INDEX('King Node Model'!$A$29:$A$75,MATCH(MAX(IF(ABS('King Node Model'!$A$29:$A$75-'King Node Model'!$B$4)&lt;=35,ABS('King Node Model'!$E$29:$E$75))),IF(ABS('King Node Model'!$A$29:$A$75-'King Node Model'!$B$4)&lt;=35,ABS('King Node Model'!$E$29:$E$75)),0)),""))</f>
        <v>7800</v>
      </c>
      <c r="BI28" s="218">
        <f t="shared" si="186"/>
        <v>0</v>
      </c>
      <c r="BJ28" s="218">
        <f t="shared" si="187"/>
        <v>0</v>
      </c>
      <c r="BK28" s="218">
        <f t="shared" si="24"/>
        <v>0</v>
      </c>
      <c r="BL28" s="10">
        <f>'King Node Model'!H48</f>
        <v>101</v>
      </c>
      <c r="BM28" s="218">
        <f t="shared" si="25"/>
        <v>7</v>
      </c>
      <c r="BN28" s="218">
        <f t="shared" si="26"/>
        <v>28</v>
      </c>
      <c r="BO28" s="218">
        <f t="shared" si="27"/>
        <v>0</v>
      </c>
      <c r="BP28" s="218">
        <f t="shared" si="28"/>
        <v>0</v>
      </c>
      <c r="BQ28" t="str">
        <f t="shared" si="29"/>
        <v/>
      </c>
      <c r="BR28" t="str">
        <f t="shared" si="30"/>
        <v/>
      </c>
      <c r="BS28" s="218">
        <f t="shared" si="31"/>
        <v>0</v>
      </c>
      <c r="BT28" t="str">
        <f t="shared" si="32"/>
        <v/>
      </c>
      <c r="BU28" t="str">
        <f t="shared" si="33"/>
        <v/>
      </c>
      <c r="BV28" s="218">
        <f t="shared" si="34"/>
        <v>385075</v>
      </c>
      <c r="BW28" s="218">
        <f t="shared" si="35"/>
        <v>508371</v>
      </c>
      <c r="BX28" s="218">
        <f>IF(AND(ISNUMBER(BC28),BC28&gt;=$BG$160,OR('King Node Model'!$A$8="Neg",N($BG$72)=1)),1,0)</f>
        <v>0</v>
      </c>
      <c r="BY28" s="218">
        <f t="shared" si="36"/>
        <v>0</v>
      </c>
      <c r="BZ28" s="218">
        <f t="shared" si="37"/>
        <v>0</v>
      </c>
      <c r="CA28" t="str">
        <f t="shared" si="38"/>
        <v/>
      </c>
      <c r="CB28" s="218">
        <f>IF(AND(ISNUMBER('King Node Model'!$D$27),AG28&lt;&gt;"",AA28='King Node Model'!$D$27),1,0)</f>
        <v>0</v>
      </c>
      <c r="CC28" s="218">
        <f>IF(OR('King Node Model'!$A$8="Neg",N($BG$72)=1),$BG$14*IF(ISNUMBER('King Node Model'!$D$26),MAX(0,1-ABS(AA28-'King Node Model'!$D$26)/$BG$18),0)+$BG$15*IFERROR(BV28/MAX($BV$9:$BV$55),0)+$BG$16*IFERROR(BW28/MAX($BW$9:$BW$55),0)+$BG$17*IFERROR(AC28/$S$11,0)*MAX(0,1+$BG$21*CF28),AR28)</f>
        <v>1.16178096438927</v>
      </c>
      <c r="CD28" s="218">
        <f>IF(OR('King Node Model'!$A$8="Neg",N($BG$72)=1),IF(AND(AG28&lt;&gt;"",ABS(AA28-$B$4)&lt;=$BG$7,OR(AX28=0,$D$5&lt;&gt;"UP"),AY28=0,BK28&lt;&gt;1,CI28=0,AM28&gt;=$BG$20,AC28&gt;$BG$19),1,0),IF(AND(BS28=1,(COUNTIF($W$9:$W$14,AA28)+COUNTIF($W$18:$W$23,AA28))&gt;0,CI28=0,AM28&gt;=$BG$20,AC28&gt;$BG$19),1,0))</f>
        <v>0</v>
      </c>
      <c r="CE28" t="str">
        <f t="shared" si="39"/>
        <v/>
      </c>
      <c r="CF28" s="218">
        <f t="shared" si="40"/>
        <v>0</v>
      </c>
      <c r="CG28" t="str">
        <f t="shared" si="41"/>
        <v/>
      </c>
      <c r="CH28" t="str">
        <f t="shared" si="42"/>
        <v>Dormant</v>
      </c>
      <c r="CI28" s="218">
        <f t="shared" si="43"/>
        <v>0</v>
      </c>
      <c r="CJ28" s="218">
        <f t="shared" si="44"/>
        <v>387420489</v>
      </c>
      <c r="CK28" s="218">
        <f t="shared" si="45"/>
        <v>0</v>
      </c>
      <c r="CL28" s="218">
        <f t="shared" si="46"/>
        <v>0</v>
      </c>
      <c r="CR28" t="s">
        <v>1488</v>
      </c>
      <c r="CS28">
        <f>IFERROR(SUMPRODUCT((ABS($AB$9:$AB$55)&lt;=ABS($CS$25))*1)/COUNT($AB$9:$AB$55),"")</f>
        <v>0.97872340425531912</v>
      </c>
      <c r="CU28" s="218">
        <f>IF(AND(AND('King Node Model'!$A$8&lt;&gt;"Neg",N($BG$72)&lt;&gt;1),SUMPRODUCT(($AG$9:$AG$55="S")*ISNUMBER($AT$9:$AT$55)*ISNUMBER($AU$9:$AU$55)*($AT$9:$AT$55&lt;&gt;$AU$9:$AU$55)*($AT$9:$AT$55&lt;=$AA28)*($AU$9:$AU$55&gt;=$AA28))&gt;0),0,IF(AND(OR($AA28='King Node Model'!$T$22,$AA28='King Node Model'!$F$24),$AG28="R",COUNTIF($W$9:$W$14,$AA28)&gt;0),1,IF(AND($FN28=1,$EU28&lt;&gt;1,$EM28&lt;&gt;1,$BK28&lt;&gt;1,$DH28&lt;&gt;1,$AG28="R",COUNTIF($W$9:$W$14,$AA28)&gt;0),1,IF($EU28=1,0,IF($EM28=1,0,IF(AND(OR($EE28=1,$GV28=1,AND($EL$7=1,$AA28='King Node Model'!$D$26,$EI28=1),AND(OR($AA28='King Node Model'!$T$22,$AA28='King Node Model'!$T$23),$AN28=1,OR($AX28=0,$D$5&lt;&gt;"UP"))),OR(NOT(OR('King Node Model'!$A$8="Neg",N($BG$72)=1)),$GV28=1,AND(OR($AA28='King Node Model'!$T$22,$AA28='King Node Model'!$T$23),$AN28=1,OR($AX28=0,$D$5&lt;&gt;"UP")),AND($AM28&gt;=$BG$20,$AC28&gt;IF($CZ28=1,$BG$48,$BG$19)))),1,IF($DH28=1,0,IF(AND($DC28=1,$GS28&lt;&gt;1,AND('King Node Model'!$A$8&lt;&gt;"Neg",N($BG$72)&lt;&gt;1)),0,IF(AND($EY28=1,NOT(OR('King Node Model'!$A$8="Neg",$BG$72=1)),$AA28&lt;&gt;'King Node Model'!$B$23),0,IF(AND($GS28=1,$AG28="R",OR($CI28=0,$EE28=1,$EX28=1,$GV28=1),COUNTIF($W$9:$W$14,$AA28)&gt;0,ABS($AA28-$B$4)&lt;=$BG$7,$BK28&lt;&gt;1,$AM28&gt;=$BG$20,$AC28&gt;IF($CZ28=1,$BG$48,$BG$19)),1,IF(OR('King Node Model'!$A$8="Neg",N($BG$72)=1),IF(AND(OR($AM28&gt;=$BG$20,$AA28='King Node Model'!$D$26,$GV28=1),$AG28="R",COUNTIF($W$9:$W$14,$AA28)&gt;0,ABS($AA28-$B$4)&lt;=$BG$7,OR($AX28=0,$D$5&lt;&gt;"UP"),$BK28&lt;&gt;1,OR(OR($CI28=0,$AJ28=1),AND($EI28=1,$LA28=1,COUNTIF($W$9:$W$11,$AA28)&gt;0,$AN28=1,OR($AX28=0,$D$5&lt;&gt;"UP"))),$AM28&gt;=$BG$20,$AC28&gt;IF($CZ28=1,$BG$48,$BG$19),OR($AN28=1,N($LR28)=1,$AA28='King Node Model'!$D$26,AND($BY28=1,$AA28&gt;$B$4),$BX28=1,$CF28=1,$CF28=1,AND(OR($AA28=$CP$4,$AA28=$CP$5,$AA28=$CP$6,$AA28=$CP$7),ABS($AA28-$B$4)&lt;=30),AND($AX28=1,$D$5="DOWN"))),1,0),IF(AND(OR($AM28&gt;=3,$AA28='King Node Model'!$D$26,$GV28=1),$AG28="R",COUNTIF($W$9:$W$14,$AA28)&gt;0,ABS($AA28-$B$4)&lt;=$BG$7,OR($AX28=0,$D$5&lt;&gt;"UP"),$BK28&lt;&gt;1,OR($CI28=0,$AJ28=1),$AM28&gt;=$BG$20,$AC28&gt;IF($CZ28=1,$BG$48,$BG$19),OR($AC28&gt;=MAX($AC$9:$AC$55),$BC28&gt;0,$AA28='King Node Model'!$D$26,AND(OR($AA28=$CP$4,$AA28=$CP$5,$AA28=$CP$6,$AA28=$CP$7),ABS($AA28-$B$4)&lt;=30),$CF28=1,$AN28=1,AND($AX28=1,$D$5="DOWN"))),1,0))))))))))))</f>
        <v>0</v>
      </c>
      <c r="CV28" s="218">
        <f>IF(AND(OR('King Node Model'!$A$8="Neg",N($BG$72)=1),$AG28="S",N($LR28)=1,N($MB28)=1),1,IF(AND(AND('King Node Model'!$A$8&lt;&gt;"Neg",N($BG$72)&lt;&gt;1),SUMPRODUCT(($AG$9:$AG$55="R")*ISNUMBER($AT$9:$AT$55)*ISNUMBER($AU$9:$AU$55)*($AT$9:$AT$55&lt;&gt;$AU$9:$AU$55)*($AT$9:$AT$55&lt;=$AA28)*($AU$9:$AU$55&gt;=$AA28))&gt;0,NOT(AND(N($LC28)=1,$AA28='King Node Model'!$B$23))),0,IF(AND($AA28='King Node Model'!$F$24,$AG28="S",COUNTIF($W$18:$W$23,$AA28)&gt;0),1,IF(AND($FN28=1,$EU28&lt;&gt;1,$EM28&lt;&gt;1,$DH28&lt;&gt;1,$AG28="S",COUNTIF($W$18:$W$23,$AA28)&gt;0),1,IF($EU28=1,0,IF(AND(OR($EF28=1,$GV28=1,AND(OR($AA28='King Node Model'!$T$22,$AA28='King Node Model'!$T$23,AND($AG28="S",COUNTIF('Master Dashboard'!$AN$16:$AN$18,$AA28)&gt;0)),$AN28=1,OR($AX28=0,$D$5&lt;&gt;"UP"))),OR(NOT(OR('King Node Model'!$A$8="Neg",N($BG$72)=1)),$GV28=1,AND(OR($AA28='King Node Model'!$T$22,$AA28='King Node Model'!$T$23,AND($AG28="S",COUNTIF('Master Dashboard'!$AN$16:$AN$18,$AA28)&gt;0)),$AN28=1,OR($AX28=0,$D$5&lt;&gt;"UP")),AND($AM28&gt;=$BG$20,$AC28&gt;IF($CZ28=1,$BG$48,$BG$19)))),1,IF($DH28=1,0,IF(AND($DC28=1,$GS28&lt;&gt;1,AND('King Node Model'!$A$8&lt;&gt;"Neg",N($BG$72)&lt;&gt;1)),0,IF(AND($EY28=1,NOT(OR('King Node Model'!$A$8="Neg",$BG$72=1)),$AA28&lt;&gt;'King Node Model'!$B$23,COUNTIF('Master Dashboard'!$AN$16:$AN$18,$AA28)=0),0,IF(AND($GS28=1,$AG28="S",OR($CI28=0,$EF28=1,$EX28=1,$GV28=1),COUNTIF($W$18:$W$23,$AA28)&gt;0,ABS($AA28-$B$4)&lt;=$BG$7,$BK28&lt;&gt;1,$AM28&gt;=$BG$20,$AC28&gt;IF($CZ28=1,$BG$48,$BG$19)),1,IF(OR('King Node Model'!$A$8="Neg",N($BG$72)=1),IF(AND(OR(OR($AM28&gt;=$BG$20,N($LR28)=1),$AA28='King Node Model'!$D$26,$GV28=1),$AG28="S",COUNTIF($W$18:$W$23,$AA28)&gt;0,ABS($AA28-$B$4)&lt;=$BG$7,OR($AX28=0,$D$5&lt;&gt;"UP"),$BK28&lt;&gt;1,OR($CI28=0,$AJ28=1,AND(N($LR28)=1,N($MB28)=1),N($MT28)=1),OR($AM28&gt;=$BG$20,N($LR28)=1),$AC28&gt;IF($CZ28=1,$BG$48,$BG$19),OR($AB28&gt;0,$AN28=1,N($MT28)=1,N($LR28)=1,$AA28='King Node Model'!$D$26,AND($BY28=1,$AA28&lt;$B$4),$BX28=1,$CF28=1,$CF28=1,AND(OR($AA28=$CP$4,$AA28=$CP$5,$AA28=$CP$6,$AA28=$CP$7),ABS($AA28-$B$4)&lt;=30),AND($AX28=1,$D$5="DOWN"))),1,0),IF(AND(OR($AM28&gt;=3,$AA28='King Node Model'!$D$26,$GV28=1),$AG28="S",COUNTIF($W$18:$W$23,$AA28)&gt;0,ABS($AA28-$B$4)&lt;=$BG$7,OR($AX28=0,$D$5&lt;&gt;"UP"),$BK28&lt;&gt;1,OR($CI28=0,$AJ28=1,AND(N($LR28)=1,N($MB28)=1),N($MT28)=1),$AM28&gt;=$BG$20,$AC28&gt;IF($CZ28=1,$BG$48,$BG$19),OR($AC28&gt;=MAX($AC$9:$AC$55),$BC28&gt;0,N($MT28)=1,$AA28='King Node Model'!$D$26,AND(OR($AA28=$CP$4,$AA28=$CP$5,$AA28=$CP$6,$AA28=$CP$7),ABS($AA28-$B$4)&lt;=30),$CF28=1,$AN28=1,AND($AX28=1,$D$5="DOWN"))),1,0))))))))))))</f>
        <v>0</v>
      </c>
      <c r="CX28" s="218">
        <f t="shared" si="48"/>
        <v>0</v>
      </c>
      <c r="CY28" t="str">
        <f t="shared" si="49"/>
        <v/>
      </c>
      <c r="CZ28" s="218">
        <f t="shared" si="50"/>
        <v>0</v>
      </c>
      <c r="DA28" s="218">
        <f t="shared" si="51"/>
        <v>1987754</v>
      </c>
      <c r="DB28" t="str">
        <f t="shared" si="52"/>
        <v/>
      </c>
      <c r="DC28" s="218">
        <f t="shared" si="53"/>
        <v>1</v>
      </c>
      <c r="DD28" s="218">
        <f t="shared" si="54"/>
        <v>2</v>
      </c>
      <c r="DE28" s="218">
        <f t="shared" si="55"/>
        <v>8</v>
      </c>
      <c r="DF28" s="218">
        <f t="shared" si="56"/>
        <v>7755</v>
      </c>
      <c r="DG28" s="218">
        <f t="shared" si="57"/>
        <v>7795</v>
      </c>
      <c r="DH28" s="218">
        <f t="shared" si="58"/>
        <v>0</v>
      </c>
      <c r="DI28">
        <v>1</v>
      </c>
      <c r="DJ28">
        <v>1</v>
      </c>
      <c r="DK28">
        <v>1645019</v>
      </c>
      <c r="DL28">
        <v>0</v>
      </c>
      <c r="DM28" t="str">
        <f>IF(AND($CV28=1,$AG28="S"),IF(AND(OR('King Node Model'!$A$8="Neg",N($BG$72)=1),'King Node Model'!$S$52=""),IF(OR(N($AN28)=1,N($LR28)=1,$AB28&gt;0,$AJ28=1,N($JO28)=1,AND(NOT($AE28&gt;0),NOT(IFERROR(AND(ISNUMBER($BC28),ISNUMBER($BC27),($BC28&gt;=0)&lt;&gt;($BC27&gt;=0)),FALSE())),OR(AND($BM28&lt;=6,$BN28&lt;=6),ABS($AA28-'King Node Model'!$T$23)&lt;=5,$LA28=1))),1,0),1),"")</f>
        <v/>
      </c>
      <c r="DN28" t="str">
        <f t="shared" si="59"/>
        <v/>
      </c>
      <c r="DO28" t="str">
        <f t="shared" si="60"/>
        <v>W-list</v>
      </c>
      <c r="DP28" t="str">
        <f>IF(AND(OR('King Node Model'!$A$8="Neg",N($BG$72)=1),$AG28="S",ISNUMBER($AT28),ISNUMBER($AU28),$AT28&lt;&gt;$AU28,$AA28=$AT28),IF(AND(SUMPRODUCT(($AA$9:$AA$55&gt;=$AT28)*($AA$9:$AA$55&lt;=$AU28)*($AB$9:$AB$55&gt;0))&gt;0,SUMPRODUCT(($AA$9:$AA$55&gt;=$AT28)*($AA$9:$AA$55&lt;=$AU28)*($DM$9:$DM$55=1))&gt;0,SUMPRODUCT(($AA$9:$AA$55&gt;=$AT28)*($AA$9:$AA$55&lt;=$AU28)*(COUNTIF($W$18:$W$20,$AA$9:$AA$55)&gt;0))&gt;0),1,0),"")</f>
        <v/>
      </c>
      <c r="DS28">
        <v>0</v>
      </c>
      <c r="DT28">
        <v>0</v>
      </c>
      <c r="DU28" t="str">
        <f>IF('King Node Model'!$A$8&lt;&gt;"Pos","",IF(OR($AA28="",NOT(ISNUMBER($AA28)),ABS($AA28-$B$4)&gt;$BG$7),"",TEXT($AA28,"0")&amp;" | "&amp;IF($AG28="","unclassified",IF($AG28&lt;&gt;IF($AA28&gt;$B$4,"R","S"),"orphan: in "&amp;$AG28&amp;"-list, "&amp;IF($AA28&lt;$B$4,"below","above")&amp;" spot",IF(IF($AG28="R",COUNTIF($W$9:$W$14,$AA28),COUNTIF($W$18:$W$23,$AA28))=0,"not in "&amp;$AG28&amp;"-list",IF($DH28=1,"absorbed into shelf box",IF($BK28=1,"absorbed: adjacent reversal",IF($CI28=1,"accel-accelerant",IF($AC28&lt;=$BG$19,"below gamma-floor",IF($AM28&lt;$BG$20,"confluence "&amp;TEXT($AM28,"0")&amp;" &lt; "&amp;TEXT($BG$20,"0"),IF(AND($AX28=1,$D$5="UP"),"accelerant in up-move",IF(NOT(OR($AC28&gt;=MAX($AC$9:$AC$55),$BC28&gt;0,$AA28='King Node Model'!$D$26,AND(OR($AA28=$CP$4,$AA28=$CP$5,$AA28=$CP$6,$AA28=$CP$7),ABS($AA28-$B$4)&lt;=30),ISNUMBER(SEARCH("STRENGTHENING",$CG28)),$AN28=1,AND($AX28=1,$D$5="DOWN"))),"no surface flag","-&gt; qualifies"))))))))))))</f>
        <v/>
      </c>
      <c r="DV28" s="218">
        <f t="shared" si="61"/>
        <v>99999</v>
      </c>
      <c r="DW28" s="218">
        <f t="shared" si="62"/>
        <v>99999</v>
      </c>
      <c r="DX28" t="str">
        <f>IF('King Node Model'!$A$8&lt;&gt;"Pos","",IF(AND($DV28&lt;99999,$DV28=MIN($DV$9:$DV$55),$DG28&gt;$AA28),"R-box: "&amp;TEXT($AA28,"0")&amp;"-"&amp;TEXT($DG28,"0"),IF(AND($DW28&lt;99999,$DW28=MIN($DW$9:$DW$55),$DF28&lt;$AA28),"S-box: "&amp;TEXT($DF28,"0")&amp;"-"&amp;TEXT($AA28,"0"),"")))</f>
        <v/>
      </c>
      <c r="EB28">
        <f t="shared" si="63"/>
        <v>14.609999999999673</v>
      </c>
      <c r="EC28">
        <f t="shared" si="64"/>
        <v>538591</v>
      </c>
      <c r="ED28">
        <f t="shared" si="65"/>
        <v>0</v>
      </c>
      <c r="EE28">
        <f>IF(AND(OR('King Node Model'!$A$8="Neg",N($BG$72)=1),$AG28="R",ISNUMBER($EB28),$EB28&lt;=$BG$7,$AB28&gt;0,$EC28&gt;0,$AB28=$EC28),1,0)</f>
        <v>0</v>
      </c>
      <c r="EF28">
        <f>IF(AND(OR('King Node Model'!$A$8="Neg",N($BG$72)=1),$AG28="S",ISNUMBER($EB28),$EB28&lt;=$BG$7,$AB28&gt;0,$ED28&gt;0,$AB28=$ED28),1,0)</f>
        <v>0</v>
      </c>
      <c r="EI28">
        <v>0</v>
      </c>
      <c r="EJ28">
        <f>IF($AA28="",0,IF(SUMPRODUCT(($AA$9:$AA$55&gt;=$AT28)*($AA$9:$AA$55&lt;=$AU28)*($DT$9:$DT$55=1))+SUMPRODUCT(($DT$9:$DT$55=1)*($AT$9:$AT$55&lt;=$AA28)*($AU$9:$AU$55&gt;=$AA28))+($DT28=1)+AND(OR('King Node Model'!$A$8="Neg",N($BG$72)=1),ISNUMBER(SEARCH("LOW",'Master Dashboard'!$M$5)),ISNUMBER(SEARCH("BUY",'Master Dashboard'!$G$8)),'King Node Model'!$T$23='King Node Model'!$B$23,$AA28&gt;='King Node Model'!$T$23,$AA28&lt;='King Node Model'!$T$23+5)*1&gt;0,1,0))</f>
        <v>0</v>
      </c>
      <c r="EM28">
        <f t="shared" si="66"/>
        <v>0</v>
      </c>
      <c r="EN28">
        <v>0</v>
      </c>
      <c r="EO28">
        <f t="shared" si="67"/>
        <v>0</v>
      </c>
      <c r="EP28">
        <f t="shared" si="68"/>
        <v>0</v>
      </c>
      <c r="EQ28" t="str">
        <f t="shared" si="69"/>
        <v>thinning the ceiling (magnitude weak)</v>
      </c>
      <c r="ES28">
        <f>IF(AND(ISNUMBER(AA28),ISNUMBER(AF28),ABS(AA28-'King Node Model'!$B$4)&lt;=$BG$7),ABS(AF28),"")</f>
        <v>1321863</v>
      </c>
      <c r="ET28">
        <v>0</v>
      </c>
      <c r="EU28" s="218">
        <f>IF(AND(OR('King Node Model'!$A$8="Neg",N($BG$72)=1),ISNUMBER($AA27),ISNUMBER($AA28),ISNUMBER($AA29),ISNUMBER($AB27),ISNUMBER($AB28),ISNUMBER($AB29),ISNUMBER($AF28),$AB28&gt;0,$AB27&lt;0,$AB29&lt;0,$AF28&lt;0),1,0)</f>
        <v>0</v>
      </c>
      <c r="EW28">
        <f>IF(OR(N($MY28)=1,N($JM28)=1),0,N($NE28))</f>
        <v>0</v>
      </c>
      <c r="EX28">
        <f>IF(AND(OR('King Node Model'!$A$8="Neg",N($BG$72)=1),ISNUMBER($AA28),OR(AND($AA28='King Node Model'!$F$24,OR(AND($AG28="S",$F$4="High",IF($BG$80&lt;&gt;"",UPPER($BG$80),$D$5)="DOWN"),AND($AG28="R",$F$4="Low",IF($BG$80&lt;&gt;"",UPPER($BG$80),$D$5)="UP"))),$GV28=1)),1,0)</f>
        <v>0</v>
      </c>
      <c r="EY28">
        <f>IFERROR(IF(AND($DC28=1,$AB28&lt;0,$AC28&gt;=(1+$FA$6)*INDEX($AC$9:$AC$55,20-1),$AC28&gt;=(1+$FA$6)*INDEX($AC$9:$AC$55,20+1),$AC28&gt;=IFERROR(INDEX($AC$9:$AC$55,20-2),0),$AC28&gt;=IFERROR(INDEX($AC$9:$AC$55,20+2),0)),1,0),0)</f>
        <v>0</v>
      </c>
      <c r="FA28" t="str">
        <f>IF(NOT(ISNUMBER($AA28)),"",IFERROR(IF(AND($AC28=MAX($AC$9:$AC$55),$AB28=MIN($AB$9:$AB$55)),"DOM",IF(AND($DC27=1,$DC28=1,$DC29=1,INDEX($AC$9:$AC$55,20-1)&lt;=(1-$FA$6)*$AC28,INDEX($AC$9:$AC$55,20-1)&lt;=(1-$FA$6)*INDEX($AC$9:$AC$55,20-2)),"GAP↑",IF(AND($DC29=1,$DC28=1,INDEX($AC$9:$AC$55,20+1)&lt;=(1-$FA$6)*$AC28,INDEX($AC$9:$AC$55,20+1)&lt;=(1-$FA$6)*INDEX($AC$9:$AC$55,20+2)),"GAP↓",IF($CZ28=1,"dEdge Cliff",IF($GY28=1,"γWall",IF(AND($DC28=1,$AB28&lt;0,$AC28&gt;=(1+$FA$6)*INDEX($AC$9:$AC$55,20-1),$AC28&gt;=(1+$FA$6)*INDEX($AC$9:$AC$55,20+1)),"PEAK-",IF($GZ28=1,"γSh Edge",IF($HL28=1,"Trough",IF($HN28=1,"PEAK+",IF($GF28=1,"Cluster","")))))))))),""))</f>
        <v>GAP↑</v>
      </c>
      <c r="FB28" t="str">
        <f t="shared" si="70"/>
        <v/>
      </c>
      <c r="FC28" t="str">
        <f t="shared" si="71"/>
        <v/>
      </c>
      <c r="FD28">
        <f>IF(AND(ISNUMBER($AA28),ISNUMBER('King Node Model'!$AP$17),ISNUMBER('King Node Model'!$AQ$17),$AA28&gt;=MIN('King Node Model'!$AP$17,'King Node Model'!$AQ$17),$AA28&lt;=MAX('King Node Model'!$AP$17,'King Node Model'!$AQ$17),IFERROR(INDEX($AC$9:$AC$55,MATCH('King Node Model'!$AL$42,$AA$9:$AA$55,0)),0)&gt;0,$AC28&gt;=(1-$FA$6)*IFERROR(INDEX($AC$9:$AC$55,MATCH('King Node Model'!$AL$42,$AA$9:$AA$55,0)),0),$AC28&lt;=(1+$FA$6)*IFERROR(INDEX($AC$9:$AC$55,MATCH('King Node Model'!$AL$42,$AA$9:$AA$55,0)),0)),1,0)</f>
        <v>0</v>
      </c>
      <c r="FE28">
        <f>IF($AA28='King Node Model'!$AL$42,1,IF(AND($FD28=1,$FE27=1),1,0))</f>
        <v>0</v>
      </c>
      <c r="FF28">
        <f>IF($AA28='King Node Model'!$AL$42,1,IF(AND($FD28=1,$FF29=1),1,0))</f>
        <v>0</v>
      </c>
      <c r="FG28" t="str">
        <f>IF(OR($FE28=1,$FF28=1),20,"")</f>
        <v/>
      </c>
      <c r="FJ28">
        <f>IF(AND($CW$2=1,ISNUMBER($AA28),ISNUMBER($CW$3),ISNUMBER($CW$4),$AA28&gt;=MIN($CW$3,$CW$4),$AA28&lt;=MAX($CW$3,$CW$4),IFERROR(INDEX($AC$9:$AC$55,MATCH('King Node Model'!$AP$67,$AA$9:$AA$55,0)),0)&gt;0,$AC28&gt;=(1-$FA$6)*IFERROR(INDEX($AC$9:$AC$55,MATCH('King Node Model'!$AP$67,$AA$9:$AA$55,0)),0),$AC28&lt;=(1+$FA$6)*IFERROR(INDEX($AC$9:$AC$55,MATCH('King Node Model'!$AP$67,$AA$9:$AA$55,0)),0)),1,0)</f>
        <v>0</v>
      </c>
      <c r="FK28">
        <f>IF(AND($CW$2=1,$AA28='King Node Model'!$AP$67),1,IF(AND($FJ28=1,$FK27=1),1,0))</f>
        <v>0</v>
      </c>
      <c r="FL28">
        <f>IF(AND($CW$2=1,$AA28='King Node Model'!$AP$67),1,IF(AND($FJ28=1,$FL29=1),1,0))</f>
        <v>0</v>
      </c>
      <c r="FM28" t="str">
        <f>IF(OR($FK28=1,$FL28=1),20,"")</f>
        <v/>
      </c>
      <c r="FN28">
        <v>0</v>
      </c>
      <c r="FR28" t="str">
        <f t="shared" si="72"/>
        <v/>
      </c>
      <c r="FS28">
        <f t="shared" si="188"/>
        <v>0</v>
      </c>
      <c r="FT28">
        <f t="shared" si="73"/>
        <v>-0.15231160395099191</v>
      </c>
      <c r="FU28">
        <f t="shared" si="74"/>
        <v>1987754</v>
      </c>
      <c r="FV28">
        <f>IF($FW28=0,"",IF(OR($FW27=0,SIGN(IFERROR($BC28*1,0))&lt;&gt;SIGN(IFERROR($BC27*1,0)),$GH28=1,$GH27=1),MAX($FV$9:$FV27)+1,$FV27))</f>
        <v>7</v>
      </c>
      <c r="FW28">
        <f t="shared" si="75"/>
        <v>1</v>
      </c>
      <c r="FX28">
        <f t="shared" si="76"/>
        <v>1987754</v>
      </c>
      <c r="FY28">
        <f t="shared" si="77"/>
        <v>1</v>
      </c>
      <c r="FZ28">
        <f t="shared" si="189"/>
        <v>1</v>
      </c>
      <c r="GA28">
        <f t="shared" si="78"/>
        <v>1</v>
      </c>
      <c r="GB28">
        <f t="shared" si="79"/>
        <v>1</v>
      </c>
      <c r="GC28">
        <f t="shared" si="80"/>
        <v>1987754</v>
      </c>
      <c r="GD28">
        <f t="shared" si="81"/>
        <v>7790</v>
      </c>
      <c r="GE28">
        <f t="shared" si="82"/>
        <v>7790</v>
      </c>
      <c r="GF28">
        <f t="shared" si="83"/>
        <v>0</v>
      </c>
      <c r="GH28">
        <f>IFERROR(IF(AND($AC28&gt;=(1+$FA$6)*INDEX($AC$9:$AC$55,20-1),$AC28&gt;=(1+$FA$6)*INDEX($AC$9:$AC$55,20+1)),1,0),0)</f>
        <v>1</v>
      </c>
      <c r="GK28">
        <v>0</v>
      </c>
      <c r="GO28">
        <v>0</v>
      </c>
      <c r="GP28">
        <v>0</v>
      </c>
      <c r="GQ28">
        <f t="shared" si="84"/>
        <v>1</v>
      </c>
      <c r="GR28">
        <f t="shared" si="85"/>
        <v>0</v>
      </c>
      <c r="GS28">
        <f>IF(AND($EY28=1,$AA28&lt;&gt;'King Node Model'!$B$23),0,IF(OR($GQ28=1,$GR28=1),1,IF($DC28=1,IF(OR('King Node Model'!$A$8="Neg",N($BG$72)=1),IF(OR(AND($AC28=MAX($AC$9:$AC$55),$AB28=MIN($AB$9:$AB$55)),$AN28=1,$EE28=1,$EF28=1,$EX28=1,$GV28=1),1,0),1),0)))</f>
        <v>1</v>
      </c>
      <c r="GT28">
        <f>IFERROR(IF(AND(OR('King Node Model'!$A$8="Neg",N($BG$72)=1),$EU27=1,$AG28="R",ISNUMBER($AA28),ISNUMBER($AF28),$AF28&lt;&gt;0,$AA28&gt;$B$4-$BG$9,$AA28-$B$4&lt;=$BG$47,IF($KC28="UP",SIGN($AF28),IF($KC28="DOWN",-SIGN($AF28),0))&lt;&gt;1),1,0),0)</f>
        <v>0</v>
      </c>
      <c r="GU28" t="str">
        <f t="shared" si="86"/>
        <v/>
      </c>
      <c r="GV28">
        <f t="shared" si="87"/>
        <v>0</v>
      </c>
      <c r="GW28">
        <f t="shared" si="88"/>
        <v>14.609999999999673</v>
      </c>
      <c r="GX28" t="str">
        <f t="shared" si="89"/>
        <v/>
      </c>
      <c r="GY28">
        <f t="shared" si="90"/>
        <v>0</v>
      </c>
      <c r="GZ28">
        <f t="shared" si="91"/>
        <v>0</v>
      </c>
      <c r="HA28">
        <v>1</v>
      </c>
      <c r="HF28">
        <f>IFERROR(IF(AND($GZ28=1,'King Node Model'!$A$8="Pos",$D$5="UP",$CF28=-1,$AJ28&lt;&gt;1),1,0),0)</f>
        <v>0</v>
      </c>
      <c r="HG28">
        <f t="shared" si="92"/>
        <v>1</v>
      </c>
      <c r="HH28">
        <f>IF($GZ28=1,"",IFERROR(IF(NOT(ISNUMBER($AA28)),"",IF($EY28=1,"",IF($GF28=1,IF($GD28=$GE28,"",$GD28),IF(OR(AND($DC27=1,$DC28=1,$DC29=1,INDEX($AC$9:$AC$55,20-1)&lt;=(1-$FA$6)*$AC28,INDEX($AC$9:$AC$55,20-1)&lt;=(1-$FA$6)*INDEX($AC$9:$AC$55,20-2)),AND($DC29=1,$DC28=1,INDEX($AC$9:$AC$55,20+1)&lt;=(1-$FA$6)*$AC28,INDEX($AC$9:$AC$55,20+1)&lt;=(1-$FA$6)*INDEX($AC$9:$AC$55,20+2)),AND($DC28=1,OR(INDEX($DC$9:$DC$55,20-1)=0,INDEX($DC$9:$DC$55,20+1)=0))),IF(MIN($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MAX($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MIN($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f>
        <v>7790</v>
      </c>
      <c r="HI28">
        <f>IF($GZ28=1,"",IFERROR(IF(NOT(ISNUMBER($AA28)),"",IF($EY28=1,"",IF($GF28=1,IF($GD28=$GE28,"",$GE28),IF(OR(AND($DC27=1,$DC28=1,$DC29=1,INDEX($AC$9:$AC$55,20-1)&lt;=(1-$FA$6)*$AC28,INDEX($AC$9:$AC$55,20-1)&lt;=(1-$FA$6)*INDEX($AC$9:$AC$55,20-2)),AND($DC29=1,$DC28=1,INDEX($AC$9:$AC$55,20+1)&lt;=(1-$FA$6)*$AC28,INDEX($AC$9:$AC$55,20+1)&lt;=(1-$FA$6)*INDEX($AC$9:$AC$55,20+2)),AND($DC28=1,OR(INDEX($DC$9:$DC$55,20-1)=0,INDEX($DC$9:$DC$55,20+1)=0))),IF(MIN($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MAX($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MAX($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f>
        <v>7800</v>
      </c>
      <c r="HL28">
        <f t="shared" si="93"/>
        <v>0</v>
      </c>
      <c r="HM28">
        <f>IFERROR(IF(AND($HL28=1,NOT(OR($AA28='King Node Model'!$T$22,$AA28='King Node Model'!$T$23,$AA28='King Node Model'!$F$24,AND($AG28="S",COUNTIF('Master Dashboard'!$AN$16:$AN$18,$AA28)&gt;0),AND($AG28="R",COUNTIF('Master Dashboard'!$AN$13:$AN$15,$AA28)&gt;0)))),1,0),0)</f>
        <v>0</v>
      </c>
      <c r="HN28">
        <f t="shared" si="94"/>
        <v>0</v>
      </c>
      <c r="HO28">
        <f t="shared" si="95"/>
        <v>0</v>
      </c>
      <c r="HP28">
        <f t="shared" si="96"/>
        <v>1</v>
      </c>
      <c r="HQ28" t="str">
        <f>IF(NOT(ISNUMBER($AA28)),"",IFERROR(TRIM(IF(N($MY28)=1,"DEXLEAN ","")&amp;IF(N($IZ28)=1,"DEXCAP ","")&amp;IF(AND($AG28="S",UPPER('King Node Model'!$L$5)="HIGH",$KC28="DOWN",N($AF28)&gt;0,$AA28='King Node Model'!$AN$70,$IY28="SELL"),"CHOPEDGEIV ","")&amp;IF(N($IS28)=1,"NOREV ","")&amp;IF(N($JY28)=1,"VFLAT ","")&amp;IF(N($KR28)=1,"GDEXVANNA ","")&amp;IF(N($LD28)=1,"KGSUPFAIL ","")&amp;IF(N($LE28)=1,"KGRESLEAK ","")&amp;IF(N($MH28)=1,"ZIGZAG ","")&amp;IF(N($KK28)=1,"DATAGAP ","")&amp;IF(N($KA28)&lt;&gt;0,"ACCUNDERCW ","")&amp;IF(AND($AG28="S",$HF28=1),"EDGE ","")&amp;IF(AND($HM28=1,'King Node Model'!$A$8="Pos",N($BG$72)&lt;&gt;1),"TROUGH ","")&amp;IF(AND($EU28=1,N($JZ28)&lt;&gt;1),"BUMP ","")&amp;IF(AND($GT28=1,N($JZ28)&lt;&gt;1),"SANDWICH ","")&amp;IF(AND($EX28&lt;&gt;1,OR('King Node Model'!$A$8="Neg",N($BG$72)=1),OR(AND(ISNUMBER($AC28),$AC28=MAX($AC$9:$AC$55)),AND(ISNUMBER($AB28),$AB28=MIN($AB$9:$AB$55))),NOT(AND(AND(ISNUMBER($AC28),$AC28=MAX($AC$9:$AC$55)),AND(ISNUMBER($AB28),$AB28=MIN($AB$9:$AB$55)))),$AG28="S",N($AB28)&lt;0,NOT(COUNTIF('Master Dashboard'!$AN$16:$AN$18,$AA28)&gt;0),NOT(AND(OR('King Node Model'!$A$8="Neg",N($BG$72)=1),ISNUMBER($AB28),$AB28=MIN($AB$9:$AB$55),$AA28=$BG$105))),"ACCEL ","")&amp;IF(AND($EX28&lt;&gt;1,ISNUMBER($AA28),OR('King Node Model'!$A$8="Neg",N($BG$72)=1),$EY28=1,NOT(AND($AG28="S",COUNTIF('Master Dashboard'!$AN$16:$AN$18,$AA28)&gt;0)),NOT(AND($AA28='King Node Model'!$B$23,IF($AG28="S",OR($AA28='King Node Model'!$C$24,COUNTIF('Master Dashboard'!$AN$16:$AN$18,$AA28)&gt;0),OR($AA28='King Node Model'!$C$23,COUNTIF('Master Dashboard'!$AN$13:$AN$15,$AA28)&gt;0)))),NOT(AND($EX28&lt;&gt;1,OR('King Node Model'!$A$8="Neg",N($BG$72)=1),OR(AND(ISNUMBER($AC28),$AC28=MAX($AC$9:$AC$55)),AND(ISNUMBER($AB28),$AB28=MIN($AB$9:$AB$55))),NOT(AND(AND(ISNUMBER($AC28),$AC28=MAX($AC$9:$AC$55)),AND(ISNUMBER($AB28),$AB28=MIN($AB$9:$AB$55)))),$AG28="S",N($AB28)&lt;0,NOT(COUNTIF('Master Dashboard'!$AN$16:$AN$18,$AA28)&gt;0)))),"AMPLIFY ","")&amp;IF(AND($AG28="S",OR('King Node Model'!$A$8="Neg",N($BG$72)=1),$AJ28&lt;&gt;1,N($MT28)&lt;&gt;1,NOT(AND(N($LR28)=1,N($MB28)=1)),ISNUMBER(SEARCH("ACCEL building",$CG28))),"ZACCEL ","")&amp;IF(AND($AG28="S",OR('King Node Model'!$A$8="Neg",N($BG$72)=1),$AA28='King Node Model'!$B$23,NOT(AND(AND(ISNUMBER($AC28),$AC28=MAX($AC$9:$AC$55)),AND(ISNUMBER($AB28),$AB28=MIN($AB$9:$AB$55)))),$EJ28&lt;&gt;1),"KINGACC ","")&amp;IF(AND($AG28="S",OR('King Node Model'!$A$8="Neg",N($BG$72)=1),ABS(N($AA28)-N('King Node Model'!$B$23))&lt;=$BG$107,NOT(AND(SUMPRODUCT((ABS($AF$9:$AF$55)&lt;=ABS(N($AF28)))*1)/COUNT($AF$9:$AF$55)&gt;=0.66,OR(ISNUMBER(SEARCH("firmer resistance",$CG28)),ISNUMBER(SEARCH("STRENGTHENING",$CG28)),ISNUMBER(SEARCH("firmer support",$CG28))))),NOT(AND(N($AB28)&gt;0,SUMPRODUCT((ABS($AB$9:$AB$55)&lt;=ABS(N($AB28)))*1)/COUNT($AB$9:$AB$55)&gt;=0.66)),$EJ28&lt;&gt;1,$AJ28&lt;&gt;1,COUNTIF('Master Dashboard'!$AN$16:$AN$18,$AA28)=0,NOT(AND($AG28="S",OR('King Node Model'!$A$8="Neg",N($BG$72)=1),$AA28='King Node Model'!$B$23,NOT(AND(AND(ISNUMBER($AC28),$AC28=MAX($AC$9:$AC$55)),AND(ISNUMBER($AB28),$AB28=MIN($AB$9:$AB$55)))),$EJ28&lt;&gt;1))),"KINGNODE ","")&amp;IF(AND($AG28="R",NOT(AND(AND(ISNUMBER($AC28),$AC28=MAX($AC$9:$AC$55)),AND(ISNUMBER($AB28),$AB28=MIN($AB$9:$AB$55)))),UPPER('King Node Model'!$L$5)="LOW",$KC28="DOWN",N($AF28)&gt;0),"LOWIVFALL ","")&amp;IF(AND($AG28="R",NOT(AND(AND(ISNUMBER($AC28),$AC28=MAX($AC$9:$AC$55)),AND(ISNUMBER($AB28),$AB28=MIN($AB$9:$AB$55)))),UPPER('King Node Model'!$L$5)="HIGH",$KC28="DOWN",N($AF28)&gt;0,IFERROR(MATCH($AA28,$W$9:$W$14,0)&gt;=4,FALSE)),"HIGHIVFALL ","")&amp;IF(AND($AG28="R",N($BG$99)=1),"SPOTUPVOLUP ","")&amp;IF(AND($AG28="R",ISNUMBER(SEARCH("5/5",'Master Dashboard'!$E$29)),OR(ISNUMBER(SEARCH("WEAKENING",$EQ28)),ISNUMBER(SEARCH("Pos gamma ↓",$EQ28)),ISNUMBER(SEARCH("thinning the ceiling",$EQ28)))),"SQUEEZE ","")&amp;IF(N($JU28)=1,"DEDGECLIFF ","")&amp;IF(N($KT28)=1,"DEXDRAIN ","")&amp;IF(N($HW28)&lt;&gt;0,"DEXDROP ","")&amp;IF(N($HX28)&lt;&gt;0,"PEAK+ ","")&amp;IF(N($IF28)=1,"CHOP ","")&amp;IF(N($IQ28)=1,"CONTESTED ","")&amp;IF(N($IW28)=1,"VSELL ","")&amp;IF(N($JK28)=1,"VBUYRES ","")&amp;IF(N($JL28)=1,"DOMFLAT ","")&amp;IF(N($JM28)=1,"DOMPULL ","")&amp;IF(N($JP28)=1,"OIZOMMA ","")&amp;IF(AND(N($JQ28)=1,N($JZ28)&lt;&gt;1),"OIDEX ","")),""))</f>
        <v>NOREV ZIGZAG LOWIVFALL</v>
      </c>
      <c r="HS28">
        <f>IFERROR(IF(AND($DC28=1,OR(AND($AG28="R",INDEX($DC$9:$DC$55,19)=0,INDEX($DC$9:$DC$55,21)=1,INDEX($DC$9:$DC$55,22)=1),AND($AG28="S",INDEX($DC$9:$DC$55,21)=0,INDEX($DC$9:$DC$55,19)=1,INDEX($DC$9:$DC$55,18)=1))),1,0),0)</f>
        <v>0</v>
      </c>
      <c r="HT28">
        <f t="shared" si="97"/>
        <v>0</v>
      </c>
      <c r="HU28">
        <v>0</v>
      </c>
      <c r="HV28">
        <v>0</v>
      </c>
      <c r="HW28">
        <f>IFERROR(IF(OR(NOT(ISNUMBER($AA28)),'King Node Model'!$A$8&lt;&gt;"Pos",N($BG$72)=1,ABS(N($AE28))&lt;$BG$113,N($AV28)=1,$FA28="DOM",$AA28='King Node Model'!$T$23,AND(N($BG$116)=1,$AA28='King Node Model'!$F$24),NOT(ISNUMBER($KU28)),NOT(ISNUMBER($KV28))),0,IF(AND($AG28="S",COUNTIF('Master Dashboard'!$AN$16:$AN$18,$AA28)=0,$KU28&gt;=$BG$114,$KU28&gt;=$KV28+$BG$115,NOT(AND(N($AN29)=1,N($KV28)&lt;0)),N($AE28)&lt;=0),1,IF(AND($AG28="R",COUNTIF('Master Dashboard'!$AN$13:$AN$15,$AA28)=0,$KV28&gt;=$BG$114,$KV28&gt;=$KU28+$BG$115,NOT(AND(N($AN27)=1,N($KU28)&lt;0))),-1,0))),0)</f>
        <v>0</v>
      </c>
      <c r="HX28">
        <f>IFERROR(IF(AND(ISNUMBER($AA28),$FA28="PEAK+",N($AN28)&lt;&gt;1,NOT(AND('King Node Model'!$A$8="Pos",OR($AA28='King Node Model'!$T$22,$AA28='King Node Model'!$T$23,$AA28='King Node Model'!$F$24))),IF($AG28="S",COUNTIF('Master Dashboard'!$AN$16:$AN$18,$AA28)=0,IF($AG28="R",COUNTIF('Master Dashboard'!$AN$13:$AN$15,$AA28)=0,FALSE))),1,0),0)</f>
        <v>0</v>
      </c>
      <c r="HY28">
        <f t="shared" si="98"/>
        <v>-0.20530182868279359</v>
      </c>
      <c r="HZ28">
        <v>0</v>
      </c>
      <c r="IA28">
        <f>IFERROR(IF(AND(IF($BG$44=1,OR(ISNUMBER(SEARCH("Choppy",'King Node Model'!$S$38)),'King Node Model'!$S$52&lt;&gt;"",'King Node Model'!$A$8="Pos"),TRUE()),OR($DC28=1,$DC27=1,$DC29=1),ABS($AA28-$B$4)&lt;=$BG$7,ABS($AA28-$BG$28)&gt;=$BG$45,OR(AND($AA28&gt;$BG$28,$AG28="R"),AND($AA28&lt;$BG$28,$AG28="S",N($BG$154)=1)),ABS(IF($AA28&gt;$BG$28,$AE29,$AE27))&gt;=$BG$43,ABS(N(IF($AA28&gt;$BG$28,$AE27,$AE29)))&lt;=$BG$153*ABS(IF($AA28&gt;$BG$28,$AE29,$AE27)),IF(ISNUMBER($HZ28),$HZ28=1,AND(ISNUMBER($HY28),$HY28&gt;=$BG$42))),1,0),0)</f>
        <v>0</v>
      </c>
      <c r="IB28">
        <f t="shared" si="99"/>
        <v>1</v>
      </c>
      <c r="IC28" t="str">
        <f>IF(NOT(ISNUMBER($AA28)),"",IFERROR(MID(IF(AND($AC28=MAX($AC$9:$AC$55),$AB28=MIN($AB$9:$AB$55))," · DOM","")&amp;IF(AND($DC27=1,$DC28=1,$DC29=1,INDEX($AC$9:$AC$55,20-1)&lt;=(1-$FA$6)*$AC28,INDEX($AC$9:$AC$55,20-1)&lt;=(1-$FA$6)*INDEX($AC$9:$AC$55,20-2))," · GAP↑ → "&amp;INDEX($AA$9:$AA$55,20-2),"")&amp;IF(AND($DC29=1,$DC28=1,INDEX($AC$9:$AC$55,20+1)&lt;=(1-$FA$6)*$AC28,INDEX($AC$9:$AC$55,20+1)&lt;=(1-$FA$6)*INDEX($AC$9:$AC$55,20+2))," · GAP↓ → "&amp;INDEX($AA$9:$AA$55,20+2),"")&amp;IF($CZ28=1," · dEdge Cliff","")&amp;IF($GY28=1," · γWall","")&amp;IF(AND($DC28=1,$AB28&lt;0,$AC28&gt;=(1+$FA$6)*INDEX($AC$9:$AC$55,20-1),$AC28&gt;=(1+$FA$6)*INDEX($AC$9:$AC$55,20+1))," · PEAK-","")&amp;IF($GZ28=1," · γSh Edge","")&amp;IF($HL28=1," · Trough","")&amp;IF($HN28=1," · PEAK+","")&amp;IF($GF28=1," · Cluster",""),FIND(" · ",IF(AND($AC28=MAX($AC$9:$AC$55),$AB28=MIN($AB$9:$AB$55))," · DOM","")&amp;IF(AND($DC27=1,$DC28=1,$DC29=1,INDEX($AC$9:$AC$55,20-1)&lt;=(1-$FA$6)*$AC28,INDEX($AC$9:$AC$55,20-1)&lt;=(1-$FA$6)*INDEX($AC$9:$AC$55,20-2))," · GAP↑ → "&amp;INDEX($AA$9:$AA$55,20-2),"")&amp;IF(AND($DC29=1,$DC28=1,INDEX($AC$9:$AC$55,20+1)&lt;=(1-$FA$6)*$AC28,INDEX($AC$9:$AC$55,20+1)&lt;=(1-$FA$6)*INDEX($AC$9:$AC$55,20+2))," · GAP↓ → "&amp;INDEX($AA$9:$AA$55,20+2),"")&amp;IF($CZ28=1," · dEdge Cliff","")&amp;IF($GY28=1," · γWall","")&amp;IF(AND($DC28=1,$AB28&lt;0,$AC28&gt;=(1+$FA$6)*INDEX($AC$9:$AC$55,20-1),$AC28&gt;=(1+$FA$6)*INDEX($AC$9:$AC$55,20+1))," · PEAK-","")&amp;IF($GZ28=1," · γSh Edge","")&amp;IF($HL28=1," · Trough","")&amp;IF($HN28=1," · PEAK+","")&amp;IF($GF28=1," · Cluster",""),2),999),""))</f>
        <v xml:space="preserve"> · PEAK-</v>
      </c>
      <c r="ID28" t="str">
        <f>IF(NOT(ISNUMBER($AA28)),"",IFERROR(MID(IF(AND($AC28=MAX($AC$9:$AC$55),$AB28=MIN($AB$9:$AB$55))," · DOM","")&amp;IF(AND($DC27=1,$DC28=1,$DC29=1,INDEX($AC$9:$AC$55,20-1)&lt;=(1-$FA$6)*$AC28,INDEX($AC$9:$AC$55,20-1)&lt;=(1-$FA$6)*INDEX($AC$9:$AC$55,20-2))," · GAP↑ → "&amp;INDEX($AA$9:$AA$55,20-2),"")&amp;IF(AND($DC29=1,$DC28=1,INDEX($AC$9:$AC$55,20+1)&lt;=(1-$FA$6)*$AC28,INDEX($AC$9:$AC$55,20+1)&lt;=(1-$FA$6)*INDEX($AC$9:$AC$55,20+2))," · GAP↓ → "&amp;INDEX($AA$9:$AA$55,20+2),"")&amp;IF($CZ28=1," · dEdge Cliff","")&amp;IF($GY28=1," · γWall","")&amp;IF(AND($DC28=1,$AB28&lt;0,$AC28&gt;=(1+$FA$6)*INDEX($AC$9:$AC$55,20-1),$AC28&gt;=(1+$FA$6)*INDEX($AC$9:$AC$55,20+1))," · PEAK-","")&amp;IF($GZ28=1," · γSh Edge","")&amp;IF($HL28=1," · Trough","")&amp;IF($HN28=1," · PEAK+","")&amp;IF(AND(NOT($HN28=1),NOT(AND($DC28=1,$AB28&lt;0)),N($GY28)&lt;&gt;1,N($GF28)&lt;&gt;1,N($GZ28)&lt;&gt;1,N($HL28)&lt;&gt;1,N($CZ28)&lt;&gt;1,NOT(AND($AC28=MAX($AC$9:$AC$55),$AB28=MIN($AB$9:$AB$55))),$AC28&gt;=(1+$FA$6)*INDEX($AC$9:$AC$55,20-1),$AC28&gt;=(1+$FA$6)*INDEX($AC$9:$AC$55,20+1))," · Knoll","")&amp;IF($GF28=1," · Cluster",""),4,999),""))</f>
        <v>GAP↑ → 7800 · PEAK-</v>
      </c>
      <c r="IF28">
        <f t="shared" si="100"/>
        <v>0</v>
      </c>
      <c r="IG28">
        <f>IFERROR(IF(AND(ISNUMBER($AA28),'King Node Model'!$A$8="Pos",OR($AG28="S",$AG28="R"),$IN28="interior",COUNTIF(IF($AG28="S",'Master Dashboard'!$AN$16:$AN$18,'Master Dashboard'!$AN$13:$AN$15),$AA28)=0,$AA28&lt;&gt;'King Node Model'!$T$22,$AA28&lt;&gt;'King Node Model'!$T$23,$AA28&lt;&gt;'King Node Model'!$F$24),1,0),0)</f>
        <v>0</v>
      </c>
      <c r="IH28">
        <f t="shared" si="101"/>
        <v>0</v>
      </c>
      <c r="II28">
        <f t="shared" si="190"/>
        <v>0</v>
      </c>
      <c r="IJ28">
        <f t="shared" si="102"/>
        <v>0</v>
      </c>
      <c r="IK28">
        <f t="shared" si="103"/>
        <v>0</v>
      </c>
      <c r="IL28">
        <f t="shared" si="191"/>
        <v>0</v>
      </c>
      <c r="IM28">
        <f t="shared" si="104"/>
        <v>0</v>
      </c>
      <c r="IN28" t="str">
        <f t="shared" si="105"/>
        <v/>
      </c>
      <c r="IO28">
        <v>0</v>
      </c>
      <c r="IP28">
        <v>0</v>
      </c>
      <c r="IQ28">
        <f>IFERROR(IF($AG28="S",IF(OR(COUNTIF($W$9:$W$14,$AA28)&gt;0,COUNTIF('King Node Model'!$AL$42:'King Node Model'!$AL$43,$AA28)&gt;0),1,0),IF($AG28="R",IF(OR(COUNTIF($W$18:$W$23,$AA28)&gt;0,COUNTIF('King Node Model'!$AL$49:'King Node Model'!$AL$50,$AA28)&gt;0),1,0),0)),0)</f>
        <v>0</v>
      </c>
      <c r="IS28">
        <f>IF(AND(ISNUMBER($AA28),N($AN28)&lt;&gt;1,N($LR28)&lt;&gt;1,OR(N($EN28)&lt;&gt;1,AND('King Node Model'!$A$8&lt;&gt;"Neg",N($BG$72)&lt;&gt;1)),$AA28&lt;&gt;'King Node Model'!$T$22,$AA28&lt;&gt;'King Node Model'!$T$23,$AA28&lt;&gt;'King Node Model'!$F$24,NOT(AND($AG28="S",COUNTIF('Master Dashboard'!$AN$16:$AN$18,$AA28)&gt;0)),NOT(AND($AG28="R",COUNTIF('Master Dashboard'!$AN$13:$AN$15,$AA28)&gt;0)),NOT(AND('King Node Model'!$A$8&lt;&gt;"Neg",N($BG$72)&lt;&gt;1,COUNTIF('Master Dashboard'!$AN$13:$AN$18,$AA28)&gt;0))),1,0)</f>
        <v>1</v>
      </c>
      <c r="IT28">
        <v>0</v>
      </c>
      <c r="IU28">
        <f>IF(AND(ISNUMBER($AA28),$AA28='King Node Model'!$F$24,$AA28&gt;$GJ$3,N($AD28)&lt;0,$F$4="High"),1,0)</f>
        <v>0</v>
      </c>
      <c r="IV28" t="str">
        <f>""</f>
        <v/>
      </c>
      <c r="IW28">
        <f>IFERROR(IF(AND(ISNUMBER($AA28),NOT(AND(N($LR28)=1,N($MB28)=1)),$AG28="S",OR('King Node Model'!$A$8="Neg",N($BG$72)=1),$JV28="SELL",ABS(N($AD28))&gt;=$BG$94,NOT(AND(N($AD28)&gt;0,N($BG$78)=1,MEDIAN($AA28-$BG$82,$B$4,$AA28+$BG$83)=$B$4))),1,0),0)</f>
        <v>0</v>
      </c>
      <c r="IX28">
        <f>IFERROR(IF(AND(ISNUMBER($AA28),$AG28="S",OR('King Node Model'!$A$8="Neg",N($BG$72)=1),N($AD28)&gt;0,N($BG$78)=1,MEDIAN($AA28-$BG$82,$B$4,$AA28+$BG$83)=$B$4),1,0),0)</f>
        <v>0</v>
      </c>
      <c r="IY28" t="str">
        <f t="shared" si="106"/>
        <v>BUY</v>
      </c>
      <c r="IZ28">
        <f>IFERROR(IF(AND(ISNUMBER($AA28),$FA28&lt;&gt;"DOM",$AA28&lt;&gt;'King Node Model'!$F$24,OR(AND($AG28="S",COUNTIF('Master Dashboard'!$AN$16:$AN$18,$AA28)=0,N(INDEX($AE$9:$AE$55,MATCH($AA28+$BG$84,$AA$9:$AA$55,0)))&lt;=-$BG$85),AND($AG28="R",COUNTIF('Master Dashboard'!$AN$13:$AN$15,$AA28)=0,N(INDEX($AE$9:$AE$55,MATCH($AA28-$BG$84,$AA$9:$AA$55,0)))&gt;=$BG$85))),1,0),0)</f>
        <v>0</v>
      </c>
      <c r="JC28">
        <f t="shared" si="108"/>
        <v>0</v>
      </c>
      <c r="JD28" t="str">
        <f t="shared" si="193"/>
        <v/>
      </c>
      <c r="JE28">
        <f>IF(ISNUMBER($AA28),N(IFERROR(INDEX('King Node Model'!$L$29:$L$75,MATCH($AA28,'King Node Model'!$A$29:$A$75,0)),0)),"")</f>
        <v>1184</v>
      </c>
      <c r="JF28">
        <f>IF(ISNUMBER($AA28),N(IFERROR(INDEX('King Node Model'!$K$29:$K$75,MATCH($AA28,'King Node Model'!$A$29:$A$75,0)),0)),"")</f>
        <v>871</v>
      </c>
      <c r="JG28">
        <f t="shared" si="109"/>
        <v>1.3593570608495982</v>
      </c>
      <c r="JH28">
        <f t="shared" si="110"/>
        <v>0.73564189189189189</v>
      </c>
      <c r="JI28">
        <f t="shared" si="111"/>
        <v>0</v>
      </c>
      <c r="JJ28" t="str">
        <f t="shared" si="112"/>
        <v/>
      </c>
      <c r="JK28">
        <f t="shared" si="113"/>
        <v>0</v>
      </c>
      <c r="JL28">
        <f t="shared" si="114"/>
        <v>0</v>
      </c>
      <c r="JM28">
        <f t="shared" si="115"/>
        <v>0</v>
      </c>
      <c r="JN28">
        <f t="shared" si="116"/>
        <v>0</v>
      </c>
      <c r="JO28">
        <f t="shared" si="117"/>
        <v>0</v>
      </c>
      <c r="JP28">
        <f t="shared" si="118"/>
        <v>0</v>
      </c>
      <c r="JQ28">
        <f t="shared" si="119"/>
        <v>0</v>
      </c>
      <c r="JR28">
        <v>0</v>
      </c>
      <c r="JS28">
        <f>IFERROR(IF(AND(ISNUMBER($AA28),'King Node Model'!$A$8="Pos",OR($AG28="S",$AG28="R"),N($AB28)&gt;0,N($HP28)&lt;&gt;1,OR(AND($KC28="DOWN",N($AF28)&lt;0,N($AF28)=MIN($AF$9:$AF$55),-N($AF28)&gt;=MAX($AF$9:$AF$55)),AND($KC28="UP",N($AF28)&gt;0,N($AF28)=MAX($AF$9:$AF$55),N($AF28)&gt;=-MIN($AF$9:$AF$55)))),1,0),0)</f>
        <v>0</v>
      </c>
      <c r="JT28">
        <v>0</v>
      </c>
      <c r="JU28">
        <f>IFERROR(IF(AND(N($BG$109)=1,ISNUMBER($AA28),'King Node Model'!$A$8="Pos",N($CZ28)=1,N($AB28)&gt;0),1,0),0)</f>
        <v>0</v>
      </c>
      <c r="JV28" t="str">
        <f t="shared" si="120"/>
        <v>SELL</v>
      </c>
      <c r="JW28">
        <f t="shared" si="121"/>
        <v>0</v>
      </c>
      <c r="JX28">
        <f t="shared" si="122"/>
        <v>0</v>
      </c>
      <c r="JY28">
        <f t="shared" si="123"/>
        <v>0</v>
      </c>
      <c r="JZ28">
        <f t="shared" si="124"/>
        <v>0</v>
      </c>
      <c r="KA28">
        <f t="shared" si="125"/>
        <v>0</v>
      </c>
      <c r="KB28">
        <f t="shared" si="126"/>
        <v>0</v>
      </c>
      <c r="KC28" t="str">
        <f t="shared" si="127"/>
        <v>DOWN</v>
      </c>
      <c r="KE28" t="str">
        <f t="shared" si="128"/>
        <v>Now: strengthening the ceiling (IV rising) · if IV falls: weakens the ceiling · expected on arrival: WEAKENS ✗</v>
      </c>
      <c r="KF28" t="str">
        <f t="shared" si="129"/>
        <v>SELL</v>
      </c>
      <c r="KG28">
        <f t="shared" si="192"/>
        <v>0</v>
      </c>
      <c r="KH28" t="str">
        <f t="shared" si="130"/>
        <v/>
      </c>
      <c r="KI28" t="str">
        <f t="shared" si="131"/>
        <v/>
      </c>
      <c r="KJ28">
        <f t="shared" si="132"/>
        <v>0</v>
      </c>
      <c r="KK28">
        <f t="shared" si="133"/>
        <v>0</v>
      </c>
      <c r="KL28">
        <f t="shared" si="134"/>
        <v>0</v>
      </c>
      <c r="KM28">
        <f t="shared" si="135"/>
        <v>0</v>
      </c>
      <c r="KN28">
        <f t="shared" si="136"/>
        <v>0</v>
      </c>
      <c r="KO28">
        <v>0</v>
      </c>
      <c r="KP28">
        <f t="shared" si="137"/>
        <v>0</v>
      </c>
      <c r="KQ28">
        <f t="shared" si="138"/>
        <v>0</v>
      </c>
      <c r="KR28">
        <f t="shared" si="139"/>
        <v>0</v>
      </c>
      <c r="KS28">
        <f t="shared" si="140"/>
        <v>0</v>
      </c>
      <c r="KT28">
        <f t="shared" si="141"/>
        <v>0</v>
      </c>
      <c r="KU28">
        <f>IF(AND(ISNUMBER($AA28),ISNUMBER($AE28),ISNUMBER($AE27),N($AE28)&lt;&gt;0),($AE28-$AE27)/$AE28,"")</f>
      </c>
      <c r="KV28">
        <f>IF(AND(ISNUMBER($AA28),ISNUMBER($AE28),ISNUMBER($AE29),N($AE28)&lt;&gt;0),($AE28-$AE29)/$AE28,"")</f>
      </c>
      <c r="KW28">
        <f>IFERROR(IF(OR(NOT(ISNUMBER($AA28)),'King Node Model'!$A$8&lt;&gt;"Pos",N($BG$72)=1,ABS(N($AE28))&lt;$BG$113,$FA28="DOM",$AA28='King Node Model'!$T$23,AND(N($BG$116)=1,$AA28='King Node Model'!$F$24),NOT(ISNUMBER($KU28)),NOT(ISNUMBER($KV28))),0,IF(AND($AG28="S",COUNTIF('Master Dashboard'!$AN$16:$AN$18,$AA28)=0,$KU28&gt;=$BG$114,$KU28&gt;=$KV28+$BG$115),1,IF(AND($AG28="R",COUNTIF('Master Dashboard'!$AN$13:$AN$15,$AA28)=0,$KV28&gt;=$BG$114,$KV28&gt;=$KU28+$BG$115),-1,0))),0)</f>
        <v>0</v>
      </c>
      <c r="KX28">
        <f t="shared" si="144"/>
        <v>0</v>
      </c>
      <c r="KY28">
        <f t="shared" si="145"/>
        <v>0</v>
      </c>
      <c r="KZ28">
        <f t="shared" si="146"/>
        <v>0</v>
      </c>
      <c r="LA28">
        <f t="shared" si="147"/>
        <v>0</v>
      </c>
      <c r="LB28">
        <f t="shared" si="148"/>
        <v>0</v>
      </c>
      <c r="LC28">
        <f t="shared" si="149"/>
        <v>0</v>
      </c>
      <c r="LD28">
        <f t="shared" si="150"/>
        <v>0</v>
      </c>
      <c r="LE28">
        <f t="shared" si="151"/>
        <v>0</v>
      </c>
      <c r="LF28">
        <f t="shared" si="152"/>
        <v>0</v>
      </c>
      <c r="LG28" t="str">
        <f t="shared" si="153"/>
        <v/>
      </c>
      <c r="LH28" t="str">
        <f t="shared" si="154"/>
        <v/>
      </c>
      <c r="LI28" t="str">
        <f t="shared" si="155"/>
        <v/>
      </c>
      <c r="LJ28" t="str">
        <f t="shared" si="156"/>
        <v/>
      </c>
      <c r="LK28" t="str">
        <f t="shared" si="157"/>
        <v/>
      </c>
      <c r="LL28">
        <f t="shared" si="158"/>
        <v>0</v>
      </c>
      <c r="LM28">
        <f t="shared" si="159"/>
        <v>2</v>
      </c>
      <c r="LN28">
        <f t="shared" si="160"/>
        <v>0</v>
      </c>
      <c r="LO28">
        <v>0</v>
      </c>
      <c r="LP28">
        <f t="shared" si="161"/>
        <v>0</v>
      </c>
      <c r="LQ28" t="str">
        <f t="shared" si="162"/>
        <v xml:space="preserve"> · zigzag chop 7795–7800 above</v>
      </c>
      <c r="LR28">
        <f t="shared" si="163"/>
        <v>0</v>
      </c>
      <c r="LS28">
        <f t="shared" si="164"/>
        <v>0</v>
      </c>
      <c r="LT28">
        <f t="shared" si="165"/>
        <v>5</v>
      </c>
      <c r="LU28">
        <f t="shared" si="166"/>
        <v>-3349536</v>
      </c>
      <c r="LV28">
        <f t="shared" si="167"/>
        <v>0</v>
      </c>
      <c r="LW28">
        <f t="shared" si="168"/>
        <v>0</v>
      </c>
      <c r="LX28">
        <f t="shared" si="169"/>
        <v>0</v>
      </c>
      <c r="LY28">
        <f t="shared" si="170"/>
        <v>7790</v>
      </c>
      <c r="LZ28">
        <f t="shared" si="171"/>
        <v>0</v>
      </c>
      <c r="MA28">
        <f t="shared" si="172"/>
        <v>0</v>
      </c>
      <c r="MB28">
        <v>0</v>
      </c>
      <c r="MC28">
        <f t="shared" si="173"/>
        <v>4</v>
      </c>
      <c r="MD28">
        <f t="shared" si="174"/>
        <v>1</v>
      </c>
      <c r="ME28">
        <f t="shared" si="175"/>
        <v>0</v>
      </c>
      <c r="MF28">
        <f t="shared" si="176"/>
        <v>1</v>
      </c>
      <c r="MG28">
        <f t="shared" si="177"/>
        <v>0</v>
      </c>
      <c r="MH28">
        <f t="shared" si="178"/>
        <v>1</v>
      </c>
      <c r="MI28" t="str">
        <f t="shared" si="179"/>
        <v>• Zigzag GEX — bottom edge, chop 7795–7800 above: don't short</v>
      </c>
      <c r="MJ28">
        <f t="shared" si="180"/>
        <v>7790</v>
      </c>
      <c r="MK28">
        <f t="shared" si="181"/>
        <v>0</v>
      </c>
      <c r="ML28">
        <f>IF(AND(OR('King Node Model'!$A$8="Neg",N($BG$72)=1),ISNUMBER($AA28),$AG28="R",N($AB28)&lt;0),IF(AND($AA27=$AA28+5,N($AB27)&gt;0,$AA26=$AA28+10,N($AB26)&lt;0),1,IF(AND($AA27=$AA28+5,N($AB27)&gt;0,$AA26=$AA28+10,N($AB26)&gt;0,$AA25=$AA28+15,N($AB25)&lt;0),2,IF(AND($AA27=$AA28+5,N($AB27)&gt;0,$AA26=$AA28+10,N($AB26)&gt;0,$AA25=$AA28+15,N($AB25)&gt;0,$AA24=$AA28+20,N($AB24)&lt;0),3,IF(AND($AA27=$AA28+5,N($AB27)&gt;0,$AA26=$AA28+10,N($AB26)&gt;0,$AA25=$AA28+15,N($AB25)&gt;0,$AA24=$AA28+20,N($AB24)&gt;0,$AA23=$AA28+25,N($AB23)&lt;0),4,0)))),0)</f>
      </c>
      <c r="MM28">
        <f>IF(AND(OR('King Node Model'!$A$8="Neg",N($BG$72)=1),ISNUMBER($AA28),$AG28="S",N($AB28)&lt;0),IF(AND($AA29=$AA28-5,N($AB29)&gt;0,$AA30=$AA28-10,N($AB30)&lt;0),1,IF(AND($AA29=$AA28-5,N($AB29)&gt;0,$AA30=$AA28-10,N($AB30)&gt;0,$AA31=$AA28-15,N($AB31)&lt;0),2,IF(AND($AA29=$AA28-5,N($AB29)&gt;0,$AA30=$AA28-10,N($AB30)&gt;0,$AA31=$AA28-15,N($AB31)&gt;0,$AA32=$AA28-20,N($AB32)&lt;0),3,IF(AND($AA29=$AA28-5,N($AB29)&gt;0,$AA30=$AA28-10,N($AB30)&gt;0,$AA31=$AA28-15,N($AB31)&gt;0,$AA32=$AA28-20,N($AB32)&gt;0,$AA33=$AA28-25,N($AB33)&lt;0),4,0)))),0)</f>
      </c>
      <c r="MN28">
        <f>IF(N($ML28)&gt;0,$AA28,0)</f>
      </c>
      <c r="MO28">
        <f>IF(N($MM28)&gt;0,$AA28,0)</f>
      </c>
      <c r="MP28">
        <f>IF(AND(OR('King Node Model'!$A$8="Neg",N($BG$72)=1),ISNUMBER($BG$155),$AA28=$BG$155,N($NC28)=1),2,IF(AND(OR('King Node Model'!$A$8="Neg",N($BG$72)=1),ISNUMBER($BG$156),$AA28=$BG$156,N($ND28)=1),1,0))</f>
      </c>
      <c r="MQ28">
        <f>IF(ABS(AE28)&lt;=0,0,IF($AG28="R",IF(ISNUMBER(AE27),IF((ABS(AE27)-ABS(AE28))/ABS(AE28)&lt;-0.4,1,0),0),IF(ISNUMBER(AE29),IF((ABS(AE29)-ABS(AE28))/ABS(AE28)&lt;-0.4,1,0),0)))</f>
      </c>
      <c r="MR28">
        <f>IF(OR(N($MQ28)&lt;&gt;1,N($BG$157)&lt;&gt;1,NOT(ISNUMBER($KU28)),NOT(ISNUMBER($KV28))),0,IF(OR(AND($AG28="S",OR(AND($KU28&gt;=$BG$114,$KU28&gt;=$KV28+$BG$115),AND($KU28&gt;1,$KV28&lt;=1,$KV28&gt;=$BG$114))),AND($AG28="R",OR(AND($KV28&gt;=$BG$114,$KV28&gt;=$KU28+$BG$115),AND($KV28&gt;1,$KU28&lt;=1,$KU28&gt;=$BG$114)))),1,0))</f>
      </c>
      <c r="MS28" t="str">
        <f>IF(AND(N($MR28)=1,N($NA28)&lt;&gt;1),"• DEX falls off more sharply "&amp;IF($AG28="S","above (","below (")&amp;TEXT(IF($AG28="S",$KU28,$KV28),"0%")&amp;") than "&amp;IF($AG28="S","below (","above (")&amp;TEXT(IF($AG28="S",$KV28,$KU28),"0%")&amp;") — Dex↓ not counted",IF(N($MW28)=1,"• Shoulder of the "&amp;IF($AG28="R",$AA29,$AA27)&amp;" wall — own DEX "&amp;TEXT($AE28/1000,"+#,##0;-#,##0")&amp;"K is "&amp;TEXT(ABS($AE28)/ABS(IF($AG28="R",$AE29,$AE27)),"0%")&amp;" of "&amp;TEXT(IF($AG28="R",$AE29,$AE27)/1000,"+#,##0;-#,##0")&amp;"K, Dex↓ not counted",""))</f>
      </c>
      <c r="MT28">
        <f>IF(AND(ISNUMBER($AA28),$AG28="S",ISNUMBER($AB28),$AB28=MIN($AB$9:$AB$55),$AA28=$BG$105,$JV28="BUY",ABS(N($AD28))&gt;=$BG$158),1,0)</f>
      </c>
      <c r="MU28" t="str">
        <f>IF(N($MY28)=1,"",IF(OR(N($MT28)=1,AND(OR('King Node Model'!$A$8="Neg",N($BG$72)=1),$AG28="S",ISNUMBER($AB28),$AB28=MIN($AB$9:$AB$55),$AA28=$BG$105)),"• Min GEX + Max Zomma (no reversal flag required) — accelerant warning not applied; zomma acceleration warning only within "&amp;$BG$98&amp;" pts of the level, and not when vanna buying is "&amp;TEXT($BG$158/1000,"0")&amp;"K or more"&amp;CHAR(10)&amp;IF(N($MT28)=1,"• Max Zomma and vanna buying ("&amp;TEXT(N($AD28)/1000,"+#,##0;-#,##0")&amp;"K) make this level safe","• Max Zomma is what makes this level safe"),"")&amp;$NB28&amp;$NI28)</f>
      </c>
      <c r="MV28" t="str">
        <f>IF(AND(ISNUMBER($AA28),OR($AA28=$BG$118,$AA28=$BG$119)),IF(N($AZ28)*IF($AG28="R",1,-1)&gt;0,"✓",IF(N($AZ28)*IF($AG28="R",1,-1)&lt;0,"✗","")),"")</f>
      </c>
      <c r="MW28">
        <f>IF(AND(N($MQ28)=1,N($BG$159)&gt;0,ISNUMBER(IF($AG28="R",$AE29,$AE27)),N(IF($AG28="R",$AE29,$AE27))&lt;&gt;0),IF(ABS(N($AE28))&lt;$BG$159*ABS(IF($AG28="R",$AE29,$AE27)),1,0),0)</f>
      </c>
      <c r="MX28">
        <f>IF(AND(ISNUMBER($AA28),$AA28=$BG$121,$AG28="R",N($AE28)&lt;0,OR(COUNTIF('King Node Model'!$AL$42:$AL$44,$AA28)=0,N($HP28)=1),N($NC28)=1),2,IF(AND(ISNUMBER($AA28),$AA28=$BG$120,$AG28="S",N($AE28)&gt;0,OR(COUNTIF('King Node Model'!$AL$49:$AL$51,$AA28)=0,N($HP28)=1),N($ND28)=1),1,0))</f>
      </c>
      <c r="MY28">
        <f>IF(AND(N($NA28)=1,NOT(AND(AND($AG28="S",ISNUMBER($AB28),$AB28=MIN($AB$9:$AB$55),$AA28=$BG$105),IFERROR(INDEX($AG$9:$AG$55,MATCH('King Node Model'!$B$23,$AA$9:$AA$55,0)),"")="R")),N($AV28)&lt;&gt;1),1,0)</f>
      </c>
      <c r="MZ28" t="str">
        <f>IF(N($MY28)&lt;&gt;1,"","• DEX falls off more sharply "&amp;IF($AG28="S","above (","below (")&amp;TEXT(IF($AG28="S",$KU28,$KV28),"0%")&amp;") than "&amp;IF($AG28="S","below (","above (")&amp;TEXT(IF($AG28="S",$KV28,$KU28),"0%")&amp;") — path of least resistance "&amp;IF($AG28="S","down","up")&amp;IF(N($AZ28)*IF($AG28="R",1,-1)&lt;0,CHAR(10)&amp;"• Speed against — GEX gets more negative as price "&amp;IF($AG28="R","rises","falls")&amp;" into it (speed "&amp;TEXT(N($AZ28),"#,##0;−#,##0")&amp;")","")&amp;IF(OR(N($NG28)=1,N($JC28)=1),CHAR(10)&amp;"• "&amp;IF(N($JC28)=1,"DOM with vanna BUY "&amp;TEXT(N($AD28)/1000,"+#,##0;−#,##0")&amp;"K","Put wall + Max Zomma + DOM")&amp;" backs the level, but it does not outweigh DEX"&amp;IF(N($AZ28)*IF($AG28="R",1,-1)&lt;0," and speed",""),IF(AND($AG28="S",ISNUMBER($AB28),$AB28=MIN($AB$9:$AB$55),$AA28=$BG$105),CHAR(10)&amp;"• Min GEX + Max Zomma backs the level, but it does not outweigh DEX"&amp;IF(N($AZ28)*IF($AG28="R",1,-1)&lt;0," and speed",""),IF(OR(N($JI28)=1,AND(N($GV28)=1,N($JK28)&lt;&gt;1,N($IW28)&lt;&gt;1),N($JC28)=1,AND($AA28='King Node Model'!$F$24,N($JN28)&lt;&gt;1,OR($AG28="R",AND($AG28="S",$F$4="High",IF($BG$80&lt;&gt;"",UPPER($BG$80),$D$5)="UP")))),CHAR(10)&amp;"• Vanna "&amp;IF($AG28="S","BUY ","SELL ")&amp;TEXT(N($AD28)/1000,"+#,##0;−#,##0")&amp;"K backs the level, but it does not outweigh DEX"&amp;IF(N($AZ28)*IF($AG28="R",1,-1)&lt;0," and speed",""),"")))&amp;IF(N($NE28)=1,CHAR(10)&amp;"• Buy-lean max-node exemption not applied — DEX leans against the level",""))</f>
      </c>
      <c r="NA28">
        <f>IF(AND(OR('King Node Model'!$A$8="Neg",N($BG$72)=1),ISNUMBER($AA28),ABS(N($AE28))&gt;=$BG$152,ISNUMBER($KU28),ISNUMBER($KV28)),IF(OR(AND($AG28="S",OR(AND($KU28&gt;=$BG$114,$KU28&gt;=$KV28+$BG$115),AND($KU28&gt;1,$KV28&lt;=1,$KV28&gt;=$BG$114))),AND($AG28="R",OR(AND($KV28&gt;=$BG$114,$KV28&gt;=$KU28+$BG$115),AND($KV28&gt;1,$KU28&lt;=1,$KU28&gt;=$BG$114)))),1,0),0)</f>
      </c>
      <c r="NB28" t="str">
        <f>IF(AND(N($NA28)=1,AND(AND($AG28="S",ISNUMBER($AB28),$AB28=MIN($AB$9:$AB$55),$AA28=$BG$105),IFERROR(INDEX($AG$9:$AG$55,MATCH('King Node Model'!$B$23,$AA$9:$AA$55,0)),"")="R")),CHAR(10)&amp;"• DEX falls off more sharply above ("&amp;TEXT($KU28,"0%")&amp;") than below ("&amp;TEXT($KV28,"0%")&amp;") — DEX-lean warning not applied: Min GEX + Max Zomma support with Max Gamma "&amp;'King Node Model'!$B$23&amp;" above (Dex↓ not counted)",IF(AND(OR(N($NA28)=1,N($NF28)=1),N($AV28)=1),IF(AND(OR('King Node Model'!$A$8="Neg",N($BG$72)=1),$AG28="S",ISNUMBER($AB28),$AB28=MIN($AB$9:$AB$55),$AA28=$BG$105),CHAR(10),"")&amp;"• DEX falls off more sharply "&amp;IF($AG28="S","above (","below (")&amp;TEXT(IF($AG28="S",$KU28,$KV28),"0%")&amp;") than "&amp;IF($AG28="S","below (","above (")&amp;TEXT(IF($AG28="S",$KV28,$KU28),"0%")&amp;") — DEX lean does not apply to iDex (isolated DEX)",""))</f>
      </c>
      <c r="NC28">
        <f>IF(OR($BG$163=1,AND($BG$161&gt;0,$BG$162&lt;99999,ISNUMBER($AA28),$AA28&lt;$BG$162)),1,0)</f>
      </c>
      <c r="ND28">
        <f>IF(OR($BG$163=-1,AND($BG$161&gt;0,$BG$162&lt;99999,ISNUMBER($AA28),$AA28&gt;$BG$161)),1,0)</f>
      </c>
      <c r="NE28">
        <f>IF(AND(OR('King Node Model'!$A$8="Neg",N($BG$72)=1),ISNUMBER(SEARCH("LOW",'Master Dashboard'!$M$5)),ISNUMBER(SEARCH("BUY",'Master Dashboard'!$G$8)),'King Node Model'!$T$23='King Node Model'!$B$23,OR($AA28='King Node Model'!$T$23,AND($AG28="R",$AA28='King Node Model'!$T$23+5)),OR(AND($AG28="S",$JV28="BUY"),AND($AG28="R",$JV28="SELL"))),1,0)</f>
      </c>
      <c r="NF28">
        <f>IFERROR(IF(OR(NOT(ISNUMBER($AA28)),'King Node Model'!$A$8&lt;&gt;"Pos",N($BG$72)=1,ABS(N($AE28))&lt;$BG$113,$FA28="DOM",$AA28='King Node Model'!$T$23,AND(N($BG$116)=1,$AA28='King Node Model'!$F$24),NOT(ISNUMBER($KU28)),NOT(ISNUMBER($KV28))),0,IF(AND($AG28="S",COUNTIF('Master Dashboard'!$AN$16:$AN$18,$AA28)=0,$KU28&gt;=$BG$114,$KU28&gt;=$KV28+$BG$115,NOT(AND(N($AN29)=1,N($KV28)&lt;0)),N($AE28)&lt;=0),1,IF(AND($AG28="R",COUNTIF('Master Dashboard'!$AN$13:$AN$15,$AA28)=0,$KV28&gt;=$BG$114,$KV28&gt;=$KU28+$BG$115,NOT(AND(N($AN27)=1,N($KU28)&lt;0))),-1,0))),0)</f>
      </c>
      <c r="NG28">
        <f t="shared" si="202"/>
      </c>
      <c r="NI28" t="str">
        <f>IF(AND(ISNUMBER($BG$165),ISNUMBER($AA28)),IF(OR(AND($AG28="S",$AA28&gt;$BG$165,$AA28-$BG$165&lt;=5),AND($AG28="R",$AA28&lt;$BG$165,$BG$165-$AA28&lt;=5)),IF(OR(AND(OR('King Node Model'!$A$8="Neg",N($BG$72)=1),$AG28="S",ISNUMBER($AB28),$AB28=MIN($AB$9:$AB$55),$AA28=$BG$105),$NB28&lt;&gt;""),CHAR(10),"")&amp;"• DOM forming at "&amp;$BG$165&amp;" (gamma "&amp;TEXT($BG$166,"0%")&amp;" of max) — price may be pulled to the node",""),"")</f>
      </c>
      <c r="NJ28">
        <f>IF(LEN($NI28)&gt;0,1,0)</f>
      </c>
    </row>
    <row r="29" spans="1:349" ht="15" customHeight="1" x14ac:dyDescent="0.25">
      <c r="AA29" s="181">
        <f>'King Node Model'!A49</f>
        <v>7785</v>
      </c>
      <c r="AB29" s="276">
        <f>'King Node Model'!C49</f>
        <v>-60487</v>
      </c>
      <c r="AC29" s="181">
        <f>ABS('King Node Model'!B49)</f>
        <v>1617739</v>
      </c>
      <c r="AD29" s="276">
        <f>'King Node Model'!F49</f>
        <v>-47604</v>
      </c>
      <c r="AE29" s="276">
        <f>'King Node Model'!E49</f>
        <v>-199877</v>
      </c>
      <c r="AF29" s="276">
        <f>'King Node Model'!D49</f>
        <v>381759</v>
      </c>
      <c r="AG29" s="181" t="str">
        <f t="shared" si="6"/>
        <v>R</v>
      </c>
      <c r="AH29" s="181">
        <f t="shared" si="7"/>
        <v>4</v>
      </c>
      <c r="AI29" s="181" t="str">
        <f t="shared" si="8"/>
        <v>BUY</v>
      </c>
      <c r="AJ29" s="181">
        <f t="shared" si="9"/>
        <v>0</v>
      </c>
      <c r="AK29" s="181">
        <f>IF(ABS(N($AE29))&gt;=$BG$85,1,0)</f>
      </c>
      <c r="AL29" s="181">
        <f t="shared" si="10"/>
        <v>0</v>
      </c>
      <c r="AM29" s="181">
        <f t="shared" si="11"/>
        <v>2</v>
      </c>
      <c r="AN29" s="181">
        <f t="shared" si="12"/>
        <v>0</v>
      </c>
      <c r="AO29" s="1">
        <f t="shared" si="13"/>
        <v>199877</v>
      </c>
      <c r="AP29" s="1" t="str">
        <f t="shared" si="14"/>
        <v/>
      </c>
      <c r="AQ29" s="1">
        <f t="shared" si="15"/>
        <v>381759</v>
      </c>
      <c r="AR29" s="181">
        <f t="shared" si="16"/>
        <v>0.48943512131891354</v>
      </c>
      <c r="AS29" s="181" t="str">
        <f t="shared" si="17"/>
        <v/>
      </c>
      <c r="AT29" s="181" t="str">
        <f t="shared" si="18"/>
        <v/>
      </c>
      <c r="AU29" s="181" t="str">
        <f t="shared" si="19"/>
        <v/>
      </c>
      <c r="AV29" s="218">
        <f t="shared" si="183"/>
        <v>0</v>
      </c>
      <c r="AW29" s="181">
        <f>ABS('King Node Model'!G49)</f>
        <v>102</v>
      </c>
      <c r="AX29" s="181">
        <f t="shared" si="20"/>
        <v>0</v>
      </c>
      <c r="AY29" s="181">
        <f t="shared" si="21"/>
        <v>0</v>
      </c>
      <c r="AZ29" s="276">
        <f>'King Node Model'!I49</f>
        <v>-296</v>
      </c>
      <c r="BA29" s="181">
        <f t="shared" si="22"/>
        <v>0</v>
      </c>
      <c r="BB29" s="181" t="str">
        <f t="shared" si="23"/>
        <v/>
      </c>
      <c r="BC29" s="10">
        <f>'King Node Model'!C49</f>
        <v>-60487</v>
      </c>
      <c r="BD29" s="218">
        <f t="shared" si="184"/>
        <v>0</v>
      </c>
      <c r="BE29" s="218">
        <f t="shared" si="185"/>
        <v>0</v>
      </c>
      <c r="BF29" s="336" t="s">
        <v>1238</v>
      </c>
      <c r="BG29" s="3">
        <f>('King Node Model'!$C$23+'King Node Model'!$C$24)/2</f>
        <v>7797.5</v>
      </c>
      <c r="BI29" s="218">
        <f t="shared" si="186"/>
        <v>0</v>
      </c>
      <c r="BJ29" s="218">
        <f t="shared" si="187"/>
        <v>0</v>
      </c>
      <c r="BK29" s="218">
        <f t="shared" si="24"/>
        <v>1</v>
      </c>
      <c r="BL29" s="10">
        <f>'King Node Model'!H49</f>
        <v>82</v>
      </c>
      <c r="BM29" s="218">
        <f t="shared" si="25"/>
        <v>10</v>
      </c>
      <c r="BN29" s="218">
        <f t="shared" si="26"/>
        <v>45</v>
      </c>
      <c r="BO29" s="218">
        <f t="shared" si="27"/>
        <v>0</v>
      </c>
      <c r="BP29" s="218">
        <f t="shared" si="28"/>
        <v>0</v>
      </c>
      <c r="BQ29" t="str">
        <f t="shared" si="29"/>
        <v/>
      </c>
      <c r="BR29" t="str">
        <f t="shared" si="30"/>
        <v/>
      </c>
      <c r="BS29" s="218">
        <f t="shared" si="31"/>
        <v>0</v>
      </c>
      <c r="BT29" t="str">
        <f t="shared" si="32"/>
        <v/>
      </c>
      <c r="BU29" t="str">
        <f t="shared" si="33"/>
        <v/>
      </c>
      <c r="BV29" s="218">
        <f t="shared" si="34"/>
        <v>47604</v>
      </c>
      <c r="BW29" s="218">
        <f t="shared" si="35"/>
        <v>199877</v>
      </c>
      <c r="BX29" s="218">
        <f>IF(AND(ISNUMBER(BC29),BC29&gt;=$BG$160,OR('King Node Model'!$A$8="Neg",N($BG$72)=1)),1,0)</f>
        <v>0</v>
      </c>
      <c r="BY29" s="218">
        <f t="shared" si="36"/>
        <v>0</v>
      </c>
      <c r="BZ29" s="218">
        <f t="shared" si="37"/>
        <v>0</v>
      </c>
      <c r="CA29" t="str">
        <f t="shared" si="38"/>
        <v/>
      </c>
      <c r="CB29" s="218">
        <f>IF(AND(ISNUMBER('King Node Model'!$D$27),AG29&lt;&gt;"",AA29='King Node Model'!$D$27),1,0)</f>
        <v>0</v>
      </c>
      <c r="CC29" s="218">
        <f>IF(OR('King Node Model'!$A$8="Neg",N($BG$72)=1),$BG$14*IF(ISNUMBER('King Node Model'!$D$26),MAX(0,1-ABS(AA29-'King Node Model'!$D$26)/$BG$18),0)+$BG$15*IFERROR(BV29/MAX($BV$9:$BV$55),0)+$BG$16*IFERROR(BW29/MAX($BW$9:$BW$55),0)+$BG$17*IFERROR(AC29/$S$11,0)*MAX(0,1+$BG$21*CF29),AR29)</f>
        <v>0.85641648438319062</v>
      </c>
      <c r="CD29" s="218">
        <f>IF(OR('King Node Model'!$A$8="Neg",N($BG$72)=1),IF(AND(AG29&lt;&gt;"",ABS(AA29-$B$4)&lt;=$BG$7,OR(AX29=0,$D$5&lt;&gt;"UP"),AY29=0,BK29&lt;&gt;1,CI29=0,AM29&gt;=$BG$20,AC29&gt;$BG$19),1,0),IF(AND(BS29=1,(COUNTIF($W$9:$W$14,AA29)+COUNTIF($W$18:$W$23,AA29))&gt;0,CI29=0,AM29&gt;=$BG$20,AC29&gt;$BG$19),1,0))</f>
        <v>0</v>
      </c>
      <c r="CE29" t="str">
        <f t="shared" si="39"/>
        <v/>
      </c>
      <c r="CF29" s="218">
        <f t="shared" si="40"/>
        <v>0</v>
      </c>
      <c r="CG29" t="str">
        <f t="shared" si="41"/>
        <v/>
      </c>
      <c r="CH29" t="str">
        <f t="shared" si="42"/>
        <v>Dormant</v>
      </c>
      <c r="CI29" s="218">
        <f t="shared" si="43"/>
        <v>0</v>
      </c>
      <c r="CJ29" s="218">
        <f t="shared" si="44"/>
        <v>387420489</v>
      </c>
      <c r="CK29" s="218">
        <f t="shared" si="45"/>
        <v>0</v>
      </c>
      <c r="CL29" s="218">
        <f t="shared" si="46"/>
        <v>0</v>
      </c>
      <c r="CR29" t="s">
        <v>1489</v>
      </c>
      <c r="CS29">
        <f>IFERROR(SUMPRODUCT((ABS($AB$9:$AB$55)&lt;=ABS($CS$26))*1)/COUNT($AB$9:$AB$55),"")</f>
        <v>0.1276595744680851</v>
      </c>
      <c r="CU29" s="218">
        <f>IF(AND(AND('King Node Model'!$A$8&lt;&gt;"Neg",N($BG$72)&lt;&gt;1),SUMPRODUCT(($AG$9:$AG$55="S")*ISNUMBER($AT$9:$AT$55)*ISNUMBER($AU$9:$AU$55)*($AT$9:$AT$55&lt;&gt;$AU$9:$AU$55)*($AT$9:$AT$55&lt;=$AA29)*($AU$9:$AU$55&gt;=$AA29))&gt;0),0,IF(AND(OR($AA29='King Node Model'!$T$22,$AA29='King Node Model'!$F$24),$AG29="R",COUNTIF($W$9:$W$14,$AA29)&gt;0),1,IF(AND($FN29=1,$EU29&lt;&gt;1,$EM29&lt;&gt;1,$BK29&lt;&gt;1,$DH29&lt;&gt;1,$AG29="R",COUNTIF($W$9:$W$14,$AA29)&gt;0),1,IF($EU29=1,0,IF($EM29=1,0,IF(AND(OR($EE29=1,$GV29=1,AND($EL$7=1,$AA29='King Node Model'!$D$26,$EI29=1),AND(OR($AA29='King Node Model'!$T$22,$AA29='King Node Model'!$T$23),$AN29=1,OR($AX29=0,$D$5&lt;&gt;"UP"))),OR(NOT(OR('King Node Model'!$A$8="Neg",N($BG$72)=1)),$GV29=1,AND(OR($AA29='King Node Model'!$T$22,$AA29='King Node Model'!$T$23),$AN29=1,OR($AX29=0,$D$5&lt;&gt;"UP")),AND($AM29&gt;=$BG$20,$AC29&gt;IF($CZ29=1,$BG$48,$BG$19)))),1,IF($DH29=1,0,IF(AND($DC29=1,$GS29&lt;&gt;1,AND('King Node Model'!$A$8&lt;&gt;"Neg",N($BG$72)&lt;&gt;1)),0,IF(AND($EY29=1,NOT(OR('King Node Model'!$A$8="Neg",$BG$72=1)),$AA29&lt;&gt;'King Node Model'!$B$23),0,IF(AND($GS29=1,$AG29="R",OR($CI29=0,$EE29=1,$EX29=1,$GV29=1),COUNTIF($W$9:$W$14,$AA29)&gt;0,ABS($AA29-$B$4)&lt;=$BG$7,$BK29&lt;&gt;1,$AM29&gt;=$BG$20,$AC29&gt;IF($CZ29=1,$BG$48,$BG$19)),1,IF(OR('King Node Model'!$A$8="Neg",N($BG$72)=1),IF(AND(OR($AM29&gt;=$BG$20,$AA29='King Node Model'!$D$26,$GV29=1),$AG29="R",COUNTIF($W$9:$W$14,$AA29)&gt;0,ABS($AA29-$B$4)&lt;=$BG$7,OR($AX29=0,$D$5&lt;&gt;"UP"),$BK29&lt;&gt;1,OR(OR($CI29=0,$AJ29=1),AND($EI29=1,$LA29=1,COUNTIF($W$9:$W$11,$AA29)&gt;0,$AN29=1,OR($AX29=0,$D$5&lt;&gt;"UP"))),$AM29&gt;=$BG$20,$AC29&gt;IF($CZ29=1,$BG$48,$BG$19),OR($AN29=1,N($LR29)=1,$AA29='King Node Model'!$D$26,AND($BY29=1,$AA29&gt;$B$4),$BX29=1,$CF29=1,$CF29=1,AND(OR($AA29=$CP$4,$AA29=$CP$5,$AA29=$CP$6,$AA29=$CP$7),ABS($AA29-$B$4)&lt;=30),AND($AX29=1,$D$5="DOWN"))),1,0),IF(AND(OR($AM29&gt;=3,$AA29='King Node Model'!$D$26,$GV29=1),$AG29="R",COUNTIF($W$9:$W$14,$AA29)&gt;0,ABS($AA29-$B$4)&lt;=$BG$7,OR($AX29=0,$D$5&lt;&gt;"UP"),$BK29&lt;&gt;1,OR($CI29=0,$AJ29=1),$AM29&gt;=$BG$20,$AC29&gt;IF($CZ29=1,$BG$48,$BG$19),OR($AC29&gt;=MAX($AC$9:$AC$55),$BC29&gt;0,$AA29='King Node Model'!$D$26,AND(OR($AA29=$CP$4,$AA29=$CP$5,$AA29=$CP$6,$AA29=$CP$7),ABS($AA29-$B$4)&lt;=30),$CF29=1,$AN29=1,AND($AX29=1,$D$5="DOWN"))),1,0))))))))))))</f>
        <v>0</v>
      </c>
      <c r="CV29" s="218">
        <f>IF(AND(OR('King Node Model'!$A$8="Neg",N($BG$72)=1),$AG29="S",N($LR29)=1,N($MB29)=1),1,IF(AND(AND('King Node Model'!$A$8&lt;&gt;"Neg",N($BG$72)&lt;&gt;1),SUMPRODUCT(($AG$9:$AG$55="R")*ISNUMBER($AT$9:$AT$55)*ISNUMBER($AU$9:$AU$55)*($AT$9:$AT$55&lt;&gt;$AU$9:$AU$55)*($AT$9:$AT$55&lt;=$AA29)*($AU$9:$AU$55&gt;=$AA29))&gt;0,NOT(AND(N($LC29)=1,$AA29='King Node Model'!$B$23))),0,IF(AND($AA29='King Node Model'!$F$24,$AG29="S",COUNTIF($W$18:$W$23,$AA29)&gt;0),1,IF(AND($FN29=1,$EU29&lt;&gt;1,$EM29&lt;&gt;1,$DH29&lt;&gt;1,$AG29="S",COUNTIF($W$18:$W$23,$AA29)&gt;0),1,IF($EU29=1,0,IF(AND(OR($EF29=1,$GV29=1,AND(OR($AA29='King Node Model'!$T$22,$AA29='King Node Model'!$T$23,AND($AG29="S",COUNTIF('Master Dashboard'!$AN$16:$AN$18,$AA29)&gt;0)),$AN29=1,OR($AX29=0,$D$5&lt;&gt;"UP"))),OR(NOT(OR('King Node Model'!$A$8="Neg",N($BG$72)=1)),$GV29=1,AND(OR($AA29='King Node Model'!$T$22,$AA29='King Node Model'!$T$23,AND($AG29="S",COUNTIF('Master Dashboard'!$AN$16:$AN$18,$AA29)&gt;0)),$AN29=1,OR($AX29=0,$D$5&lt;&gt;"UP")),AND($AM29&gt;=$BG$20,$AC29&gt;IF($CZ29=1,$BG$48,$BG$19)))),1,IF($DH29=1,0,IF(AND($DC29=1,$GS29&lt;&gt;1,AND('King Node Model'!$A$8&lt;&gt;"Neg",N($BG$72)&lt;&gt;1)),0,IF(AND($EY29=1,NOT(OR('King Node Model'!$A$8="Neg",$BG$72=1)),$AA29&lt;&gt;'King Node Model'!$B$23,COUNTIF('Master Dashboard'!$AN$16:$AN$18,$AA29)=0),0,IF(AND($GS29=1,$AG29="S",OR($CI29=0,$EF29=1,$EX29=1,$GV29=1),COUNTIF($W$18:$W$23,$AA29)&gt;0,ABS($AA29-$B$4)&lt;=$BG$7,$BK29&lt;&gt;1,$AM29&gt;=$BG$20,$AC29&gt;IF($CZ29=1,$BG$48,$BG$19)),1,IF(OR('King Node Model'!$A$8="Neg",N($BG$72)=1),IF(AND(OR(OR($AM29&gt;=$BG$20,N($LR29)=1),$AA29='King Node Model'!$D$26,$GV29=1),$AG29="S",COUNTIF($W$18:$W$23,$AA29)&gt;0,ABS($AA29-$B$4)&lt;=$BG$7,OR($AX29=0,$D$5&lt;&gt;"UP"),$BK29&lt;&gt;1,OR($CI29=0,$AJ29=1,AND(N($LR29)=1,N($MB29)=1),N($MT29)=1),OR($AM29&gt;=$BG$20,N($LR29)=1),$AC29&gt;IF($CZ29=1,$BG$48,$BG$19),OR($AB29&gt;0,$AN29=1,N($MT29)=1,N($LR29)=1,$AA29='King Node Model'!$D$26,AND($BY29=1,$AA29&lt;$B$4),$BX29=1,$CF29=1,$CF29=1,AND(OR($AA29=$CP$4,$AA29=$CP$5,$AA29=$CP$6,$AA29=$CP$7),ABS($AA29-$B$4)&lt;=30),AND($AX29=1,$D$5="DOWN"))),1,0),IF(AND(OR($AM29&gt;=3,$AA29='King Node Model'!$D$26,$GV29=1),$AG29="S",COUNTIF($W$18:$W$23,$AA29)&gt;0,ABS($AA29-$B$4)&lt;=$BG$7,OR($AX29=0,$D$5&lt;&gt;"UP"),$BK29&lt;&gt;1,OR($CI29=0,$AJ29=1,AND(N($LR29)=1,N($MB29)=1),N($MT29)=1),$AM29&gt;=$BG$20,$AC29&gt;IF($CZ29=1,$BG$48,$BG$19),OR($AC29&gt;=MAX($AC$9:$AC$55),$BC29&gt;0,N($MT29)=1,$AA29='King Node Model'!$D$26,AND(OR($AA29=$CP$4,$AA29=$CP$5,$AA29=$CP$6,$AA29=$CP$7),ABS($AA29-$B$4)&lt;=30),$CF29=1,$AN29=1,AND($AX29=1,$D$5="DOWN"))),1,0))))))))))))</f>
        <v>0</v>
      </c>
      <c r="CX29" s="218">
        <f t="shared" si="48"/>
        <v>0</v>
      </c>
      <c r="CY29" t="str">
        <f t="shared" si="49"/>
        <v/>
      </c>
      <c r="CZ29" s="218">
        <f t="shared" si="50"/>
        <v>0</v>
      </c>
      <c r="DA29" s="218">
        <f t="shared" si="51"/>
        <v>1617739</v>
      </c>
      <c r="DB29" t="str">
        <f t="shared" si="52"/>
        <v/>
      </c>
      <c r="DC29" s="218">
        <f t="shared" si="53"/>
        <v>1</v>
      </c>
      <c r="DD29" s="218">
        <f t="shared" si="54"/>
        <v>3</v>
      </c>
      <c r="DE29" s="218">
        <f t="shared" si="55"/>
        <v>7</v>
      </c>
      <c r="DF29" s="218">
        <f t="shared" si="56"/>
        <v>7755</v>
      </c>
      <c r="DG29" s="218">
        <f t="shared" si="57"/>
        <v>7795</v>
      </c>
      <c r="DH29" s="218">
        <f t="shared" si="58"/>
        <v>0</v>
      </c>
      <c r="DI29">
        <v>1</v>
      </c>
      <c r="DJ29">
        <v>1</v>
      </c>
      <c r="DK29">
        <v>680544</v>
      </c>
      <c r="DL29">
        <v>0</v>
      </c>
      <c r="DM29" t="str">
        <f>IF(AND($CV29=1,$AG29="S"),IF(AND(OR('King Node Model'!$A$8="Neg",N($BG$72)=1),'King Node Model'!$S$52=""),IF(OR(N($AN29)=1,N($LR29)=1,$AB29&gt;0,$AJ29=1,N($JO29)=1,AND(NOT($AE29&gt;0),NOT(IFERROR(AND(ISNUMBER($BC29),ISNUMBER($BC28),($BC29&gt;=0)&lt;&gt;($BC28&gt;=0)),FALSE())),OR(AND($BM29&lt;=6,$BN29&lt;=6),ABS($AA29-'King Node Model'!$T$23)&lt;=5,$LA29=1))),1,0),1),"")</f>
        <v/>
      </c>
      <c r="DN29" t="str">
        <f t="shared" si="59"/>
        <v/>
      </c>
      <c r="DO29" t="str">
        <f t="shared" si="60"/>
        <v>W-list</v>
      </c>
      <c r="DP29" t="str">
        <f>IF(AND(OR('King Node Model'!$A$8="Neg",N($BG$72)=1),$AG29="S",ISNUMBER($AT29),ISNUMBER($AU29),$AT29&lt;&gt;$AU29,$AA29=$AT29),IF(AND(SUMPRODUCT(($AA$9:$AA$55&gt;=$AT29)*($AA$9:$AA$55&lt;=$AU29)*($AB$9:$AB$55&gt;0))&gt;0,SUMPRODUCT(($AA$9:$AA$55&gt;=$AT29)*($AA$9:$AA$55&lt;=$AU29)*($DM$9:$DM$55=1))&gt;0,SUMPRODUCT(($AA$9:$AA$55&gt;=$AT29)*($AA$9:$AA$55&lt;=$AU29)*(COUNTIF($W$18:$W$20,$AA$9:$AA$55)&gt;0))&gt;0),1,0),"")</f>
        <v/>
      </c>
      <c r="DS29">
        <v>0</v>
      </c>
      <c r="DT29">
        <v>0</v>
      </c>
      <c r="DU29" t="str">
        <f>IF('King Node Model'!$A$8&lt;&gt;"Pos","",IF(OR($AA29="",NOT(ISNUMBER($AA29)),ABS($AA29-$B$4)&gt;$BG$7),"",TEXT($AA29,"0")&amp;" | "&amp;IF($AG29="","unclassified",IF($AG29&lt;&gt;IF($AA29&gt;$B$4,"R","S"),"orphan: in "&amp;$AG29&amp;"-list, "&amp;IF($AA29&lt;$B$4,"below","above")&amp;" spot",IF(IF($AG29="R",COUNTIF($W$9:$W$14,$AA29),COUNTIF($W$18:$W$23,$AA29))=0,"not in "&amp;$AG29&amp;"-list",IF($DH29=1,"absorbed into shelf box",IF($BK29=1,"absorbed: adjacent reversal",IF($CI29=1,"accel-accelerant",IF($AC29&lt;=$BG$19,"below gamma-floor",IF($AM29&lt;$BG$20,"confluence "&amp;TEXT($AM29,"0")&amp;" &lt; "&amp;TEXT($BG$20,"0"),IF(AND($AX29=1,$D$5="UP"),"accelerant in up-move",IF(NOT(OR($AC29&gt;=MAX($AC$9:$AC$55),$BC29&gt;0,$AA29='King Node Model'!$D$26,AND(OR($AA29=$CP$4,$AA29=$CP$5,$AA29=$CP$6,$AA29=$CP$7),ABS($AA29-$B$4)&lt;=30),ISNUMBER(SEARCH("STRENGTHENING",$CG29)),$AN29=1,AND($AX29=1,$D$5="DOWN"))),"no surface flag","-&gt; qualifies"))))))))))))</f>
        <v/>
      </c>
      <c r="DV29" s="218">
        <f t="shared" si="61"/>
        <v>99999</v>
      </c>
      <c r="DW29" s="218">
        <f t="shared" si="62"/>
        <v>99999</v>
      </c>
      <c r="DX29" t="str">
        <f>IF('King Node Model'!$A$8&lt;&gt;"Pos","",IF(AND($DV29&lt;99999,$DV29=MIN($DV$9:$DV$55),$DG29&gt;$AA29),"R-box: "&amp;TEXT($AA29,"0")&amp;"-"&amp;TEXT($DG29,"0"),IF(AND($DW29&lt;99999,$DW29=MIN($DW$9:$DW$55),$DF29&lt;$AA29),"S-box: "&amp;TEXT($DF29,"0")&amp;"-"&amp;TEXT($AA29,"0"),"")))</f>
        <v/>
      </c>
      <c r="EB29">
        <f t="shared" si="63"/>
        <v>9.6099999999996726</v>
      </c>
      <c r="EC29">
        <f t="shared" si="64"/>
        <v>538591</v>
      </c>
      <c r="ED29">
        <f t="shared" si="65"/>
        <v>0</v>
      </c>
      <c r="EE29">
        <f>IF(AND(OR('King Node Model'!$A$8="Neg",N($BG$72)=1),$AG29="R",ISNUMBER($EB29),$EB29&lt;=$BG$7,$AB29&gt;0,$EC29&gt;0,$AB29=$EC29),1,0)</f>
        <v>0</v>
      </c>
      <c r="EF29">
        <f>IF(AND(OR('King Node Model'!$A$8="Neg",N($BG$72)=1),$AG29="S",ISNUMBER($EB29),$EB29&lt;=$BG$7,$AB29&gt;0,$ED29&gt;0,$AB29=$ED29),1,0)</f>
        <v>0</v>
      </c>
      <c r="EI29">
        <v>1</v>
      </c>
      <c r="EJ29">
        <f>IF($AA29="",0,IF(SUMPRODUCT(($AA$9:$AA$55&gt;=$AT29)*($AA$9:$AA$55&lt;=$AU29)*($DT$9:$DT$55=1))+SUMPRODUCT(($DT$9:$DT$55=1)*($AT$9:$AT$55&lt;=$AA29)*($AU$9:$AU$55&gt;=$AA29))+($DT29=1)+AND(OR('King Node Model'!$A$8="Neg",N($BG$72)=1),ISNUMBER(SEARCH("LOW",'Master Dashboard'!$M$5)),ISNUMBER(SEARCH("BUY",'Master Dashboard'!$G$8)),'King Node Model'!$T$23='King Node Model'!$B$23,$AA29&gt;='King Node Model'!$T$23,$AA29&lt;='King Node Model'!$T$23+5)*1&gt;0,1,0))</f>
        <v>0</v>
      </c>
      <c r="EM29">
        <f t="shared" si="66"/>
        <v>0</v>
      </c>
      <c r="EN29">
        <v>0</v>
      </c>
      <c r="EO29">
        <f t="shared" si="67"/>
        <v>0</v>
      </c>
      <c r="EP29">
        <f t="shared" si="68"/>
        <v>0</v>
      </c>
      <c r="EQ29" t="str">
        <f t="shared" si="69"/>
        <v>thinning the ceiling (magnitude weak)</v>
      </c>
      <c r="ES29">
        <f>IF(AND(ISNUMBER(AA29),ISNUMBER(AF29),ABS(AA29-'King Node Model'!$B$4)&lt;=$BG$7),ABS(AF29),"")</f>
        <v>381759</v>
      </c>
      <c r="ET29">
        <v>0</v>
      </c>
      <c r="EU29" s="218">
        <f>IF(AND(OR('King Node Model'!$A$8="Neg",N($BG$72)=1),ISNUMBER($AA28),ISNUMBER($AA29),ISNUMBER($AA30),ISNUMBER($AB28),ISNUMBER($AB29),ISNUMBER($AB30),ISNUMBER($AF29),$AB29&gt;0,$AB28&lt;0,$AB30&lt;0,$AF29&lt;0),1,0)</f>
        <v>0</v>
      </c>
      <c r="EW29">
        <f>IF(OR(N($MY29)=1,N($JM29)=1),0,N($NE29))</f>
        <v>0</v>
      </c>
      <c r="EX29">
        <f>IF(AND(OR('King Node Model'!$A$8="Neg",N($BG$72)=1),ISNUMBER($AA29),OR(AND($AA29='King Node Model'!$F$24,OR(AND($AG29="S",$F$4="High",IF($BG$80&lt;&gt;"",UPPER($BG$80),$D$5)="DOWN"),AND($AG29="R",$F$4="Low",IF($BG$80&lt;&gt;"",UPPER($BG$80),$D$5)="UP"))),$GV29=1)),1,0)</f>
        <v>0</v>
      </c>
      <c r="EY29">
        <f>IFERROR(IF(AND($DC29=1,$AB29&lt;0,$AC29&gt;=(1+$FA$6)*INDEX($AC$9:$AC$55,21-1),$AC29&gt;=(1+$FA$6)*INDEX($AC$9:$AC$55,21+1),$AC29&gt;=IFERROR(INDEX($AC$9:$AC$55,21-2),0),$AC29&gt;=IFERROR(INDEX($AC$9:$AC$55,21+2),0)),1,0),0)</f>
        <v>0</v>
      </c>
      <c r="FA29" t="str">
        <f>IF(NOT(ISNUMBER($AA29)),"",IFERROR(IF(AND($AC29=MAX($AC$9:$AC$55),$AB29=MIN($AB$9:$AB$55)),"DOM",IF(AND($DC28=1,$DC29=1,$DC30=1,INDEX($AC$9:$AC$55,21-1)&lt;=(1-$FA$6)*$AC29,INDEX($AC$9:$AC$55,21-1)&lt;=(1-$FA$6)*INDEX($AC$9:$AC$55,21-2)),"GAP↑",IF(AND($DC30=1,$DC29=1,INDEX($AC$9:$AC$55,21+1)&lt;=(1-$FA$6)*$AC29,INDEX($AC$9:$AC$55,21+1)&lt;=(1-$FA$6)*INDEX($AC$9:$AC$55,21+2)),"GAP↓",IF($CZ29=1,"dEdge Cliff",IF($GY29=1,"γWall",IF(AND($DC29=1,$AB29&lt;0,$AC29&gt;=(1+$FA$6)*INDEX($AC$9:$AC$55,21-1),$AC29&gt;=(1+$FA$6)*INDEX($AC$9:$AC$55,21+1)),"PEAK-",IF($GZ29=1,"γSh Edge",IF($HL29=1,"Trough",IF($HN29=1,"PEAK+",IF($GF29=1,"Cluster","")))))))))),""))</f>
        <v>Trough</v>
      </c>
      <c r="FB29" t="str">
        <f t="shared" si="70"/>
        <v/>
      </c>
      <c r="FC29" t="str">
        <f t="shared" si="71"/>
        <v/>
      </c>
      <c r="FD29">
        <f>IF(AND(ISNUMBER($AA29),ISNUMBER('King Node Model'!$AP$17),ISNUMBER('King Node Model'!$AQ$17),$AA29&gt;=MIN('King Node Model'!$AP$17,'King Node Model'!$AQ$17),$AA29&lt;=MAX('King Node Model'!$AP$17,'King Node Model'!$AQ$17),IFERROR(INDEX($AC$9:$AC$55,MATCH('King Node Model'!$AL$42,$AA$9:$AA$55,0)),0)&gt;0,$AC29&gt;=(1-$FA$6)*IFERROR(INDEX($AC$9:$AC$55,MATCH('King Node Model'!$AL$42,$AA$9:$AA$55,0)),0),$AC29&lt;=(1+$FA$6)*IFERROR(INDEX($AC$9:$AC$55,MATCH('King Node Model'!$AL$42,$AA$9:$AA$55,0)),0)),1,0)</f>
        <v>0</v>
      </c>
      <c r="FE29">
        <f>IF($AA29='King Node Model'!$AL$42,1,IF(AND($FD29=1,$FE28=1),1,0))</f>
        <v>0</v>
      </c>
      <c r="FF29">
        <f>IF($AA29='King Node Model'!$AL$42,1,IF(AND($FD29=1,$FF30=1),1,0))</f>
        <v>0</v>
      </c>
      <c r="FG29" t="str">
        <f>IF(OR($FE29=1,$FF29=1),21,"")</f>
        <v/>
      </c>
      <c r="FJ29">
        <f>IF(AND($CW$2=1,ISNUMBER($AA29),ISNUMBER($CW$3),ISNUMBER($CW$4),$AA29&gt;=MIN($CW$3,$CW$4),$AA29&lt;=MAX($CW$3,$CW$4),IFERROR(INDEX($AC$9:$AC$55,MATCH('King Node Model'!$AP$67,$AA$9:$AA$55,0)),0)&gt;0,$AC29&gt;=(1-$FA$6)*IFERROR(INDEX($AC$9:$AC$55,MATCH('King Node Model'!$AP$67,$AA$9:$AA$55,0)),0),$AC29&lt;=(1+$FA$6)*IFERROR(INDEX($AC$9:$AC$55,MATCH('King Node Model'!$AP$67,$AA$9:$AA$55,0)),0)),1,0)</f>
        <v>0</v>
      </c>
      <c r="FK29">
        <f>IF(AND($CW$2=1,$AA29='King Node Model'!$AP$67),1,IF(AND($FJ29=1,$FK28=1),1,0))</f>
        <v>0</v>
      </c>
      <c r="FL29">
        <f>IF(AND($CW$2=1,$AA29='King Node Model'!$AP$67),1,IF(AND($FJ29=1,$FL30=1),1,0))</f>
        <v>0</v>
      </c>
      <c r="FM29" t="str">
        <f>IF(OR($FK29=1,$FL29=1),21,"")</f>
        <v/>
      </c>
      <c r="FN29">
        <v>0</v>
      </c>
      <c r="FR29" t="str">
        <f t="shared" si="72"/>
        <v/>
      </c>
      <c r="FS29">
        <f t="shared" si="188"/>
        <v>0</v>
      </c>
      <c r="FT29">
        <f t="shared" si="73"/>
        <v>-3.7389838533904415E-2</v>
      </c>
      <c r="FU29">
        <f t="shared" si="74"/>
        <v>1617739</v>
      </c>
      <c r="FV29">
        <f>IF($FW29=0,"",IF(OR($FW28=0,SIGN(IFERROR($BC29*1,0))&lt;&gt;SIGN(IFERROR($BC28*1,0)),$GH29=1,$GH28=1),MAX($FV$9:$FV28)+1,$FV28))</f>
        <v>8</v>
      </c>
      <c r="FW29">
        <f t="shared" si="75"/>
        <v>1</v>
      </c>
      <c r="FX29">
        <f t="shared" si="76"/>
        <v>4471438</v>
      </c>
      <c r="FY29">
        <f t="shared" si="77"/>
        <v>0</v>
      </c>
      <c r="FZ29">
        <f t="shared" si="189"/>
        <v>0</v>
      </c>
      <c r="GA29">
        <f t="shared" si="78"/>
        <v>0</v>
      </c>
      <c r="GB29">
        <f t="shared" si="79"/>
        <v>3</v>
      </c>
      <c r="GC29">
        <f t="shared" si="80"/>
        <v>12566480</v>
      </c>
      <c r="GD29" t="str">
        <f t="shared" si="81"/>
        <v/>
      </c>
      <c r="GE29" t="str">
        <f t="shared" si="82"/>
        <v/>
      </c>
      <c r="GF29">
        <f t="shared" si="83"/>
        <v>0</v>
      </c>
      <c r="GH29">
        <f>IFERROR(IF(AND($AC29&gt;=(1+$FA$6)*INDEX($AC$9:$AC$55,21-1),$AC29&gt;=(1+$FA$6)*INDEX($AC$9:$AC$55,21+1)),1,0),0)</f>
        <v>0</v>
      </c>
      <c r="GK29">
        <v>1</v>
      </c>
      <c r="GO29">
        <v>1</v>
      </c>
      <c r="GP29">
        <v>0</v>
      </c>
      <c r="GQ29">
        <f t="shared" si="84"/>
        <v>0</v>
      </c>
      <c r="GR29">
        <f t="shared" si="85"/>
        <v>0</v>
      </c>
      <c r="GS29">
        <f>IF(AND($EY29=1,$AA29&lt;&gt;'King Node Model'!$B$23),0,IF(OR($GQ29=1,$GR29=1),1,IF($DC29=1,IF(OR('King Node Model'!$A$8="Neg",N($BG$72)=1),IF(OR(AND($AC29=MAX($AC$9:$AC$55),$AB29=MIN($AB$9:$AB$55)),$AN29=1,$EE29=1,$EF29=1,$EX29=1,$GV29=1),1,0),1),0)))</f>
        <v>0</v>
      </c>
      <c r="GT29">
        <f>IFERROR(IF(AND(OR('King Node Model'!$A$8="Neg",N($BG$72)=1),$EU28=1,$AG29="R",ISNUMBER($AA29),ISNUMBER($AF29),$AF29&lt;&gt;0,$AA29&gt;$B$4-$BG$9,$AA29-$B$4&lt;=$BG$47,IF($KC29="UP",SIGN($AF29),IF($KC29="DOWN",-SIGN($AF29),0))&lt;&gt;1),1,0),0)</f>
        <v>0</v>
      </c>
      <c r="GU29" t="str">
        <f t="shared" si="86"/>
        <v/>
      </c>
      <c r="GV29">
        <f t="shared" si="87"/>
        <v>0</v>
      </c>
      <c r="GW29">
        <f t="shared" si="88"/>
        <v>9.6099999999996726</v>
      </c>
      <c r="GX29" t="str">
        <f t="shared" si="89"/>
        <v/>
      </c>
      <c r="GY29">
        <f t="shared" si="90"/>
        <v>0</v>
      </c>
      <c r="GZ29">
        <f t="shared" si="91"/>
        <v>0</v>
      </c>
      <c r="HA29">
        <v>1</v>
      </c>
      <c r="HF29">
        <f>IFERROR(IF(AND($GZ29=1,'King Node Model'!$A$8="Pos",$D$5="UP",$CF29=-1,$AJ29&lt;&gt;1),1,0),0)</f>
        <v>0</v>
      </c>
      <c r="HG29">
        <f t="shared" si="92"/>
        <v>0</v>
      </c>
      <c r="HH29" t="str">
        <f>IF($GZ29=1,"",IFERROR(IF(NOT(ISNUMBER($AA29)),"",IF($EY29=1,"",IF($GF29=1,IF($GD29=$GE29,"",$GD29),IF(OR(AND($DC28=1,$DC29=1,$DC30=1,INDEX($AC$9:$AC$55,21-1)&lt;=(1-$FA$6)*$AC29,INDEX($AC$9:$AC$55,21-1)&lt;=(1-$FA$6)*INDEX($AC$9:$AC$55,21-2)),AND($DC30=1,$DC29=1,INDEX($AC$9:$AC$55,21+1)&lt;=(1-$FA$6)*$AC29,INDEX($AC$9:$AC$55,21+1)&lt;=(1-$FA$6)*INDEX($AC$9:$AC$55,21+2)),AND($DC29=1,OR(INDEX($DC$9:$DC$55,21-1)=0,INDEX($DC$9:$DC$55,21+1)=0))),IF(MIN($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MAX($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MIN($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f>
        <v/>
      </c>
      <c r="HI29" t="str">
        <f>IF($GZ29=1,"",IFERROR(IF(NOT(ISNUMBER($AA29)),"",IF($EY29=1,"",IF($GF29=1,IF($GD29=$GE29,"",$GE29),IF(OR(AND($DC28=1,$DC29=1,$DC30=1,INDEX($AC$9:$AC$55,21-1)&lt;=(1-$FA$6)*$AC29,INDEX($AC$9:$AC$55,21-1)&lt;=(1-$FA$6)*INDEX($AC$9:$AC$55,21-2)),AND($DC30=1,$DC29=1,INDEX($AC$9:$AC$55,21+1)&lt;=(1-$FA$6)*$AC29,INDEX($AC$9:$AC$55,21+1)&lt;=(1-$FA$6)*INDEX($AC$9:$AC$55,21+2)),AND($DC29=1,OR(INDEX($DC$9:$DC$55,21-1)=0,INDEX($DC$9:$DC$55,21+1)=0))),IF(MIN($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MAX($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MAX($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f>
        <v/>
      </c>
      <c r="HL29">
        <f t="shared" si="93"/>
        <v>1</v>
      </c>
      <c r="HM29">
        <f>IFERROR(IF(AND($HL29=1,NOT(OR($AA29='King Node Model'!$T$22,$AA29='King Node Model'!$T$23,$AA29='King Node Model'!$F$24,AND($AG29="S",COUNTIF('Master Dashboard'!$AN$16:$AN$18,$AA29)&gt;0),AND($AG29="R",COUNTIF('Master Dashboard'!$AN$13:$AN$15,$AA29)&gt;0)))),1,0),0)</f>
        <v>1</v>
      </c>
      <c r="HN29">
        <f t="shared" si="94"/>
        <v>0</v>
      </c>
      <c r="HO29">
        <f t="shared" si="95"/>
        <v>0</v>
      </c>
      <c r="HP29">
        <f t="shared" si="96"/>
        <v>1</v>
      </c>
      <c r="HQ29" t="str">
        <f>IF(NOT(ISNUMBER($AA29)),"",IFERROR(TRIM(IF(N($MY29)=1,"DEXLEAN ","")&amp;IF(N($IZ29)=1,"DEXCAP ","")&amp;IF(AND($AG29="S",UPPER('King Node Model'!$L$5)="HIGH",$KC29="DOWN",N($AF29)&gt;0,$AA29='King Node Model'!$AN$70,$IY29="SELL"),"CHOPEDGEIV ","")&amp;IF(N($IS29)=1,"NOREV ","")&amp;IF(N($JY29)=1,"VFLAT ","")&amp;IF(N($KR29)=1,"GDEXVANNA ","")&amp;IF(N($LD29)=1,"KGSUPFAIL ","")&amp;IF(N($LE29)=1,"KGRESLEAK ","")&amp;IF(N($MH29)=1,"ZIGZAG ","")&amp;IF(N($KK29)=1,"DATAGAP ","")&amp;IF(N($KA29)&lt;&gt;0,"ACCUNDERCW ","")&amp;IF(AND($AG29="S",$HF29=1),"EDGE ","")&amp;IF(AND($HM29=1,'King Node Model'!$A$8="Pos",N($BG$72)&lt;&gt;1),"TROUGH ","")&amp;IF(AND($EU29=1,N($JZ29)&lt;&gt;1),"BUMP ","")&amp;IF(AND($GT29=1,N($JZ29)&lt;&gt;1),"SANDWICH ","")&amp;IF(AND($EX29&lt;&gt;1,OR('King Node Model'!$A$8="Neg",N($BG$72)=1),OR(AND(ISNUMBER($AC29),$AC29=MAX($AC$9:$AC$55)),AND(ISNUMBER($AB29),$AB29=MIN($AB$9:$AB$55))),NOT(AND(AND(ISNUMBER($AC29),$AC29=MAX($AC$9:$AC$55)),AND(ISNUMBER($AB29),$AB29=MIN($AB$9:$AB$55)))),$AG29="S",N($AB29)&lt;0,NOT(COUNTIF('Master Dashboard'!$AN$16:$AN$18,$AA29)&gt;0),NOT(AND(OR('King Node Model'!$A$8="Neg",N($BG$72)=1),ISNUMBER($AB29),$AB29=MIN($AB$9:$AB$55),$AA29=$BG$105))),"ACCEL ","")&amp;IF(AND($EX29&lt;&gt;1,ISNUMBER($AA29),OR('King Node Model'!$A$8="Neg",N($BG$72)=1),$EY29=1,NOT(AND($AG29="S",COUNTIF('Master Dashboard'!$AN$16:$AN$18,$AA29)&gt;0)),NOT(AND($AA29='King Node Model'!$B$23,IF($AG29="S",OR($AA29='King Node Model'!$C$24,COUNTIF('Master Dashboard'!$AN$16:$AN$18,$AA29)&gt;0),OR($AA29='King Node Model'!$C$23,COUNTIF('Master Dashboard'!$AN$13:$AN$15,$AA29)&gt;0)))),NOT(AND($EX29&lt;&gt;1,OR('King Node Model'!$A$8="Neg",N($BG$72)=1),OR(AND(ISNUMBER($AC29),$AC29=MAX($AC$9:$AC$55)),AND(ISNUMBER($AB29),$AB29=MIN($AB$9:$AB$55))),NOT(AND(AND(ISNUMBER($AC29),$AC29=MAX($AC$9:$AC$55)),AND(ISNUMBER($AB29),$AB29=MIN($AB$9:$AB$55)))),$AG29="S",N($AB29)&lt;0,NOT(COUNTIF('Master Dashboard'!$AN$16:$AN$18,$AA29)&gt;0)))),"AMPLIFY ","")&amp;IF(AND($AG29="S",OR('King Node Model'!$A$8="Neg",N($BG$72)=1),$AJ29&lt;&gt;1,N($MT29)&lt;&gt;1,NOT(AND(N($LR29)=1,N($MB29)=1)),ISNUMBER(SEARCH("ACCEL building",$CG29))),"ZACCEL ","")&amp;IF(AND($AG29="S",OR('King Node Model'!$A$8="Neg",N($BG$72)=1),$AA29='King Node Model'!$B$23,NOT(AND(AND(ISNUMBER($AC29),$AC29=MAX($AC$9:$AC$55)),AND(ISNUMBER($AB29),$AB29=MIN($AB$9:$AB$55)))),$EJ29&lt;&gt;1),"KINGACC ","")&amp;IF(AND($AG29="S",OR('King Node Model'!$A$8="Neg",N($BG$72)=1),ABS(N($AA29)-N('King Node Model'!$B$23))&lt;=$BG$107,NOT(AND(SUMPRODUCT((ABS($AF$9:$AF$55)&lt;=ABS(N($AF29)))*1)/COUNT($AF$9:$AF$55)&gt;=0.66,OR(ISNUMBER(SEARCH("firmer resistance",$CG29)),ISNUMBER(SEARCH("STRENGTHENING",$CG29)),ISNUMBER(SEARCH("firmer support",$CG29))))),NOT(AND(N($AB29)&gt;0,SUMPRODUCT((ABS($AB$9:$AB$55)&lt;=ABS(N($AB29)))*1)/COUNT($AB$9:$AB$55)&gt;=0.66)),$EJ29&lt;&gt;1,$AJ29&lt;&gt;1,COUNTIF('Master Dashboard'!$AN$16:$AN$18,$AA29)=0,NOT(AND($AG29="S",OR('King Node Model'!$A$8="Neg",N($BG$72)=1),$AA29='King Node Model'!$B$23,NOT(AND(AND(ISNUMBER($AC29),$AC29=MAX($AC$9:$AC$55)),AND(ISNUMBER($AB29),$AB29=MIN($AB$9:$AB$55)))),$EJ29&lt;&gt;1))),"KINGNODE ","")&amp;IF(AND($AG29="R",NOT(AND(AND(ISNUMBER($AC29),$AC29=MAX($AC$9:$AC$55)),AND(ISNUMBER($AB29),$AB29=MIN($AB$9:$AB$55)))),UPPER('King Node Model'!$L$5)="LOW",$KC29="DOWN",N($AF29)&gt;0),"LOWIVFALL ","")&amp;IF(AND($AG29="R",NOT(AND(AND(ISNUMBER($AC29),$AC29=MAX($AC$9:$AC$55)),AND(ISNUMBER($AB29),$AB29=MIN($AB$9:$AB$55)))),UPPER('King Node Model'!$L$5)="HIGH",$KC29="DOWN",N($AF29)&gt;0,IFERROR(MATCH($AA29,$W$9:$W$14,0)&gt;=4,FALSE)),"HIGHIVFALL ","")&amp;IF(AND($AG29="R",N($BG$99)=1),"SPOTUPVOLUP ","")&amp;IF(AND($AG29="R",ISNUMBER(SEARCH("5/5",'Master Dashboard'!$E$29)),OR(ISNUMBER(SEARCH("WEAKENING",$EQ29)),ISNUMBER(SEARCH("Pos gamma ↓",$EQ29)),ISNUMBER(SEARCH("thinning the ceiling",$EQ29)))),"SQUEEZE ","")&amp;IF(N($JU29)=1,"DEDGECLIFF ","")&amp;IF(N($KT29)=1,"DEXDRAIN ","")&amp;IF(N($HW29)&lt;&gt;0,"DEXDROP ","")&amp;IF(N($HX29)&lt;&gt;0,"PEAK+ ","")&amp;IF(N($IF29)=1,"CHOP ","")&amp;IF(N($IQ29)=1,"CONTESTED ","")&amp;IF(N($IW29)=1,"VSELL ","")&amp;IF(N($JK29)=1,"VBUYRES ","")&amp;IF(N($JL29)=1,"DOMFLAT ","")&amp;IF(N($JM29)=1,"DOMPULL ","")&amp;IF(N($JP29)=1,"OIZOMMA ","")&amp;IF(AND(N($JQ29)=1,N($JZ29)&lt;&gt;1),"OIDEX ","")),""))</f>
        <v>NOREV LOWIVFALL</v>
      </c>
      <c r="HS29">
        <f>IFERROR(IF(AND($DC29=1,OR(AND($AG29="R",INDEX($DC$9:$DC$55,20)=0,INDEX($DC$9:$DC$55,22)=1,INDEX($DC$9:$DC$55,23)=1),AND($AG29="S",INDEX($DC$9:$DC$55,22)=0,INDEX($DC$9:$DC$55,20)=1,INDEX($DC$9:$DC$55,19)=1))),1,0),0)</f>
        <v>0</v>
      </c>
      <c r="HT29">
        <f t="shared" si="97"/>
        <v>1</v>
      </c>
      <c r="HU29">
        <v>0</v>
      </c>
      <c r="HV29">
        <v>1</v>
      </c>
      <c r="HW29">
        <f>IFERROR(IF(OR(NOT(ISNUMBER($AA29)),'King Node Model'!$A$8&lt;&gt;"Pos",N($BG$72)=1,ABS(N($AE29))&lt;$BG$113,N($AV29)=1,$FA29="DOM",$AA29='King Node Model'!$T$23,AND(N($BG$116)=1,$AA29='King Node Model'!$F$24),NOT(ISNUMBER($KU29)),NOT(ISNUMBER($KV29))),0,IF(AND($AG29="S",COUNTIF('Master Dashboard'!$AN$16:$AN$18,$AA29)=0,$KU29&gt;=$BG$114,$KU29&gt;=$KV29+$BG$115,NOT(AND(N($AN30)=1,N($KV29)&lt;0)),N($AE29)&lt;=0),1,IF(AND($AG29="R",COUNTIF('Master Dashboard'!$AN$13:$AN$15,$AA29)=0,$KV29&gt;=$BG$114,$KV29&gt;=$KU29+$BG$115,NOT(AND(N($AN28)=1,N($KU29)&lt;0))),-1,0))),0)</f>
        <v>0</v>
      </c>
      <c r="HX29">
        <f>IFERROR(IF(AND(ISNUMBER($AA29),$FA29="PEAK+",N($AN29)&lt;&gt;1,NOT(AND('King Node Model'!$A$8="Pos",OR($AA29='King Node Model'!$T$22,$AA29='King Node Model'!$T$23,$AA29='King Node Model'!$F$24))),IF($AG29="S",COUNTIF('Master Dashboard'!$AN$16:$AN$18,$AA29)=0,IF($AG29="R",COUNTIF('Master Dashboard'!$AN$13:$AN$15,$AA29)=0,FALSE))),1,0),0)</f>
        <v>0</v>
      </c>
      <c r="HY29">
        <f t="shared" si="98"/>
        <v>0.60682847762755943</v>
      </c>
      <c r="HZ29">
        <v>1</v>
      </c>
      <c r="IA29">
        <f>IFERROR(IF(AND(IF($BG$44=1,OR(ISNUMBER(SEARCH("Choppy",'King Node Model'!$S$38)),'King Node Model'!$S$52&lt;&gt;"",'King Node Model'!$A$8="Pos"),TRUE()),OR($DC29=1,$DC28=1,$DC30=1),ABS($AA29-$B$4)&lt;=$BG$7,ABS($AA29-$BG$28)&gt;=$BG$45,OR(AND($AA29&gt;$BG$28,$AG29="R"),AND($AA29&lt;$BG$28,$AG29="S",N($BG$154)=1)),ABS(IF($AA29&gt;$BG$28,$AE30,$AE28))&gt;=$BG$43,ABS(N(IF($AA29&gt;$BG$28,$AE28,$AE30)))&lt;=$BG$153*ABS(IF($AA29&gt;$BG$28,$AE30,$AE28)),IF(ISNUMBER($HZ29),$HZ29=1,AND(ISNUMBER($HY29),$HY29&gt;=$BG$42))),1,0),0)</f>
        <v>0</v>
      </c>
      <c r="IB29">
        <f t="shared" si="99"/>
        <v>0</v>
      </c>
      <c r="IC29" t="str">
        <f>IF(NOT(ISNUMBER($AA29)),"",IFERROR(MID(IF(AND($AC29=MAX($AC$9:$AC$55),$AB29=MIN($AB$9:$AB$55))," · DOM","")&amp;IF(AND($DC28=1,$DC29=1,$DC30=1,INDEX($AC$9:$AC$55,21-1)&lt;=(1-$FA$6)*$AC29,INDEX($AC$9:$AC$55,21-1)&lt;=(1-$FA$6)*INDEX($AC$9:$AC$55,21-2))," · GAP↑ → "&amp;INDEX($AA$9:$AA$55,21-2),"")&amp;IF(AND($DC30=1,$DC29=1,INDEX($AC$9:$AC$55,21+1)&lt;=(1-$FA$6)*$AC29,INDEX($AC$9:$AC$55,21+1)&lt;=(1-$FA$6)*INDEX($AC$9:$AC$55,21+2))," · GAP↓ → "&amp;INDEX($AA$9:$AA$55,21+2),"")&amp;IF($CZ29=1," · dEdge Cliff","")&amp;IF($GY29=1," · γWall","")&amp;IF(AND($DC29=1,$AB29&lt;0,$AC29&gt;=(1+$FA$6)*INDEX($AC$9:$AC$55,21-1),$AC29&gt;=(1+$FA$6)*INDEX($AC$9:$AC$55,21+1))," · PEAK-","")&amp;IF($GZ29=1," · γSh Edge","")&amp;IF($HL29=1," · Trough","")&amp;IF($HN29=1," · PEAK+","")&amp;IF($GF29=1," · Cluster",""),FIND(" · ",IF(AND($AC29=MAX($AC$9:$AC$55),$AB29=MIN($AB$9:$AB$55))," · DOM","")&amp;IF(AND($DC28=1,$DC29=1,$DC30=1,INDEX($AC$9:$AC$55,21-1)&lt;=(1-$FA$6)*$AC29,INDEX($AC$9:$AC$55,21-1)&lt;=(1-$FA$6)*INDEX($AC$9:$AC$55,21-2))," · GAP↑ → "&amp;INDEX($AA$9:$AA$55,21-2),"")&amp;IF(AND($DC30=1,$DC29=1,INDEX($AC$9:$AC$55,21+1)&lt;=(1-$FA$6)*$AC29,INDEX($AC$9:$AC$55,21+1)&lt;=(1-$FA$6)*INDEX($AC$9:$AC$55,21+2))," · GAP↓ → "&amp;INDEX($AA$9:$AA$55,21+2),"")&amp;IF($CZ29=1," · dEdge Cliff","")&amp;IF($GY29=1," · γWall","")&amp;IF(AND($DC29=1,$AB29&lt;0,$AC29&gt;=(1+$FA$6)*INDEX($AC$9:$AC$55,21-1),$AC29&gt;=(1+$FA$6)*INDEX($AC$9:$AC$55,21+1))," · PEAK-","")&amp;IF($GZ29=1," · γSh Edge","")&amp;IF($HL29=1," · Trough","")&amp;IF($HN29=1," · PEAK+","")&amp;IF($GF29=1," · Cluster",""),2),999),""))</f>
        <v/>
      </c>
      <c r="ID29" t="str">
        <f>IF(NOT(ISNUMBER($AA29)),"",IFERROR(MID(IF(AND($AC29=MAX($AC$9:$AC$55),$AB29=MIN($AB$9:$AB$55))," · DOM","")&amp;IF(AND($DC28=1,$DC29=1,$DC30=1,INDEX($AC$9:$AC$55,21-1)&lt;=(1-$FA$6)*$AC29,INDEX($AC$9:$AC$55,21-1)&lt;=(1-$FA$6)*INDEX($AC$9:$AC$55,21-2))," · GAP↑ → "&amp;INDEX($AA$9:$AA$55,21-2),"")&amp;IF(AND($DC30=1,$DC29=1,INDEX($AC$9:$AC$55,21+1)&lt;=(1-$FA$6)*$AC29,INDEX($AC$9:$AC$55,21+1)&lt;=(1-$FA$6)*INDEX($AC$9:$AC$55,21+2))," · GAP↓ → "&amp;INDEX($AA$9:$AA$55,21+2),"")&amp;IF($CZ29=1," · dEdge Cliff","")&amp;IF($GY29=1," · γWall","")&amp;IF(AND($DC29=1,$AB29&lt;0,$AC29&gt;=(1+$FA$6)*INDEX($AC$9:$AC$55,21-1),$AC29&gt;=(1+$FA$6)*INDEX($AC$9:$AC$55,21+1))," · PEAK-","")&amp;IF($GZ29=1," · γSh Edge","")&amp;IF($HL29=1," · Trough","")&amp;IF($HN29=1," · PEAK+","")&amp;IF(AND(NOT($HN29=1),NOT(AND($DC29=1,$AB29&lt;0)),N($GY29)&lt;&gt;1,N($GF29)&lt;&gt;1,N($GZ29)&lt;&gt;1,N($HL29)&lt;&gt;1,N($CZ29)&lt;&gt;1,NOT(AND($AC29=MAX($AC$9:$AC$55),$AB29=MIN($AB$9:$AB$55))),$AC29&gt;=(1+$FA$6)*INDEX($AC$9:$AC$55,21-1),$AC29&gt;=(1+$FA$6)*INDEX($AC$9:$AC$55,21+1))," · Knoll","")&amp;IF($GF29=1," · Cluster",""),4,999),""))</f>
        <v>Trough</v>
      </c>
      <c r="IF29">
        <f t="shared" si="100"/>
        <v>0</v>
      </c>
      <c r="IG29">
        <f>IFERROR(IF(AND(ISNUMBER($AA29),'King Node Model'!$A$8="Pos",OR($AG29="S",$AG29="R"),$IN29="interior",COUNTIF(IF($AG29="S",'Master Dashboard'!$AN$16:$AN$18,'Master Dashboard'!$AN$13:$AN$15),$AA29)=0,$AA29&lt;&gt;'King Node Model'!$T$22,$AA29&lt;&gt;'King Node Model'!$T$23,$AA29&lt;&gt;'King Node Model'!$F$24),1,0),0)</f>
        <v>0</v>
      </c>
      <c r="IH29">
        <f t="shared" si="101"/>
        <v>0</v>
      </c>
      <c r="II29">
        <f t="shared" si="190"/>
        <v>0</v>
      </c>
      <c r="IJ29">
        <f t="shared" si="102"/>
        <v>0</v>
      </c>
      <c r="IK29">
        <f t="shared" si="103"/>
        <v>0</v>
      </c>
      <c r="IL29">
        <f t="shared" si="191"/>
        <v>0</v>
      </c>
      <c r="IM29">
        <f t="shared" si="104"/>
        <v>0</v>
      </c>
      <c r="IN29" t="str">
        <f t="shared" si="105"/>
        <v/>
      </c>
      <c r="IO29">
        <v>0</v>
      </c>
      <c r="IP29">
        <v>0</v>
      </c>
      <c r="IQ29">
        <f>IFERROR(IF($AG29="S",IF(OR(COUNTIF($W$9:$W$14,$AA29)&gt;0,COUNTIF('King Node Model'!$AL$42:'King Node Model'!$AL$43,$AA29)&gt;0),1,0),IF($AG29="R",IF(OR(COUNTIF($W$18:$W$23,$AA29)&gt;0,COUNTIF('King Node Model'!$AL$49:'King Node Model'!$AL$50,$AA29)&gt;0),1,0),0)),0)</f>
        <v>0</v>
      </c>
      <c r="IS29">
        <f>IF(AND(ISNUMBER($AA29),N($AN29)&lt;&gt;1,N($LR29)&lt;&gt;1,OR(N($EN29)&lt;&gt;1,AND('King Node Model'!$A$8&lt;&gt;"Neg",N($BG$72)&lt;&gt;1)),$AA29&lt;&gt;'King Node Model'!$T$22,$AA29&lt;&gt;'King Node Model'!$T$23,$AA29&lt;&gt;'King Node Model'!$F$24,NOT(AND($AG29="S",COUNTIF('Master Dashboard'!$AN$16:$AN$18,$AA29)&gt;0)),NOT(AND($AG29="R",COUNTIF('Master Dashboard'!$AN$13:$AN$15,$AA29)&gt;0)),NOT(AND('King Node Model'!$A$8&lt;&gt;"Neg",N($BG$72)&lt;&gt;1,COUNTIF('Master Dashboard'!$AN$13:$AN$18,$AA29)&gt;0))),1,0)</f>
        <v>1</v>
      </c>
      <c r="IT29">
        <v>0</v>
      </c>
      <c r="IU29">
        <f>IF(AND(ISNUMBER($AA29),$AA29='King Node Model'!$F$24,$AA29&gt;$GJ$3,N($AD29)&lt;0,$F$4="High"),1,0)</f>
        <v>0</v>
      </c>
      <c r="IV29" t="str">
        <f>""</f>
        <v/>
      </c>
      <c r="IW29">
        <f>IFERROR(IF(AND(ISNUMBER($AA29),NOT(AND(N($LR29)=1,N($MB29)=1)),$AG29="S",OR('King Node Model'!$A$8="Neg",N($BG$72)=1),$JV29="SELL",ABS(N($AD29))&gt;=$BG$94,NOT(AND(N($AD29)&gt;0,N($BG$78)=1,MEDIAN($AA29-$BG$82,$B$4,$AA29+$BG$83)=$B$4))),1,0),0)</f>
        <v>0</v>
      </c>
      <c r="IX29">
        <f>IFERROR(IF(AND(ISNUMBER($AA29),$AG29="S",OR('King Node Model'!$A$8="Neg",N($BG$72)=1),N($AD29)&gt;0,N($BG$78)=1,MEDIAN($AA29-$BG$82,$B$4,$AA29+$BG$83)=$B$4),1,0),0)</f>
        <v>0</v>
      </c>
      <c r="IY29" t="str">
        <f t="shared" si="106"/>
        <v>BUY</v>
      </c>
      <c r="IZ29">
        <f>IFERROR(IF(AND(ISNUMBER($AA29),$FA29&lt;&gt;"DOM",$AA29&lt;&gt;'King Node Model'!$F$24,OR(AND($AG29="S",COUNTIF('Master Dashboard'!$AN$16:$AN$18,$AA29)=0,N(INDEX($AE$9:$AE$55,MATCH($AA29+$BG$84,$AA$9:$AA$55,0)))&lt;=-$BG$85),AND($AG29="R",COUNTIF('Master Dashboard'!$AN$13:$AN$15,$AA29)=0,N(INDEX($AE$9:$AE$55,MATCH($AA29-$BG$84,$AA$9:$AA$55,0)))&gt;=$BG$85))),1,0),0)</f>
        <v>0</v>
      </c>
      <c r="JC29">
        <f t="shared" si="108"/>
        <v>0</v>
      </c>
      <c r="JD29" t="str">
        <f t="shared" si="193"/>
        <v/>
      </c>
      <c r="JE29">
        <f>IF(ISNUMBER($AA29),N(IFERROR(INDEX('King Node Model'!$L$29:$L$75,MATCH($AA29,'King Node Model'!$A$29:$A$75,0)),0)),"")</f>
        <v>763</v>
      </c>
      <c r="JF29">
        <f>IF(ISNUMBER($AA29),N(IFERROR(INDEX('King Node Model'!$K$29:$K$75,MATCH($AA29,'King Node Model'!$A$29:$A$75,0)),0)),"")</f>
        <v>708</v>
      </c>
      <c r="JG29">
        <f t="shared" si="109"/>
        <v>1.0776836158192091</v>
      </c>
      <c r="JH29">
        <f t="shared" si="110"/>
        <v>0.92791612057667106</v>
      </c>
      <c r="JI29">
        <f t="shared" si="111"/>
        <v>0</v>
      </c>
      <c r="JJ29" t="str">
        <f t="shared" si="112"/>
        <v/>
      </c>
      <c r="JK29">
        <f t="shared" si="113"/>
        <v>0</v>
      </c>
      <c r="JL29">
        <f t="shared" si="114"/>
        <v>0</v>
      </c>
      <c r="JM29">
        <f t="shared" si="115"/>
        <v>0</v>
      </c>
      <c r="JN29">
        <f t="shared" si="116"/>
        <v>0</v>
      </c>
      <c r="JO29">
        <f t="shared" si="117"/>
        <v>0</v>
      </c>
      <c r="JP29">
        <f t="shared" si="118"/>
        <v>0</v>
      </c>
      <c r="JQ29">
        <f t="shared" si="119"/>
        <v>0</v>
      </c>
      <c r="JR29">
        <v>0</v>
      </c>
      <c r="JS29">
        <f>IFERROR(IF(AND(ISNUMBER($AA29),'King Node Model'!$A$8="Pos",OR($AG29="S",$AG29="R"),N($AB29)&gt;0,N($HP29)&lt;&gt;1,OR(AND($KC29="DOWN",N($AF29)&lt;0,N($AF29)=MIN($AF$9:$AF$55),-N($AF29)&gt;=MAX($AF$9:$AF$55)),AND($KC29="UP",N($AF29)&gt;0,N($AF29)=MAX($AF$9:$AF$55),N($AF29)&gt;=-MIN($AF$9:$AF$55)))),1,0),0)</f>
        <v>0</v>
      </c>
      <c r="JT29">
        <v>0</v>
      </c>
      <c r="JU29">
        <f>IFERROR(IF(AND(N($BG$109)=1,ISNUMBER($AA29),'King Node Model'!$A$8="Pos",N($CZ29)=1,N($AB29)&gt;0),1,0),0)</f>
        <v>0</v>
      </c>
      <c r="JV29" t="str">
        <f t="shared" si="120"/>
        <v>SELL</v>
      </c>
      <c r="JW29">
        <f t="shared" si="121"/>
        <v>0</v>
      </c>
      <c r="JX29">
        <f t="shared" si="122"/>
        <v>0</v>
      </c>
      <c r="JY29">
        <f t="shared" si="123"/>
        <v>0</v>
      </c>
      <c r="JZ29">
        <f t="shared" si="124"/>
        <v>0</v>
      </c>
      <c r="KA29">
        <f t="shared" si="125"/>
        <v>0</v>
      </c>
      <c r="KB29">
        <f t="shared" si="126"/>
        <v>0</v>
      </c>
      <c r="KC29" t="str">
        <f t="shared" si="127"/>
        <v>DOWN</v>
      </c>
      <c r="KE29" t="str">
        <f t="shared" si="128"/>
        <v>Now: strengthening the ceiling (IV rising) · if IV falls: weakens the ceiling · expected on arrival: WEAKENS ✗</v>
      </c>
      <c r="KF29" t="str">
        <f t="shared" si="129"/>
        <v>SELL</v>
      </c>
      <c r="KG29">
        <f t="shared" si="192"/>
        <v>0</v>
      </c>
      <c r="KH29" t="str">
        <f t="shared" si="130"/>
        <v/>
      </c>
      <c r="KI29" t="str">
        <f t="shared" si="131"/>
        <v/>
      </c>
      <c r="KJ29">
        <f t="shared" si="132"/>
        <v>0</v>
      </c>
      <c r="KK29">
        <f t="shared" si="133"/>
        <v>0</v>
      </c>
      <c r="KL29">
        <f t="shared" si="134"/>
        <v>0</v>
      </c>
      <c r="KM29">
        <f t="shared" si="135"/>
        <v>0</v>
      </c>
      <c r="KN29">
        <f t="shared" si="136"/>
        <v>0</v>
      </c>
      <c r="KO29">
        <v>0</v>
      </c>
      <c r="KP29">
        <f t="shared" si="137"/>
        <v>0</v>
      </c>
      <c r="KQ29">
        <f t="shared" si="138"/>
        <v>0</v>
      </c>
      <c r="KR29">
        <f t="shared" si="139"/>
        <v>0</v>
      </c>
      <c r="KS29">
        <f t="shared" si="140"/>
        <v>0</v>
      </c>
      <c r="KT29">
        <f t="shared" si="141"/>
        <v>0</v>
      </c>
      <c r="KU29">
        <f>IF(AND(ISNUMBER($AA29),ISNUMBER($AE29),ISNUMBER($AE28),N($AE29)&lt;&gt;0),($AE29-$AE28)/$AE29,"")</f>
      </c>
      <c r="KV29">
        <f>IF(AND(ISNUMBER($AA29),ISNUMBER($AE29),ISNUMBER($AE30),N($AE29)&lt;&gt;0),($AE29-$AE30)/$AE29,"")</f>
      </c>
      <c r="KW29">
        <f>IFERROR(IF(OR(NOT(ISNUMBER($AA29)),'King Node Model'!$A$8&lt;&gt;"Pos",N($BG$72)=1,ABS(N($AE29))&lt;$BG$113,$FA29="DOM",$AA29='King Node Model'!$T$23,AND(N($BG$116)=1,$AA29='King Node Model'!$F$24),NOT(ISNUMBER($KU29)),NOT(ISNUMBER($KV29))),0,IF(AND($AG29="S",COUNTIF('Master Dashboard'!$AN$16:$AN$18,$AA29)=0,$KU29&gt;=$BG$114,$KU29&gt;=$KV29+$BG$115),1,IF(AND($AG29="R",COUNTIF('Master Dashboard'!$AN$13:$AN$15,$AA29)=0,$KV29&gt;=$BG$114,$KV29&gt;=$KU29+$BG$115),-1,0))),0)</f>
        <v>0</v>
      </c>
      <c r="KX29">
        <f t="shared" si="144"/>
        <v>0</v>
      </c>
      <c r="KY29">
        <f t="shared" si="145"/>
        <v>0</v>
      </c>
      <c r="KZ29">
        <f t="shared" si="146"/>
        <v>0</v>
      </c>
      <c r="LA29">
        <f t="shared" si="147"/>
        <v>0</v>
      </c>
      <c r="LB29">
        <f t="shared" si="148"/>
        <v>0</v>
      </c>
      <c r="LC29">
        <f t="shared" si="149"/>
        <v>0</v>
      </c>
      <c r="LD29">
        <f t="shared" si="150"/>
        <v>0</v>
      </c>
      <c r="LE29">
        <f t="shared" si="151"/>
        <v>0</v>
      </c>
      <c r="LF29">
        <f t="shared" si="152"/>
        <v>0</v>
      </c>
      <c r="LG29" t="str">
        <f t="shared" si="153"/>
        <v/>
      </c>
      <c r="LH29" t="str">
        <f t="shared" si="154"/>
        <v/>
      </c>
      <c r="LI29" t="str">
        <f t="shared" si="155"/>
        <v/>
      </c>
      <c r="LJ29" t="str">
        <f t="shared" si="156"/>
        <v/>
      </c>
      <c r="LK29" t="str">
        <f t="shared" si="157"/>
        <v/>
      </c>
      <c r="LL29">
        <f t="shared" si="158"/>
        <v>0</v>
      </c>
      <c r="LM29">
        <f t="shared" si="159"/>
        <v>0</v>
      </c>
      <c r="LN29">
        <f t="shared" si="160"/>
        <v>0</v>
      </c>
      <c r="LO29">
        <v>0</v>
      </c>
      <c r="LP29">
        <f t="shared" si="161"/>
        <v>0</v>
      </c>
      <c r="LQ29" t="str">
        <f t="shared" si="162"/>
        <v/>
      </c>
      <c r="LR29">
        <f t="shared" si="163"/>
        <v>0</v>
      </c>
      <c r="LS29">
        <f t="shared" si="164"/>
        <v>0</v>
      </c>
      <c r="LT29">
        <f t="shared" si="165"/>
        <v>0</v>
      </c>
      <c r="LU29">
        <f t="shared" si="166"/>
        <v>0</v>
      </c>
      <c r="LV29">
        <f t="shared" si="167"/>
        <v>0</v>
      </c>
      <c r="LW29">
        <f t="shared" si="168"/>
        <v>0</v>
      </c>
      <c r="LX29">
        <f t="shared" si="169"/>
        <v>0</v>
      </c>
      <c r="LY29">
        <f t="shared" si="170"/>
        <v>0</v>
      </c>
      <c r="LZ29">
        <f t="shared" si="171"/>
        <v>0</v>
      </c>
      <c r="MA29">
        <f t="shared" si="172"/>
        <v>0</v>
      </c>
      <c r="MB29">
        <v>0</v>
      </c>
      <c r="MC29">
        <f t="shared" si="173"/>
        <v>1</v>
      </c>
      <c r="MD29">
        <f t="shared" si="174"/>
        <v>1</v>
      </c>
      <c r="ME29">
        <f t="shared" si="175"/>
        <v>0</v>
      </c>
      <c r="MF29">
        <f t="shared" si="176"/>
        <v>0</v>
      </c>
      <c r="MG29">
        <f t="shared" si="177"/>
        <v>0</v>
      </c>
      <c r="MH29">
        <f t="shared" si="178"/>
        <v>0</v>
      </c>
      <c r="MI29" t="str">
        <f t="shared" si="179"/>
        <v/>
      </c>
      <c r="MJ29">
        <f t="shared" si="180"/>
        <v>0</v>
      </c>
      <c r="MK29">
        <f t="shared" si="181"/>
        <v>0</v>
      </c>
      <c r="ML29">
        <f>IF(AND(OR('King Node Model'!$A$8="Neg",N($BG$72)=1),ISNUMBER($AA29),$AG29="R",N($AB29)&lt;0),IF(AND($AA28=$AA29+5,N($AB28)&gt;0,$AA27=$AA29+10,N($AB27)&lt;0),1,IF(AND($AA28=$AA29+5,N($AB28)&gt;0,$AA27=$AA29+10,N($AB27)&gt;0,$AA26=$AA29+15,N($AB26)&lt;0),2,IF(AND($AA28=$AA29+5,N($AB28)&gt;0,$AA27=$AA29+10,N($AB27)&gt;0,$AA26=$AA29+15,N($AB26)&gt;0,$AA25=$AA29+20,N($AB25)&lt;0),3,IF(AND($AA28=$AA29+5,N($AB28)&gt;0,$AA27=$AA29+10,N($AB27)&gt;0,$AA26=$AA29+15,N($AB26)&gt;0,$AA25=$AA29+20,N($AB25)&gt;0,$AA24=$AA29+25,N($AB24)&lt;0),4,0)))),0)</f>
      </c>
      <c r="MM29">
        <f>IF(AND(OR('King Node Model'!$A$8="Neg",N($BG$72)=1),ISNUMBER($AA29),$AG29="S",N($AB29)&lt;0),IF(AND($AA30=$AA29-5,N($AB30)&gt;0,$AA31=$AA29-10,N($AB31)&lt;0),1,IF(AND($AA30=$AA29-5,N($AB30)&gt;0,$AA31=$AA29-10,N($AB31)&gt;0,$AA32=$AA29-15,N($AB32)&lt;0),2,IF(AND($AA30=$AA29-5,N($AB30)&gt;0,$AA31=$AA29-10,N($AB31)&gt;0,$AA32=$AA29-15,N($AB32)&gt;0,$AA33=$AA29-20,N($AB33)&lt;0),3,IF(AND($AA30=$AA29-5,N($AB30)&gt;0,$AA31=$AA29-10,N($AB31)&gt;0,$AA32=$AA29-15,N($AB32)&gt;0,$AA33=$AA29-20,N($AB33)&gt;0,$AA34=$AA29-25,N($AB34)&lt;0),4,0)))),0)</f>
      </c>
      <c r="MN29">
        <f>IF(N($ML29)&gt;0,$AA29,0)</f>
      </c>
      <c r="MO29">
        <f>IF(N($MM29)&gt;0,$AA29,0)</f>
      </c>
      <c r="MP29">
        <f>IF(AND(OR('King Node Model'!$A$8="Neg",N($BG$72)=1),ISNUMBER($BG$155),$AA29=$BG$155,N($NC29)=1),2,IF(AND(OR('King Node Model'!$A$8="Neg",N($BG$72)=1),ISNUMBER($BG$156),$AA29=$BG$156,N($ND29)=1),1,0))</f>
      </c>
      <c r="MQ29">
        <f>IF(ABS(AE29)&lt;=0,0,IF($AG29="R",IF(ISNUMBER(AE28),IF((ABS(AE28)-ABS(AE29))/ABS(AE29)&lt;-0.4,1,0),0),IF(ISNUMBER(AE30),IF((ABS(AE30)-ABS(AE29))/ABS(AE29)&lt;-0.4,1,0),0)))</f>
      </c>
      <c r="MR29">
        <f>IF(OR(N($MQ29)&lt;&gt;1,N($BG$157)&lt;&gt;1,NOT(ISNUMBER($KU29)),NOT(ISNUMBER($KV29))),0,IF(OR(AND($AG29="S",OR(AND($KU29&gt;=$BG$114,$KU29&gt;=$KV29+$BG$115),AND($KU29&gt;1,$KV29&lt;=1,$KV29&gt;=$BG$114))),AND($AG29="R",OR(AND($KV29&gt;=$BG$114,$KV29&gt;=$KU29+$BG$115),AND($KV29&gt;1,$KU29&lt;=1,$KU29&gt;=$BG$114)))),1,0))</f>
      </c>
      <c r="MS29" t="str">
        <f>IF(AND(N($MR29)=1,N($NA29)&lt;&gt;1),"• DEX falls off more sharply "&amp;IF($AG29="S","above (","below (")&amp;TEXT(IF($AG29="S",$KU29,$KV29),"0%")&amp;") than "&amp;IF($AG29="S","below (","above (")&amp;TEXT(IF($AG29="S",$KV29,$KU29),"0%")&amp;") — Dex↓ not counted",IF(N($MW29)=1,"• Shoulder of the "&amp;IF($AG29="R",$AA30,$AA28)&amp;" wall — own DEX "&amp;TEXT($AE29/1000,"+#,##0;-#,##0")&amp;"K is "&amp;TEXT(ABS($AE29)/ABS(IF($AG29="R",$AE30,$AE28)),"0%")&amp;" of "&amp;TEXT(IF($AG29="R",$AE30,$AE28)/1000,"+#,##0;-#,##0")&amp;"K, Dex↓ not counted",""))</f>
      </c>
      <c r="MT29">
        <f>IF(AND(ISNUMBER($AA29),$AG29="S",ISNUMBER($AB29),$AB29=MIN($AB$9:$AB$55),$AA29=$BG$105,$JV29="BUY",ABS(N($AD29))&gt;=$BG$158),1,0)</f>
      </c>
      <c r="MU29" t="str">
        <f>IF(N($MY29)=1,"",IF(OR(N($MT29)=1,AND(OR('King Node Model'!$A$8="Neg",N($BG$72)=1),$AG29="S",ISNUMBER($AB29),$AB29=MIN($AB$9:$AB$55),$AA29=$BG$105)),"• Min GEX + Max Zomma (no reversal flag required) — accelerant warning not applied; zomma acceleration warning only within "&amp;$BG$98&amp;" pts of the level, and not when vanna buying is "&amp;TEXT($BG$158/1000,"0")&amp;"K or more"&amp;CHAR(10)&amp;IF(N($MT29)=1,"• Max Zomma and vanna buying ("&amp;TEXT(N($AD29)/1000,"+#,##0;-#,##0")&amp;"K) make this level safe","• Max Zomma is what makes this level safe"),"")&amp;$NB29&amp;$NI29)</f>
      </c>
      <c r="MV29" t="str">
        <f>IF(AND(ISNUMBER($AA29),OR($AA29=$BG$118,$AA29=$BG$119)),IF(N($AZ29)*IF($AG29="R",1,-1)&gt;0,"✓",IF(N($AZ29)*IF($AG29="R",1,-1)&lt;0,"✗","")),"")</f>
      </c>
      <c r="MW29">
        <f>IF(AND(N($MQ29)=1,N($BG$159)&gt;0,ISNUMBER(IF($AG29="R",$AE30,$AE28)),N(IF($AG29="R",$AE30,$AE28))&lt;&gt;0),IF(ABS(N($AE29))&lt;$BG$159*ABS(IF($AG29="R",$AE30,$AE28)),1,0),0)</f>
      </c>
      <c r="MX29">
        <f>IF(AND(ISNUMBER($AA29),$AA29=$BG$121,$AG29="R",N($AE29)&lt;0,OR(COUNTIF('King Node Model'!$AL$42:$AL$44,$AA29)=0,N($HP29)=1),N($NC29)=1),2,IF(AND(ISNUMBER($AA29),$AA29=$BG$120,$AG29="S",N($AE29)&gt;0,OR(COUNTIF('King Node Model'!$AL$49:$AL$51,$AA29)=0,N($HP29)=1),N($ND29)=1),1,0))</f>
      </c>
      <c r="MY29">
        <f>IF(AND(N($NA29)=1,NOT(AND(AND($AG29="S",ISNUMBER($AB29),$AB29=MIN($AB$9:$AB$55),$AA29=$BG$105),IFERROR(INDEX($AG$9:$AG$55,MATCH('King Node Model'!$B$23,$AA$9:$AA$55,0)),"")="R")),N($AV29)&lt;&gt;1),1,0)</f>
      </c>
      <c r="MZ29" t="str">
        <f>IF(N($MY29)&lt;&gt;1,"","• DEX falls off more sharply "&amp;IF($AG29="S","above (","below (")&amp;TEXT(IF($AG29="S",$KU29,$KV29),"0%")&amp;") than "&amp;IF($AG29="S","below (","above (")&amp;TEXT(IF($AG29="S",$KV29,$KU29),"0%")&amp;") — path of least resistance "&amp;IF($AG29="S","down","up")&amp;IF(N($AZ29)*IF($AG29="R",1,-1)&lt;0,CHAR(10)&amp;"• Speed against — GEX gets more negative as price "&amp;IF($AG29="R","rises","falls")&amp;" into it (speed "&amp;TEXT(N($AZ29),"#,##0;−#,##0")&amp;")","")&amp;IF(OR(N($NG29)=1,N($JC29)=1),CHAR(10)&amp;"• "&amp;IF(N($JC29)=1,"DOM with vanna BUY "&amp;TEXT(N($AD29)/1000,"+#,##0;−#,##0")&amp;"K","Put wall + Max Zomma + DOM")&amp;" backs the level, but it does not outweigh DEX"&amp;IF(N($AZ29)*IF($AG29="R",1,-1)&lt;0," and speed",""),IF(AND($AG29="S",ISNUMBER($AB29),$AB29=MIN($AB$9:$AB$55),$AA29=$BG$105),CHAR(10)&amp;"• Min GEX + Max Zomma backs the level, but it does not outweigh DEX"&amp;IF(N($AZ29)*IF($AG29="R",1,-1)&lt;0," and speed",""),IF(OR(N($JI29)=1,AND(N($GV29)=1,N($JK29)&lt;&gt;1,N($IW29)&lt;&gt;1),N($JC29)=1,AND($AA29='King Node Model'!$F$24,N($JN29)&lt;&gt;1,OR($AG29="R",AND($AG29="S",$F$4="High",IF($BG$80&lt;&gt;"",UPPER($BG$80),$D$5)="UP")))),CHAR(10)&amp;"• Vanna "&amp;IF($AG29="S","BUY ","SELL ")&amp;TEXT(N($AD29)/1000,"+#,##0;−#,##0")&amp;"K backs the level, but it does not outweigh DEX"&amp;IF(N($AZ29)*IF($AG29="R",1,-1)&lt;0," and speed",""),"")))&amp;IF(N($NE29)=1,CHAR(10)&amp;"• Buy-lean max-node exemption not applied — DEX leans against the level",""))</f>
      </c>
      <c r="NA29">
        <f>IF(AND(OR('King Node Model'!$A$8="Neg",N($BG$72)=1),ISNUMBER($AA29),ABS(N($AE29))&gt;=$BG$152,ISNUMBER($KU29),ISNUMBER($KV29)),IF(OR(AND($AG29="S",OR(AND($KU29&gt;=$BG$114,$KU29&gt;=$KV29+$BG$115),AND($KU29&gt;1,$KV29&lt;=1,$KV29&gt;=$BG$114))),AND($AG29="R",OR(AND($KV29&gt;=$BG$114,$KV29&gt;=$KU29+$BG$115),AND($KV29&gt;1,$KU29&lt;=1,$KU29&gt;=$BG$114)))),1,0),0)</f>
      </c>
      <c r="NB29" t="str">
        <f>IF(AND(N($NA29)=1,AND(AND($AG29="S",ISNUMBER($AB29),$AB29=MIN($AB$9:$AB$55),$AA29=$BG$105),IFERROR(INDEX($AG$9:$AG$55,MATCH('King Node Model'!$B$23,$AA$9:$AA$55,0)),"")="R")),CHAR(10)&amp;"• DEX falls off more sharply above ("&amp;TEXT($KU29,"0%")&amp;") than below ("&amp;TEXT($KV29,"0%")&amp;") — DEX-lean warning not applied: Min GEX + Max Zomma support with Max Gamma "&amp;'King Node Model'!$B$23&amp;" above (Dex↓ not counted)",IF(AND(OR(N($NA29)=1,N($NF29)=1),N($AV29)=1),IF(AND(OR('King Node Model'!$A$8="Neg",N($BG$72)=1),$AG29="S",ISNUMBER($AB29),$AB29=MIN($AB$9:$AB$55),$AA29=$BG$105),CHAR(10),"")&amp;"• DEX falls off more sharply "&amp;IF($AG29="S","above (","below (")&amp;TEXT(IF($AG29="S",$KU29,$KV29),"0%")&amp;") than "&amp;IF($AG29="S","below (","above (")&amp;TEXT(IF($AG29="S",$KV29,$KU29),"0%")&amp;") — DEX lean does not apply to iDex (isolated DEX)",""))</f>
      </c>
      <c r="NC29">
        <f>IF(OR($BG$163=1,AND($BG$161&gt;0,$BG$162&lt;99999,ISNUMBER($AA29),$AA29&lt;$BG$162)),1,0)</f>
      </c>
      <c r="ND29">
        <f>IF(OR($BG$163=-1,AND($BG$161&gt;0,$BG$162&lt;99999,ISNUMBER($AA29),$AA29&gt;$BG$161)),1,0)</f>
      </c>
      <c r="NE29">
        <f>IF(AND(OR('King Node Model'!$A$8="Neg",N($BG$72)=1),ISNUMBER(SEARCH("LOW",'Master Dashboard'!$M$5)),ISNUMBER(SEARCH("BUY",'Master Dashboard'!$G$8)),'King Node Model'!$T$23='King Node Model'!$B$23,OR($AA29='King Node Model'!$T$23,AND($AG29="R",$AA29='King Node Model'!$T$23+5)),OR(AND($AG29="S",$JV29="BUY"),AND($AG29="R",$JV29="SELL"))),1,0)</f>
      </c>
      <c r="NF29">
        <f>IFERROR(IF(OR(NOT(ISNUMBER($AA29)),'King Node Model'!$A$8&lt;&gt;"Pos",N($BG$72)=1,ABS(N($AE29))&lt;$BG$113,$FA29="DOM",$AA29='King Node Model'!$T$23,AND(N($BG$116)=1,$AA29='King Node Model'!$F$24),NOT(ISNUMBER($KU29)),NOT(ISNUMBER($KV29))),0,IF(AND($AG29="S",COUNTIF('Master Dashboard'!$AN$16:$AN$18,$AA29)=0,$KU29&gt;=$BG$114,$KU29&gt;=$KV29+$BG$115,NOT(AND(N($AN30)=1,N($KV29)&lt;0)),N($AE29)&lt;=0),1,IF(AND($AG29="R",COUNTIF('Master Dashboard'!$AN$13:$AN$15,$AA29)=0,$KV29&gt;=$BG$114,$KV29&gt;=$KU29+$BG$115,NOT(AND(N($AN28)=1,N($KU29)&lt;0))),-1,0))),0)</f>
      </c>
      <c r="NG29">
        <f t="shared" si="202"/>
      </c>
      <c r="NI29" t="str">
        <f>IF(AND(ISNUMBER($BG$165),ISNUMBER($AA29)),IF(OR(AND($AG29="S",$AA29&gt;$BG$165,$AA29-$BG$165&lt;=5),AND($AG29="R",$AA29&lt;$BG$165,$BG$165-$AA29&lt;=5)),IF(OR(AND(OR('King Node Model'!$A$8="Neg",N($BG$72)=1),$AG29="S",ISNUMBER($AB29),$AB29=MIN($AB$9:$AB$55),$AA29=$BG$105),$NB29&lt;&gt;""),CHAR(10),"")&amp;"• DOM forming at "&amp;$BG$165&amp;" (gamma "&amp;TEXT($BG$166,"0%")&amp;" of max) — price may be pulled to the node",""),"")</f>
      </c>
      <c r="NJ29">
        <f>IF(LEN($NI29)&gt;0,1,0)</f>
      </c>
    </row>
    <row r="30" spans="1:349" ht="15" customHeight="1" x14ac:dyDescent="0.25">
      <c r="AA30" s="181">
        <f>'King Node Model'!A50</f>
        <v>7780</v>
      </c>
      <c r="AB30" s="276">
        <f>'King Node Model'!C50</f>
        <v>-2299593</v>
      </c>
      <c r="AC30" s="181">
        <f>ABS('King Node Model'!B50)</f>
        <v>4038999</v>
      </c>
      <c r="AD30" s="276">
        <f>'King Node Model'!F50</f>
        <v>-699070</v>
      </c>
      <c r="AE30" s="276">
        <f>'King Node Model'!E50</f>
        <v>-923901</v>
      </c>
      <c r="AF30" s="276">
        <f>'King Node Model'!D50</f>
        <v>16854279</v>
      </c>
      <c r="AG30" s="181" t="str">
        <f t="shared" si="6"/>
        <v>R</v>
      </c>
      <c r="AH30" s="181">
        <f t="shared" si="7"/>
        <v>1</v>
      </c>
      <c r="AI30" s="181" t="str">
        <f t="shared" si="8"/>
        <v>BUY</v>
      </c>
      <c r="AJ30" s="181">
        <f t="shared" si="9"/>
        <v>1</v>
      </c>
      <c r="AK30" s="181">
        <f>IF(ABS(N($AE30))&gt;=$BG$85,1,0)</f>
      </c>
      <c r="AL30" s="181">
        <f t="shared" si="10"/>
        <v>1</v>
      </c>
      <c r="AM30" s="181">
        <f t="shared" si="11"/>
        <v>5</v>
      </c>
      <c r="AN30" s="181">
        <f t="shared" si="12"/>
        <v>1</v>
      </c>
      <c r="AO30" s="1">
        <f t="shared" si="13"/>
        <v>923901</v>
      </c>
      <c r="AP30" s="1" t="str">
        <f t="shared" si="14"/>
        <v/>
      </c>
      <c r="AQ30" s="1">
        <f t="shared" si="15"/>
        <v>16854279</v>
      </c>
      <c r="AR30" s="181">
        <f t="shared" si="16"/>
        <v>1.7310255179653615</v>
      </c>
      <c r="AS30" s="181">
        <f t="shared" si="17"/>
        <v>1</v>
      </c>
      <c r="AT30" s="181" t="str">
        <f t="shared" si="18"/>
        <v/>
      </c>
      <c r="AU30" s="181" t="str">
        <f t="shared" si="19"/>
        <v/>
      </c>
      <c r="AV30" s="218">
        <f t="shared" si="183"/>
        <v>0</v>
      </c>
      <c r="AW30" s="181">
        <f>ABS('King Node Model'!G50)</f>
        <v>43</v>
      </c>
      <c r="AX30" s="181">
        <f t="shared" si="20"/>
        <v>0</v>
      </c>
      <c r="AY30" s="181">
        <f t="shared" si="21"/>
        <v>0</v>
      </c>
      <c r="AZ30" s="276">
        <f>'King Node Model'!I50</f>
        <v>-4227</v>
      </c>
      <c r="BA30" s="181">
        <f t="shared" si="22"/>
        <v>0</v>
      </c>
      <c r="BB30" s="181" t="str">
        <f t="shared" si="23"/>
        <v>R1</v>
      </c>
      <c r="BC30" s="10">
        <f>'King Node Model'!C50</f>
        <v>-2299593</v>
      </c>
      <c r="BD30" s="218">
        <f t="shared" si="184"/>
        <v>0</v>
      </c>
      <c r="BE30" s="218">
        <f t="shared" si="185"/>
        <v>0</v>
      </c>
      <c r="BF30" s="218" t="s">
        <v>1239</v>
      </c>
      <c r="BG30">
        <v>300000</v>
      </c>
      <c r="BI30" s="218">
        <f t="shared" si="186"/>
        <v>0</v>
      </c>
      <c r="BJ30" s="218">
        <f t="shared" si="187"/>
        <v>0</v>
      </c>
      <c r="BK30" s="218">
        <f t="shared" si="24"/>
        <v>0</v>
      </c>
      <c r="BL30" s="10">
        <f>'King Node Model'!H50</f>
        <v>206</v>
      </c>
      <c r="BM30" s="218">
        <f t="shared" si="25"/>
        <v>3</v>
      </c>
      <c r="BN30" s="218">
        <f t="shared" si="26"/>
        <v>19</v>
      </c>
      <c r="BO30" s="218">
        <f t="shared" si="27"/>
        <v>0</v>
      </c>
      <c r="BP30" s="218">
        <f t="shared" si="28"/>
        <v>0</v>
      </c>
      <c r="BQ30" t="str">
        <f t="shared" si="29"/>
        <v/>
      </c>
      <c r="BR30" t="str">
        <f t="shared" si="30"/>
        <v/>
      </c>
      <c r="BS30" s="218">
        <f t="shared" si="31"/>
        <v>1</v>
      </c>
      <c r="BT30" s="218">
        <f t="shared" si="32"/>
        <v>1</v>
      </c>
      <c r="BU30" t="str">
        <f t="shared" si="33"/>
        <v/>
      </c>
      <c r="BV30" s="218">
        <f t="shared" si="34"/>
        <v>699070</v>
      </c>
      <c r="BW30" s="218">
        <f t="shared" si="35"/>
        <v>923901</v>
      </c>
      <c r="BX30" s="218">
        <f>IF(AND(ISNUMBER(BC30),BC30&gt;=$BG$160,OR('King Node Model'!$A$8="Neg",N($BG$72)=1)),1,0)</f>
        <v>0</v>
      </c>
      <c r="BY30" s="218">
        <f t="shared" si="36"/>
        <v>0</v>
      </c>
      <c r="BZ30" s="218">
        <f t="shared" si="37"/>
        <v>0</v>
      </c>
      <c r="CA30" t="str">
        <f t="shared" si="38"/>
        <v/>
      </c>
      <c r="CB30" s="218">
        <f>IF(AND(ISNUMBER('King Node Model'!$D$27),AG30&lt;&gt;"",AA30='King Node Model'!$D$27),1,0)</f>
        <v>0</v>
      </c>
      <c r="CC30" s="218">
        <f>IF(OR('King Node Model'!$A$8="Neg",N($BG$72)=1),$BG$14*IF(ISNUMBER('King Node Model'!$D$26),MAX(0,1-ABS(AA30-'King Node Model'!$D$26)/$BG$18),0)+$BG$15*IFERROR(BV30/MAX($BV$9:$BV$55),0)+$BG$16*IFERROR(BW30/MAX($BW$9:$BW$55),0)+$BG$17*IFERROR(AC30/$S$11,0)*MAX(0,1+$BG$21*CF30),AR30)</f>
        <v>1.4007513986398696</v>
      </c>
      <c r="CD30" s="218">
        <f>IF(OR('King Node Model'!$A$8="Neg",N($BG$72)=1),IF(AND(AG30&lt;&gt;"",ABS(AA30-$B$4)&lt;=$BG$7,OR(AX30=0,$D$5&lt;&gt;"UP"),AY30=0,BK30&lt;&gt;1,CI30=0,AM30&gt;=$BG$20,AC30&gt;$BG$19),1,0),IF(AND(BS30=1,(COUNTIF($W$9:$W$14,AA30)+COUNTIF($W$18:$W$23,AA30))&gt;0,CI30=0,AM30&gt;=$BG$20,AC30&gt;$BG$19),1,0))</f>
        <v>1</v>
      </c>
      <c r="CE30" t="str">
        <f t="shared" si="39"/>
        <v/>
      </c>
      <c r="CF30" s="218">
        <f t="shared" si="40"/>
        <v>1</v>
      </c>
      <c r="CG30" t="str">
        <f t="shared" si="41"/>
        <v>ACCEL fading · Neg gamma ↓ (firmer resistance)</v>
      </c>
      <c r="CH30" t="str">
        <f t="shared" si="42"/>
        <v>Strengthening</v>
      </c>
      <c r="CI30" s="218">
        <f t="shared" si="43"/>
        <v>0</v>
      </c>
      <c r="CJ30" s="218">
        <f t="shared" si="44"/>
        <v>4.6099999999996726</v>
      </c>
      <c r="CK30" s="218">
        <f t="shared" si="45"/>
        <v>1</v>
      </c>
      <c r="CL30" s="218">
        <f t="shared" si="46"/>
        <v>0</v>
      </c>
      <c r="CR30" t="s">
        <v>1490</v>
      </c>
      <c r="CS30" t="str">
        <f>IF(NOT(AND(ISNUMBER($CS$25),ISNUMBER($CS$27))),"fail -&gt; UNSAFE",IF(AND($CS$25&gt;0,ABS($CS$25)&gt;=$CS$27),"PASS -&gt; γ-PIN","fail -&gt; UNSAFE"))</f>
        <v>fail -&gt; UNSAFE</v>
      </c>
      <c r="CU30" s="218">
        <f>IF(AND(AND('King Node Model'!$A$8&lt;&gt;"Neg",N($BG$72)&lt;&gt;1),SUMPRODUCT(($AG$9:$AG$55="S")*ISNUMBER($AT$9:$AT$55)*ISNUMBER($AU$9:$AU$55)*($AT$9:$AT$55&lt;&gt;$AU$9:$AU$55)*($AT$9:$AT$55&lt;=$AA30)*($AU$9:$AU$55&gt;=$AA30))&gt;0),0,IF(AND(OR($AA30='King Node Model'!$T$22,$AA30='King Node Model'!$F$24),$AG30="R",COUNTIF($W$9:$W$14,$AA30)&gt;0),1,IF(AND($FN30=1,$EU30&lt;&gt;1,$EM30&lt;&gt;1,$BK30&lt;&gt;1,$DH30&lt;&gt;1,$AG30="R",COUNTIF($W$9:$W$14,$AA30)&gt;0),1,IF($EU30=1,0,IF($EM30=1,0,IF(AND(OR($EE30=1,$GV30=1,AND($EL$7=1,$AA30='King Node Model'!$D$26,$EI30=1),AND(OR($AA30='King Node Model'!$T$22,$AA30='King Node Model'!$T$23),$AN30=1,OR($AX30=0,$D$5&lt;&gt;"UP"))),OR(NOT(OR('King Node Model'!$A$8="Neg",N($BG$72)=1)),$GV30=1,AND(OR($AA30='King Node Model'!$T$22,$AA30='King Node Model'!$T$23),$AN30=1,OR($AX30=0,$D$5&lt;&gt;"UP")),AND($AM30&gt;=$BG$20,$AC30&gt;IF($CZ30=1,$BG$48,$BG$19)))),1,IF($DH30=1,0,IF(AND($DC30=1,$GS30&lt;&gt;1,AND('King Node Model'!$A$8&lt;&gt;"Neg",N($BG$72)&lt;&gt;1)),0,IF(AND($EY30=1,NOT(OR('King Node Model'!$A$8="Neg",$BG$72=1)),$AA30&lt;&gt;'King Node Model'!$B$23),0,IF(AND($GS30=1,$AG30="R",OR($CI30=0,$EE30=1,$EX30=1,$GV30=1),COUNTIF($W$9:$W$14,$AA30)&gt;0,ABS($AA30-$B$4)&lt;=$BG$7,$BK30&lt;&gt;1,$AM30&gt;=$BG$20,$AC30&gt;IF($CZ30=1,$BG$48,$BG$19)),1,IF(OR('King Node Model'!$A$8="Neg",N($BG$72)=1),IF(AND(OR($AM30&gt;=$BG$20,$AA30='King Node Model'!$D$26,$GV30=1),$AG30="R",COUNTIF($W$9:$W$14,$AA30)&gt;0,ABS($AA30-$B$4)&lt;=$BG$7,OR($AX30=0,$D$5&lt;&gt;"UP"),$BK30&lt;&gt;1,OR(OR($CI30=0,$AJ30=1),AND($EI30=1,$LA30=1,COUNTIF($W$9:$W$11,$AA30)&gt;0,$AN30=1,OR($AX30=0,$D$5&lt;&gt;"UP"))),$AM30&gt;=$BG$20,$AC30&gt;IF($CZ30=1,$BG$48,$BG$19),OR($AN30=1,N($LR30)=1,$AA30='King Node Model'!$D$26,AND($BY30=1,$AA30&gt;$B$4),$BX30=1,$CF30=1,$CF30=1,AND(OR($AA30=$CP$4,$AA30=$CP$5,$AA30=$CP$6,$AA30=$CP$7),ABS($AA30-$B$4)&lt;=30),AND($AX30=1,$D$5="DOWN"))),1,0),IF(AND(OR($AM30&gt;=3,$AA30='King Node Model'!$D$26,$GV30=1),$AG30="R",COUNTIF($W$9:$W$14,$AA30)&gt;0,ABS($AA30-$B$4)&lt;=$BG$7,OR($AX30=0,$D$5&lt;&gt;"UP"),$BK30&lt;&gt;1,OR($CI30=0,$AJ30=1),$AM30&gt;=$BG$20,$AC30&gt;IF($CZ30=1,$BG$48,$BG$19),OR($AC30&gt;=MAX($AC$9:$AC$55),$BC30&gt;0,$AA30='King Node Model'!$D$26,AND(OR($AA30=$CP$4,$AA30=$CP$5,$AA30=$CP$6,$AA30=$CP$7),ABS($AA30-$B$4)&lt;=30),$CF30=1,$AN30=1,AND($AX30=1,$D$5="DOWN"))),1,0))))))))))))</f>
        <v>1</v>
      </c>
      <c r="CV30" s="218">
        <f>IF(AND(OR('King Node Model'!$A$8="Neg",N($BG$72)=1),$AG30="S",N($LR30)=1,N($MB30)=1),1,IF(AND(AND('King Node Model'!$A$8&lt;&gt;"Neg",N($BG$72)&lt;&gt;1),SUMPRODUCT(($AG$9:$AG$55="R")*ISNUMBER($AT$9:$AT$55)*ISNUMBER($AU$9:$AU$55)*($AT$9:$AT$55&lt;&gt;$AU$9:$AU$55)*($AT$9:$AT$55&lt;=$AA30)*($AU$9:$AU$55&gt;=$AA30))&gt;0,NOT(AND(N($LC30)=1,$AA30='King Node Model'!$B$23))),0,IF(AND($AA30='King Node Model'!$F$24,$AG30="S",COUNTIF($W$18:$W$23,$AA30)&gt;0),1,IF(AND($FN30=1,$EU30&lt;&gt;1,$EM30&lt;&gt;1,$DH30&lt;&gt;1,$AG30="S",COUNTIF($W$18:$W$23,$AA30)&gt;0),1,IF($EU30=1,0,IF(AND(OR($EF30=1,$GV30=1,AND(OR($AA30='King Node Model'!$T$22,$AA30='King Node Model'!$T$23,AND($AG30="S",COUNTIF('Master Dashboard'!$AN$16:$AN$18,$AA30)&gt;0)),$AN30=1,OR($AX30=0,$D$5&lt;&gt;"UP"))),OR(NOT(OR('King Node Model'!$A$8="Neg",N($BG$72)=1)),$GV30=1,AND(OR($AA30='King Node Model'!$T$22,$AA30='King Node Model'!$T$23,AND($AG30="S",COUNTIF('Master Dashboard'!$AN$16:$AN$18,$AA30)&gt;0)),$AN30=1,OR($AX30=0,$D$5&lt;&gt;"UP")),AND($AM30&gt;=$BG$20,$AC30&gt;IF($CZ30=1,$BG$48,$BG$19)))),1,IF($DH30=1,0,IF(AND($DC30=1,$GS30&lt;&gt;1,AND('King Node Model'!$A$8&lt;&gt;"Neg",N($BG$72)&lt;&gt;1)),0,IF(AND($EY30=1,NOT(OR('King Node Model'!$A$8="Neg",$BG$72=1)),$AA30&lt;&gt;'King Node Model'!$B$23,COUNTIF('Master Dashboard'!$AN$16:$AN$18,$AA30)=0),0,IF(AND($GS30=1,$AG30="S",OR($CI30=0,$EF30=1,$EX30=1,$GV30=1),COUNTIF($W$18:$W$23,$AA30)&gt;0,ABS($AA30-$B$4)&lt;=$BG$7,$BK30&lt;&gt;1,$AM30&gt;=$BG$20,$AC30&gt;IF($CZ30=1,$BG$48,$BG$19)),1,IF(OR('King Node Model'!$A$8="Neg",N($BG$72)=1),IF(AND(OR(OR($AM30&gt;=$BG$20,N($LR30)=1),$AA30='King Node Model'!$D$26,$GV30=1),$AG30="S",COUNTIF($W$18:$W$23,$AA30)&gt;0,ABS($AA30-$B$4)&lt;=$BG$7,OR($AX30=0,$D$5&lt;&gt;"UP"),$BK30&lt;&gt;1,OR($CI30=0,$AJ30=1,AND(N($LR30)=1,N($MB30)=1),N($MT30)=1),OR($AM30&gt;=$BG$20,N($LR30)=1),$AC30&gt;IF($CZ30=1,$BG$48,$BG$19),OR($AB30&gt;0,$AN30=1,N($MT30)=1,N($LR30)=1,$AA30='King Node Model'!$D$26,AND($BY30=1,$AA30&lt;$B$4),$BX30=1,$CF30=1,$CF30=1,AND(OR($AA30=$CP$4,$AA30=$CP$5,$AA30=$CP$6,$AA30=$CP$7),ABS($AA30-$B$4)&lt;=30),AND($AX30=1,$D$5="DOWN"))),1,0),IF(AND(OR($AM30&gt;=3,$AA30='King Node Model'!$D$26,$GV30=1),$AG30="S",COUNTIF($W$18:$W$23,$AA30)&gt;0,ABS($AA30-$B$4)&lt;=$BG$7,OR($AX30=0,$D$5&lt;&gt;"UP"),$BK30&lt;&gt;1,OR($CI30=0,$AJ30=1,AND(N($LR30)=1,N($MB30)=1),N($MT30)=1),$AM30&gt;=$BG$20,$AC30&gt;IF($CZ30=1,$BG$48,$BG$19),OR($AC30&gt;=MAX($AC$9:$AC$55),$BC30&gt;0,N($MT30)=1,$AA30='King Node Model'!$D$26,AND(OR($AA30=$CP$4,$AA30=$CP$5,$AA30=$CP$6,$AA30=$CP$7),ABS($AA30-$B$4)&lt;=30),$CF30=1,$AN30=1,AND($AX30=1,$D$5="DOWN"))),1,0))))))))))))</f>
        <v>0</v>
      </c>
      <c r="CX30" s="218">
        <f t="shared" si="48"/>
        <v>0</v>
      </c>
      <c r="CY30" t="str">
        <f t="shared" si="49"/>
        <v/>
      </c>
      <c r="CZ30" s="218">
        <f t="shared" si="50"/>
        <v>0</v>
      </c>
      <c r="DA30" s="218">
        <f t="shared" si="51"/>
        <v>4038999</v>
      </c>
      <c r="DB30" t="str">
        <f t="shared" si="52"/>
        <v/>
      </c>
      <c r="DC30" s="218">
        <f t="shared" si="53"/>
        <v>1</v>
      </c>
      <c r="DD30" s="218">
        <f t="shared" si="54"/>
        <v>4</v>
      </c>
      <c r="DE30" s="218">
        <f t="shared" si="55"/>
        <v>6</v>
      </c>
      <c r="DF30" s="218">
        <f t="shared" si="56"/>
        <v>7755</v>
      </c>
      <c r="DG30" s="218">
        <f t="shared" si="57"/>
        <v>7795</v>
      </c>
      <c r="DH30" s="218">
        <f t="shared" si="58"/>
        <v>0</v>
      </c>
      <c r="DI30">
        <v>1</v>
      </c>
      <c r="DJ30">
        <v>1</v>
      </c>
      <c r="DK30">
        <v>593284</v>
      </c>
      <c r="DL30">
        <v>0</v>
      </c>
      <c r="DM30" t="str">
        <f>IF(AND($CV30=1,$AG30="S"),IF(AND(OR('King Node Model'!$A$8="Neg",N($BG$72)=1),'King Node Model'!$S$52=""),IF(OR(N($AN30)=1,N($LR30)=1,$AB30&gt;0,$AJ30=1,N($JO30)=1,AND(NOT($AE30&gt;0),NOT(IFERROR(AND(ISNUMBER($BC30),ISNUMBER($BC29),($BC30&gt;=0)&lt;&gt;($BC29&gt;=0)),FALSE())),OR(AND($BM30&lt;=6,$BN30&lt;=6),ABS($AA30-'King Node Model'!$T$23)&lt;=5,$LA30=1))),1,0),1),"")</f>
        <v/>
      </c>
      <c r="DN30" t="str">
        <f t="shared" si="59"/>
        <v/>
      </c>
      <c r="DO30" t="str">
        <f t="shared" si="60"/>
        <v/>
      </c>
      <c r="DP30" t="str">
        <f>IF(AND(OR('King Node Model'!$A$8="Neg",N($BG$72)=1),$AG30="S",ISNUMBER($AT30),ISNUMBER($AU30),$AT30&lt;&gt;$AU30,$AA30=$AT30),IF(AND(SUMPRODUCT(($AA$9:$AA$55&gt;=$AT30)*($AA$9:$AA$55&lt;=$AU30)*($AB$9:$AB$55&gt;0))&gt;0,SUMPRODUCT(($AA$9:$AA$55&gt;=$AT30)*($AA$9:$AA$55&lt;=$AU30)*($DM$9:$DM$55=1))&gt;0,SUMPRODUCT(($AA$9:$AA$55&gt;=$AT30)*($AA$9:$AA$55&lt;=$AU30)*(COUNTIF($W$18:$W$20,$AA$9:$AA$55)&gt;0))&gt;0),1,0),"")</f>
        <v/>
      </c>
      <c r="DS30">
        <v>0</v>
      </c>
      <c r="DT30">
        <v>0</v>
      </c>
      <c r="DU30" t="str">
        <f>IF('King Node Model'!$A$8&lt;&gt;"Pos","",IF(OR($AA30="",NOT(ISNUMBER($AA30)),ABS($AA30-$B$4)&gt;$BG$7),"",TEXT($AA30,"0")&amp;" | "&amp;IF($AG30="","unclassified",IF($AG30&lt;&gt;IF($AA30&gt;$B$4,"R","S"),"orphan: in "&amp;$AG30&amp;"-list, "&amp;IF($AA30&lt;$B$4,"below","above")&amp;" spot",IF(IF($AG30="R",COUNTIF($W$9:$W$14,$AA30),COUNTIF($W$18:$W$23,$AA30))=0,"not in "&amp;$AG30&amp;"-list",IF($DH30=1,"absorbed into shelf box",IF($BK30=1,"absorbed: adjacent reversal",IF($CI30=1,"accel-accelerant",IF($AC30&lt;=$BG$19,"below gamma-floor",IF($AM30&lt;$BG$20,"confluence "&amp;TEXT($AM30,"0")&amp;" &lt; "&amp;TEXT($BG$20,"0"),IF(AND($AX30=1,$D$5="UP"),"accelerant in up-move",IF(NOT(OR($AC30&gt;=MAX($AC$9:$AC$55),$BC30&gt;0,$AA30='King Node Model'!$D$26,AND(OR($AA30=$CP$4,$AA30=$CP$5,$AA30=$CP$6,$AA30=$CP$7),ABS($AA30-$B$4)&lt;=30),ISNUMBER(SEARCH("STRENGTHENING",$CG30)),$AN30=1,AND($AX30=1,$D$5="DOWN"))),"no surface flag","-&gt; qualifies"))))))))))))</f>
        <v/>
      </c>
      <c r="DV30" s="218">
        <f t="shared" si="61"/>
        <v>4.6099999999996726</v>
      </c>
      <c r="DW30" s="218">
        <f t="shared" si="62"/>
        <v>99999</v>
      </c>
      <c r="DX30" t="str">
        <f>IF('King Node Model'!$A$8&lt;&gt;"Pos","",IF(AND($DV30&lt;99999,$DV30=MIN($DV$9:$DV$55),$DG30&gt;$AA30),"R-box: "&amp;TEXT($AA30,"0")&amp;"-"&amp;TEXT($DG30,"0"),IF(AND($DW30&lt;99999,$DW30=MIN($DW$9:$DW$55),$DF30&lt;$AA30),"S-box: "&amp;TEXT($DF30,"0")&amp;"-"&amp;TEXT($AA30,"0"),"")))</f>
        <v/>
      </c>
      <c r="EB30">
        <f t="shared" si="63"/>
        <v>4.6099999999996726</v>
      </c>
      <c r="EC30">
        <f t="shared" si="64"/>
        <v>538591</v>
      </c>
      <c r="ED30">
        <f t="shared" si="65"/>
        <v>0</v>
      </c>
      <c r="EE30">
        <f>IF(AND(OR('King Node Model'!$A$8="Neg",N($BG$72)=1),$AG30="R",ISNUMBER($EB30),$EB30&lt;=$BG$7,$AB30&gt;0,$EC30&gt;0,$AB30=$EC30),1,0)</f>
        <v>0</v>
      </c>
      <c r="EF30">
        <f>IF(AND(OR('King Node Model'!$A$8="Neg",N($BG$72)=1),$AG30="S",ISNUMBER($EB30),$EB30&lt;=$BG$7,$AB30&gt;0,$ED30&gt;0,$AB30=$ED30),1,0)</f>
        <v>0</v>
      </c>
      <c r="EI30">
        <v>1</v>
      </c>
      <c r="EJ30">
        <f>IF($AA30="",0,IF(SUMPRODUCT(($AA$9:$AA$55&gt;=$AT30)*($AA$9:$AA$55&lt;=$AU30)*($DT$9:$DT$55=1))+SUMPRODUCT(($DT$9:$DT$55=1)*($AT$9:$AT$55&lt;=$AA30)*($AU$9:$AU$55&gt;=$AA30))+($DT30=1)+AND(OR('King Node Model'!$A$8="Neg",N($BG$72)=1),ISNUMBER(SEARCH("LOW",'Master Dashboard'!$M$5)),ISNUMBER(SEARCH("BUY",'Master Dashboard'!$G$8)),'King Node Model'!$T$23='King Node Model'!$B$23,$AA30&gt;='King Node Model'!$T$23,$AA30&lt;='King Node Model'!$T$23+5)*1&gt;0,1,0))</f>
        <v>0</v>
      </c>
      <c r="EM30">
        <f t="shared" si="66"/>
        <v>0</v>
      </c>
      <c r="EN30">
        <v>0</v>
      </c>
      <c r="EO30">
        <f t="shared" si="67"/>
        <v>0</v>
      </c>
      <c r="EP30">
        <f t="shared" si="68"/>
        <v>0</v>
      </c>
      <c r="EQ30" t="str">
        <f t="shared" si="69"/>
        <v>ACCEL fading · Neg gamma ↓ (firmer resistance)</v>
      </c>
      <c r="ES30">
        <f>IF(AND(ISNUMBER(AA30),ISNUMBER(AF30),ABS(AA30-'King Node Model'!$B$4)&lt;=$BG$7),ABS(AF30),"")</f>
        <v>16854279</v>
      </c>
      <c r="ET30">
        <v>0</v>
      </c>
      <c r="EU30" s="218">
        <f>IF(AND(OR('King Node Model'!$A$8="Neg",N($BG$72)=1),ISNUMBER($AA29),ISNUMBER($AA30),ISNUMBER($AA31),ISNUMBER($AB29),ISNUMBER($AB30),ISNUMBER($AB31),ISNUMBER($AF30),$AB30&gt;0,$AB29&lt;0,$AB31&lt;0,$AF30&lt;0),1,0)</f>
        <v>0</v>
      </c>
      <c r="EW30">
        <f>IF(OR(N($MY30)=1,N($JM30)=1),0,N($NE30))</f>
        <v>0</v>
      </c>
      <c r="EX30">
        <f>IF(AND(OR('King Node Model'!$A$8="Neg",N($BG$72)=1),ISNUMBER($AA30),OR(AND($AA30='King Node Model'!$F$24,OR(AND($AG30="S",$F$4="High",IF($BG$80&lt;&gt;"",UPPER($BG$80),$D$5)="DOWN"),AND($AG30="R",$F$4="Low",IF($BG$80&lt;&gt;"",UPPER($BG$80),$D$5)="UP"))),$GV30=1)),1,0)</f>
        <v>1</v>
      </c>
      <c r="EY30">
        <f>IFERROR(IF(AND($DC30=1,$AB30&lt;0,$AC30&gt;=(1+$FA$6)*INDEX($AC$9:$AC$55,22-1),$AC30&gt;=(1+$FA$6)*INDEX($AC$9:$AC$55,22+1),$AC30&gt;=IFERROR(INDEX($AC$9:$AC$55,22-2),0),$AC30&gt;=IFERROR(INDEX($AC$9:$AC$55,22+2),0)),1,0),0)</f>
        <v>0</v>
      </c>
      <c r="FA30" t="str">
        <f>IF(NOT(ISNUMBER($AA30)),"",IFERROR(IF(AND($AC30=MAX($AC$9:$AC$55),$AB30=MIN($AB$9:$AB$55)),"DOM",IF(AND($DC29=1,$DC30=1,$DC31=1,INDEX($AC$9:$AC$55,22-1)&lt;=(1-$FA$6)*$AC30,INDEX($AC$9:$AC$55,22-1)&lt;=(1-$FA$6)*INDEX($AC$9:$AC$55,22-2)),"GAP↑",IF(AND($DC31=1,$DC30=1,INDEX($AC$9:$AC$55,22+1)&lt;=(1-$FA$6)*$AC30,INDEX($AC$9:$AC$55,22+1)&lt;=(1-$FA$6)*INDEX($AC$9:$AC$55,22+2)),"GAP↓",IF($CZ30=1,"dEdge Cliff",IF($GY30=1,"γWall",IF(AND($DC30=1,$AB30&lt;0,$AC30&gt;=(1+$FA$6)*INDEX($AC$9:$AC$55,22-1),$AC30&gt;=(1+$FA$6)*INDEX($AC$9:$AC$55,22+1)),"PEAK-",IF($GZ30=1,"γSh Edge",IF($HL30=1,"Trough",IF($HN30=1,"PEAK+",IF($GF30=1,"Cluster","")))))))))),""))</f>
        <v>Cluster</v>
      </c>
      <c r="FB30">
        <f t="shared" si="70"/>
        <v>7770</v>
      </c>
      <c r="FC30">
        <f t="shared" si="71"/>
        <v>7780</v>
      </c>
      <c r="FD30">
        <f>IF(AND(ISNUMBER($AA30),ISNUMBER('King Node Model'!$AP$17),ISNUMBER('King Node Model'!$AQ$17),$AA30&gt;=MIN('King Node Model'!$AP$17,'King Node Model'!$AQ$17),$AA30&lt;=MAX('King Node Model'!$AP$17,'King Node Model'!$AQ$17),IFERROR(INDEX($AC$9:$AC$55,MATCH('King Node Model'!$AL$42,$AA$9:$AA$55,0)),0)&gt;0,$AC30&gt;=(1-$FA$6)*IFERROR(INDEX($AC$9:$AC$55,MATCH('King Node Model'!$AL$42,$AA$9:$AA$55,0)),0),$AC30&lt;=(1+$FA$6)*IFERROR(INDEX($AC$9:$AC$55,MATCH('King Node Model'!$AL$42,$AA$9:$AA$55,0)),0)),1,0)</f>
        <v>1</v>
      </c>
      <c r="FE30">
        <f>IF($AA30='King Node Model'!$AL$42,1,IF(AND($FD30=1,$FE29=1),1,0))</f>
        <v>1</v>
      </c>
      <c r="FF30">
        <f>IF($AA30='King Node Model'!$AL$42,1,IF(AND($FD30=1,$FF31=1),1,0))</f>
        <v>1</v>
      </c>
      <c r="FG30">
        <f>IF(OR($FE30=1,$FF30=1),22,"")</f>
        <v>22</v>
      </c>
      <c r="FJ30">
        <f>IF(AND($CW$2=1,ISNUMBER($AA30),ISNUMBER($CW$3),ISNUMBER($CW$4),$AA30&gt;=MIN($CW$3,$CW$4),$AA30&lt;=MAX($CW$3,$CW$4),IFERROR(INDEX($AC$9:$AC$55,MATCH('King Node Model'!$AP$67,$AA$9:$AA$55,0)),0)&gt;0,$AC30&gt;=(1-$FA$6)*IFERROR(INDEX($AC$9:$AC$55,MATCH('King Node Model'!$AP$67,$AA$9:$AA$55,0)),0),$AC30&lt;=(1+$FA$6)*IFERROR(INDEX($AC$9:$AC$55,MATCH('King Node Model'!$AP$67,$AA$9:$AA$55,0)),0)),1,0)</f>
        <v>1</v>
      </c>
      <c r="FK30">
        <f>IF(AND($CW$2=1,$AA30='King Node Model'!$AP$67),1,IF(AND($FJ30=1,$FK29=1),1,0))</f>
        <v>0</v>
      </c>
      <c r="FL30">
        <f>IF(AND($CW$2=1,$AA30='King Node Model'!$AP$67),1,IF(AND($FJ30=1,$FL31=1),1,0))</f>
        <v>1</v>
      </c>
      <c r="FM30">
        <f>IF(OR($FK30=1,$FL30=1),22,"")</f>
        <v>22</v>
      </c>
      <c r="FN30">
        <v>0</v>
      </c>
      <c r="FR30" t="str">
        <f t="shared" si="72"/>
        <v/>
      </c>
      <c r="FS30">
        <f t="shared" si="188"/>
        <v>0</v>
      </c>
      <c r="FT30">
        <f t="shared" si="73"/>
        <v>-0.56934725658510932</v>
      </c>
      <c r="FU30">
        <f t="shared" si="74"/>
        <v>4038999</v>
      </c>
      <c r="FV30">
        <f>IF($FW30=0,"",IF(OR($FW29=0,SIGN(IFERROR($BC30*1,0))&lt;&gt;SIGN(IFERROR($BC29*1,0)),$GH30=1,$GH29=1),MAX($FV$9:$FV29)+1,$FV29))</f>
        <v>8</v>
      </c>
      <c r="FW30">
        <f t="shared" si="75"/>
        <v>1</v>
      </c>
      <c r="FX30">
        <f t="shared" si="76"/>
        <v>4471438</v>
      </c>
      <c r="FY30">
        <f t="shared" si="77"/>
        <v>1</v>
      </c>
      <c r="FZ30">
        <f t="shared" si="189"/>
        <v>0</v>
      </c>
      <c r="GA30">
        <f t="shared" si="78"/>
        <v>1</v>
      </c>
      <c r="GB30">
        <f t="shared" si="79"/>
        <v>3</v>
      </c>
      <c r="GC30">
        <f t="shared" si="80"/>
        <v>12566480</v>
      </c>
      <c r="GD30">
        <f t="shared" si="81"/>
        <v>7770</v>
      </c>
      <c r="GE30">
        <f t="shared" si="82"/>
        <v>7780</v>
      </c>
      <c r="GF30">
        <f t="shared" si="83"/>
        <v>1</v>
      </c>
      <c r="GH30">
        <f>IFERROR(IF(AND($AC30&gt;=(1+$FA$6)*INDEX($AC$9:$AC$55,22-1),$AC30&gt;=(1+$FA$6)*INDEX($AC$9:$AC$55,22+1)),1,0),0)</f>
        <v>0</v>
      </c>
      <c r="GK30">
        <v>0</v>
      </c>
      <c r="GO30">
        <v>0</v>
      </c>
      <c r="GP30">
        <v>1</v>
      </c>
      <c r="GQ30">
        <f t="shared" si="84"/>
        <v>0</v>
      </c>
      <c r="GR30">
        <f t="shared" si="85"/>
        <v>0</v>
      </c>
      <c r="GS30">
        <f>IF(AND($EY30=1,$AA30&lt;&gt;'King Node Model'!$B$23),0,IF(OR($GQ30=1,$GR30=1),1,IF($DC30=1,IF(OR('King Node Model'!$A$8="Neg",N($BG$72)=1),IF(OR(AND($AC30=MAX($AC$9:$AC$55),$AB30=MIN($AB$9:$AB$55)),$AN30=1,$EE30=1,$EF30=1,$EX30=1,$GV30=1),1,0),1),0)))</f>
        <v>1</v>
      </c>
      <c r="GT30">
        <f>IFERROR(IF(AND(OR('King Node Model'!$A$8="Neg",N($BG$72)=1),$EU29=1,$AG30="R",ISNUMBER($AA30),ISNUMBER($AF30),$AF30&lt;&gt;0,$AA30&gt;$B$4-$BG$9,$AA30-$B$4&lt;=$BG$47,IF($KC30="UP",SIGN($AF30),IF($KC30="DOWN",-SIGN($AF30),0))&lt;&gt;1),1,0),0)</f>
        <v>0</v>
      </c>
      <c r="GU30" t="str">
        <f t="shared" si="86"/>
        <v/>
      </c>
      <c r="GV30">
        <f t="shared" si="87"/>
        <v>0</v>
      </c>
      <c r="GW30">
        <f t="shared" si="88"/>
        <v>4.6099999999996726</v>
      </c>
      <c r="GX30" t="str">
        <f t="shared" si="89"/>
        <v/>
      </c>
      <c r="GY30">
        <f t="shared" si="90"/>
        <v>0</v>
      </c>
      <c r="GZ30">
        <f t="shared" si="91"/>
        <v>0</v>
      </c>
      <c r="HA30">
        <v>1</v>
      </c>
      <c r="HF30">
        <f>IFERROR(IF(AND($GZ30=1,'King Node Model'!$A$8="Pos",$D$5="UP",$CF30=-1,$AJ30&lt;&gt;1),1,0),0)</f>
        <v>0</v>
      </c>
      <c r="HG30">
        <f t="shared" si="92"/>
        <v>0</v>
      </c>
      <c r="HH30">
        <f>IF($GZ30=1,"",IFERROR(IF(NOT(ISNUMBER($AA30)),"",IF($EY30=1,"",IF($GF30=1,IF($GD30=$GE30,"",$GD30),IF(OR(AND($DC29=1,$DC30=1,$DC31=1,INDEX($AC$9:$AC$55,22-1)&lt;=(1-$FA$6)*$AC30,INDEX($AC$9:$AC$55,22-1)&lt;=(1-$FA$6)*INDEX($AC$9:$AC$55,22-2)),AND($DC31=1,$DC30=1,INDEX($AC$9:$AC$55,22+1)&lt;=(1-$FA$6)*$AC30,INDEX($AC$9:$AC$55,22+1)&lt;=(1-$FA$6)*INDEX($AC$9:$AC$55,22+2)),AND($DC30=1,OR(INDEX($DC$9:$DC$55,22-1)=0,INDEX($DC$9:$DC$55,22+1)=0))),IF(MIN($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MAX($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MIN($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f>
        <v>7770</v>
      </c>
      <c r="HI30">
        <f>IF($GZ30=1,"",IFERROR(IF(NOT(ISNUMBER($AA30)),"",IF($EY30=1,"",IF($GF30=1,IF($GD30=$GE30,"",$GE30),IF(OR(AND($DC29=1,$DC30=1,$DC31=1,INDEX($AC$9:$AC$55,22-1)&lt;=(1-$FA$6)*$AC30,INDEX($AC$9:$AC$55,22-1)&lt;=(1-$FA$6)*INDEX($AC$9:$AC$55,22-2)),AND($DC31=1,$DC30=1,INDEX($AC$9:$AC$55,22+1)&lt;=(1-$FA$6)*$AC30,INDEX($AC$9:$AC$55,22+1)&lt;=(1-$FA$6)*INDEX($AC$9:$AC$55,22+2)),AND($DC30=1,OR(INDEX($DC$9:$DC$55,22-1)=0,INDEX($DC$9:$DC$55,22+1)=0))),IF(MIN($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MAX($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MAX($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f>
        <v>7780</v>
      </c>
      <c r="HL30">
        <f t="shared" si="93"/>
        <v>0</v>
      </c>
      <c r="HM30">
        <f>IFERROR(IF(AND($HL30=1,NOT(OR($AA30='King Node Model'!$T$22,$AA30='King Node Model'!$T$23,$AA30='King Node Model'!$F$24,AND($AG30="S",COUNTIF('Master Dashboard'!$AN$16:$AN$18,$AA30)&gt;0),AND($AG30="R",COUNTIF('Master Dashboard'!$AN$13:$AN$15,$AA30)&gt;0)))),1,0),0)</f>
        <v>0</v>
      </c>
      <c r="HN30">
        <f t="shared" si="94"/>
        <v>0</v>
      </c>
      <c r="HO30">
        <f t="shared" si="95"/>
        <v>0</v>
      </c>
      <c r="HP30">
        <f t="shared" si="96"/>
        <v>1</v>
      </c>
      <c r="HQ30" t="str">
        <f>IF(NOT(ISNUMBER($AA30)),"",IFERROR(TRIM(IF(N($MY30)=1,"DEXLEAN ","")&amp;IF(N($IZ30)=1,"DEXCAP ","")&amp;IF(AND($AG30="S",UPPER('King Node Model'!$L$5)="HIGH",$KC30="DOWN",N($AF30)&gt;0,$AA30='King Node Model'!$AN$70,$IY30="SELL"),"CHOPEDGEIV ","")&amp;IF(N($IS30)=1,"NOREV ","")&amp;IF(N($JY30)=1,"VFLAT ","")&amp;IF(N($KR30)=1,"GDEXVANNA ","")&amp;IF(N($LD30)=1,"KGSUPFAIL ","")&amp;IF(N($LE30)=1,"KGRESLEAK ","")&amp;IF(N($MH30)=1,"ZIGZAG ","")&amp;IF(N($KK30)=1,"DATAGAP ","")&amp;IF(N($KA30)&lt;&gt;0,"ACCUNDERCW ","")&amp;IF(AND($AG30="S",$HF30=1),"EDGE ","")&amp;IF(AND($HM30=1,'King Node Model'!$A$8="Pos",N($BG$72)&lt;&gt;1),"TROUGH ","")&amp;IF(AND($EU30=1,N($JZ30)&lt;&gt;1),"BUMP ","")&amp;IF(AND($GT30=1,N($JZ30)&lt;&gt;1),"SANDWICH ","")&amp;IF(AND($EX30&lt;&gt;1,OR('King Node Model'!$A$8="Neg",N($BG$72)=1),OR(AND(ISNUMBER($AC30),$AC30=MAX($AC$9:$AC$55)),AND(ISNUMBER($AB30),$AB30=MIN($AB$9:$AB$55))),NOT(AND(AND(ISNUMBER($AC30),$AC30=MAX($AC$9:$AC$55)),AND(ISNUMBER($AB30),$AB30=MIN($AB$9:$AB$55)))),$AG30="S",N($AB30)&lt;0,NOT(COUNTIF('Master Dashboard'!$AN$16:$AN$18,$AA30)&gt;0),NOT(AND(OR('King Node Model'!$A$8="Neg",N($BG$72)=1),ISNUMBER($AB30),$AB30=MIN($AB$9:$AB$55),$AA30=$BG$105))),"ACCEL ","")&amp;IF(AND($EX30&lt;&gt;1,ISNUMBER($AA30),OR('King Node Model'!$A$8="Neg",N($BG$72)=1),$EY30=1,NOT(AND($AG30="S",COUNTIF('Master Dashboard'!$AN$16:$AN$18,$AA30)&gt;0)),NOT(AND($AA30='King Node Model'!$B$23,IF($AG30="S",OR($AA30='King Node Model'!$C$24,COUNTIF('Master Dashboard'!$AN$16:$AN$18,$AA30)&gt;0),OR($AA30='King Node Model'!$C$23,COUNTIF('Master Dashboard'!$AN$13:$AN$15,$AA30)&gt;0)))),NOT(AND($EX30&lt;&gt;1,OR('King Node Model'!$A$8="Neg",N($BG$72)=1),OR(AND(ISNUMBER($AC30),$AC30=MAX($AC$9:$AC$55)),AND(ISNUMBER($AB30),$AB30=MIN($AB$9:$AB$55))),NOT(AND(AND(ISNUMBER($AC30),$AC30=MAX($AC$9:$AC$55)),AND(ISNUMBER($AB30),$AB30=MIN($AB$9:$AB$55)))),$AG30="S",N($AB30)&lt;0,NOT(COUNTIF('Master Dashboard'!$AN$16:$AN$18,$AA30)&gt;0)))),"AMPLIFY ","")&amp;IF(AND($AG30="S",OR('King Node Model'!$A$8="Neg",N($BG$72)=1),$AJ30&lt;&gt;1,N($MT30)&lt;&gt;1,NOT(AND(N($LR30)=1,N($MB30)=1)),ISNUMBER(SEARCH("ACCEL building",$CG30))),"ZACCEL ","")&amp;IF(AND($AG30="S",OR('King Node Model'!$A$8="Neg",N($BG$72)=1),$AA30='King Node Model'!$B$23,NOT(AND(AND(ISNUMBER($AC30),$AC30=MAX($AC$9:$AC$55)),AND(ISNUMBER($AB30),$AB30=MIN($AB$9:$AB$55)))),$EJ30&lt;&gt;1),"KINGACC ","")&amp;IF(AND($AG30="S",OR('King Node Model'!$A$8="Neg",N($BG$72)=1),ABS(N($AA30)-N('King Node Model'!$B$23))&lt;=$BG$107,NOT(AND(SUMPRODUCT((ABS($AF$9:$AF$55)&lt;=ABS(N($AF30)))*1)/COUNT($AF$9:$AF$55)&gt;=0.66,OR(ISNUMBER(SEARCH("firmer resistance",$CG30)),ISNUMBER(SEARCH("STRENGTHENING",$CG30)),ISNUMBER(SEARCH("firmer support",$CG30))))),NOT(AND(N($AB30)&gt;0,SUMPRODUCT((ABS($AB$9:$AB$55)&lt;=ABS(N($AB30)))*1)/COUNT($AB$9:$AB$55)&gt;=0.66)),$EJ30&lt;&gt;1,$AJ30&lt;&gt;1,COUNTIF('Master Dashboard'!$AN$16:$AN$18,$AA30)=0,NOT(AND($AG30="S",OR('King Node Model'!$A$8="Neg",N($BG$72)=1),$AA30='King Node Model'!$B$23,NOT(AND(AND(ISNUMBER($AC30),$AC30=MAX($AC$9:$AC$55)),AND(ISNUMBER($AB30),$AB30=MIN($AB$9:$AB$55)))),$EJ30&lt;&gt;1))),"KINGNODE ","")&amp;IF(AND($AG30="R",NOT(AND(AND(ISNUMBER($AC30),$AC30=MAX($AC$9:$AC$55)),AND(ISNUMBER($AB30),$AB30=MIN($AB$9:$AB$55)))),UPPER('King Node Model'!$L$5)="LOW",$KC30="DOWN",N($AF30)&gt;0),"LOWIVFALL ","")&amp;IF(AND($AG30="R",NOT(AND(AND(ISNUMBER($AC30),$AC30=MAX($AC$9:$AC$55)),AND(ISNUMBER($AB30),$AB30=MIN($AB$9:$AB$55)))),UPPER('King Node Model'!$L$5)="HIGH",$KC30="DOWN",N($AF30)&gt;0,IFERROR(MATCH($AA30,$W$9:$W$14,0)&gt;=4,FALSE)),"HIGHIVFALL ","")&amp;IF(AND($AG30="R",N($BG$99)=1),"SPOTUPVOLUP ","")&amp;IF(AND($AG30="R",ISNUMBER(SEARCH("5/5",'Master Dashboard'!$E$29)),OR(ISNUMBER(SEARCH("WEAKENING",$EQ30)),ISNUMBER(SEARCH("Pos gamma ↓",$EQ30)),ISNUMBER(SEARCH("thinning the ceiling",$EQ30)))),"SQUEEZE ","")&amp;IF(N($JU30)=1,"DEDGECLIFF ","")&amp;IF(N($KT30)=1,"DEXDRAIN ","")&amp;IF(N($HW30)&lt;&gt;0,"DEXDROP ","")&amp;IF(N($HX30)&lt;&gt;0,"PEAK+ ","")&amp;IF(N($IF30)=1,"CHOP ","")&amp;IF(N($IQ30)=1,"CONTESTED ","")&amp;IF(N($IW30)=1,"VSELL ","")&amp;IF(N($JK30)=1,"VBUYRES ","")&amp;IF(N($JL30)=1,"DOMFLAT ","")&amp;IF(N($JM30)=1,"DOMPULL ","")&amp;IF(N($JP30)=1,"OIZOMMA ","")&amp;IF(AND(N($JQ30)=1,N($JZ30)&lt;&gt;1),"OIDEX ","")),""))</f>
        <v>VBUYRES</v>
      </c>
      <c r="HS30">
        <f>IFERROR(IF(AND($DC30=1,OR(AND($AG30="R",INDEX($DC$9:$DC$55,21)=0,INDEX($DC$9:$DC$55,23)=1,INDEX($DC$9:$DC$55,24)=1),AND($AG30="S",INDEX($DC$9:$DC$55,23)=0,INDEX($DC$9:$DC$55,21)=1,INDEX($DC$9:$DC$55,20)=1))),1,0),0)</f>
        <v>0</v>
      </c>
      <c r="HT30">
        <f t="shared" si="97"/>
        <v>0</v>
      </c>
      <c r="HU30">
        <v>0</v>
      </c>
      <c r="HV30">
        <v>0</v>
      </c>
      <c r="HW30">
        <f>IFERROR(IF(OR(NOT(ISNUMBER($AA30)),'King Node Model'!$A$8&lt;&gt;"Pos",N($BG$72)=1,ABS(N($AE30))&lt;$BG$113,N($AV30)=1,$FA30="DOM",$AA30='King Node Model'!$T$23,AND(N($BG$116)=1,$AA30='King Node Model'!$F$24),NOT(ISNUMBER($KU30)),NOT(ISNUMBER($KV30))),0,IF(AND($AG30="S",COUNTIF('Master Dashboard'!$AN$16:$AN$18,$AA30)=0,$KU30&gt;=$BG$114,$KU30&gt;=$KV30+$BG$115,NOT(AND(N($AN31)=1,N($KV30)&lt;0)),N($AE30)&lt;=0),1,IF(AND($AG30="R",COUNTIF('Master Dashboard'!$AN$13:$AN$15,$AA30)=0,$KV30&gt;=$BG$114,$KV30&gt;=$KU30+$BG$115,NOT(AND(N($AN29)=1,N($KU30)&lt;0))),-1,0))),0)</f>
        <v>0</v>
      </c>
      <c r="HX30">
        <f>IFERROR(IF(AND(ISNUMBER($AA30),$FA30="PEAK+",N($AN30)&lt;&gt;1,NOT(AND('King Node Model'!$A$8="Pos",OR($AA30='King Node Model'!$T$22,$AA30='King Node Model'!$T$23,$AA30='King Node Model'!$F$24))),IF($AG30="S",COUNTIF('Master Dashboard'!$AN$16:$AN$18,$AA30)=0,IF($AG30="R",COUNTIF('Master Dashboard'!$AN$13:$AN$15,$AA30)=0,FALSE))),1,0),0)</f>
        <v>0</v>
      </c>
      <c r="HY30">
        <f t="shared" si="98"/>
        <v>-3.6223477438624756</v>
      </c>
      <c r="HZ30">
        <v>0</v>
      </c>
      <c r="IA30">
        <f>IFERROR(IF(AND(IF($BG$44=1,OR(ISNUMBER(SEARCH("Choppy",'King Node Model'!$S$38)),'King Node Model'!$S$52&lt;&gt;"",'King Node Model'!$A$8="Pos"),TRUE()),OR($DC30=1,$DC29=1,$DC31=1),ABS($AA30-$B$4)&lt;=$BG$7,ABS($AA30-$BG$28)&gt;=$BG$45,OR(AND($AA30&gt;$BG$28,$AG30="R"),AND($AA30&lt;$BG$28,$AG30="S",N($BG$154)=1)),ABS(IF($AA30&gt;$BG$28,$AE31,$AE29))&gt;=$BG$43,ABS(N(IF($AA30&gt;$BG$28,$AE29,$AE31)))&lt;=$BG$153*ABS(IF($AA30&gt;$BG$28,$AE31,$AE29)),IF(ISNUMBER($HZ30),$HZ30=1,AND(ISNUMBER($HY30),$HY30&gt;=$BG$42))),1,0),0)</f>
        <v>0</v>
      </c>
      <c r="IB30">
        <f t="shared" si="99"/>
        <v>0</v>
      </c>
      <c r="IC30" t="str">
        <f>IF(NOT(ISNUMBER($AA30)),"",IFERROR(MID(IF(AND($AC30=MAX($AC$9:$AC$55),$AB30=MIN($AB$9:$AB$55))," · DOM","")&amp;IF(AND($DC29=1,$DC30=1,$DC31=1,INDEX($AC$9:$AC$55,22-1)&lt;=(1-$FA$6)*$AC30,INDEX($AC$9:$AC$55,22-1)&lt;=(1-$FA$6)*INDEX($AC$9:$AC$55,22-2))," · GAP↑ → "&amp;INDEX($AA$9:$AA$55,22-2),"")&amp;IF(AND($DC31=1,$DC30=1,INDEX($AC$9:$AC$55,22+1)&lt;=(1-$FA$6)*$AC30,INDEX($AC$9:$AC$55,22+1)&lt;=(1-$FA$6)*INDEX($AC$9:$AC$55,22+2))," · GAP↓ → "&amp;INDEX($AA$9:$AA$55,22+2),"")&amp;IF($CZ30=1," · dEdge Cliff","")&amp;IF($GY30=1," · γWall","")&amp;IF(AND($DC30=1,$AB30&lt;0,$AC30&gt;=(1+$FA$6)*INDEX($AC$9:$AC$55,22-1),$AC30&gt;=(1+$FA$6)*INDEX($AC$9:$AC$55,22+1))," · PEAK-","")&amp;IF($GZ30=1," · γSh Edge","")&amp;IF($HL30=1," · Trough","")&amp;IF($HN30=1," · PEAK+","")&amp;IF($GF30=1," · Cluster",""),FIND(" · ",IF(AND($AC30=MAX($AC$9:$AC$55),$AB30=MIN($AB$9:$AB$55))," · DOM","")&amp;IF(AND($DC29=1,$DC30=1,$DC31=1,INDEX($AC$9:$AC$55,22-1)&lt;=(1-$FA$6)*$AC30,INDEX($AC$9:$AC$55,22-1)&lt;=(1-$FA$6)*INDEX($AC$9:$AC$55,22-2))," · GAP↑ → "&amp;INDEX($AA$9:$AA$55,22-2),"")&amp;IF(AND($DC31=1,$DC30=1,INDEX($AC$9:$AC$55,22+1)&lt;=(1-$FA$6)*$AC30,INDEX($AC$9:$AC$55,22+1)&lt;=(1-$FA$6)*INDEX($AC$9:$AC$55,22+2))," · GAP↓ → "&amp;INDEX($AA$9:$AA$55,22+2),"")&amp;IF($CZ30=1," · dEdge Cliff","")&amp;IF($GY30=1," · γWall","")&amp;IF(AND($DC30=1,$AB30&lt;0,$AC30&gt;=(1+$FA$6)*INDEX($AC$9:$AC$55,22-1),$AC30&gt;=(1+$FA$6)*INDEX($AC$9:$AC$55,22+1))," · PEAK-","")&amp;IF($GZ30=1," · γSh Edge","")&amp;IF($HL30=1," · Trough","")&amp;IF($HN30=1," · PEAK+","")&amp;IF($GF30=1," · Cluster",""),2),999),""))</f>
        <v/>
      </c>
      <c r="ID30" t="str">
        <f>IF(NOT(ISNUMBER($AA30)),"",IFERROR(MID(IF(AND($AC30=MAX($AC$9:$AC$55),$AB30=MIN($AB$9:$AB$55))," · DOM","")&amp;IF(AND($DC29=1,$DC30=1,$DC31=1,INDEX($AC$9:$AC$55,22-1)&lt;=(1-$FA$6)*$AC30,INDEX($AC$9:$AC$55,22-1)&lt;=(1-$FA$6)*INDEX($AC$9:$AC$55,22-2))," · GAP↑ → "&amp;INDEX($AA$9:$AA$55,22-2),"")&amp;IF(AND($DC31=1,$DC30=1,INDEX($AC$9:$AC$55,22+1)&lt;=(1-$FA$6)*$AC30,INDEX($AC$9:$AC$55,22+1)&lt;=(1-$FA$6)*INDEX($AC$9:$AC$55,22+2))," · GAP↓ → "&amp;INDEX($AA$9:$AA$55,22+2),"")&amp;IF($CZ30=1," · dEdge Cliff","")&amp;IF($GY30=1," · γWall","")&amp;IF(AND($DC30=1,$AB30&lt;0,$AC30&gt;=(1+$FA$6)*INDEX($AC$9:$AC$55,22-1),$AC30&gt;=(1+$FA$6)*INDEX($AC$9:$AC$55,22+1))," · PEAK-","")&amp;IF($GZ30=1," · γSh Edge","")&amp;IF($HL30=1," · Trough","")&amp;IF($HN30=1," · PEAK+","")&amp;IF(AND(NOT($HN30=1),NOT(AND($DC30=1,$AB30&lt;0)),N($GY30)&lt;&gt;1,N($GF30)&lt;&gt;1,N($GZ30)&lt;&gt;1,N($HL30)&lt;&gt;1,N($CZ30)&lt;&gt;1,NOT(AND($AC30=MAX($AC$9:$AC$55),$AB30=MIN($AB$9:$AB$55))),$AC30&gt;=(1+$FA$6)*INDEX($AC$9:$AC$55,22-1),$AC30&gt;=(1+$FA$6)*INDEX($AC$9:$AC$55,22+1))," · Knoll","")&amp;IF($GF30=1," · Cluster",""),4,999),""))</f>
        <v>Cluster</v>
      </c>
      <c r="IF30">
        <f t="shared" si="100"/>
        <v>0</v>
      </c>
      <c r="IG30">
        <f>IFERROR(IF(AND(ISNUMBER($AA30),'King Node Model'!$A$8="Pos",OR($AG30="S",$AG30="R"),$IN30="interior",COUNTIF(IF($AG30="S",'Master Dashboard'!$AN$16:$AN$18,'Master Dashboard'!$AN$13:$AN$15),$AA30)=0,$AA30&lt;&gt;'King Node Model'!$T$22,$AA30&lt;&gt;'King Node Model'!$T$23,$AA30&lt;&gt;'King Node Model'!$F$24),1,0),0)</f>
        <v>0</v>
      </c>
      <c r="IH30">
        <f t="shared" si="101"/>
        <v>1</v>
      </c>
      <c r="II30">
        <f t="shared" si="190"/>
        <v>1</v>
      </c>
      <c r="IJ30">
        <f t="shared" si="102"/>
        <v>3</v>
      </c>
      <c r="IK30">
        <f t="shared" si="103"/>
        <v>1</v>
      </c>
      <c r="IL30">
        <f t="shared" si="191"/>
        <v>1</v>
      </c>
      <c r="IM30">
        <f t="shared" si="104"/>
        <v>1</v>
      </c>
      <c r="IN30" t="str">
        <f t="shared" si="105"/>
        <v/>
      </c>
      <c r="IO30">
        <v>1</v>
      </c>
      <c r="IP30">
        <v>1</v>
      </c>
      <c r="IQ30">
        <f>IFERROR(IF($AG30="S",IF(OR(COUNTIF($W$9:$W$14,$AA30)&gt;0,COUNTIF('King Node Model'!$AL$42:'King Node Model'!$AL$43,$AA30)&gt;0),1,0),IF($AG30="R",IF(OR(COUNTIF($W$18:$W$23,$AA30)&gt;0,COUNTIF('King Node Model'!$AL$49:'King Node Model'!$AL$50,$AA30)&gt;0),1,0),0)),0)</f>
        <v>0</v>
      </c>
      <c r="IS30">
        <f>IF(AND(ISNUMBER($AA30),N($AN30)&lt;&gt;1,N($LR30)&lt;&gt;1,OR(N($EN30)&lt;&gt;1,AND('King Node Model'!$A$8&lt;&gt;"Neg",N($BG$72)&lt;&gt;1)),$AA30&lt;&gt;'King Node Model'!$T$22,$AA30&lt;&gt;'King Node Model'!$T$23,$AA30&lt;&gt;'King Node Model'!$F$24,NOT(AND($AG30="S",COUNTIF('Master Dashboard'!$AN$16:$AN$18,$AA30)&gt;0)),NOT(AND($AG30="R",COUNTIF('Master Dashboard'!$AN$13:$AN$15,$AA30)&gt;0)),NOT(AND('King Node Model'!$A$8&lt;&gt;"Neg",N($BG$72)&lt;&gt;1,COUNTIF('Master Dashboard'!$AN$13:$AN$18,$AA30)&gt;0))),1,0)</f>
        <v>0</v>
      </c>
      <c r="IT30">
        <v>0</v>
      </c>
      <c r="IU30">
        <f>IF(AND(ISNUMBER($AA30),$AA30='King Node Model'!$F$24,$AA30&gt;$GJ$3,N($AD30)&lt;0,$F$4="High"),1,0)</f>
        <v>0</v>
      </c>
      <c r="IV30" t="str">
        <f>""</f>
        <v/>
      </c>
      <c r="IW30">
        <f>IFERROR(IF(AND(ISNUMBER($AA30),NOT(AND(N($LR30)=1,N($MB30)=1)),$AG30="S",OR('King Node Model'!$A$8="Neg",N($BG$72)=1),$JV30="SELL",ABS(N($AD30))&gt;=$BG$94,NOT(AND(N($AD30)&gt;0,N($BG$78)=1,MEDIAN($AA30-$BG$82,$B$4,$AA30+$BG$83)=$B$4))),1,0),0)</f>
        <v>0</v>
      </c>
      <c r="IX30">
        <f>IFERROR(IF(AND(ISNUMBER($AA30),$AG30="S",OR('King Node Model'!$A$8="Neg",N($BG$72)=1),N($AD30)&gt;0,N($BG$78)=1,MEDIAN($AA30-$BG$82,$B$4,$AA30+$BG$83)=$B$4),1,0),0)</f>
        <v>0</v>
      </c>
      <c r="IY30" t="str">
        <f t="shared" si="106"/>
        <v>BUY</v>
      </c>
      <c r="IZ30">
        <f>IFERROR(IF(AND(ISNUMBER($AA30),$FA30&lt;&gt;"DOM",$AA30&lt;&gt;'King Node Model'!$F$24,OR(AND($AG30="S",COUNTIF('Master Dashboard'!$AN$16:$AN$18,$AA30)=0,N(INDEX($AE$9:$AE$55,MATCH($AA30+$BG$84,$AA$9:$AA$55,0)))&lt;=-$BG$85),AND($AG30="R",COUNTIF('Master Dashboard'!$AN$13:$AN$15,$AA30)=0,N(INDEX($AE$9:$AE$55,MATCH($AA30-$BG$84,$AA$9:$AA$55,0)))&gt;=$BG$85))),1,0),0)</f>
        <v>0</v>
      </c>
      <c r="JC30">
        <f t="shared" si="108"/>
        <v>0</v>
      </c>
      <c r="JD30" t="str">
        <f t="shared" si="193"/>
        <v>P</v>
      </c>
      <c r="JE30">
        <f>IF(ISNUMBER($AA30),N(IFERROR(INDEX('King Node Model'!$L$29:$L$75,MATCH($AA30,'King Node Model'!$A$29:$A$75,0)),0)),"")</f>
        <v>2693</v>
      </c>
      <c r="JF30">
        <f>IF(ISNUMBER($AA30),N(IFERROR(INDEX('King Node Model'!$K$29:$K$75,MATCH($AA30,'King Node Model'!$A$29:$A$75,0)),0)),"")</f>
        <v>739</v>
      </c>
      <c r="JG30">
        <f t="shared" si="109"/>
        <v>3.6441136671177268</v>
      </c>
      <c r="JH30">
        <f t="shared" si="110"/>
        <v>0.27441515038989972</v>
      </c>
      <c r="JI30">
        <f t="shared" si="111"/>
        <v>0</v>
      </c>
      <c r="JJ30" t="str">
        <f t="shared" si="112"/>
        <v/>
      </c>
      <c r="JK30">
        <f t="shared" si="113"/>
        <v>1</v>
      </c>
      <c r="JL30">
        <f t="shared" si="114"/>
        <v>0</v>
      </c>
      <c r="JM30">
        <f t="shared" si="115"/>
        <v>0</v>
      </c>
      <c r="JN30">
        <f t="shared" si="116"/>
        <v>1</v>
      </c>
      <c r="JO30">
        <f t="shared" si="117"/>
        <v>1</v>
      </c>
      <c r="JP30">
        <f t="shared" si="118"/>
        <v>0</v>
      </c>
      <c r="JQ30">
        <f t="shared" si="119"/>
        <v>0</v>
      </c>
      <c r="JR30">
        <v>0</v>
      </c>
      <c r="JS30">
        <f>IFERROR(IF(AND(ISNUMBER($AA30),'King Node Model'!$A$8="Pos",OR($AG30="S",$AG30="R"),N($AB30)&gt;0,N($HP30)&lt;&gt;1,OR(AND($KC30="DOWN",N($AF30)&lt;0,N($AF30)=MIN($AF$9:$AF$55),-N($AF30)&gt;=MAX($AF$9:$AF$55)),AND($KC30="UP",N($AF30)&gt;0,N($AF30)=MAX($AF$9:$AF$55),N($AF30)&gt;=-MIN($AF$9:$AF$55)))),1,0),0)</f>
        <v>0</v>
      </c>
      <c r="JT30">
        <v>0</v>
      </c>
      <c r="JU30">
        <f>IFERROR(IF(AND(N($BG$109)=1,ISNUMBER($AA30),'King Node Model'!$A$8="Pos",N($CZ30)=1,N($AB30)&gt;0),1,0),0)</f>
        <v>0</v>
      </c>
      <c r="JV30" t="str">
        <f t="shared" si="120"/>
        <v>BUY</v>
      </c>
      <c r="JW30">
        <f t="shared" si="121"/>
        <v>1</v>
      </c>
      <c r="JX30">
        <f t="shared" si="122"/>
        <v>1</v>
      </c>
      <c r="JY30">
        <f t="shared" si="123"/>
        <v>0</v>
      </c>
      <c r="JZ30">
        <f t="shared" si="124"/>
        <v>0</v>
      </c>
      <c r="KA30">
        <f t="shared" si="125"/>
        <v>0</v>
      </c>
      <c r="KB30">
        <f t="shared" si="126"/>
        <v>0</v>
      </c>
      <c r="KC30" t="str">
        <f t="shared" si="127"/>
        <v>UP</v>
      </c>
      <c r="KE30" t="str">
        <f t="shared" si="128"/>
        <v>Now: strengthening the ceiling (IV rising) · if IV falls: weakens the ceiling · expected on arrival: STRENGTHENS ✓</v>
      </c>
      <c r="KF30" t="str">
        <f t="shared" si="129"/>
        <v>BUY</v>
      </c>
      <c r="KG30">
        <f t="shared" si="192"/>
        <v>0</v>
      </c>
      <c r="KH30" t="str">
        <f t="shared" si="130"/>
        <v/>
      </c>
      <c r="KI30" t="str">
        <f t="shared" si="131"/>
        <v/>
      </c>
      <c r="KJ30">
        <f t="shared" si="132"/>
        <v>0</v>
      </c>
      <c r="KK30">
        <f t="shared" si="133"/>
        <v>0</v>
      </c>
      <c r="KL30">
        <f t="shared" si="134"/>
        <v>0</v>
      </c>
      <c r="KM30">
        <f t="shared" si="135"/>
        <v>0</v>
      </c>
      <c r="KN30">
        <f t="shared" si="136"/>
        <v>0</v>
      </c>
      <c r="KO30">
        <v>0</v>
      </c>
      <c r="KP30">
        <f t="shared" si="137"/>
        <v>0</v>
      </c>
      <c r="KQ30">
        <f t="shared" si="138"/>
        <v>0</v>
      </c>
      <c r="KR30">
        <f t="shared" si="139"/>
        <v>0</v>
      </c>
      <c r="KS30">
        <f t="shared" si="140"/>
        <v>0</v>
      </c>
      <c r="KT30">
        <f t="shared" si="141"/>
        <v>0</v>
      </c>
      <c r="KU30">
        <f>IF(AND(ISNUMBER($AA30),ISNUMBER($AE30),ISNUMBER($AE29),N($AE30)&lt;&gt;0),($AE30-$AE29)/$AE30,"")</f>
      </c>
      <c r="KV30">
        <f>IF(AND(ISNUMBER($AA30),ISNUMBER($AE30),ISNUMBER($AE31),N($AE30)&lt;&gt;0),($AE30-$AE31)/$AE30,"")</f>
      </c>
      <c r="KW30">
        <f>IFERROR(IF(OR(NOT(ISNUMBER($AA30)),'King Node Model'!$A$8&lt;&gt;"Pos",N($BG$72)=1,ABS(N($AE30))&lt;$BG$113,$FA30="DOM",$AA30='King Node Model'!$T$23,AND(N($BG$116)=1,$AA30='King Node Model'!$F$24),NOT(ISNUMBER($KU30)),NOT(ISNUMBER($KV30))),0,IF(AND($AG30="S",COUNTIF('Master Dashboard'!$AN$16:$AN$18,$AA30)=0,$KU30&gt;=$BG$114,$KU30&gt;=$KV30+$BG$115),1,IF(AND($AG30="R",COUNTIF('Master Dashboard'!$AN$13:$AN$15,$AA30)=0,$KV30&gt;=$BG$114,$KV30&gt;=$KU30+$BG$115),-1,0))),0)</f>
        <v>0</v>
      </c>
      <c r="KX30">
        <f t="shared" si="144"/>
        <v>0</v>
      </c>
      <c r="KY30">
        <f t="shared" si="145"/>
        <v>0</v>
      </c>
      <c r="KZ30">
        <f t="shared" si="146"/>
        <v>0</v>
      </c>
      <c r="LA30">
        <f t="shared" si="147"/>
        <v>1</v>
      </c>
      <c r="LB30">
        <f t="shared" si="148"/>
        <v>0</v>
      </c>
      <c r="LC30">
        <f t="shared" si="149"/>
        <v>0</v>
      </c>
      <c r="LD30">
        <f t="shared" si="150"/>
        <v>0</v>
      </c>
      <c r="LE30">
        <f t="shared" si="151"/>
        <v>0</v>
      </c>
      <c r="LF30">
        <f t="shared" si="152"/>
        <v>0</v>
      </c>
      <c r="LG30" t="str">
        <f t="shared" si="153"/>
        <v/>
      </c>
      <c r="LH30" t="str">
        <f t="shared" si="154"/>
        <v/>
      </c>
      <c r="LI30" t="str">
        <f t="shared" si="155"/>
        <v/>
      </c>
      <c r="LJ30" t="str">
        <f t="shared" si="156"/>
        <v/>
      </c>
      <c r="LK30" t="str">
        <f t="shared" si="157"/>
        <v/>
      </c>
      <c r="LL30">
        <f t="shared" si="158"/>
        <v>0</v>
      </c>
      <c r="LM30">
        <f t="shared" si="159"/>
        <v>0</v>
      </c>
      <c r="LN30">
        <f t="shared" si="160"/>
        <v>0</v>
      </c>
      <c r="LO30">
        <v>0</v>
      </c>
      <c r="LP30">
        <f t="shared" si="161"/>
        <v>0</v>
      </c>
      <c r="LQ30" t="str">
        <f t="shared" si="162"/>
        <v/>
      </c>
      <c r="LR30">
        <f t="shared" si="163"/>
        <v>0</v>
      </c>
      <c r="LS30">
        <f t="shared" si="164"/>
        <v>0</v>
      </c>
      <c r="LT30">
        <f t="shared" si="165"/>
        <v>1</v>
      </c>
      <c r="LU30">
        <f t="shared" si="166"/>
        <v>-923901</v>
      </c>
      <c r="LV30">
        <f t="shared" si="167"/>
        <v>0</v>
      </c>
      <c r="LW30">
        <f t="shared" si="168"/>
        <v>0</v>
      </c>
      <c r="LX30">
        <f t="shared" si="169"/>
        <v>0</v>
      </c>
      <c r="LY30">
        <f t="shared" si="170"/>
        <v>0</v>
      </c>
      <c r="LZ30">
        <f t="shared" si="171"/>
        <v>0</v>
      </c>
      <c r="MA30">
        <f t="shared" si="172"/>
        <v>0</v>
      </c>
      <c r="MB30">
        <v>0</v>
      </c>
      <c r="MC30">
        <f t="shared" si="173"/>
        <v>1</v>
      </c>
      <c r="MD30">
        <f t="shared" si="174"/>
        <v>1</v>
      </c>
      <c r="ME30">
        <f t="shared" si="175"/>
        <v>0</v>
      </c>
      <c r="MF30">
        <f t="shared" si="176"/>
        <v>0</v>
      </c>
      <c r="MG30">
        <f t="shared" si="177"/>
        <v>0</v>
      </c>
      <c r="MH30">
        <f t="shared" si="178"/>
        <v>0</v>
      </c>
      <c r="MI30" t="str">
        <f t="shared" si="179"/>
        <v/>
      </c>
      <c r="MJ30">
        <f t="shared" si="180"/>
        <v>0</v>
      </c>
      <c r="MK30">
        <f t="shared" si="181"/>
        <v>0</v>
      </c>
      <c r="ML30">
        <f>IF(AND(OR('King Node Model'!$A$8="Neg",N($BG$72)=1),ISNUMBER($AA30),$AG30="R",N($AB30)&lt;0),IF(AND($AA29=$AA30+5,N($AB29)&gt;0,$AA28=$AA30+10,N($AB28)&lt;0),1,IF(AND($AA29=$AA30+5,N($AB29)&gt;0,$AA28=$AA30+10,N($AB28)&gt;0,$AA27=$AA30+15,N($AB27)&lt;0),2,IF(AND($AA29=$AA30+5,N($AB29)&gt;0,$AA28=$AA30+10,N($AB28)&gt;0,$AA27=$AA30+15,N($AB27)&gt;0,$AA26=$AA30+20,N($AB26)&lt;0),3,IF(AND($AA29=$AA30+5,N($AB29)&gt;0,$AA28=$AA30+10,N($AB28)&gt;0,$AA27=$AA30+15,N($AB27)&gt;0,$AA26=$AA30+20,N($AB26)&gt;0,$AA25=$AA30+25,N($AB25)&lt;0),4,0)))),0)</f>
      </c>
      <c r="MM30">
        <f>IF(AND(OR('King Node Model'!$A$8="Neg",N($BG$72)=1),ISNUMBER($AA30),$AG30="S",N($AB30)&lt;0),IF(AND($AA31=$AA30-5,N($AB31)&gt;0,$AA32=$AA30-10,N($AB32)&lt;0),1,IF(AND($AA31=$AA30-5,N($AB31)&gt;0,$AA32=$AA30-10,N($AB32)&gt;0,$AA33=$AA30-15,N($AB33)&lt;0),2,IF(AND($AA31=$AA30-5,N($AB31)&gt;0,$AA32=$AA30-10,N($AB32)&gt;0,$AA33=$AA30-15,N($AB33)&gt;0,$AA34=$AA30-20,N($AB34)&lt;0),3,IF(AND($AA31=$AA30-5,N($AB31)&gt;0,$AA32=$AA30-10,N($AB32)&gt;0,$AA33=$AA30-15,N($AB33)&gt;0,$AA34=$AA30-20,N($AB34)&gt;0,$AA35=$AA30-25,N($AB35)&lt;0),4,0)))),0)</f>
      </c>
      <c r="MN30">
        <f>IF(N($ML30)&gt;0,$AA30,0)</f>
      </c>
      <c r="MO30">
        <f>IF(N($MM30)&gt;0,$AA30,0)</f>
      </c>
      <c r="MP30">
        <f>IF(AND(OR('King Node Model'!$A$8="Neg",N($BG$72)=1),ISNUMBER($BG$155),$AA30=$BG$155,N($NC30)=1),2,IF(AND(OR('King Node Model'!$A$8="Neg",N($BG$72)=1),ISNUMBER($BG$156),$AA30=$BG$156,N($ND30)=1),1,0))</f>
      </c>
      <c r="MQ30">
        <f>IF(ABS(AE30)&lt;=0,0,IF($AG30="R",IF(ISNUMBER(AE29),IF((ABS(AE29)-ABS(AE30))/ABS(AE30)&lt;-0.4,1,0),0),IF(ISNUMBER(AE31),IF((ABS(AE31)-ABS(AE30))/ABS(AE30)&lt;-0.4,1,0),0)))</f>
      </c>
      <c r="MR30">
        <f>IF(OR(N($MQ30)&lt;&gt;1,N($BG$157)&lt;&gt;1,NOT(ISNUMBER($KU30)),NOT(ISNUMBER($KV30))),0,IF(OR(AND($AG30="S",OR(AND($KU30&gt;=$BG$114,$KU30&gt;=$KV30+$BG$115),AND($KU30&gt;1,$KV30&lt;=1,$KV30&gt;=$BG$114))),AND($AG30="R",OR(AND($KV30&gt;=$BG$114,$KV30&gt;=$KU30+$BG$115),AND($KV30&gt;1,$KU30&lt;=1,$KU30&gt;=$BG$114)))),1,0))</f>
      </c>
      <c r="MS30" t="str">
        <f>IF(AND(N($MR30)=1,N($NA30)&lt;&gt;1),"• DEX falls off more sharply "&amp;IF($AG30="S","above (","below (")&amp;TEXT(IF($AG30="S",$KU30,$KV30),"0%")&amp;") than "&amp;IF($AG30="S","below (","above (")&amp;TEXT(IF($AG30="S",$KV30,$KU30),"0%")&amp;") — Dex↓ not counted",IF(N($MW30)=1,"• Shoulder of the "&amp;IF($AG30="R",$AA31,$AA29)&amp;" wall — own DEX "&amp;TEXT($AE30/1000,"+#,##0;-#,##0")&amp;"K is "&amp;TEXT(ABS($AE30)/ABS(IF($AG30="R",$AE31,$AE29)),"0%")&amp;" of "&amp;TEXT(IF($AG30="R",$AE31,$AE29)/1000,"+#,##0;-#,##0")&amp;"K, Dex↓ not counted",""))</f>
      </c>
      <c r="MT30">
        <f>IF(AND(ISNUMBER($AA30),$AG30="S",ISNUMBER($AB30),$AB30=MIN($AB$9:$AB$55),$AA30=$BG$105,$JV30="BUY",ABS(N($AD30))&gt;=$BG$158),1,0)</f>
      </c>
      <c r="MU30" t="str">
        <f>IF(N($MY30)=1,"",IF(OR(N($MT30)=1,AND(OR('King Node Model'!$A$8="Neg",N($BG$72)=1),$AG30="S",ISNUMBER($AB30),$AB30=MIN($AB$9:$AB$55),$AA30=$BG$105)),"• Min GEX + Max Zomma (no reversal flag required) — accelerant warning not applied; zomma acceleration warning only within "&amp;$BG$98&amp;" pts of the level, and not when vanna buying is "&amp;TEXT($BG$158/1000,"0")&amp;"K or more"&amp;CHAR(10)&amp;IF(N($MT30)=1,"• Max Zomma and vanna buying ("&amp;TEXT(N($AD30)/1000,"+#,##0;-#,##0")&amp;"K) make this level safe","• Max Zomma is what makes this level safe"),"")&amp;$NB30&amp;$NI30)</f>
      </c>
      <c r="MV30" t="str">
        <f>IF(AND(ISNUMBER($AA30),OR($AA30=$BG$118,$AA30=$BG$119)),IF(N($AZ30)*IF($AG30="R",1,-1)&gt;0,"✓",IF(N($AZ30)*IF($AG30="R",1,-1)&lt;0,"✗","")),"")</f>
      </c>
      <c r="MW30">
        <f>IF(AND(N($MQ30)=1,N($BG$159)&gt;0,ISNUMBER(IF($AG30="R",$AE31,$AE29)),N(IF($AG30="R",$AE31,$AE29))&lt;&gt;0),IF(ABS(N($AE30))&lt;$BG$159*ABS(IF($AG30="R",$AE31,$AE29)),1,0),0)</f>
      </c>
      <c r="MX30">
        <f>IF(AND(ISNUMBER($AA30),$AA30=$BG$121,$AG30="R",N($AE30)&lt;0,OR(COUNTIF('King Node Model'!$AL$42:$AL$44,$AA30)=0,N($HP30)=1),N($NC30)=1),2,IF(AND(ISNUMBER($AA30),$AA30=$BG$120,$AG30="S",N($AE30)&gt;0,OR(COUNTIF('King Node Model'!$AL$49:$AL$51,$AA30)=0,N($HP30)=1),N($ND30)=1),1,0))</f>
      </c>
      <c r="MY30">
        <f>IF(AND(N($NA30)=1,NOT(AND(AND($AG30="S",ISNUMBER($AB30),$AB30=MIN($AB$9:$AB$55),$AA30=$BG$105),IFERROR(INDEX($AG$9:$AG$55,MATCH('King Node Model'!$B$23,$AA$9:$AA$55,0)),"")="R")),N($AV30)&lt;&gt;1),1,0)</f>
      </c>
      <c r="MZ30" t="str">
        <f>IF(N($MY30)&lt;&gt;1,"","• DEX falls off more sharply "&amp;IF($AG30="S","above (","below (")&amp;TEXT(IF($AG30="S",$KU30,$KV30),"0%")&amp;") than "&amp;IF($AG30="S","below (","above (")&amp;TEXT(IF($AG30="S",$KV30,$KU30),"0%")&amp;") — path of least resistance "&amp;IF($AG30="S","down","up")&amp;IF(N($AZ30)*IF($AG30="R",1,-1)&lt;0,CHAR(10)&amp;"• Speed against — GEX gets more negative as price "&amp;IF($AG30="R","rises","falls")&amp;" into it (speed "&amp;TEXT(N($AZ30),"#,##0;−#,##0")&amp;")","")&amp;IF(OR(N($NG30)=1,N($JC30)=1),CHAR(10)&amp;"• "&amp;IF(N($JC30)=1,"DOM with vanna BUY "&amp;TEXT(N($AD30)/1000,"+#,##0;−#,##0")&amp;"K","Put wall + Max Zomma + DOM")&amp;" backs the level, but it does not outweigh DEX"&amp;IF(N($AZ30)*IF($AG30="R",1,-1)&lt;0," and speed",""),IF(AND($AG30="S",ISNUMBER($AB30),$AB30=MIN($AB$9:$AB$55),$AA30=$BG$105),CHAR(10)&amp;"• Min GEX + Max Zomma backs the level, but it does not outweigh DEX"&amp;IF(N($AZ30)*IF($AG30="R",1,-1)&lt;0," and speed",""),IF(OR(N($JI30)=1,AND(N($GV30)=1,N($JK30)&lt;&gt;1,N($IW30)&lt;&gt;1),N($JC30)=1,AND($AA30='King Node Model'!$F$24,N($JN30)&lt;&gt;1,OR($AG30="R",AND($AG30="S",$F$4="High",IF($BG$80&lt;&gt;"",UPPER($BG$80),$D$5)="UP")))),CHAR(10)&amp;"• Vanna "&amp;IF($AG30="S","BUY ","SELL ")&amp;TEXT(N($AD30)/1000,"+#,##0;−#,##0")&amp;"K backs the level, but it does not outweigh DEX"&amp;IF(N($AZ30)*IF($AG30="R",1,-1)&lt;0," and speed",""),"")))&amp;IF(N($NE30)=1,CHAR(10)&amp;"• Buy-lean max-node exemption not applied — DEX leans against the level",""))</f>
      </c>
      <c r="NA30">
        <f>IF(AND(OR('King Node Model'!$A$8="Neg",N($BG$72)=1),ISNUMBER($AA30),ABS(N($AE30))&gt;=$BG$152,ISNUMBER($KU30),ISNUMBER($KV30)),IF(OR(AND($AG30="S",OR(AND($KU30&gt;=$BG$114,$KU30&gt;=$KV30+$BG$115),AND($KU30&gt;1,$KV30&lt;=1,$KV30&gt;=$BG$114))),AND($AG30="R",OR(AND($KV30&gt;=$BG$114,$KV30&gt;=$KU30+$BG$115),AND($KV30&gt;1,$KU30&lt;=1,$KU30&gt;=$BG$114)))),1,0),0)</f>
      </c>
      <c r="NB30" t="str">
        <f>IF(AND(N($NA30)=1,AND(AND($AG30="S",ISNUMBER($AB30),$AB30=MIN($AB$9:$AB$55),$AA30=$BG$105),IFERROR(INDEX($AG$9:$AG$55,MATCH('King Node Model'!$B$23,$AA$9:$AA$55,0)),"")="R")),CHAR(10)&amp;"• DEX falls off more sharply above ("&amp;TEXT($KU30,"0%")&amp;") than below ("&amp;TEXT($KV30,"0%")&amp;") — DEX-lean warning not applied: Min GEX + Max Zomma support with Max Gamma "&amp;'King Node Model'!$B$23&amp;" above (Dex↓ not counted)",IF(AND(OR(N($NA30)=1,N($NF30)=1),N($AV30)=1),IF(AND(OR('King Node Model'!$A$8="Neg",N($BG$72)=1),$AG30="S",ISNUMBER($AB30),$AB30=MIN($AB$9:$AB$55),$AA30=$BG$105),CHAR(10),"")&amp;"• DEX falls off more sharply "&amp;IF($AG30="S","above (","below (")&amp;TEXT(IF($AG30="S",$KU30,$KV30),"0%")&amp;") than "&amp;IF($AG30="S","below (","above (")&amp;TEXT(IF($AG30="S",$KV30,$KU30),"0%")&amp;") — DEX lean does not apply to iDex (isolated DEX)",""))</f>
      </c>
      <c r="NC30">
        <f>IF(OR($BG$163=1,AND($BG$161&gt;0,$BG$162&lt;99999,ISNUMBER($AA30),$AA30&lt;$BG$162)),1,0)</f>
      </c>
      <c r="ND30">
        <f>IF(OR($BG$163=-1,AND($BG$161&gt;0,$BG$162&lt;99999,ISNUMBER($AA30),$AA30&gt;$BG$161)),1,0)</f>
      </c>
      <c r="NE30">
        <f>IF(AND(OR('King Node Model'!$A$8="Neg",N($BG$72)=1),ISNUMBER(SEARCH("LOW",'Master Dashboard'!$M$5)),ISNUMBER(SEARCH("BUY",'Master Dashboard'!$G$8)),'King Node Model'!$T$23='King Node Model'!$B$23,OR($AA30='King Node Model'!$T$23,AND($AG30="R",$AA30='King Node Model'!$T$23+5)),OR(AND($AG30="S",$JV30="BUY"),AND($AG30="R",$JV30="SELL"))),1,0)</f>
      </c>
      <c r="NF30">
        <f>IFERROR(IF(OR(NOT(ISNUMBER($AA30)),'King Node Model'!$A$8&lt;&gt;"Pos",N($BG$72)=1,ABS(N($AE30))&lt;$BG$113,$FA30="DOM",$AA30='King Node Model'!$T$23,AND(N($BG$116)=1,$AA30='King Node Model'!$F$24),NOT(ISNUMBER($KU30)),NOT(ISNUMBER($KV30))),0,IF(AND($AG30="S",COUNTIF('Master Dashboard'!$AN$16:$AN$18,$AA30)=0,$KU30&gt;=$BG$114,$KU30&gt;=$KV30+$BG$115,NOT(AND(N($AN31)=1,N($KV30)&lt;0)),N($AE30)&lt;=0),1,IF(AND($AG30="R",COUNTIF('Master Dashboard'!$AN$13:$AN$15,$AA30)=0,$KV30&gt;=$BG$114,$KV30&gt;=$KU30+$BG$115,NOT(AND(N($AN29)=1,N($KU30)&lt;0))),-1,0))),0)</f>
      </c>
      <c r="NG30">
        <f t="shared" si="202"/>
      </c>
      <c r="NI30" t="str">
        <f>IF(AND(ISNUMBER($BG$165),ISNUMBER($AA30)),IF(OR(AND($AG30="S",$AA30&gt;$BG$165,$AA30-$BG$165&lt;=5),AND($AG30="R",$AA30&lt;$BG$165,$BG$165-$AA30&lt;=5)),IF(OR(AND(OR('King Node Model'!$A$8="Neg",N($BG$72)=1),$AG30="S",ISNUMBER($AB30),$AB30=MIN($AB$9:$AB$55),$AA30=$BG$105),$NB30&lt;&gt;""),CHAR(10),"")&amp;"• DOM forming at "&amp;$BG$165&amp;" (gamma "&amp;TEXT($BG$166,"0%")&amp;" of max) — price may be pulled to the node",""),"")</f>
      </c>
      <c r="NJ30">
        <f>IF(LEN($NI30)&gt;0,1,0)</f>
      </c>
    </row>
    <row r="31" spans="1:349" ht="15" customHeight="1" x14ac:dyDescent="0.25">
      <c r="AA31" s="181">
        <f>'King Node Model'!A51</f>
        <v>7775</v>
      </c>
      <c r="AB31" s="276">
        <f>'King Node Model'!C51</f>
        <v>-49207</v>
      </c>
      <c r="AC31" s="181">
        <f>ABS('King Node Model'!B51)</f>
        <v>4056043</v>
      </c>
      <c r="AD31" s="276">
        <f>'King Node Model'!F51</f>
        <v>8652</v>
      </c>
      <c r="AE31" s="276">
        <f>'King Node Model'!E51</f>
        <v>81141</v>
      </c>
      <c r="AF31" s="276">
        <f>'King Node Model'!D51</f>
        <v>361389</v>
      </c>
      <c r="AG31" s="181" t="str">
        <f t="shared" si="6"/>
        <v>S</v>
      </c>
      <c r="AH31" s="181">
        <f t="shared" si="7"/>
        <v>2</v>
      </c>
      <c r="AI31" s="181" t="str">
        <f t="shared" si="8"/>
        <v>SELL</v>
      </c>
      <c r="AJ31" s="181">
        <f t="shared" si="9"/>
        <v>0</v>
      </c>
      <c r="AK31" s="181">
        <f>IF(ABS(N($AE31))&gt;=$BG$85,1,0)</f>
      </c>
      <c r="AL31" s="181">
        <f t="shared" si="10"/>
        <v>0</v>
      </c>
      <c r="AM31" s="181">
        <f t="shared" si="11"/>
        <v>5</v>
      </c>
      <c r="AN31" s="181">
        <f t="shared" si="12"/>
        <v>1</v>
      </c>
      <c r="AO31" s="1" t="str">
        <f t="shared" si="13"/>
        <v/>
      </c>
      <c r="AP31" s="1">
        <f t="shared" si="14"/>
        <v>81141</v>
      </c>
      <c r="AQ31" s="1">
        <f t="shared" si="15"/>
        <v>361389</v>
      </c>
      <c r="AR31" s="181">
        <f t="shared" si="16"/>
        <v>1.6256802845080265</v>
      </c>
      <c r="AS31" s="181">
        <f t="shared" si="17"/>
        <v>1</v>
      </c>
      <c r="AT31" s="181">
        <f t="shared" si="18"/>
        <v>7775</v>
      </c>
      <c r="AU31" s="181">
        <f t="shared" si="19"/>
        <v>7775</v>
      </c>
      <c r="AV31" s="218">
        <f t="shared" si="183"/>
        <v>1</v>
      </c>
      <c r="AW31" s="181">
        <f>ABS('King Node Model'!G51)</f>
        <v>20</v>
      </c>
      <c r="AX31" s="181">
        <f t="shared" si="20"/>
        <v>0</v>
      </c>
      <c r="AY31" s="181">
        <f t="shared" si="21"/>
        <v>0</v>
      </c>
      <c r="AZ31" s="276">
        <f>'King Node Model'!I51</f>
        <v>58</v>
      </c>
      <c r="BA31" s="181">
        <f t="shared" si="22"/>
        <v>0</v>
      </c>
      <c r="BB31" s="181" t="str">
        <f t="shared" si="23"/>
        <v>S1</v>
      </c>
      <c r="BC31" s="10">
        <f>'King Node Model'!C51</f>
        <v>-49207</v>
      </c>
      <c r="BD31" s="218">
        <f t="shared" si="184"/>
        <v>0</v>
      </c>
      <c r="BE31" s="218">
        <f t="shared" si="185"/>
        <v>0</v>
      </c>
      <c r="BF31" s="218" t="s">
        <v>1240</v>
      </c>
      <c r="BG31">
        <v>150000</v>
      </c>
      <c r="BI31" s="218">
        <f t="shared" si="186"/>
        <v>0</v>
      </c>
      <c r="BJ31" s="218">
        <f t="shared" si="187"/>
        <v>0</v>
      </c>
      <c r="BK31" s="218">
        <f t="shared" si="24"/>
        <v>0</v>
      </c>
      <c r="BL31" s="10">
        <f>'King Node Model'!H51</f>
        <v>209</v>
      </c>
      <c r="BM31" s="218">
        <f t="shared" si="25"/>
        <v>2</v>
      </c>
      <c r="BN31" s="218">
        <f t="shared" si="26"/>
        <v>47</v>
      </c>
      <c r="BO31" s="218">
        <f t="shared" si="27"/>
        <v>1</v>
      </c>
      <c r="BP31" s="218">
        <f t="shared" si="28"/>
        <v>0</v>
      </c>
      <c r="BQ31" t="str">
        <f t="shared" si="29"/>
        <v/>
      </c>
      <c r="BR31" t="str">
        <f t="shared" si="30"/>
        <v/>
      </c>
      <c r="BS31" s="218">
        <f t="shared" si="31"/>
        <v>1</v>
      </c>
      <c r="BT31" t="str">
        <f t="shared" si="32"/>
        <v/>
      </c>
      <c r="BU31">
        <f t="shared" si="33"/>
        <v>1</v>
      </c>
      <c r="BV31" s="218">
        <f t="shared" si="34"/>
        <v>8652</v>
      </c>
      <c r="BW31" s="218">
        <f t="shared" si="35"/>
        <v>81141</v>
      </c>
      <c r="BX31" s="218">
        <f>IF(AND(ISNUMBER(BC31),BC31&gt;=$BG$160,OR('King Node Model'!$A$8="Neg",N($BG$72)=1)),1,0)</f>
        <v>0</v>
      </c>
      <c r="BY31" s="218">
        <f t="shared" si="36"/>
        <v>0</v>
      </c>
      <c r="BZ31" s="218">
        <f t="shared" si="37"/>
        <v>0</v>
      </c>
      <c r="CA31" t="str">
        <f t="shared" si="38"/>
        <v/>
      </c>
      <c r="CB31" s="218">
        <f>IF(AND(ISNUMBER('King Node Model'!$D$27),AG31&lt;&gt;"",AA31='King Node Model'!$D$27),1,0)</f>
        <v>1</v>
      </c>
      <c r="CC31" s="218">
        <f>IF(OR('King Node Model'!$A$8="Neg",N($BG$72)=1),$BG$14*IF(ISNUMBER('King Node Model'!$D$26),MAX(0,1-ABS(AA31-'King Node Model'!$D$26)/$BG$18),0)+$BG$15*IFERROR(BV31/MAX($BV$9:$BV$55),0)+$BG$16*IFERROR(BW31/MAX($BW$9:$BW$55),0)+$BG$17*IFERROR(AC31/$S$11,0)*MAX(0,1+$BG$21*CF31),AR31)</f>
        <v>0.80219306332363483</v>
      </c>
      <c r="CD31" s="218">
        <f>IF(OR('King Node Model'!$A$8="Neg",N($BG$72)=1),IF(AND(AG31&lt;&gt;"",ABS(AA31-$B$4)&lt;=$BG$7,OR(AX31=0,$D$5&lt;&gt;"UP"),AY31=0,BK31&lt;&gt;1,CI31=0,AM31&gt;=$BG$20,AC31&gt;$BG$19),1,0),IF(AND(BS31=1,(COUNTIF($W$9:$W$14,AA31)+COUNTIF($W$18:$W$23,AA31))&gt;0,CI31=0,AM31&gt;=$BG$20,AC31&gt;$BG$19),1,0))</f>
        <v>1</v>
      </c>
      <c r="CE31" s="322" t="str">
        <f t="shared" si="39"/>
        <v/>
      </c>
      <c r="CF31" s="218">
        <f t="shared" si="40"/>
        <v>0</v>
      </c>
      <c r="CG31" t="str">
        <f t="shared" si="41"/>
        <v/>
      </c>
      <c r="CH31" t="str">
        <f t="shared" si="42"/>
        <v>Dormant</v>
      </c>
      <c r="CI31" s="218">
        <f t="shared" si="43"/>
        <v>0</v>
      </c>
      <c r="CJ31" s="218">
        <f t="shared" si="44"/>
        <v>0.39000000000032742</v>
      </c>
      <c r="CK31" s="218">
        <f t="shared" si="45"/>
        <v>0</v>
      </c>
      <c r="CL31" s="218">
        <f t="shared" si="46"/>
        <v>1</v>
      </c>
      <c r="CR31" t="s">
        <v>1491</v>
      </c>
      <c r="CS31" t="str">
        <f>IF(NOT(AND(ISNUMBER($CS$26),ISNUMBER($CS$27))),"fail -&gt; UNSAFE",IF(AND($CS$26&gt;0,ABS($CS$26)&gt;=$CS$27),"PASS -&gt; γ-PIN","fail -&gt; UNSAFE"))</f>
        <v>fail -&gt; UNSAFE</v>
      </c>
      <c r="CU31" s="218">
        <f>IF(AND(AND('King Node Model'!$A$8&lt;&gt;"Neg",N($BG$72)&lt;&gt;1),SUMPRODUCT(($AG$9:$AG$55="S")*ISNUMBER($AT$9:$AT$55)*ISNUMBER($AU$9:$AU$55)*($AT$9:$AT$55&lt;&gt;$AU$9:$AU$55)*($AT$9:$AT$55&lt;=$AA31)*($AU$9:$AU$55&gt;=$AA31))&gt;0),0,IF(AND(OR($AA31='King Node Model'!$T$22,$AA31='King Node Model'!$F$24),$AG31="R",COUNTIF($W$9:$W$14,$AA31)&gt;0),1,IF(AND($FN31=1,$EU31&lt;&gt;1,$EM31&lt;&gt;1,$BK31&lt;&gt;1,$DH31&lt;&gt;1,$AG31="R",COUNTIF($W$9:$W$14,$AA31)&gt;0),1,IF($EU31=1,0,IF($EM31=1,0,IF(AND(OR($EE31=1,$GV31=1,AND($EL$7=1,$AA31='King Node Model'!$D$26,$EI31=1),AND(OR($AA31='King Node Model'!$T$22,$AA31='King Node Model'!$T$23),$AN31=1,OR($AX31=0,$D$5&lt;&gt;"UP"))),OR(NOT(OR('King Node Model'!$A$8="Neg",N($BG$72)=1)),$GV31=1,AND(OR($AA31='King Node Model'!$T$22,$AA31='King Node Model'!$T$23),$AN31=1,OR($AX31=0,$D$5&lt;&gt;"UP")),AND($AM31&gt;=$BG$20,$AC31&gt;IF($CZ31=1,$BG$48,$BG$19)))),1,IF($DH31=1,0,IF(AND($DC31=1,$GS31&lt;&gt;1,AND('King Node Model'!$A$8&lt;&gt;"Neg",N($BG$72)&lt;&gt;1)),0,IF(AND($EY31=1,NOT(OR('King Node Model'!$A$8="Neg",$BG$72=1)),$AA31&lt;&gt;'King Node Model'!$B$23),0,IF(AND($GS31=1,$AG31="R",OR($CI31=0,$EE31=1,$EX31=1,$GV31=1),COUNTIF($W$9:$W$14,$AA31)&gt;0,ABS($AA31-$B$4)&lt;=$BG$7,$BK31&lt;&gt;1,$AM31&gt;=$BG$20,$AC31&gt;IF($CZ31=1,$BG$48,$BG$19)),1,IF(OR('King Node Model'!$A$8="Neg",N($BG$72)=1),IF(AND(OR($AM31&gt;=$BG$20,$AA31='King Node Model'!$D$26,$GV31=1),$AG31="R",COUNTIF($W$9:$W$14,$AA31)&gt;0,ABS($AA31-$B$4)&lt;=$BG$7,OR($AX31=0,$D$5&lt;&gt;"UP"),$BK31&lt;&gt;1,OR(OR($CI31=0,$AJ31=1),AND($EI31=1,$LA31=1,COUNTIF($W$9:$W$11,$AA31)&gt;0,$AN31=1,OR($AX31=0,$D$5&lt;&gt;"UP"))),$AM31&gt;=$BG$20,$AC31&gt;IF($CZ31=1,$BG$48,$BG$19),OR($AN31=1,N($LR31)=1,$AA31='King Node Model'!$D$26,AND($BY31=1,$AA31&gt;$B$4),$BX31=1,$CF31=1,$CF31=1,AND(OR($AA31=$CP$4,$AA31=$CP$5,$AA31=$CP$6,$AA31=$CP$7),ABS($AA31-$B$4)&lt;=30),AND($AX31=1,$D$5="DOWN"))),1,0),IF(AND(OR($AM31&gt;=3,$AA31='King Node Model'!$D$26,$GV31=1),$AG31="R",COUNTIF($W$9:$W$14,$AA31)&gt;0,ABS($AA31-$B$4)&lt;=$BG$7,OR($AX31=0,$D$5&lt;&gt;"UP"),$BK31&lt;&gt;1,OR($CI31=0,$AJ31=1),$AM31&gt;=$BG$20,$AC31&gt;IF($CZ31=1,$BG$48,$BG$19),OR($AC31&gt;=MAX($AC$9:$AC$55),$BC31&gt;0,$AA31='King Node Model'!$D$26,AND(OR($AA31=$CP$4,$AA31=$CP$5,$AA31=$CP$6,$AA31=$CP$7),ABS($AA31-$B$4)&lt;=30),$CF31=1,$AN31=1,AND($AX31=1,$D$5="DOWN"))),1,0))))))))))))</f>
        <v>0</v>
      </c>
      <c r="CV31" s="218">
        <f>IF(AND(OR('King Node Model'!$A$8="Neg",N($BG$72)=1),$AG31="S",N($LR31)=1,N($MB31)=1),1,IF(AND(AND('King Node Model'!$A$8&lt;&gt;"Neg",N($BG$72)&lt;&gt;1),SUMPRODUCT(($AG$9:$AG$55="R")*ISNUMBER($AT$9:$AT$55)*ISNUMBER($AU$9:$AU$55)*($AT$9:$AT$55&lt;&gt;$AU$9:$AU$55)*($AT$9:$AT$55&lt;=$AA31)*($AU$9:$AU$55&gt;=$AA31))&gt;0,NOT(AND(N($LC31)=1,$AA31='King Node Model'!$B$23))),0,IF(AND($AA31='King Node Model'!$F$24,$AG31="S",COUNTIF($W$18:$W$23,$AA31)&gt;0),1,IF(AND($FN31=1,$EU31&lt;&gt;1,$EM31&lt;&gt;1,$DH31&lt;&gt;1,$AG31="S",COUNTIF($W$18:$W$23,$AA31)&gt;0),1,IF($EU31=1,0,IF(AND(OR($EF31=1,$GV31=1,AND(OR($AA31='King Node Model'!$T$22,$AA31='King Node Model'!$T$23,AND($AG31="S",COUNTIF('Master Dashboard'!$AN$16:$AN$18,$AA31)&gt;0)),$AN31=1,OR($AX31=0,$D$5&lt;&gt;"UP"))),OR(NOT(OR('King Node Model'!$A$8="Neg",N($BG$72)=1)),$GV31=1,AND(OR($AA31='King Node Model'!$T$22,$AA31='King Node Model'!$T$23,AND($AG31="S",COUNTIF('Master Dashboard'!$AN$16:$AN$18,$AA31)&gt;0)),$AN31=1,OR($AX31=0,$D$5&lt;&gt;"UP")),AND($AM31&gt;=$BG$20,$AC31&gt;IF($CZ31=1,$BG$48,$BG$19)))),1,IF($DH31=1,0,IF(AND($DC31=1,$GS31&lt;&gt;1,AND('King Node Model'!$A$8&lt;&gt;"Neg",N($BG$72)&lt;&gt;1)),0,IF(AND($EY31=1,NOT(OR('King Node Model'!$A$8="Neg",$BG$72=1)),$AA31&lt;&gt;'King Node Model'!$B$23,COUNTIF('Master Dashboard'!$AN$16:$AN$18,$AA31)=0),0,IF(AND($GS31=1,$AG31="S",OR($CI31=0,$EF31=1,$EX31=1,$GV31=1),COUNTIF($W$18:$W$23,$AA31)&gt;0,ABS($AA31-$B$4)&lt;=$BG$7,$BK31&lt;&gt;1,$AM31&gt;=$BG$20,$AC31&gt;IF($CZ31=1,$BG$48,$BG$19)),1,IF(OR('King Node Model'!$A$8="Neg",N($BG$72)=1),IF(AND(OR(OR($AM31&gt;=$BG$20,N($LR31)=1),$AA31='King Node Model'!$D$26,$GV31=1),$AG31="S",COUNTIF($W$18:$W$23,$AA31)&gt;0,ABS($AA31-$B$4)&lt;=$BG$7,OR($AX31=0,$D$5&lt;&gt;"UP"),$BK31&lt;&gt;1,OR($CI31=0,$AJ31=1,AND(N($LR31)=1,N($MB31)=1),N($MT31)=1),OR($AM31&gt;=$BG$20,N($LR31)=1),$AC31&gt;IF($CZ31=1,$BG$48,$BG$19),OR($AB31&gt;0,$AN31=1,N($MT31)=1,N($LR31)=1,$AA31='King Node Model'!$D$26,AND($BY31=1,$AA31&lt;$B$4),$BX31=1,$CF31=1,$CF31=1,AND(OR($AA31=$CP$4,$AA31=$CP$5,$AA31=$CP$6,$AA31=$CP$7),ABS($AA31-$B$4)&lt;=30),AND($AX31=1,$D$5="DOWN"))),1,0),IF(AND(OR($AM31&gt;=3,$AA31='King Node Model'!$D$26,$GV31=1),$AG31="S",COUNTIF($W$18:$W$23,$AA31)&gt;0,ABS($AA31-$B$4)&lt;=$BG$7,OR($AX31=0,$D$5&lt;&gt;"UP"),$BK31&lt;&gt;1,OR($CI31=0,$AJ31=1,AND(N($LR31)=1,N($MB31)=1),N($MT31)=1),$AM31&gt;=$BG$20,$AC31&gt;IF($CZ31=1,$BG$48,$BG$19),OR($AC31&gt;=MAX($AC$9:$AC$55),$BC31&gt;0,N($MT31)=1,$AA31='King Node Model'!$D$26,AND(OR($AA31=$CP$4,$AA31=$CP$5,$AA31=$CP$6,$AA31=$CP$7),ABS($AA31-$B$4)&lt;=30),$CF31=1,$AN31=1,AND($AX31=1,$D$5="DOWN"))),1,0))))))))))))</f>
        <v>1</v>
      </c>
      <c r="CX31" s="218">
        <f t="shared" si="48"/>
        <v>0</v>
      </c>
      <c r="CY31" t="str">
        <f t="shared" si="49"/>
        <v/>
      </c>
      <c r="CZ31" s="218">
        <f t="shared" si="50"/>
        <v>1</v>
      </c>
      <c r="DA31" t="str">
        <f t="shared" si="51"/>
        <v/>
      </c>
      <c r="DB31" s="218">
        <f t="shared" si="52"/>
        <v>4056043</v>
      </c>
      <c r="DC31" s="218">
        <f t="shared" si="53"/>
        <v>1</v>
      </c>
      <c r="DD31" s="218">
        <f t="shared" si="54"/>
        <v>5</v>
      </c>
      <c r="DE31" s="218">
        <f t="shared" si="55"/>
        <v>5</v>
      </c>
      <c r="DF31" s="218">
        <f t="shared" si="56"/>
        <v>7755</v>
      </c>
      <c r="DG31" s="218">
        <f t="shared" si="57"/>
        <v>7795</v>
      </c>
      <c r="DH31" s="218">
        <f t="shared" si="58"/>
        <v>0</v>
      </c>
      <c r="DI31">
        <v>1</v>
      </c>
      <c r="DJ31">
        <v>1</v>
      </c>
      <c r="DK31">
        <v>502724</v>
      </c>
      <c r="DL31">
        <v>0</v>
      </c>
      <c r="DM31">
        <f>IF(AND($CV31=1,$AG31="S"),IF(AND(OR('King Node Model'!$A$8="Neg",N($BG$72)=1),'King Node Model'!$S$52=""),IF(OR(N($AN31)=1,N($LR31)=1,$AB31&gt;0,$AJ31=1,N($JO31)=1,AND(NOT($AE31&gt;0),NOT(IFERROR(AND(ISNUMBER($BC31),ISNUMBER($BC30),($BC31&gt;=0)&lt;&gt;($BC30&gt;=0)),FALSE())),OR(AND($BM31&lt;=6,$BN31&lt;=6),ABS($AA31-'King Node Model'!$T$23)&lt;=5,$LA31=1))),1,0),1),"")</f>
        <v>1</v>
      </c>
      <c r="DN31">
        <f t="shared" si="59"/>
        <v>1</v>
      </c>
      <c r="DO31" t="str">
        <f t="shared" si="60"/>
        <v/>
      </c>
      <c r="DP31" t="str">
        <f>IF(AND(OR('King Node Model'!$A$8="Neg",N($BG$72)=1),$AG31="S",ISNUMBER($AT31),ISNUMBER($AU31),$AT31&lt;&gt;$AU31,$AA31=$AT31),IF(AND(SUMPRODUCT(($AA$9:$AA$55&gt;=$AT31)*($AA$9:$AA$55&lt;=$AU31)*($AB$9:$AB$55&gt;0))&gt;0,SUMPRODUCT(($AA$9:$AA$55&gt;=$AT31)*($AA$9:$AA$55&lt;=$AU31)*($DM$9:$DM$55=1))&gt;0,SUMPRODUCT(($AA$9:$AA$55&gt;=$AT31)*($AA$9:$AA$55&lt;=$AU31)*(COUNTIF($W$18:$W$20,$AA$9:$AA$55)&gt;0))&gt;0),1,0),"")</f>
        <v/>
      </c>
      <c r="DS31">
        <v>0</v>
      </c>
      <c r="DT31">
        <v>0</v>
      </c>
      <c r="DU31" t="str">
        <f>IF('King Node Model'!$A$8&lt;&gt;"Pos","",IF(OR($AA31="",NOT(ISNUMBER($AA31)),ABS($AA31-$B$4)&gt;$BG$7),"",TEXT($AA31,"0")&amp;" | "&amp;IF($AG31="","unclassified",IF($AG31&lt;&gt;IF($AA31&gt;$B$4,"R","S"),"orphan: in "&amp;$AG31&amp;"-list, "&amp;IF($AA31&lt;$B$4,"below","above")&amp;" spot",IF(IF($AG31="R",COUNTIF($W$9:$W$14,$AA31),COUNTIF($W$18:$W$23,$AA31))=0,"not in "&amp;$AG31&amp;"-list",IF($DH31=1,"absorbed into shelf box",IF($BK31=1,"absorbed: adjacent reversal",IF($CI31=1,"accel-accelerant",IF($AC31&lt;=$BG$19,"below gamma-floor",IF($AM31&lt;$BG$20,"confluence "&amp;TEXT($AM31,"0")&amp;" &lt; "&amp;TEXT($BG$20,"0"),IF(AND($AX31=1,$D$5="UP"),"accelerant in up-move",IF(NOT(OR($AC31&gt;=MAX($AC$9:$AC$55),$BC31&gt;0,$AA31='King Node Model'!$D$26,AND(OR($AA31=$CP$4,$AA31=$CP$5,$AA31=$CP$6,$AA31=$CP$7),ABS($AA31-$B$4)&lt;=30),ISNUMBER(SEARCH("STRENGTHENING",$CG31)),$AN31=1,AND($AX31=1,$D$5="DOWN"))),"no surface flag","-&gt; qualifies"))))))))))))</f>
        <v/>
      </c>
      <c r="DV31" s="218">
        <f t="shared" si="61"/>
        <v>99999</v>
      </c>
      <c r="DW31" s="218">
        <f t="shared" si="62"/>
        <v>0.39000000000032742</v>
      </c>
      <c r="DX31" t="str">
        <f>IF('King Node Model'!$A$8&lt;&gt;"Pos","",IF(AND($DV31&lt;99999,$DV31=MIN($DV$9:$DV$55),$DG31&gt;$AA31),"R-box: "&amp;TEXT($AA31,"0")&amp;"-"&amp;TEXT($DG31,"0"),IF(AND($DW31&lt;99999,$DW31=MIN($DW$9:$DW$55),$DF31&lt;$AA31),"S-box: "&amp;TEXT($DF31,"0")&amp;"-"&amp;TEXT($AA31,"0"),"")))</f>
        <v/>
      </c>
      <c r="EB31">
        <f t="shared" si="63"/>
        <v>0.39000000000032742</v>
      </c>
      <c r="EC31">
        <f t="shared" si="64"/>
        <v>538591</v>
      </c>
      <c r="ED31">
        <f t="shared" si="65"/>
        <v>0</v>
      </c>
      <c r="EE31">
        <f>IF(AND(OR('King Node Model'!$A$8="Neg",N($BG$72)=1),$AG31="R",ISNUMBER($EB31),$EB31&lt;=$BG$7,$AB31&gt;0,$EC31&gt;0,$AB31=$EC31),1,0)</f>
        <v>0</v>
      </c>
      <c r="EF31">
        <f>IF(AND(OR('King Node Model'!$A$8="Neg",N($BG$72)=1),$AG31="S",ISNUMBER($EB31),$EB31&lt;=$BG$7,$AB31&gt;0,$ED31&gt;0,$AB31=$ED31),1,0)</f>
        <v>0</v>
      </c>
      <c r="EI31">
        <v>1</v>
      </c>
      <c r="EJ31">
        <f>IF($AA31="",0,IF(SUMPRODUCT(($AA$9:$AA$55&gt;=$AT31)*($AA$9:$AA$55&lt;=$AU31)*($DT$9:$DT$55=1))+SUMPRODUCT(($DT$9:$DT$55=1)*($AT$9:$AT$55&lt;=$AA31)*($AU$9:$AU$55&gt;=$AA31))+($DT31=1)+AND(OR('King Node Model'!$A$8="Neg",N($BG$72)=1),ISNUMBER(SEARCH("LOW",'Master Dashboard'!$M$5)),ISNUMBER(SEARCH("BUY",'Master Dashboard'!$G$8)),'King Node Model'!$T$23='King Node Model'!$B$23,$AA31&gt;='King Node Model'!$T$23,$AA31&lt;='King Node Model'!$T$23+5)*1&gt;0,1,0))</f>
        <v>1</v>
      </c>
      <c r="EM31">
        <f t="shared" si="66"/>
        <v>0</v>
      </c>
      <c r="EN31">
        <v>0</v>
      </c>
      <c r="EO31">
        <f t="shared" si="67"/>
        <v>4056043</v>
      </c>
      <c r="EP31">
        <f t="shared" si="68"/>
        <v>0</v>
      </c>
      <c r="EQ31" t="str">
        <f t="shared" si="69"/>
        <v>firming the floor (magnitude weak)</v>
      </c>
      <c r="ES31">
        <f>IF(AND(ISNUMBER(AA31),ISNUMBER(AF31),ABS(AA31-'King Node Model'!$B$4)&lt;=$BG$7),ABS(AF31),"")</f>
        <v>361389</v>
      </c>
      <c r="ET31">
        <v>0</v>
      </c>
      <c r="EU31" s="218">
        <f>IF(AND(OR('King Node Model'!$A$8="Neg",N($BG$72)=1),ISNUMBER($AA30),ISNUMBER($AA31),ISNUMBER($AA32),ISNUMBER($AB30),ISNUMBER($AB31),ISNUMBER($AB32),ISNUMBER($AF31),$AB31&gt;0,$AB30&lt;0,$AB32&lt;0,$AF31&lt;0),1,0)</f>
        <v>0</v>
      </c>
      <c r="EW31">
        <f>IF(OR(N($MY31)=1,N($JM31)=1),0,N($NE31))</f>
        <v>1</v>
      </c>
      <c r="EX31">
        <f>IF(AND(OR('King Node Model'!$A$8="Neg",N($BG$72)=1),ISNUMBER($AA31),OR(AND($AA31='King Node Model'!$F$24,OR(AND($AG31="S",$F$4="High",IF($BG$80&lt;&gt;"",UPPER($BG$80),$D$5)="DOWN"),AND($AG31="R",$F$4="Low",IF($BG$80&lt;&gt;"",UPPER($BG$80),$D$5)="UP"))),$GV31=1)),1,0)</f>
        <v>0</v>
      </c>
      <c r="EY31">
        <f>IFERROR(IF(AND($DC31=1,$AB31&lt;0,$AC31&gt;=(1+$FA$6)*INDEX($AC$9:$AC$55,23-1),$AC31&gt;=(1+$FA$6)*INDEX($AC$9:$AC$55,23+1),$AC31&gt;=IFERROR(INDEX($AC$9:$AC$55,23-2),0),$AC31&gt;=IFERROR(INDEX($AC$9:$AC$55,23+2),0)),1,0),0)</f>
        <v>0</v>
      </c>
      <c r="FA31" t="str">
        <f>IF(NOT(ISNUMBER($AA31)),"",IFERROR(IF(AND($AC31=MAX($AC$9:$AC$55),$AB31=MIN($AB$9:$AB$55)),"DOM",IF(AND($DC30=1,$DC31=1,$DC32=1,INDEX($AC$9:$AC$55,23-1)&lt;=(1-$FA$6)*$AC31,INDEX($AC$9:$AC$55,23-1)&lt;=(1-$FA$6)*INDEX($AC$9:$AC$55,23-2)),"GAP↑",IF(AND($DC32=1,$DC31=1,INDEX($AC$9:$AC$55,23+1)&lt;=(1-$FA$6)*$AC31,INDEX($AC$9:$AC$55,23+1)&lt;=(1-$FA$6)*INDEX($AC$9:$AC$55,23+2)),"GAP↓",IF($CZ31=1,"dEdge Cliff",IF($GY31=1,"γWall",IF(AND($DC31=1,$AB31&lt;0,$AC31&gt;=(1+$FA$6)*INDEX($AC$9:$AC$55,23-1),$AC31&gt;=(1+$FA$6)*INDEX($AC$9:$AC$55,23+1)),"PEAK-",IF($GZ31=1,"γSh Edge",IF($HL31=1,"Trough",IF($HN31=1,"PEAK+",IF($GF31=1,"Cluster","")))))))))),""))</f>
        <v>dEdge Cliff</v>
      </c>
      <c r="FB31">
        <f t="shared" si="70"/>
        <v>7770</v>
      </c>
      <c r="FC31">
        <f t="shared" si="71"/>
        <v>7780</v>
      </c>
      <c r="FD31">
        <f>IF(AND(ISNUMBER($AA31),ISNUMBER('King Node Model'!$AP$17),ISNUMBER('King Node Model'!$AQ$17),$AA31&gt;=MIN('King Node Model'!$AP$17,'King Node Model'!$AQ$17),$AA31&lt;=MAX('King Node Model'!$AP$17,'King Node Model'!$AQ$17),IFERROR(INDEX($AC$9:$AC$55,MATCH('King Node Model'!$AL$42,$AA$9:$AA$55,0)),0)&gt;0,$AC31&gt;=(1-$FA$6)*IFERROR(INDEX($AC$9:$AC$55,MATCH('King Node Model'!$AL$42,$AA$9:$AA$55,0)),0),$AC31&lt;=(1+$FA$6)*IFERROR(INDEX($AC$9:$AC$55,MATCH('King Node Model'!$AL$42,$AA$9:$AA$55,0)),0)),1,0)</f>
        <v>0</v>
      </c>
      <c r="FE31">
        <f>IF($AA31='King Node Model'!$AL$42,1,IF(AND($FD31=1,$FE30=1),1,0))</f>
        <v>0</v>
      </c>
      <c r="FF31">
        <f>IF($AA31='King Node Model'!$AL$42,1,IF(AND($FD31=1,$FF32=1),1,0))</f>
        <v>0</v>
      </c>
      <c r="FG31" t="str">
        <f>IF(OR($FE31=1,$FF31=1),23,"")</f>
        <v/>
      </c>
      <c r="FJ31">
        <f>IF(AND($CW$2=1,ISNUMBER($AA31),ISNUMBER($CW$3),ISNUMBER($CW$4),$AA31&gt;=MIN($CW$3,$CW$4),$AA31&lt;=MAX($CW$3,$CW$4),IFERROR(INDEX($AC$9:$AC$55,MATCH('King Node Model'!$AP$67,$AA$9:$AA$55,0)),0)&gt;0,$AC31&gt;=(1-$FA$6)*IFERROR(INDEX($AC$9:$AC$55,MATCH('King Node Model'!$AP$67,$AA$9:$AA$55,0)),0),$AC31&lt;=(1+$FA$6)*IFERROR(INDEX($AC$9:$AC$55,MATCH('King Node Model'!$AP$67,$AA$9:$AA$55,0)),0)),1,0)</f>
        <v>1</v>
      </c>
      <c r="FK31">
        <f>IF(AND($CW$2=1,$AA31='King Node Model'!$AP$67),1,IF(AND($FJ31=1,$FK30=1),1,0))</f>
        <v>1</v>
      </c>
      <c r="FL31">
        <f>IF(AND($CW$2=1,$AA31='King Node Model'!$AP$67),1,IF(AND($FJ31=1,$FL32=1),1,0))</f>
        <v>1</v>
      </c>
      <c r="FM31">
        <f>IF(OR($FK31=1,$FL31=1),23,"")</f>
        <v>23</v>
      </c>
      <c r="FN31">
        <v>0</v>
      </c>
      <c r="FR31" t="str">
        <f t="shared" si="72"/>
        <v/>
      </c>
      <c r="FS31">
        <f t="shared" si="188"/>
        <v>0</v>
      </c>
      <c r="FT31">
        <f t="shared" si="73"/>
        <v>-1.2131774737102146E-2</v>
      </c>
      <c r="FU31">
        <f t="shared" si="74"/>
        <v>4056043</v>
      </c>
      <c r="FV31">
        <f>IF($FW31=0,"",IF(OR($FW30=0,SIGN(IFERROR($BC31*1,0))&lt;&gt;SIGN(IFERROR($BC30*1,0)),$GH31=1,$GH30=1),MAX($FV$9:$FV30)+1,$FV30))</f>
        <v>8</v>
      </c>
      <c r="FW31">
        <f t="shared" si="75"/>
        <v>1</v>
      </c>
      <c r="FX31">
        <f t="shared" si="76"/>
        <v>4471438</v>
      </c>
      <c r="FY31">
        <f t="shared" si="77"/>
        <v>1</v>
      </c>
      <c r="FZ31">
        <f t="shared" si="189"/>
        <v>0</v>
      </c>
      <c r="GA31">
        <f t="shared" si="78"/>
        <v>1</v>
      </c>
      <c r="GB31">
        <f t="shared" si="79"/>
        <v>3</v>
      </c>
      <c r="GC31">
        <f t="shared" si="80"/>
        <v>12566480</v>
      </c>
      <c r="GD31">
        <f t="shared" si="81"/>
        <v>7770</v>
      </c>
      <c r="GE31">
        <f t="shared" si="82"/>
        <v>7780</v>
      </c>
      <c r="GF31">
        <f t="shared" si="83"/>
        <v>1</v>
      </c>
      <c r="GH31">
        <f>IFERROR(IF(AND($AC31&gt;=(1+$FA$6)*INDEX($AC$9:$AC$55,23-1),$AC31&gt;=(1+$FA$6)*INDEX($AC$9:$AC$55,23+1)),1,0),0)</f>
        <v>0</v>
      </c>
      <c r="GK31">
        <v>0</v>
      </c>
      <c r="GO31">
        <v>0</v>
      </c>
      <c r="GP31">
        <v>0</v>
      </c>
      <c r="GQ31">
        <f t="shared" si="84"/>
        <v>0</v>
      </c>
      <c r="GR31">
        <f t="shared" si="85"/>
        <v>0</v>
      </c>
      <c r="GS31">
        <f>IF(AND($EY31=1,$AA31&lt;&gt;'King Node Model'!$B$23),0,IF(OR($GQ31=1,$GR31=1),1,IF($DC31=1,IF(OR('King Node Model'!$A$8="Neg",N($BG$72)=1),IF(OR(AND($AC31=MAX($AC$9:$AC$55),$AB31=MIN($AB$9:$AB$55)),$AN31=1,$EE31=1,$EF31=1,$EX31=1,$GV31=1),1,0),1),0)))</f>
        <v>1</v>
      </c>
      <c r="GT31">
        <f>IFERROR(IF(AND(OR('King Node Model'!$A$8="Neg",N($BG$72)=1),$EU30=1,$AG31="R",ISNUMBER($AA31),ISNUMBER($AF31),$AF31&lt;&gt;0,$AA31&gt;$B$4-$BG$9,$AA31-$B$4&lt;=$BG$47,IF($KC31="UP",SIGN($AF31),IF($KC31="DOWN",-SIGN($AF31),0))&lt;&gt;1),1,0),0)</f>
        <v>0</v>
      </c>
      <c r="GU31" t="str">
        <f t="shared" si="86"/>
        <v/>
      </c>
      <c r="GV31">
        <f t="shared" si="87"/>
        <v>0</v>
      </c>
      <c r="GW31" t="str">
        <f t="shared" si="88"/>
        <v/>
      </c>
      <c r="GX31">
        <f t="shared" si="89"/>
        <v>0.39000000000032742</v>
      </c>
      <c r="GY31">
        <f t="shared" si="90"/>
        <v>0</v>
      </c>
      <c r="GZ31">
        <f t="shared" si="91"/>
        <v>0</v>
      </c>
      <c r="HA31">
        <v>1</v>
      </c>
      <c r="HF31">
        <f>IFERROR(IF(AND($GZ31=1,'King Node Model'!$A$8="Pos",$D$5="UP",$CF31=-1,$AJ31&lt;&gt;1),1,0),0)</f>
        <v>0</v>
      </c>
      <c r="HG31">
        <f t="shared" si="92"/>
        <v>0</v>
      </c>
      <c r="HH31">
        <f>IF($GZ31=1,"",IFERROR(IF(NOT(ISNUMBER($AA31)),"",IF($EY31=1,"",IF($GF31=1,IF($GD31=$GE31,"",$GD31),IF(OR(AND($DC30=1,$DC31=1,$DC32=1,INDEX($AC$9:$AC$55,23-1)&lt;=(1-$FA$6)*$AC31,INDEX($AC$9:$AC$55,23-1)&lt;=(1-$FA$6)*INDEX($AC$9:$AC$55,23-2)),AND($DC32=1,$DC31=1,INDEX($AC$9:$AC$55,23+1)&lt;=(1-$FA$6)*$AC31,INDEX($AC$9:$AC$55,23+1)&lt;=(1-$FA$6)*INDEX($AC$9:$AC$55,23+2)),AND($DC31=1,OR(INDEX($DC$9:$DC$55,23-1)=0,INDEX($DC$9:$DC$55,23+1)=0))),IF(MIN($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MAX($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MIN($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f>
        <v>7770</v>
      </c>
      <c r="HI31">
        <f>IF($GZ31=1,"",IFERROR(IF(NOT(ISNUMBER($AA31)),"",IF($EY31=1,"",IF($GF31=1,IF($GD31=$GE31,"",$GE31),IF(OR(AND($DC30=1,$DC31=1,$DC32=1,INDEX($AC$9:$AC$55,23-1)&lt;=(1-$FA$6)*$AC31,INDEX($AC$9:$AC$55,23-1)&lt;=(1-$FA$6)*INDEX($AC$9:$AC$55,23-2)),AND($DC32=1,$DC31=1,INDEX($AC$9:$AC$55,23+1)&lt;=(1-$FA$6)*$AC31,INDEX($AC$9:$AC$55,23+1)&lt;=(1-$FA$6)*INDEX($AC$9:$AC$55,23+2)),AND($DC31=1,OR(INDEX($DC$9:$DC$55,23-1)=0,INDEX($DC$9:$DC$55,23+1)=0))),IF(MIN($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MAX($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MAX($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f>
        <v>7780</v>
      </c>
      <c r="HL31">
        <f t="shared" si="93"/>
        <v>1</v>
      </c>
      <c r="HM31">
        <f>IFERROR(IF(AND($HL31=1,NOT(OR($AA31='King Node Model'!$T$22,$AA31='King Node Model'!$T$23,$AA31='King Node Model'!$F$24,AND($AG31="S",COUNTIF('Master Dashboard'!$AN$16:$AN$18,$AA31)&gt;0),AND($AG31="R",COUNTIF('Master Dashboard'!$AN$13:$AN$15,$AA31)&gt;0)))),1,0),0)</f>
        <v>1</v>
      </c>
      <c r="HN31">
        <f t="shared" si="94"/>
        <v>0</v>
      </c>
      <c r="HO31">
        <f t="shared" si="95"/>
        <v>0</v>
      </c>
      <c r="HP31">
        <f t="shared" si="96"/>
        <v>0</v>
      </c>
      <c r="HQ31" t="str">
        <f>IF(NOT(ISNUMBER($AA31)),"",IFERROR(TRIM(IF(N($MY31)=1,"DEXLEAN ","")&amp;IF(N($IZ31)=1,"DEXCAP ","")&amp;IF(AND($AG31="S",UPPER('King Node Model'!$L$5)="HIGH",$KC31="DOWN",N($AF31)&gt;0,$AA31='King Node Model'!$AN$70,$IY31="SELL"),"CHOPEDGEIV ","")&amp;IF(N($IS31)=1,"NOREV ","")&amp;IF(N($JY31)=1,"VFLAT ","")&amp;IF(N($KR31)=1,"GDEXVANNA ","")&amp;IF(N($LD31)=1,"KGSUPFAIL ","")&amp;IF(N($LE31)=1,"KGRESLEAK ","")&amp;IF(N($MH31)=1,"ZIGZAG ","")&amp;IF(N($KK31)=1,"DATAGAP ","")&amp;IF(N($KA31)&lt;&gt;0,"ACCUNDERCW ","")&amp;IF(AND($AG31="S",$HF31=1),"EDGE ","")&amp;IF(AND($HM31=1,'King Node Model'!$A$8="Pos",N($BG$72)&lt;&gt;1),"TROUGH ","")&amp;IF(AND($EU31=1,N($JZ31)&lt;&gt;1),"BUMP ","")&amp;IF(AND($GT31=1,N($JZ31)&lt;&gt;1),"SANDWICH ","")&amp;IF(AND($EX31&lt;&gt;1,OR('King Node Model'!$A$8="Neg",N($BG$72)=1),OR(AND(ISNUMBER($AC31),$AC31=MAX($AC$9:$AC$55)),AND(ISNUMBER($AB31),$AB31=MIN($AB$9:$AB$55))),NOT(AND(AND(ISNUMBER($AC31),$AC31=MAX($AC$9:$AC$55)),AND(ISNUMBER($AB31),$AB31=MIN($AB$9:$AB$55)))),$AG31="S",N($AB31)&lt;0,NOT(COUNTIF('Master Dashboard'!$AN$16:$AN$18,$AA31)&gt;0),NOT(AND(OR('King Node Model'!$A$8="Neg",N($BG$72)=1),ISNUMBER($AB31),$AB31=MIN($AB$9:$AB$55),$AA31=$BG$105))),"ACCEL ","")&amp;IF(AND($EX31&lt;&gt;1,ISNUMBER($AA31),OR('King Node Model'!$A$8="Neg",N($BG$72)=1),$EY31=1,NOT(AND($AG31="S",COUNTIF('Master Dashboard'!$AN$16:$AN$18,$AA31)&gt;0)),NOT(AND($AA31='King Node Model'!$B$23,IF($AG31="S",OR($AA31='King Node Model'!$C$24,COUNTIF('Master Dashboard'!$AN$16:$AN$18,$AA31)&gt;0),OR($AA31='King Node Model'!$C$23,COUNTIF('Master Dashboard'!$AN$13:$AN$15,$AA31)&gt;0)))),NOT(AND($EX31&lt;&gt;1,OR('King Node Model'!$A$8="Neg",N($BG$72)=1),OR(AND(ISNUMBER($AC31),$AC31=MAX($AC$9:$AC$55)),AND(ISNUMBER($AB31),$AB31=MIN($AB$9:$AB$55))),NOT(AND(AND(ISNUMBER($AC31),$AC31=MAX($AC$9:$AC$55)),AND(ISNUMBER($AB31),$AB31=MIN($AB$9:$AB$55)))),$AG31="S",N($AB31)&lt;0,NOT(COUNTIF('Master Dashboard'!$AN$16:$AN$18,$AA31)&gt;0)))),"AMPLIFY ","")&amp;IF(AND($AG31="S",OR('King Node Model'!$A$8="Neg",N($BG$72)=1),$AJ31&lt;&gt;1,N($MT31)&lt;&gt;1,NOT(AND(N($LR31)=1,N($MB31)=1)),ISNUMBER(SEARCH("ACCEL building",$CG31))),"ZACCEL ","")&amp;IF(AND($AG31="S",OR('King Node Model'!$A$8="Neg",N($BG$72)=1),$AA31='King Node Model'!$B$23,NOT(AND(AND(ISNUMBER($AC31),$AC31=MAX($AC$9:$AC$55)),AND(ISNUMBER($AB31),$AB31=MIN($AB$9:$AB$55)))),$EJ31&lt;&gt;1),"KINGACC ","")&amp;IF(AND($AG31="S",OR('King Node Model'!$A$8="Neg",N($BG$72)=1),ABS(N($AA31)-N('King Node Model'!$B$23))&lt;=$BG$107,NOT(AND(SUMPRODUCT((ABS($AF$9:$AF$55)&lt;=ABS(N($AF31)))*1)/COUNT($AF$9:$AF$55)&gt;=0.66,OR(ISNUMBER(SEARCH("firmer resistance",$CG31)),ISNUMBER(SEARCH("STRENGTHENING",$CG31)),ISNUMBER(SEARCH("firmer support",$CG31))))),NOT(AND(N($AB31)&gt;0,SUMPRODUCT((ABS($AB$9:$AB$55)&lt;=ABS(N($AB31)))*1)/COUNT($AB$9:$AB$55)&gt;=0.66)),$EJ31&lt;&gt;1,$AJ31&lt;&gt;1,COUNTIF('Master Dashboard'!$AN$16:$AN$18,$AA31)=0,NOT(AND($AG31="S",OR('King Node Model'!$A$8="Neg",N($BG$72)=1),$AA31='King Node Model'!$B$23,NOT(AND(AND(ISNUMBER($AC31),$AC31=MAX($AC$9:$AC$55)),AND(ISNUMBER($AB31),$AB31=MIN($AB$9:$AB$55)))),$EJ31&lt;&gt;1))),"KINGNODE ","")&amp;IF(AND($AG31="R",NOT(AND(AND(ISNUMBER($AC31),$AC31=MAX($AC$9:$AC$55)),AND(ISNUMBER($AB31),$AB31=MIN($AB$9:$AB$55)))),UPPER('King Node Model'!$L$5)="LOW",$KC31="DOWN",N($AF31)&gt;0),"LOWIVFALL ","")&amp;IF(AND($AG31="R",NOT(AND(AND(ISNUMBER($AC31),$AC31=MAX($AC$9:$AC$55)),AND(ISNUMBER($AB31),$AB31=MIN($AB$9:$AB$55)))),UPPER('King Node Model'!$L$5)="HIGH",$KC31="DOWN",N($AF31)&gt;0,IFERROR(MATCH($AA31,$W$9:$W$14,0)&gt;=4,FALSE)),"HIGHIVFALL ","")&amp;IF(AND($AG31="R",N($BG$99)=1),"SPOTUPVOLUP ","")&amp;IF(AND($AG31="R",ISNUMBER(SEARCH("5/5",'Master Dashboard'!$E$29)),OR(ISNUMBER(SEARCH("WEAKENING",$EQ31)),ISNUMBER(SEARCH("Pos gamma ↓",$EQ31)),ISNUMBER(SEARCH("thinning the ceiling",$EQ31)))),"SQUEEZE ","")&amp;IF(N($JU31)=1,"DEDGECLIFF ","")&amp;IF(N($KT31)=1,"DEXDRAIN ","")&amp;IF(N($HW31)&lt;&gt;0,"DEXDROP ","")&amp;IF(N($HX31)&lt;&gt;0,"PEAK+ ","")&amp;IF(N($IF31)=1,"CHOP ","")&amp;IF(N($IQ31)=1,"CONTESTED ","")&amp;IF(N($IW31)=1,"VSELL ","")&amp;IF(N($JK31)=1,"VBUYRES ","")&amp;IF(N($JL31)=1,"DOMFLAT ","")&amp;IF(N($JM31)=1,"DOMPULL ","")&amp;IF(N($JP31)=1,"OIZOMMA ","")&amp;IF(AND(N($JQ31)=1,N($JZ31)&lt;&gt;1),"OIDEX ","")),""))</f>
        <v>DOMPULL OIDEX</v>
      </c>
      <c r="HS31">
        <f>IFERROR(IF(AND($DC31=1,OR(AND($AG31="R",INDEX($DC$9:$DC$55,22)=0,INDEX($DC$9:$DC$55,24)=1,INDEX($DC$9:$DC$55,25)=1),AND($AG31="S",INDEX($DC$9:$DC$55,24)=0,INDEX($DC$9:$DC$55,22)=1,INDEX($DC$9:$DC$55,21)=1))),1,0),0)</f>
        <v>0</v>
      </c>
      <c r="HT31">
        <f t="shared" si="97"/>
        <v>0</v>
      </c>
      <c r="HU31">
        <v>0</v>
      </c>
      <c r="HV31">
        <v>1</v>
      </c>
      <c r="HW31">
        <f>IFERROR(IF(OR(NOT(ISNUMBER($AA31)),'King Node Model'!$A$8&lt;&gt;"Pos",N($BG$72)=1,ABS(N($AE31))&lt;$BG$113,N($AV31)=1,$FA31="DOM",$AA31='King Node Model'!$T$23,AND(N($BG$116)=1,$AA31='King Node Model'!$F$24),NOT(ISNUMBER($KU31)),NOT(ISNUMBER($KV31))),0,IF(AND($AG31="S",COUNTIF('Master Dashboard'!$AN$16:$AN$18,$AA31)=0,$KU31&gt;=$BG$114,$KU31&gt;=$KV31+$BG$115,NOT(AND(N($AN32)=1,N($KV31)&lt;0)),N($AE31)&lt;=0),1,IF(AND($AG31="R",COUNTIF('Master Dashboard'!$AN$13:$AN$15,$AA31)=0,$KV31&gt;=$BG$114,$KV31&gt;=$KU31+$BG$115,NOT(AND(N($AN30)=1,N($KU31)&lt;0))),-1,0))),0)</f>
        <v>0</v>
      </c>
      <c r="HX31">
        <f>IFERROR(IF(AND(ISNUMBER($AA31),$FA31="PEAK+",N($AN31)&lt;&gt;1,NOT(AND('King Node Model'!$A$8="Pos",OR($AA31='King Node Model'!$T$22,$AA31='King Node Model'!$T$23,$AA31='King Node Model'!$F$24))),IF($AG31="S",COUNTIF('Master Dashboard'!$AN$16:$AN$18,$AA31)=0,IF($AG31="R",COUNTIF('Master Dashboard'!$AN$13:$AN$15,$AA31)=0,FALSE))),1,0),0)</f>
        <v>0</v>
      </c>
      <c r="HY31">
        <f t="shared" si="98"/>
        <v>0.91217565518383459</v>
      </c>
      <c r="HZ31">
        <v>1</v>
      </c>
      <c r="IA31">
        <f>IFERROR(IF(AND(IF($BG$44=1,OR(ISNUMBER(SEARCH("Choppy",'King Node Model'!$S$38)),'King Node Model'!$S$52&lt;&gt;"",'King Node Model'!$A$8="Pos"),TRUE()),OR($DC31=1,$DC30=1,$DC32=1),ABS($AA31-$B$4)&lt;=$BG$7,ABS($AA31-$BG$28)&gt;=$BG$45,OR(AND($AA31&gt;$BG$28,$AG31="R"),AND($AA31&lt;$BG$28,$AG31="S",N($BG$154)=1)),ABS(IF($AA31&gt;$BG$28,$AE32,$AE30))&gt;=$BG$43,ABS(N(IF($AA31&gt;$BG$28,$AE30,$AE32)))&lt;=$BG$153*ABS(IF($AA31&gt;$BG$28,$AE32,$AE30)),IF(ISNUMBER($HZ31),$HZ31=1,AND(ISNUMBER($HY31),$HY31&gt;=$BG$42))),1,0),0)</f>
        <v>1</v>
      </c>
      <c r="IB31">
        <f t="shared" si="99"/>
        <v>0</v>
      </c>
      <c r="IC31" t="str">
        <f>IF(NOT(ISNUMBER($AA31)),"",IFERROR(MID(IF(AND($AC31=MAX($AC$9:$AC$55),$AB31=MIN($AB$9:$AB$55))," · DOM","")&amp;IF(AND($DC30=1,$DC31=1,$DC32=1,INDEX($AC$9:$AC$55,23-1)&lt;=(1-$FA$6)*$AC31,INDEX($AC$9:$AC$55,23-1)&lt;=(1-$FA$6)*INDEX($AC$9:$AC$55,23-2))," · GAP↑ → "&amp;INDEX($AA$9:$AA$55,23-2),"")&amp;IF(AND($DC32=1,$DC31=1,INDEX($AC$9:$AC$55,23+1)&lt;=(1-$FA$6)*$AC31,INDEX($AC$9:$AC$55,23+1)&lt;=(1-$FA$6)*INDEX($AC$9:$AC$55,23+2))," · GAP↓ → "&amp;INDEX($AA$9:$AA$55,23+2),"")&amp;IF($CZ31=1," · dEdge Cliff","")&amp;IF($GY31=1," · γWall","")&amp;IF(AND($DC31=1,$AB31&lt;0,$AC31&gt;=(1+$FA$6)*INDEX($AC$9:$AC$55,23-1),$AC31&gt;=(1+$FA$6)*INDEX($AC$9:$AC$55,23+1))," · PEAK-","")&amp;IF($GZ31=1," · γSh Edge","")&amp;IF($HL31=1," · Trough","")&amp;IF($HN31=1," · PEAK+","")&amp;IF($GF31=1," · Cluster",""),FIND(" · ",IF(AND($AC31=MAX($AC$9:$AC$55),$AB31=MIN($AB$9:$AB$55))," · DOM","")&amp;IF(AND($DC30=1,$DC31=1,$DC32=1,INDEX($AC$9:$AC$55,23-1)&lt;=(1-$FA$6)*$AC31,INDEX($AC$9:$AC$55,23-1)&lt;=(1-$FA$6)*INDEX($AC$9:$AC$55,23-2))," · GAP↑ → "&amp;INDEX($AA$9:$AA$55,23-2),"")&amp;IF(AND($DC32=1,$DC31=1,INDEX($AC$9:$AC$55,23+1)&lt;=(1-$FA$6)*$AC31,INDEX($AC$9:$AC$55,23+1)&lt;=(1-$FA$6)*INDEX($AC$9:$AC$55,23+2))," · GAP↓ → "&amp;INDEX($AA$9:$AA$55,23+2),"")&amp;IF($CZ31=1," · dEdge Cliff","")&amp;IF($GY31=1," · γWall","")&amp;IF(AND($DC31=1,$AB31&lt;0,$AC31&gt;=(1+$FA$6)*INDEX($AC$9:$AC$55,23-1),$AC31&gt;=(1+$FA$6)*INDEX($AC$9:$AC$55,23+1))," · PEAK-","")&amp;IF($GZ31=1," · γSh Edge","")&amp;IF($HL31=1," · Trough","")&amp;IF($HN31=1," · PEAK+","")&amp;IF($GF31=1," · Cluster",""),2),999),""))</f>
        <v xml:space="preserve"> · Trough · Cluster</v>
      </c>
      <c r="ID31" t="str">
        <f>IF(NOT(ISNUMBER($AA31)),"",IFERROR(MID(IF(AND($AC31=MAX($AC$9:$AC$55),$AB31=MIN($AB$9:$AB$55))," · DOM","")&amp;IF(AND($DC30=1,$DC31=1,$DC32=1,INDEX($AC$9:$AC$55,23-1)&lt;=(1-$FA$6)*$AC31,INDEX($AC$9:$AC$55,23-1)&lt;=(1-$FA$6)*INDEX($AC$9:$AC$55,23-2))," · GAP↑ → "&amp;INDEX($AA$9:$AA$55,23-2),"")&amp;IF(AND($DC32=1,$DC31=1,INDEX($AC$9:$AC$55,23+1)&lt;=(1-$FA$6)*$AC31,INDEX($AC$9:$AC$55,23+1)&lt;=(1-$FA$6)*INDEX($AC$9:$AC$55,23+2))," · GAP↓ → "&amp;INDEX($AA$9:$AA$55,23+2),"")&amp;IF($CZ31=1," · dEdge Cliff","")&amp;IF($GY31=1," · γWall","")&amp;IF(AND($DC31=1,$AB31&lt;0,$AC31&gt;=(1+$FA$6)*INDEX($AC$9:$AC$55,23-1),$AC31&gt;=(1+$FA$6)*INDEX($AC$9:$AC$55,23+1))," · PEAK-","")&amp;IF($GZ31=1," · γSh Edge","")&amp;IF($HL31=1," · Trough","")&amp;IF($HN31=1," · PEAK+","")&amp;IF(AND(NOT($HN31=1),NOT(AND($DC31=1,$AB31&lt;0)),N($GY31)&lt;&gt;1,N($GF31)&lt;&gt;1,N($GZ31)&lt;&gt;1,N($HL31)&lt;&gt;1,N($CZ31)&lt;&gt;1,NOT(AND($AC31=MAX($AC$9:$AC$55),$AB31=MIN($AB$9:$AB$55))),$AC31&gt;=(1+$FA$6)*INDEX($AC$9:$AC$55,23-1),$AC31&gt;=(1+$FA$6)*INDEX($AC$9:$AC$55,23+1))," · Knoll","")&amp;IF($GF31=1," · Cluster",""),4,999),""))</f>
        <v>dEdge Cliff · Trough · Cluster</v>
      </c>
      <c r="IF31">
        <f t="shared" si="100"/>
        <v>0</v>
      </c>
      <c r="IG31">
        <f>IFERROR(IF(AND(ISNUMBER($AA31),'King Node Model'!$A$8="Pos",OR($AG31="S",$AG31="R"),$IN31="interior",COUNTIF(IF($AG31="S",'Master Dashboard'!$AN$16:$AN$18,'Master Dashboard'!$AN$13:$AN$15),$AA31)=0,$AA31&lt;&gt;'King Node Model'!$T$22,$AA31&lt;&gt;'King Node Model'!$T$23,$AA31&lt;&gt;'King Node Model'!$F$24),1,0),0)</f>
        <v>0</v>
      </c>
      <c r="IH31">
        <f t="shared" si="101"/>
        <v>1</v>
      </c>
      <c r="II31">
        <f t="shared" si="190"/>
        <v>2</v>
      </c>
      <c r="IJ31">
        <f t="shared" si="102"/>
        <v>2</v>
      </c>
      <c r="IK31">
        <f t="shared" si="103"/>
        <v>0</v>
      </c>
      <c r="IL31">
        <f t="shared" si="191"/>
        <v>0</v>
      </c>
      <c r="IM31">
        <f t="shared" si="104"/>
        <v>0</v>
      </c>
      <c r="IN31" t="str">
        <f t="shared" si="105"/>
        <v/>
      </c>
      <c r="IO31">
        <v>1</v>
      </c>
      <c r="IP31">
        <v>0</v>
      </c>
      <c r="IQ31">
        <f>IFERROR(IF($AG31="S",IF(OR(COUNTIF($W$9:$W$14,$AA31)&gt;0,COUNTIF('King Node Model'!$AL$42:'King Node Model'!$AL$43,$AA31)&gt;0),1,0),IF($AG31="R",IF(OR(COUNTIF($W$18:$W$23,$AA31)&gt;0,COUNTIF('King Node Model'!$AL$49:'King Node Model'!$AL$50,$AA31)&gt;0),1,0),0)),0)</f>
        <v>0</v>
      </c>
      <c r="IS31">
        <f>IF(AND(ISNUMBER($AA31),N($AN31)&lt;&gt;1,N($LR31)&lt;&gt;1,OR(N($EN31)&lt;&gt;1,AND('King Node Model'!$A$8&lt;&gt;"Neg",N($BG$72)&lt;&gt;1)),$AA31&lt;&gt;'King Node Model'!$T$22,$AA31&lt;&gt;'King Node Model'!$T$23,$AA31&lt;&gt;'King Node Model'!$F$24,NOT(AND($AG31="S",COUNTIF('Master Dashboard'!$AN$16:$AN$18,$AA31)&gt;0)),NOT(AND($AG31="R",COUNTIF('Master Dashboard'!$AN$13:$AN$15,$AA31)&gt;0)),NOT(AND('King Node Model'!$A$8&lt;&gt;"Neg",N($BG$72)&lt;&gt;1,COUNTIF('Master Dashboard'!$AN$13:$AN$18,$AA31)&gt;0))),1,0)</f>
        <v>0</v>
      </c>
      <c r="IT31">
        <v>0</v>
      </c>
      <c r="IU31">
        <f>IF(AND(ISNUMBER($AA31),$AA31='King Node Model'!$F$24,$AA31&gt;$GJ$3,N($AD31)&lt;0,$F$4="High"),1,0)</f>
        <v>0</v>
      </c>
      <c r="IV31" t="str">
        <f>""</f>
        <v/>
      </c>
      <c r="IW31">
        <f>IFERROR(IF(AND(ISNUMBER($AA31),NOT(AND(N($LR31)=1,N($MB31)=1)),$AG31="S",OR('King Node Model'!$A$8="Neg",N($BG$72)=1),$JV31="SELL",ABS(N($AD31))&gt;=$BG$94,NOT(AND(N($AD31)&gt;0,N($BG$78)=1,MEDIAN($AA31-$BG$82,$B$4,$AA31+$BG$83)=$B$4))),1,0),0)</f>
        <v>0</v>
      </c>
      <c r="IX31">
        <f>IFERROR(IF(AND(ISNUMBER($AA31),$AG31="S",OR('King Node Model'!$A$8="Neg",N($BG$72)=1),N($AD31)&gt;0,N($BG$78)=1,MEDIAN($AA31-$BG$82,$B$4,$AA31+$BG$83)=$B$4),1,0),0)</f>
        <v>0</v>
      </c>
      <c r="IY31" t="str">
        <f t="shared" si="106"/>
        <v>SELL</v>
      </c>
      <c r="IZ31">
        <f>IFERROR(IF(AND(ISNUMBER($AA31),$FA31&lt;&gt;"DOM",$AA31&lt;&gt;'King Node Model'!$F$24,OR(AND($AG31="S",COUNTIF('Master Dashboard'!$AN$16:$AN$18,$AA31)=0,N(INDEX($AE$9:$AE$55,MATCH($AA31+$BG$84,$AA$9:$AA$55,0)))&lt;=-$BG$85),AND($AG31="R",COUNTIF('Master Dashboard'!$AN$13:$AN$15,$AA31)=0,N(INDEX($AE$9:$AE$55,MATCH($AA31-$BG$84,$AA$9:$AA$55,0)))&gt;=$BG$85))),1,0),0)</f>
        <v>0</v>
      </c>
      <c r="JC31">
        <f t="shared" si="108"/>
        <v>0</v>
      </c>
      <c r="JD31" t="str">
        <f t="shared" si="193"/>
        <v>C</v>
      </c>
      <c r="JE31">
        <f>IF(ISNUMBER($AA31),N(IFERROR(INDEX('King Node Model'!$L$29:$L$75,MATCH($AA31,'King Node Model'!$A$29:$A$75,0)),0)),"")</f>
        <v>1752</v>
      </c>
      <c r="JF31">
        <f>IF(ISNUMBER($AA31),N(IFERROR(INDEX('King Node Model'!$K$29:$K$75,MATCH($AA31,'King Node Model'!$A$29:$A$75,0)),0)),"")</f>
        <v>1710</v>
      </c>
      <c r="JG31">
        <f t="shared" si="109"/>
        <v>1.024561403508772</v>
      </c>
      <c r="JH31">
        <f t="shared" si="110"/>
        <v>0.97602739726027399</v>
      </c>
      <c r="JI31">
        <f t="shared" si="111"/>
        <v>0</v>
      </c>
      <c r="JJ31" t="str">
        <f t="shared" si="112"/>
        <v/>
      </c>
      <c r="JK31">
        <f t="shared" si="113"/>
        <v>0</v>
      </c>
      <c r="JL31">
        <f t="shared" si="114"/>
        <v>0</v>
      </c>
      <c r="JM31">
        <f t="shared" si="115"/>
        <v>1</v>
      </c>
      <c r="JN31">
        <f t="shared" si="116"/>
        <v>0</v>
      </c>
      <c r="JO31">
        <f t="shared" si="117"/>
        <v>1</v>
      </c>
      <c r="JP31">
        <f t="shared" si="118"/>
        <v>0</v>
      </c>
      <c r="JQ31">
        <f t="shared" si="119"/>
        <v>1</v>
      </c>
      <c r="JR31">
        <v>0</v>
      </c>
      <c r="JS31">
        <f>IFERROR(IF(AND(ISNUMBER($AA31),'King Node Model'!$A$8="Pos",OR($AG31="S",$AG31="R"),N($AB31)&gt;0,N($HP31)&lt;&gt;1,OR(AND($KC31="DOWN",N($AF31)&lt;0,N($AF31)=MIN($AF$9:$AF$55),-N($AF31)&gt;=MAX($AF$9:$AF$55)),AND($KC31="UP",N($AF31)&gt;0,N($AF31)=MAX($AF$9:$AF$55),N($AF31)&gt;=-MIN($AF$9:$AF$55)))),1,0),0)</f>
        <v>0</v>
      </c>
      <c r="JT31">
        <v>0</v>
      </c>
      <c r="JU31">
        <f>IFERROR(IF(AND(N($BG$109)=1,ISNUMBER($AA31),'King Node Model'!$A$8="Pos",N($CZ31)=1,N($AB31)&gt;0),1,0),0)</f>
        <v>0</v>
      </c>
      <c r="JV31" t="str">
        <f t="shared" si="120"/>
        <v>SELL</v>
      </c>
      <c r="JW31">
        <f t="shared" si="121"/>
        <v>0</v>
      </c>
      <c r="JX31">
        <f t="shared" si="122"/>
        <v>0</v>
      </c>
      <c r="JY31">
        <f t="shared" si="123"/>
        <v>0</v>
      </c>
      <c r="JZ31">
        <f t="shared" si="124"/>
        <v>0</v>
      </c>
      <c r="KA31">
        <f t="shared" si="125"/>
        <v>0</v>
      </c>
      <c r="KB31">
        <f t="shared" si="126"/>
        <v>0</v>
      </c>
      <c r="KC31" t="str">
        <f t="shared" si="127"/>
        <v>UP</v>
      </c>
      <c r="KE31" t="str">
        <f t="shared" si="128"/>
        <v>Now: strengthening the floor (IV rising) · if IV falls: weakens the floor · expected on arrival: STRENGTHENS ✓</v>
      </c>
      <c r="KF31" t="str">
        <f t="shared" si="129"/>
        <v>SELL</v>
      </c>
      <c r="KG31">
        <f t="shared" si="192"/>
        <v>0</v>
      </c>
      <c r="KH31" t="str">
        <f t="shared" si="130"/>
        <v>OIRULE</v>
      </c>
      <c r="KI31" t="str">
        <f t="shared" si="131"/>
        <v/>
      </c>
      <c r="KJ31">
        <f t="shared" si="132"/>
        <v>0</v>
      </c>
      <c r="KK31">
        <f t="shared" si="133"/>
        <v>0</v>
      </c>
      <c r="KL31">
        <f t="shared" si="134"/>
        <v>0</v>
      </c>
      <c r="KM31">
        <f t="shared" si="135"/>
        <v>0</v>
      </c>
      <c r="KN31">
        <f t="shared" si="136"/>
        <v>0</v>
      </c>
      <c r="KO31">
        <v>0</v>
      </c>
      <c r="KP31">
        <f t="shared" si="137"/>
        <v>0</v>
      </c>
      <c r="KQ31">
        <f t="shared" si="138"/>
        <v>0</v>
      </c>
      <c r="KR31">
        <f t="shared" si="139"/>
        <v>0</v>
      </c>
      <c r="KS31">
        <f t="shared" si="140"/>
        <v>0</v>
      </c>
      <c r="KT31">
        <f t="shared" si="141"/>
        <v>0</v>
      </c>
      <c r="KU31">
        <f>IF(AND(ISNUMBER($AA31),ISNUMBER($AE31),ISNUMBER($AE30),N($AE31)&lt;&gt;0),($AE31-$AE30)/$AE31,"")</f>
      </c>
      <c r="KV31">
        <f>IF(AND(ISNUMBER($AA31),ISNUMBER($AE31),ISNUMBER($AE32),N($AE31)&lt;&gt;0),($AE31-$AE32)/$AE31,"")</f>
      </c>
      <c r="KW31">
        <f>IFERROR(IF(OR(NOT(ISNUMBER($AA31)),'King Node Model'!$A$8&lt;&gt;"Pos",N($BG$72)=1,ABS(N($AE31))&lt;$BG$113,$FA31="DOM",$AA31='King Node Model'!$T$23,AND(N($BG$116)=1,$AA31='King Node Model'!$F$24),NOT(ISNUMBER($KU31)),NOT(ISNUMBER($KV31))),0,IF(AND($AG31="S",COUNTIF('Master Dashboard'!$AN$16:$AN$18,$AA31)=0,$KU31&gt;=$BG$114,$KU31&gt;=$KV31+$BG$115),1,IF(AND($AG31="R",COUNTIF('Master Dashboard'!$AN$13:$AN$15,$AA31)=0,$KV31&gt;=$BG$114,$KV31&gt;=$KU31+$BG$115),-1,0))),0)</f>
        <v>0</v>
      </c>
      <c r="KX31">
        <f t="shared" si="144"/>
        <v>0</v>
      </c>
      <c r="KY31">
        <f t="shared" si="145"/>
        <v>0</v>
      </c>
      <c r="KZ31">
        <f t="shared" si="146"/>
        <v>0</v>
      </c>
      <c r="LA31">
        <f t="shared" si="147"/>
        <v>0</v>
      </c>
      <c r="LB31">
        <f t="shared" si="148"/>
        <v>0</v>
      </c>
      <c r="LC31">
        <f t="shared" si="149"/>
        <v>0</v>
      </c>
      <c r="LD31">
        <f t="shared" si="150"/>
        <v>0</v>
      </c>
      <c r="LE31">
        <f t="shared" si="151"/>
        <v>0</v>
      </c>
      <c r="LF31">
        <f t="shared" si="152"/>
        <v>0</v>
      </c>
      <c r="LG31" t="str">
        <f t="shared" si="153"/>
        <v/>
      </c>
      <c r="LH31" t="str">
        <f t="shared" si="154"/>
        <v/>
      </c>
      <c r="LI31" t="str">
        <f t="shared" si="155"/>
        <v/>
      </c>
      <c r="LJ31" t="str">
        <f t="shared" si="156"/>
        <v/>
      </c>
      <c r="LK31" t="str">
        <f t="shared" si="157"/>
        <v/>
      </c>
      <c r="LL31">
        <f t="shared" si="158"/>
        <v>0</v>
      </c>
      <c r="LM31">
        <f t="shared" si="159"/>
        <v>0</v>
      </c>
      <c r="LN31">
        <f t="shared" si="160"/>
        <v>0</v>
      </c>
      <c r="LO31">
        <v>0</v>
      </c>
      <c r="LP31">
        <f t="shared" si="161"/>
        <v>0</v>
      </c>
      <c r="LQ31" t="str">
        <f t="shared" si="162"/>
        <v/>
      </c>
      <c r="LR31">
        <f t="shared" si="163"/>
        <v>0</v>
      </c>
      <c r="LS31">
        <f t="shared" si="164"/>
        <v>0</v>
      </c>
      <c r="LT31">
        <f t="shared" si="165"/>
        <v>0</v>
      </c>
      <c r="LU31">
        <f t="shared" si="166"/>
        <v>0</v>
      </c>
      <c r="LV31">
        <f t="shared" si="167"/>
        <v>0</v>
      </c>
      <c r="LW31">
        <f t="shared" si="168"/>
        <v>0</v>
      </c>
      <c r="LX31">
        <f t="shared" si="169"/>
        <v>0</v>
      </c>
      <c r="LY31">
        <f t="shared" si="170"/>
        <v>0</v>
      </c>
      <c r="LZ31">
        <f t="shared" si="171"/>
        <v>0</v>
      </c>
      <c r="MA31">
        <f t="shared" si="172"/>
        <v>0</v>
      </c>
      <c r="MB31">
        <v>0</v>
      </c>
      <c r="MC31">
        <f t="shared" si="173"/>
        <v>1</v>
      </c>
      <c r="MD31">
        <f t="shared" si="174"/>
        <v>1</v>
      </c>
      <c r="ME31">
        <f t="shared" si="175"/>
        <v>0</v>
      </c>
      <c r="MF31">
        <f t="shared" si="176"/>
        <v>0</v>
      </c>
      <c r="MG31">
        <f t="shared" si="177"/>
        <v>0</v>
      </c>
      <c r="MH31">
        <f t="shared" si="178"/>
        <v>0</v>
      </c>
      <c r="MI31" t="str">
        <f t="shared" si="179"/>
        <v/>
      </c>
      <c r="MJ31">
        <f t="shared" si="180"/>
        <v>0</v>
      </c>
      <c r="MK31">
        <f t="shared" si="181"/>
        <v>0</v>
      </c>
      <c r="ML31">
        <f>IF(AND(OR('King Node Model'!$A$8="Neg",N($BG$72)=1),ISNUMBER($AA31),$AG31="R",N($AB31)&lt;0),IF(AND($AA30=$AA31+5,N($AB30)&gt;0,$AA29=$AA31+10,N($AB29)&lt;0),1,IF(AND($AA30=$AA31+5,N($AB30)&gt;0,$AA29=$AA31+10,N($AB29)&gt;0,$AA28=$AA31+15,N($AB28)&lt;0),2,IF(AND($AA30=$AA31+5,N($AB30)&gt;0,$AA29=$AA31+10,N($AB29)&gt;0,$AA28=$AA31+15,N($AB28)&gt;0,$AA27=$AA31+20,N($AB27)&lt;0),3,IF(AND($AA30=$AA31+5,N($AB30)&gt;0,$AA29=$AA31+10,N($AB29)&gt;0,$AA28=$AA31+15,N($AB28)&gt;0,$AA27=$AA31+20,N($AB27)&gt;0,$AA26=$AA31+25,N($AB26)&lt;0),4,0)))),0)</f>
      </c>
      <c r="MM31">
        <f>IF(AND(OR('King Node Model'!$A$8="Neg",N($BG$72)=1),ISNUMBER($AA31),$AG31="S",N($AB31)&lt;0),IF(AND($AA32=$AA31-5,N($AB32)&gt;0,$AA33=$AA31-10,N($AB33)&lt;0),1,IF(AND($AA32=$AA31-5,N($AB32)&gt;0,$AA33=$AA31-10,N($AB33)&gt;0,$AA34=$AA31-15,N($AB34)&lt;0),2,IF(AND($AA32=$AA31-5,N($AB32)&gt;0,$AA33=$AA31-10,N($AB33)&gt;0,$AA34=$AA31-15,N($AB34)&gt;0,$AA35=$AA31-20,N($AB35)&lt;0),3,IF(AND($AA32=$AA31-5,N($AB32)&gt;0,$AA33=$AA31-10,N($AB33)&gt;0,$AA34=$AA31-15,N($AB34)&gt;0,$AA35=$AA31-20,N($AB35)&gt;0,$AA36=$AA31-25,N($AB36)&lt;0),4,0)))),0)</f>
      </c>
      <c r="MN31">
        <f>IF(N($ML31)&gt;0,$AA31,0)</f>
      </c>
      <c r="MO31">
        <f>IF(N($MM31)&gt;0,$AA31,0)</f>
      </c>
      <c r="MP31">
        <f>IF(AND(OR('King Node Model'!$A$8="Neg",N($BG$72)=1),ISNUMBER($BG$155),$AA31=$BG$155,N($NC31)=1),2,IF(AND(OR('King Node Model'!$A$8="Neg",N($BG$72)=1),ISNUMBER($BG$156),$AA31=$BG$156,N($ND31)=1),1,0))</f>
      </c>
      <c r="MQ31">
        <f>IF(ABS(AE31)&lt;=0,0,IF($AG31="R",IF(ISNUMBER(AE30),IF((ABS(AE30)-ABS(AE31))/ABS(AE31)&lt;-0.4,1,0),0),IF(ISNUMBER(AE32),IF((ABS(AE32)-ABS(AE31))/ABS(AE31)&lt;-0.4,1,0),0)))</f>
      </c>
      <c r="MR31">
        <f>IF(OR(N($MQ31)&lt;&gt;1,N($BG$157)&lt;&gt;1,NOT(ISNUMBER($KU31)),NOT(ISNUMBER($KV31))),0,IF(OR(AND($AG31="S",OR(AND($KU31&gt;=$BG$114,$KU31&gt;=$KV31+$BG$115),AND($KU31&gt;1,$KV31&lt;=1,$KV31&gt;=$BG$114))),AND($AG31="R",OR(AND($KV31&gt;=$BG$114,$KV31&gt;=$KU31+$BG$115),AND($KV31&gt;1,$KU31&lt;=1,$KU31&gt;=$BG$114)))),1,0))</f>
      </c>
      <c r="MS31" t="str">
        <f>IF(AND(N($MR31)=1,N($NA31)&lt;&gt;1),"• DEX falls off more sharply "&amp;IF($AG31="S","above (","below (")&amp;TEXT(IF($AG31="S",$KU31,$KV31),"0%")&amp;") than "&amp;IF($AG31="S","below (","above (")&amp;TEXT(IF($AG31="S",$KV31,$KU31),"0%")&amp;") — Dex↓ not counted",IF(N($MW31)=1,"• Shoulder of the "&amp;IF($AG31="R",$AA32,$AA30)&amp;" wall — own DEX "&amp;TEXT($AE31/1000,"+#,##0;-#,##0")&amp;"K is "&amp;TEXT(ABS($AE31)/ABS(IF($AG31="R",$AE32,$AE30)),"0%")&amp;" of "&amp;TEXT(IF($AG31="R",$AE32,$AE30)/1000,"+#,##0;-#,##0")&amp;"K, Dex↓ not counted",""))</f>
      </c>
      <c r="MT31">
        <f>IF(AND(ISNUMBER($AA31),$AG31="S",ISNUMBER($AB31),$AB31=MIN($AB$9:$AB$55),$AA31=$BG$105,$JV31="BUY",ABS(N($AD31))&gt;=$BG$158),1,0)</f>
      </c>
      <c r="MU31" t="str">
        <f>IF(N($MY31)=1,"",IF(OR(N($MT31)=1,AND(OR('King Node Model'!$A$8="Neg",N($BG$72)=1),$AG31="S",ISNUMBER($AB31),$AB31=MIN($AB$9:$AB$55),$AA31=$BG$105)),"• Min GEX + Max Zomma (no reversal flag required) — accelerant warning not applied; zomma acceleration warning only within "&amp;$BG$98&amp;" pts of the level, and not when vanna buying is "&amp;TEXT($BG$158/1000,"0")&amp;"K or more"&amp;CHAR(10)&amp;IF(N($MT31)=1,"• Max Zomma and vanna buying ("&amp;TEXT(N($AD31)/1000,"+#,##0;-#,##0")&amp;"K) make this level safe","• Max Zomma is what makes this level safe"),"")&amp;$NB31&amp;$NI31)</f>
      </c>
      <c r="MV31" t="str">
        <f>IF(AND(ISNUMBER($AA31),OR($AA31=$BG$118,$AA31=$BG$119)),IF(N($AZ31)*IF($AG31="R",1,-1)&gt;0,"✓",IF(N($AZ31)*IF($AG31="R",1,-1)&lt;0,"✗","")),"")</f>
      </c>
      <c r="MW31">
        <f>IF(AND(N($MQ31)=1,N($BG$159)&gt;0,ISNUMBER(IF($AG31="R",$AE32,$AE30)),N(IF($AG31="R",$AE32,$AE30))&lt;&gt;0),IF(ABS(N($AE31))&lt;$BG$159*ABS(IF($AG31="R",$AE32,$AE30)),1,0),0)</f>
      </c>
      <c r="MX31">
        <f>IF(AND(ISNUMBER($AA31),$AA31=$BG$121,$AG31="R",N($AE31)&lt;0,OR(COUNTIF('King Node Model'!$AL$42:$AL$44,$AA31)=0,N($HP31)=1),N($NC31)=1),2,IF(AND(ISNUMBER($AA31),$AA31=$BG$120,$AG31="S",N($AE31)&gt;0,OR(COUNTIF('King Node Model'!$AL$49:$AL$51,$AA31)=0,N($HP31)=1),N($ND31)=1),1,0))</f>
      </c>
      <c r="MY31">
        <f>IF(AND(N($NA31)=1,NOT(AND(AND($AG31="S",ISNUMBER($AB31),$AB31=MIN($AB$9:$AB$55),$AA31=$BG$105),IFERROR(INDEX($AG$9:$AG$55,MATCH('King Node Model'!$B$23,$AA$9:$AA$55,0)),"")="R")),N($AV31)&lt;&gt;1),1,0)</f>
      </c>
      <c r="MZ31" t="str">
        <f>IF(N($MY31)&lt;&gt;1,"","• DEX falls off more sharply "&amp;IF($AG31="S","above (","below (")&amp;TEXT(IF($AG31="S",$KU31,$KV31),"0%")&amp;") than "&amp;IF($AG31="S","below (","above (")&amp;TEXT(IF($AG31="S",$KV31,$KU31),"0%")&amp;") — path of least resistance "&amp;IF($AG31="S","down","up")&amp;IF(N($AZ31)*IF($AG31="R",1,-1)&lt;0,CHAR(10)&amp;"• Speed against — GEX gets more negative as price "&amp;IF($AG31="R","rises","falls")&amp;" into it (speed "&amp;TEXT(N($AZ31),"#,##0;−#,##0")&amp;")","")&amp;IF(OR(N($NG31)=1,N($JC31)=1),CHAR(10)&amp;"• "&amp;IF(N($JC31)=1,"DOM with vanna BUY "&amp;TEXT(N($AD31)/1000,"+#,##0;−#,##0")&amp;"K","Put wall + Max Zomma + DOM")&amp;" backs the level, but it does not outweigh DEX"&amp;IF(N($AZ31)*IF($AG31="R",1,-1)&lt;0," and speed",""),IF(AND($AG31="S",ISNUMBER($AB31),$AB31=MIN($AB$9:$AB$55),$AA31=$BG$105),CHAR(10)&amp;"• Min GEX + Max Zomma backs the level, but it does not outweigh DEX"&amp;IF(N($AZ31)*IF($AG31="R",1,-1)&lt;0," and speed",""),IF(OR(N($JI31)=1,AND(N($GV31)=1,N($JK31)&lt;&gt;1,N($IW31)&lt;&gt;1),N($JC31)=1,AND($AA31='King Node Model'!$F$24,N($JN31)&lt;&gt;1,OR($AG31="R",AND($AG31="S",$F$4="High",IF($BG$80&lt;&gt;"",UPPER($BG$80),$D$5)="UP")))),CHAR(10)&amp;"• Vanna "&amp;IF($AG31="S","BUY ","SELL ")&amp;TEXT(N($AD31)/1000,"+#,##0;−#,##0")&amp;"K backs the level, but it does not outweigh DEX"&amp;IF(N($AZ31)*IF($AG31="R",1,-1)&lt;0," and speed",""),"")))&amp;IF(N($NE31)=1,CHAR(10)&amp;"• Buy-lean max-node exemption not applied — DEX leans against the level",""))</f>
      </c>
      <c r="NA31">
        <f>IF(AND(OR('King Node Model'!$A$8="Neg",N($BG$72)=1),ISNUMBER($AA31),ABS(N($AE31))&gt;=$BG$152,ISNUMBER($KU31),ISNUMBER($KV31)),IF(OR(AND($AG31="S",OR(AND($KU31&gt;=$BG$114,$KU31&gt;=$KV31+$BG$115),AND($KU31&gt;1,$KV31&lt;=1,$KV31&gt;=$BG$114))),AND($AG31="R",OR(AND($KV31&gt;=$BG$114,$KV31&gt;=$KU31+$BG$115),AND($KV31&gt;1,$KU31&lt;=1,$KU31&gt;=$BG$114)))),1,0),0)</f>
      </c>
      <c r="NB31" t="str">
        <f>IF(AND(N($NA31)=1,AND(AND($AG31="S",ISNUMBER($AB31),$AB31=MIN($AB$9:$AB$55),$AA31=$BG$105),IFERROR(INDEX($AG$9:$AG$55,MATCH('King Node Model'!$B$23,$AA$9:$AA$55,0)),"")="R")),CHAR(10)&amp;"• DEX falls off more sharply above ("&amp;TEXT($KU31,"0%")&amp;") than below ("&amp;TEXT($KV31,"0%")&amp;") — DEX-lean warning not applied: Min GEX + Max Zomma support with Max Gamma "&amp;'King Node Model'!$B$23&amp;" above (Dex↓ not counted)",IF(AND(OR(N($NA31)=1,N($NF31)=1),N($AV31)=1),IF(AND(OR('King Node Model'!$A$8="Neg",N($BG$72)=1),$AG31="S",ISNUMBER($AB31),$AB31=MIN($AB$9:$AB$55),$AA31=$BG$105),CHAR(10),"")&amp;"• DEX falls off more sharply "&amp;IF($AG31="S","above (","below (")&amp;TEXT(IF($AG31="S",$KU31,$KV31),"0%")&amp;") than "&amp;IF($AG31="S","below (","above (")&amp;TEXT(IF($AG31="S",$KV31,$KU31),"0%")&amp;") — DEX lean does not apply to iDex (isolated DEX)",""))</f>
      </c>
      <c r="NC31">
        <f>IF(OR($BG$163=1,AND($BG$161&gt;0,$BG$162&lt;99999,ISNUMBER($AA31),$AA31&lt;$BG$162)),1,0)</f>
      </c>
      <c r="ND31">
        <f>IF(OR($BG$163=-1,AND($BG$161&gt;0,$BG$162&lt;99999,ISNUMBER($AA31),$AA31&gt;$BG$161)),1,0)</f>
      </c>
      <c r="NE31">
        <f>IF(AND(OR('King Node Model'!$A$8="Neg",N($BG$72)=1),ISNUMBER(SEARCH("LOW",'Master Dashboard'!$M$5)),ISNUMBER(SEARCH("BUY",'Master Dashboard'!$G$8)),'King Node Model'!$T$23='King Node Model'!$B$23,OR($AA31='King Node Model'!$T$23,AND($AG31="R",$AA31='King Node Model'!$T$23+5)),OR(AND($AG31="S",$JV31="BUY"),AND($AG31="R",$JV31="SELL"))),1,0)</f>
      </c>
      <c r="NF31">
        <f>IFERROR(IF(OR(NOT(ISNUMBER($AA31)),'King Node Model'!$A$8&lt;&gt;"Pos",N($BG$72)=1,ABS(N($AE31))&lt;$BG$113,$FA31="DOM",$AA31='King Node Model'!$T$23,AND(N($BG$116)=1,$AA31='King Node Model'!$F$24),NOT(ISNUMBER($KU31)),NOT(ISNUMBER($KV31))),0,IF(AND($AG31="S",COUNTIF('Master Dashboard'!$AN$16:$AN$18,$AA31)=0,$KU31&gt;=$BG$114,$KU31&gt;=$KV31+$BG$115,NOT(AND(N($AN32)=1,N($KV31)&lt;0)),N($AE31)&lt;=0),1,IF(AND($AG31="R",COUNTIF('Master Dashboard'!$AN$13:$AN$15,$AA31)=0,$KV31&gt;=$BG$114,$KV31&gt;=$KU31+$BG$115,NOT(AND(N($AN30)=1,N($KU31)&lt;0))),-1,0))),0)</f>
      </c>
      <c r="NG31">
        <f t="shared" si="202"/>
      </c>
      <c r="NI31" t="str">
        <f>IF(AND(ISNUMBER($BG$165),ISNUMBER($AA31)),IF(OR(AND($AG31="S",$AA31&gt;$BG$165,$AA31-$BG$165&lt;=5),AND($AG31="R",$AA31&lt;$BG$165,$BG$165-$AA31&lt;=5)),IF(OR(AND(OR('King Node Model'!$A$8="Neg",N($BG$72)=1),$AG31="S",ISNUMBER($AB31),$AB31=MIN($AB$9:$AB$55),$AA31=$BG$105),$NB31&lt;&gt;""),CHAR(10),"")&amp;"• DOM forming at "&amp;$BG$165&amp;" (gamma "&amp;TEXT($BG$166,"0%")&amp;" of max) — price may be pulled to the node",""),"")</f>
      </c>
      <c r="NJ31">
        <f>IF(LEN($NI31)&gt;0,1,0)</f>
      </c>
    </row>
    <row r="32" spans="1:349" ht="15" customHeight="1" x14ac:dyDescent="0.25">
      <c r="AA32" s="181">
        <f>'King Node Model'!A52</f>
        <v>7770</v>
      </c>
      <c r="AB32" s="276">
        <f>'King Node Model'!C52</f>
        <v>-3137174</v>
      </c>
      <c r="AC32" s="181">
        <f>ABS('King Node Model'!B52)</f>
        <v>4471438</v>
      </c>
      <c r="AD32" s="276">
        <f>'King Node Model'!F52</f>
        <v>2025848</v>
      </c>
      <c r="AE32" s="276">
        <f>'King Node Model'!E52</f>
        <v>-696485</v>
      </c>
      <c r="AF32" s="276">
        <f>'King Node Model'!D52</f>
        <v>20439820</v>
      </c>
      <c r="AG32" s="181" t="str">
        <f t="shared" si="6"/>
        <v>S</v>
      </c>
      <c r="AH32" s="181">
        <f t="shared" si="7"/>
        <v>1</v>
      </c>
      <c r="AI32" s="181" t="str">
        <f t="shared" si="8"/>
        <v>SELL</v>
      </c>
      <c r="AJ32" s="181">
        <f t="shared" si="9"/>
        <v>1</v>
      </c>
      <c r="AK32" s="181">
        <f>IF(ABS(N($AE32))&gt;=$BG$85,1,0)</f>
      </c>
      <c r="AL32" s="181">
        <f t="shared" si="10"/>
        <v>1</v>
      </c>
      <c r="AM32" s="181">
        <f t="shared" si="11"/>
        <v>3</v>
      </c>
      <c r="AN32" s="181">
        <f t="shared" si="12"/>
        <v>1</v>
      </c>
      <c r="AO32" s="1" t="str">
        <f t="shared" si="13"/>
        <v/>
      </c>
      <c r="AP32" s="1">
        <f t="shared" si="14"/>
        <v>696485</v>
      </c>
      <c r="AQ32" s="1">
        <f t="shared" si="15"/>
        <v>20439820</v>
      </c>
      <c r="AR32" s="181">
        <f t="shared" si="16"/>
        <v>1.62</v>
      </c>
      <c r="AS32" s="181" t="str">
        <f t="shared" si="17"/>
        <v/>
      </c>
      <c r="AT32" s="181" t="str">
        <f t="shared" si="18"/>
        <v/>
      </c>
      <c r="AU32" s="181" t="str">
        <f t="shared" si="19"/>
        <v/>
      </c>
      <c r="AV32" s="218">
        <f t="shared" si="183"/>
        <v>0</v>
      </c>
      <c r="AW32" s="181">
        <f>ABS('King Node Model'!G52)</f>
        <v>198</v>
      </c>
      <c r="AX32" s="181">
        <f t="shared" si="20"/>
        <v>0</v>
      </c>
      <c r="AY32" s="181">
        <f t="shared" si="21"/>
        <v>0</v>
      </c>
      <c r="AZ32" s="276">
        <f>'King Node Model'!I52</f>
        <v>12803</v>
      </c>
      <c r="BA32" s="181">
        <f t="shared" si="22"/>
        <v>0</v>
      </c>
      <c r="BB32" s="181" t="str">
        <f t="shared" si="23"/>
        <v/>
      </c>
      <c r="BC32" s="10">
        <f>'King Node Model'!C52</f>
        <v>-3137174</v>
      </c>
      <c r="BD32" s="218">
        <f t="shared" si="184"/>
        <v>0</v>
      </c>
      <c r="BE32" s="218">
        <f t="shared" si="185"/>
        <v>0</v>
      </c>
      <c r="BF32" s="218" t="s">
        <v>1241</v>
      </c>
      <c r="BG32">
        <v>75000</v>
      </c>
      <c r="BI32" s="218">
        <f t="shared" si="186"/>
        <v>0</v>
      </c>
      <c r="BJ32" s="218">
        <f t="shared" si="187"/>
        <v>0</v>
      </c>
      <c r="BK32" s="218">
        <f t="shared" si="24"/>
        <v>1</v>
      </c>
      <c r="BL32" s="10">
        <f>'King Node Model'!H52</f>
        <v>232</v>
      </c>
      <c r="BM32" s="218">
        <f t="shared" si="25"/>
        <v>1</v>
      </c>
      <c r="BN32" s="218">
        <f t="shared" si="26"/>
        <v>5</v>
      </c>
      <c r="BO32" s="218">
        <f t="shared" si="27"/>
        <v>1</v>
      </c>
      <c r="BP32" s="218">
        <f t="shared" si="28"/>
        <v>0</v>
      </c>
      <c r="BQ32" t="str">
        <f t="shared" si="29"/>
        <v/>
      </c>
      <c r="BR32" t="str">
        <f t="shared" si="30"/>
        <v/>
      </c>
      <c r="BS32" s="218">
        <f t="shared" si="31"/>
        <v>0</v>
      </c>
      <c r="BT32" t="str">
        <f t="shared" si="32"/>
        <v/>
      </c>
      <c r="BU32">
        <f t="shared" si="33"/>
        <v>2</v>
      </c>
      <c r="BV32" s="218">
        <f t="shared" si="34"/>
        <v>2025848</v>
      </c>
      <c r="BW32" s="218">
        <f t="shared" si="35"/>
        <v>696485</v>
      </c>
      <c r="BX32" s="218">
        <f>IF(AND(ISNUMBER(BC32),BC32&gt;=$BG$160,OR('King Node Model'!$A$8="Neg",N($BG$72)=1)),1,0)</f>
        <v>0</v>
      </c>
      <c r="BY32" s="218">
        <f t="shared" si="36"/>
        <v>0</v>
      </c>
      <c r="BZ32" s="218">
        <f t="shared" si="37"/>
        <v>0</v>
      </c>
      <c r="CA32" t="str">
        <f t="shared" si="38"/>
        <v/>
      </c>
      <c r="CB32" s="218">
        <f>IF(AND(ISNUMBER('King Node Model'!$D$27),AG32&lt;&gt;"",AA32='King Node Model'!$D$27),1,0)</f>
        <v>0</v>
      </c>
      <c r="CC32" s="218">
        <f>IF(OR('King Node Model'!$A$8="Neg",N($BG$72)=1),$BG$14*IF(ISNUMBER('King Node Model'!$D$26),MAX(0,1-ABS(AA32-'King Node Model'!$D$26)/$BG$18),0)+$BG$15*IFERROR(BV32/MAX($BV$9:$BV$55),0)+$BG$16*IFERROR(BW32/MAX($BW$9:$BW$55),0)+$BG$17*IFERROR(AC32/$S$11,0)*MAX(0,1+$BG$21*CF32),AR32)</f>
        <v>1.5509518686038246</v>
      </c>
      <c r="CD32" s="218">
        <f>IF(OR('King Node Model'!$A$8="Neg",N($BG$72)=1),IF(AND(AG32&lt;&gt;"",ABS(AA32-$B$4)&lt;=$BG$7,OR(AX32=0,$D$5&lt;&gt;"UP"),AY32=0,BK32&lt;&gt;1,CI32=0,AM32&gt;=$BG$20,AC32&gt;$BG$19),1,0),IF(AND(BS32=1,(COUNTIF($W$9:$W$14,AA32)+COUNTIF($W$18:$W$23,AA32))&gt;0,CI32=0,AM32&gt;=$BG$20,AC32&gt;$BG$19),1,0))</f>
        <v>0</v>
      </c>
      <c r="CE32" s="322" t="str">
        <f t="shared" si="39"/>
        <v/>
      </c>
      <c r="CF32" s="218">
        <f t="shared" si="40"/>
        <v>1</v>
      </c>
      <c r="CG32" t="str">
        <f t="shared" si="41"/>
        <v>ACCEL fading · Neg gamma ↓ (firmer support)</v>
      </c>
      <c r="CH32" t="str">
        <f t="shared" si="42"/>
        <v>Strengthening</v>
      </c>
      <c r="CI32" s="218">
        <f t="shared" si="43"/>
        <v>0</v>
      </c>
      <c r="CJ32" s="218">
        <f t="shared" si="44"/>
        <v>387420489</v>
      </c>
      <c r="CK32" s="218">
        <f t="shared" si="45"/>
        <v>0</v>
      </c>
      <c r="CL32" s="218">
        <f t="shared" si="46"/>
        <v>1</v>
      </c>
      <c r="CR32" t="s">
        <v>1492</v>
      </c>
      <c r="CS32">
        <f>IFERROR(PERCENTILE(ABS($AF$9:$AF$55),0.66),"#ERR needs CSE")</f>
        <v>20439820</v>
      </c>
      <c r="CU32" s="218">
        <f>IF(AND(AND('King Node Model'!$A$8&lt;&gt;"Neg",N($BG$72)&lt;&gt;1),SUMPRODUCT(($AG$9:$AG$55="S")*ISNUMBER($AT$9:$AT$55)*ISNUMBER($AU$9:$AU$55)*($AT$9:$AT$55&lt;&gt;$AU$9:$AU$55)*($AT$9:$AT$55&lt;=$AA32)*($AU$9:$AU$55&gt;=$AA32))&gt;0),0,IF(AND(OR($AA32='King Node Model'!$T$22,$AA32='King Node Model'!$F$24),$AG32="R",COUNTIF($W$9:$W$14,$AA32)&gt;0),1,IF(AND($FN32=1,$EU32&lt;&gt;1,$EM32&lt;&gt;1,$BK32&lt;&gt;1,$DH32&lt;&gt;1,$AG32="R",COUNTIF($W$9:$W$14,$AA32)&gt;0),1,IF($EU32=1,0,IF($EM32=1,0,IF(AND(OR($EE32=1,$GV32=1,AND($EL$7=1,$AA32='King Node Model'!$D$26,$EI32=1),AND(OR($AA32='King Node Model'!$T$22,$AA32='King Node Model'!$T$23),$AN32=1,OR($AX32=0,$D$5&lt;&gt;"UP"))),OR(NOT(OR('King Node Model'!$A$8="Neg",N($BG$72)=1)),$GV32=1,AND(OR($AA32='King Node Model'!$T$22,$AA32='King Node Model'!$T$23),$AN32=1,OR($AX32=0,$D$5&lt;&gt;"UP")),AND($AM32&gt;=$BG$20,$AC32&gt;IF($CZ32=1,$BG$48,$BG$19)))),1,IF($DH32=1,0,IF(AND($DC32=1,$GS32&lt;&gt;1,AND('King Node Model'!$A$8&lt;&gt;"Neg",N($BG$72)&lt;&gt;1)),0,IF(AND($EY32=1,NOT(OR('King Node Model'!$A$8="Neg",$BG$72=1)),$AA32&lt;&gt;'King Node Model'!$B$23),0,IF(AND($GS32=1,$AG32="R",OR($CI32=0,$EE32=1,$EX32=1,$GV32=1),COUNTIF($W$9:$W$14,$AA32)&gt;0,ABS($AA32-$B$4)&lt;=$BG$7,$BK32&lt;&gt;1,$AM32&gt;=$BG$20,$AC32&gt;IF($CZ32=1,$BG$48,$BG$19)),1,IF(OR('King Node Model'!$A$8="Neg",N($BG$72)=1),IF(AND(OR($AM32&gt;=$BG$20,$AA32='King Node Model'!$D$26,$GV32=1),$AG32="R",COUNTIF($W$9:$W$14,$AA32)&gt;0,ABS($AA32-$B$4)&lt;=$BG$7,OR($AX32=0,$D$5&lt;&gt;"UP"),$BK32&lt;&gt;1,OR(OR($CI32=0,$AJ32=1),AND($EI32=1,$LA32=1,COUNTIF($W$9:$W$11,$AA32)&gt;0,$AN32=1,OR($AX32=0,$D$5&lt;&gt;"UP"))),$AM32&gt;=$BG$20,$AC32&gt;IF($CZ32=1,$BG$48,$BG$19),OR($AN32=1,N($LR32)=1,$AA32='King Node Model'!$D$26,AND($BY32=1,$AA32&gt;$B$4),$BX32=1,$CF32=1,$CF32=1,AND(OR($AA32=$CP$4,$AA32=$CP$5,$AA32=$CP$6,$AA32=$CP$7),ABS($AA32-$B$4)&lt;=30),AND($AX32=1,$D$5="DOWN"))),1,0),IF(AND(OR($AM32&gt;=3,$AA32='King Node Model'!$D$26,$GV32=1),$AG32="R",COUNTIF($W$9:$W$14,$AA32)&gt;0,ABS($AA32-$B$4)&lt;=$BG$7,OR($AX32=0,$D$5&lt;&gt;"UP"),$BK32&lt;&gt;1,OR($CI32=0,$AJ32=1),$AM32&gt;=$BG$20,$AC32&gt;IF($CZ32=1,$BG$48,$BG$19),OR($AC32&gt;=MAX($AC$9:$AC$55),$BC32&gt;0,$AA32='King Node Model'!$D$26,AND(OR($AA32=$CP$4,$AA32=$CP$5,$AA32=$CP$6,$AA32=$CP$7),ABS($AA32-$B$4)&lt;=30),$CF32=1,$AN32=1,AND($AX32=1,$D$5="DOWN"))),1,0))))))))))))</f>
        <v>1</v>
      </c>
      <c r="CV32" s="218">
        <f>IF(AND(OR('King Node Model'!$A$8="Neg",N($BG$72)=1),$AG32="S",N($LR32)=1,N($MB32)=1),1,IF(AND(AND('King Node Model'!$A$8&lt;&gt;"Neg",N($BG$72)&lt;&gt;1),SUMPRODUCT(($AG$9:$AG$55="R")*ISNUMBER($AT$9:$AT$55)*ISNUMBER($AU$9:$AU$55)*($AT$9:$AT$55&lt;&gt;$AU$9:$AU$55)*($AT$9:$AT$55&lt;=$AA32)*($AU$9:$AU$55&gt;=$AA32))&gt;0,NOT(AND(N($LC32)=1,$AA32='King Node Model'!$B$23))),0,IF(AND($AA32='King Node Model'!$F$24,$AG32="S",COUNTIF($W$18:$W$23,$AA32)&gt;0),1,IF(AND($FN32=1,$EU32&lt;&gt;1,$EM32&lt;&gt;1,$DH32&lt;&gt;1,$AG32="S",COUNTIF($W$18:$W$23,$AA32)&gt;0),1,IF($EU32=1,0,IF(AND(OR($EF32=1,$GV32=1,AND(OR($AA32='King Node Model'!$T$22,$AA32='King Node Model'!$T$23,AND($AG32="S",COUNTIF('Master Dashboard'!$AN$16:$AN$18,$AA32)&gt;0)),$AN32=1,OR($AX32=0,$D$5&lt;&gt;"UP"))),OR(NOT(OR('King Node Model'!$A$8="Neg",N($BG$72)=1)),$GV32=1,AND(OR($AA32='King Node Model'!$T$22,$AA32='King Node Model'!$T$23,AND($AG32="S",COUNTIF('Master Dashboard'!$AN$16:$AN$18,$AA32)&gt;0)),$AN32=1,OR($AX32=0,$D$5&lt;&gt;"UP")),AND($AM32&gt;=$BG$20,$AC32&gt;IF($CZ32=1,$BG$48,$BG$19)))),1,IF($DH32=1,0,IF(AND($DC32=1,$GS32&lt;&gt;1,AND('King Node Model'!$A$8&lt;&gt;"Neg",N($BG$72)&lt;&gt;1)),0,IF(AND($EY32=1,NOT(OR('King Node Model'!$A$8="Neg",$BG$72=1)),$AA32&lt;&gt;'King Node Model'!$B$23,COUNTIF('Master Dashboard'!$AN$16:$AN$18,$AA32)=0),0,IF(AND($GS32=1,$AG32="S",OR($CI32=0,$EF32=1,$EX32=1,$GV32=1),COUNTIF($W$18:$W$23,$AA32)&gt;0,ABS($AA32-$B$4)&lt;=$BG$7,$BK32&lt;&gt;1,$AM32&gt;=$BG$20,$AC32&gt;IF($CZ32=1,$BG$48,$BG$19)),1,IF(OR('King Node Model'!$A$8="Neg",N($BG$72)=1),IF(AND(OR(OR($AM32&gt;=$BG$20,N($LR32)=1),$AA32='King Node Model'!$D$26,$GV32=1),$AG32="S",COUNTIF($W$18:$W$23,$AA32)&gt;0,ABS($AA32-$B$4)&lt;=$BG$7,OR($AX32=0,$D$5&lt;&gt;"UP"),$BK32&lt;&gt;1,OR($CI32=0,$AJ32=1,AND(N($LR32)=1,N($MB32)=1),N($MT32)=1),OR($AM32&gt;=$BG$20,N($LR32)=1),$AC32&gt;IF($CZ32=1,$BG$48,$BG$19),OR($AB32&gt;0,$AN32=1,N($MT32)=1,N($LR32)=1,$AA32='King Node Model'!$D$26,AND($BY32=1,$AA32&lt;$B$4),$BX32=1,$CF32=1,$CF32=1,AND(OR($AA32=$CP$4,$AA32=$CP$5,$AA32=$CP$6,$AA32=$CP$7),ABS($AA32-$B$4)&lt;=30),AND($AX32=1,$D$5="DOWN"))),1,0),IF(AND(OR($AM32&gt;=3,$AA32='King Node Model'!$D$26,$GV32=1),$AG32="S",COUNTIF($W$18:$W$23,$AA32)&gt;0,ABS($AA32-$B$4)&lt;=$BG$7,OR($AX32=0,$D$5&lt;&gt;"UP"),$BK32&lt;&gt;1,OR($CI32=0,$AJ32=1,AND(N($LR32)=1,N($MB32)=1),N($MT32)=1),$AM32&gt;=$BG$20,$AC32&gt;IF($CZ32=1,$BG$48,$BG$19),OR($AC32&gt;=MAX($AC$9:$AC$55),$BC32&gt;0,N($MT32)=1,$AA32='King Node Model'!$D$26,AND(OR($AA32=$CP$4,$AA32=$CP$5,$AA32=$CP$6,$AA32=$CP$7),ABS($AA32-$B$4)&lt;=30),$CF32=1,$AN32=1,AND($AX32=1,$D$5="DOWN"))),1,0))))))))))))</f>
        <v>1</v>
      </c>
      <c r="CX32" s="218">
        <f t="shared" si="48"/>
        <v>0</v>
      </c>
      <c r="CY32" t="str">
        <f t="shared" si="49"/>
        <v/>
      </c>
      <c r="CZ32" s="218">
        <f t="shared" si="50"/>
        <v>0</v>
      </c>
      <c r="DA32" t="str">
        <f t="shared" si="51"/>
        <v/>
      </c>
      <c r="DB32" s="218">
        <f t="shared" si="52"/>
        <v>4471438</v>
      </c>
      <c r="DC32" s="218">
        <f t="shared" si="53"/>
        <v>1</v>
      </c>
      <c r="DD32" s="218">
        <f t="shared" si="54"/>
        <v>6</v>
      </c>
      <c r="DE32" s="218">
        <f t="shared" si="55"/>
        <v>4</v>
      </c>
      <c r="DF32" s="218">
        <f t="shared" si="56"/>
        <v>7755</v>
      </c>
      <c r="DG32" s="218">
        <f t="shared" si="57"/>
        <v>7795</v>
      </c>
      <c r="DH32" s="218">
        <f t="shared" si="58"/>
        <v>1</v>
      </c>
      <c r="DI32">
        <v>1</v>
      </c>
      <c r="DJ32">
        <v>1</v>
      </c>
      <c r="DK32">
        <v>583942</v>
      </c>
      <c r="DL32">
        <v>0</v>
      </c>
      <c r="DM32">
        <f>IF(AND($CV32=1,$AG32="S"),IF(AND(OR('King Node Model'!$A$8="Neg",N($BG$72)=1),'King Node Model'!$S$52=""),IF(OR(N($AN32)=1,N($LR32)=1,$AB32&gt;0,$AJ32=1,N($JO32)=1,AND(NOT($AE32&gt;0),NOT(IFERROR(AND(ISNUMBER($BC32),ISNUMBER($BC31),($BC32&gt;=0)&lt;&gt;($BC31&gt;=0)),FALSE())),OR(AND($BM32&lt;=6,$BN32&lt;=6),ABS($AA32-'King Node Model'!$T$23)&lt;=5,$LA32=1))),1,0),1),"")</f>
        <v>1</v>
      </c>
      <c r="DN32">
        <f t="shared" si="59"/>
        <v>2</v>
      </c>
      <c r="DO32" t="str">
        <f t="shared" si="60"/>
        <v/>
      </c>
      <c r="DP32" t="str">
        <f>IF(AND(OR('King Node Model'!$A$8="Neg",N($BG$72)=1),$AG32="S",ISNUMBER($AT32),ISNUMBER($AU32),$AT32&lt;&gt;$AU32,$AA32=$AT32),IF(AND(SUMPRODUCT(($AA$9:$AA$55&gt;=$AT32)*($AA$9:$AA$55&lt;=$AU32)*($AB$9:$AB$55&gt;0))&gt;0,SUMPRODUCT(($AA$9:$AA$55&gt;=$AT32)*($AA$9:$AA$55&lt;=$AU32)*($DM$9:$DM$55=1))&gt;0,SUMPRODUCT(($AA$9:$AA$55&gt;=$AT32)*($AA$9:$AA$55&lt;=$AU32)*(COUNTIF($W$18:$W$20,$AA$9:$AA$55)&gt;0))&gt;0),1,0),"")</f>
        <v/>
      </c>
      <c r="DS32">
        <v>0</v>
      </c>
      <c r="DT32">
        <v>1</v>
      </c>
      <c r="DU32" t="str">
        <f>IF('King Node Model'!$A$8&lt;&gt;"Pos","",IF(OR($AA32="",NOT(ISNUMBER($AA32)),ABS($AA32-$B$4)&gt;$BG$7),"",TEXT($AA32,"0")&amp;" | "&amp;IF($AG32="","unclassified",IF($AG32&lt;&gt;IF($AA32&gt;$B$4,"R","S"),"orphan: in "&amp;$AG32&amp;"-list, "&amp;IF($AA32&lt;$B$4,"below","above")&amp;" spot",IF(IF($AG32="R",COUNTIF($W$9:$W$14,$AA32),COUNTIF($W$18:$W$23,$AA32))=0,"not in "&amp;$AG32&amp;"-list",IF($DH32=1,"absorbed into shelf box",IF($BK32=1,"absorbed: adjacent reversal",IF($CI32=1,"accel-accelerant",IF($AC32&lt;=$BG$19,"below gamma-floor",IF($AM32&lt;$BG$20,"confluence "&amp;TEXT($AM32,"0")&amp;" &lt; "&amp;TEXT($BG$20,"0"),IF(AND($AX32=1,$D$5="UP"),"accelerant in up-move",IF(NOT(OR($AC32&gt;=MAX($AC$9:$AC$55),$BC32&gt;0,$AA32='King Node Model'!$D$26,AND(OR($AA32=$CP$4,$AA32=$CP$5,$AA32=$CP$6,$AA32=$CP$7),ABS($AA32-$B$4)&lt;=30),ISNUMBER(SEARCH("STRENGTHENING",$CG32)),$AN32=1,AND($AX32=1,$D$5="DOWN"))),"no surface flag","-&gt; qualifies"))))))))))))</f>
        <v/>
      </c>
      <c r="DV32" s="218">
        <f t="shared" si="61"/>
        <v>99999</v>
      </c>
      <c r="DW32" s="218">
        <f t="shared" si="62"/>
        <v>99999</v>
      </c>
      <c r="DX32" t="str">
        <f>IF('King Node Model'!$A$8&lt;&gt;"Pos","",IF(AND($DV32&lt;99999,$DV32=MIN($DV$9:$DV$55),$DG32&gt;$AA32),"R-box: "&amp;TEXT($AA32,"0")&amp;"-"&amp;TEXT($DG32,"0"),IF(AND($DW32&lt;99999,$DW32=MIN($DW$9:$DW$55),$DF32&lt;$AA32),"S-box: "&amp;TEXT($DF32,"0")&amp;"-"&amp;TEXT($AA32,"0"),"")))</f>
        <v/>
      </c>
      <c r="EB32">
        <f t="shared" si="63"/>
        <v>5.3900000000003274</v>
      </c>
      <c r="EC32">
        <f t="shared" si="64"/>
        <v>538591</v>
      </c>
      <c r="ED32">
        <f t="shared" si="65"/>
        <v>0</v>
      </c>
      <c r="EE32">
        <f>IF(AND(OR('King Node Model'!$A$8="Neg",N($BG$72)=1),$AG32="R",ISNUMBER($EB32),$EB32&lt;=$BG$7,$AB32&gt;0,$EC32&gt;0,$AB32=$EC32),1,0)</f>
        <v>0</v>
      </c>
      <c r="EF32">
        <f>IF(AND(OR('King Node Model'!$A$8="Neg",N($BG$72)=1),$AG32="S",ISNUMBER($EB32),$EB32&lt;=$BG$7,$AB32&gt;0,$ED32&gt;0,$AB32=$ED32),1,0)</f>
        <v>0</v>
      </c>
      <c r="EI32">
        <v>1</v>
      </c>
      <c r="EJ32">
        <f>IF($AA32="",0,IF(SUMPRODUCT(($AA$9:$AA$55&gt;=$AT32)*($AA$9:$AA$55&lt;=$AU32)*($DT$9:$DT$55=1))+SUMPRODUCT(($DT$9:$DT$55=1)*($AT$9:$AT$55&lt;=$AA32)*($AU$9:$AU$55&gt;=$AA32))+($DT32=1)+AND(OR('King Node Model'!$A$8="Neg",N($BG$72)=1),ISNUMBER(SEARCH("LOW",'Master Dashboard'!$M$5)),ISNUMBER(SEARCH("BUY",'Master Dashboard'!$G$8)),'King Node Model'!$T$23='King Node Model'!$B$23,$AA32&gt;='King Node Model'!$T$23,$AA32&lt;='King Node Model'!$T$23+5)*1&gt;0,1,0))</f>
        <v>1</v>
      </c>
      <c r="EM32">
        <f t="shared" si="66"/>
        <v>0</v>
      </c>
      <c r="EN32">
        <v>0</v>
      </c>
      <c r="EO32">
        <f t="shared" si="67"/>
        <v>0</v>
      </c>
      <c r="EP32">
        <f t="shared" si="68"/>
        <v>1</v>
      </c>
      <c r="EQ32" t="str">
        <f t="shared" si="69"/>
        <v>ACCEL fading · Neg gamma ↓ (firmer support)</v>
      </c>
      <c r="ES32">
        <f>IF(AND(ISNUMBER(AA32),ISNUMBER(AF32),ABS(AA32-'King Node Model'!$B$4)&lt;=$BG$7),ABS(AF32),"")</f>
        <v>20439820</v>
      </c>
      <c r="ET32">
        <v>0</v>
      </c>
      <c r="EU32" s="218">
        <f>IF(AND(OR('King Node Model'!$A$8="Neg",N($BG$72)=1),ISNUMBER($AA31),ISNUMBER($AA32),ISNUMBER($AA33),ISNUMBER($AB31),ISNUMBER($AB32),ISNUMBER($AB33),ISNUMBER($AF32),$AB32&gt;0,$AB31&lt;0,$AB33&lt;0,$AF32&lt;0),1,0)</f>
        <v>0</v>
      </c>
      <c r="EW32">
        <f>IF(OR(N($MY32)=1,N($JM32)=1),0,N($NE32))</f>
        <v>1</v>
      </c>
      <c r="EX32">
        <f>IF(AND(OR('King Node Model'!$A$8="Neg",N($BG$72)=1),ISNUMBER($AA32),OR(AND($AA32='King Node Model'!$F$24,OR(AND($AG32="S",$F$4="High",IF($BG$80&lt;&gt;"",UPPER($BG$80),$D$5)="DOWN"),AND($AG32="R",$F$4="Low",IF($BG$80&lt;&gt;"",UPPER($BG$80),$D$5)="UP"))),$GV32=1)),1,0)</f>
        <v>0</v>
      </c>
      <c r="EY32">
        <f>IFERROR(IF(AND($DC32=1,$AB32&lt;0,$AC32&gt;=(1+$FA$6)*INDEX($AC$9:$AC$55,24-1),$AC32&gt;=(1+$FA$6)*INDEX($AC$9:$AC$55,24+1),$AC32&gt;=IFERROR(INDEX($AC$9:$AC$55,24-2),0),$AC32&gt;=IFERROR(INDEX($AC$9:$AC$55,24+2),0)),1,0),0)</f>
        <v>0</v>
      </c>
      <c r="FA32" t="str">
        <f>IF(NOT(ISNUMBER($AA32)),"",IFERROR(IF(AND($AC32=MAX($AC$9:$AC$55),$AB32=MIN($AB$9:$AB$55)),"DOM",IF(AND($DC31=1,$DC32=1,$DC33=1,INDEX($AC$9:$AC$55,24-1)&lt;=(1-$FA$6)*$AC32,INDEX($AC$9:$AC$55,24-1)&lt;=(1-$FA$6)*INDEX($AC$9:$AC$55,24-2)),"GAP↑",IF(AND($DC33=1,$DC32=1,INDEX($AC$9:$AC$55,24+1)&lt;=(1-$FA$6)*$AC32,INDEX($AC$9:$AC$55,24+1)&lt;=(1-$FA$6)*INDEX($AC$9:$AC$55,24+2)),"GAP↓",IF($CZ32=1,"dEdge Cliff",IF($GY32=1,"γWall",IF(AND($DC32=1,$AB32&lt;0,$AC32&gt;=(1+$FA$6)*INDEX($AC$9:$AC$55,24-1),$AC32&gt;=(1+$FA$6)*INDEX($AC$9:$AC$55,24+1)),"PEAK-",IF($GZ32=1,"γSh Edge",IF($HL32=1,"Trough",IF($HN32=1,"PEAK+",IF($GF32=1,"Cluster","")))))))))),""))</f>
        <v>DOM</v>
      </c>
      <c r="FB32">
        <f t="shared" si="70"/>
        <v>7770</v>
      </c>
      <c r="FC32">
        <f t="shared" si="71"/>
        <v>7780</v>
      </c>
      <c r="FD32">
        <f>IF(AND(ISNUMBER($AA32),ISNUMBER('King Node Model'!$AP$17),ISNUMBER('King Node Model'!$AQ$17),$AA32&gt;=MIN('King Node Model'!$AP$17,'King Node Model'!$AQ$17),$AA32&lt;=MAX('King Node Model'!$AP$17,'King Node Model'!$AQ$17),IFERROR(INDEX($AC$9:$AC$55,MATCH('King Node Model'!$AL$42,$AA$9:$AA$55,0)),0)&gt;0,$AC32&gt;=(1-$FA$6)*IFERROR(INDEX($AC$9:$AC$55,MATCH('King Node Model'!$AL$42,$AA$9:$AA$55,0)),0),$AC32&lt;=(1+$FA$6)*IFERROR(INDEX($AC$9:$AC$55,MATCH('King Node Model'!$AL$42,$AA$9:$AA$55,0)),0)),1,0)</f>
        <v>0</v>
      </c>
      <c r="FE32">
        <f>IF($AA32='King Node Model'!$AL$42,1,IF(AND($FD32=1,$FE31=1),1,0))</f>
        <v>0</v>
      </c>
      <c r="FF32">
        <f>IF($AA32='King Node Model'!$AL$42,1,IF(AND($FD32=1,$FF33=1),1,0))</f>
        <v>0</v>
      </c>
      <c r="FG32" t="str">
        <f>IF(OR($FE32=1,$FF32=1),24,"")</f>
        <v/>
      </c>
      <c r="FJ32">
        <f>IF(AND($CW$2=1,ISNUMBER($AA32),ISNUMBER($CW$3),ISNUMBER($CW$4),$AA32&gt;=MIN($CW$3,$CW$4),$AA32&lt;=MAX($CW$3,$CW$4),IFERROR(INDEX($AC$9:$AC$55,MATCH('King Node Model'!$AP$67,$AA$9:$AA$55,0)),0)&gt;0,$AC32&gt;=(1-$FA$6)*IFERROR(INDEX($AC$9:$AC$55,MATCH('King Node Model'!$AP$67,$AA$9:$AA$55,0)),0),$AC32&lt;=(1+$FA$6)*IFERROR(INDEX($AC$9:$AC$55,MATCH('King Node Model'!$AP$67,$AA$9:$AA$55,0)),0)),1,0)</f>
        <v>1</v>
      </c>
      <c r="FK32">
        <f>IF(AND($CW$2=1,$AA32='King Node Model'!$AP$67),1,IF(AND($FJ32=1,$FK31=1),1,0))</f>
        <v>1</v>
      </c>
      <c r="FL32">
        <f>IF(AND($CW$2=1,$AA32='King Node Model'!$AP$67),1,IF(AND($FJ32=1,$FL33=1),1,0))</f>
        <v>0</v>
      </c>
      <c r="FM32">
        <f>IF(OR($FK32=1,$FL32=1),24,"")</f>
        <v>24</v>
      </c>
      <c r="FN32">
        <v>0</v>
      </c>
      <c r="FR32" t="str">
        <f t="shared" si="72"/>
        <v/>
      </c>
      <c r="FS32">
        <f t="shared" si="188"/>
        <v>0</v>
      </c>
      <c r="FT32">
        <f t="shared" si="73"/>
        <v>-0.70160292952736902</v>
      </c>
      <c r="FU32">
        <f t="shared" si="74"/>
        <v>4471438</v>
      </c>
      <c r="FV32">
        <f>IF($FW32=0,"",IF(OR($FW31=0,SIGN(IFERROR($BC32*1,0))&lt;&gt;SIGN(IFERROR($BC31*1,0)),$GH32=1,$GH31=1),MAX($FV$9:$FV31)+1,$FV31))</f>
        <v>8</v>
      </c>
      <c r="FW32">
        <f t="shared" si="75"/>
        <v>1</v>
      </c>
      <c r="FX32">
        <f t="shared" si="76"/>
        <v>4471438</v>
      </c>
      <c r="FY32">
        <f t="shared" si="77"/>
        <v>1</v>
      </c>
      <c r="FZ32">
        <f t="shared" si="189"/>
        <v>1</v>
      </c>
      <c r="GA32">
        <f t="shared" si="78"/>
        <v>1</v>
      </c>
      <c r="GB32">
        <f t="shared" si="79"/>
        <v>3</v>
      </c>
      <c r="GC32">
        <f t="shared" si="80"/>
        <v>12566480</v>
      </c>
      <c r="GD32">
        <f t="shared" si="81"/>
        <v>7770</v>
      </c>
      <c r="GE32">
        <f t="shared" si="82"/>
        <v>7780</v>
      </c>
      <c r="GF32">
        <f t="shared" si="83"/>
        <v>1</v>
      </c>
      <c r="GH32">
        <f>IFERROR(IF(AND($AC32&gt;=(1+$FA$6)*INDEX($AC$9:$AC$55,24-1),$AC32&gt;=(1+$FA$6)*INDEX($AC$9:$AC$55,24+1)),1,0),0)</f>
        <v>0</v>
      </c>
      <c r="GK32">
        <v>0</v>
      </c>
      <c r="GO32">
        <v>0</v>
      </c>
      <c r="GP32">
        <v>0</v>
      </c>
      <c r="GQ32">
        <f t="shared" si="84"/>
        <v>0</v>
      </c>
      <c r="GR32">
        <f t="shared" si="85"/>
        <v>0</v>
      </c>
      <c r="GS32">
        <f>IF(AND($EY32=1,$AA32&lt;&gt;'King Node Model'!$B$23),0,IF(OR($GQ32=1,$GR32=1),1,IF($DC32=1,IF(OR('King Node Model'!$A$8="Neg",N($BG$72)=1),IF(OR(AND($AC32=MAX($AC$9:$AC$55),$AB32=MIN($AB$9:$AB$55)),$AN32=1,$EE32=1,$EF32=1,$EX32=1,$GV32=1),1,0),1),0)))</f>
        <v>1</v>
      </c>
      <c r="GT32">
        <f>IFERROR(IF(AND(OR('King Node Model'!$A$8="Neg",N($BG$72)=1),$EU31=1,$AG32="R",ISNUMBER($AA32),ISNUMBER($AF32),$AF32&lt;&gt;0,$AA32&gt;$B$4-$BG$9,$AA32-$B$4&lt;=$BG$47,IF($KC32="UP",SIGN($AF32),IF($KC32="DOWN",-SIGN($AF32),0))&lt;&gt;1),1,0),0)</f>
        <v>0</v>
      </c>
      <c r="GU32" t="str">
        <f t="shared" si="86"/>
        <v/>
      </c>
      <c r="GV32">
        <f t="shared" si="87"/>
        <v>0</v>
      </c>
      <c r="GW32" t="str">
        <f t="shared" si="88"/>
        <v/>
      </c>
      <c r="GX32">
        <f t="shared" si="89"/>
        <v>5.3900000000003274</v>
      </c>
      <c r="GY32">
        <f t="shared" si="90"/>
        <v>0</v>
      </c>
      <c r="GZ32">
        <f t="shared" si="91"/>
        <v>0</v>
      </c>
      <c r="HA32">
        <v>1</v>
      </c>
      <c r="HF32">
        <f>IFERROR(IF(AND($GZ32=1,'King Node Model'!$A$8="Pos",$D$5="UP",$CF32=-1,$AJ32&lt;&gt;1),1,0),0)</f>
        <v>0</v>
      </c>
      <c r="HG32">
        <f t="shared" si="92"/>
        <v>0</v>
      </c>
      <c r="HH32">
        <f>IF($GZ32=1,"",IFERROR(IF(NOT(ISNUMBER($AA32)),"",IF($EY32=1,"",IF($GF32=1,IF($GD32=$GE32,"",$GD32),IF(OR(AND($DC31=1,$DC32=1,$DC33=1,INDEX($AC$9:$AC$55,24-1)&lt;=(1-$FA$6)*$AC32,INDEX($AC$9:$AC$55,24-1)&lt;=(1-$FA$6)*INDEX($AC$9:$AC$55,24-2)),AND($DC33=1,$DC32=1,INDEX($AC$9:$AC$55,24+1)&lt;=(1-$FA$6)*$AC32,INDEX($AC$9:$AC$55,24+1)&lt;=(1-$FA$6)*INDEX($AC$9:$AC$55,24+2)),AND($DC32=1,OR(INDEX($DC$9:$DC$55,24-1)=0,INDEX($DC$9:$DC$55,24+1)=0))),IF(MIN($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MAX($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MIN($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f>
        <v>7770</v>
      </c>
      <c r="HI32">
        <f>IF($GZ32=1,"",IFERROR(IF(NOT(ISNUMBER($AA32)),"",IF($EY32=1,"",IF($GF32=1,IF($GD32=$GE32,"",$GE32),IF(OR(AND($DC31=1,$DC32=1,$DC33=1,INDEX($AC$9:$AC$55,24-1)&lt;=(1-$FA$6)*$AC32,INDEX($AC$9:$AC$55,24-1)&lt;=(1-$FA$6)*INDEX($AC$9:$AC$55,24-2)),AND($DC33=1,$DC32=1,INDEX($AC$9:$AC$55,24+1)&lt;=(1-$FA$6)*$AC32,INDEX($AC$9:$AC$55,24+1)&lt;=(1-$FA$6)*INDEX($AC$9:$AC$55,24+2)),AND($DC32=1,OR(INDEX($DC$9:$DC$55,24-1)=0,INDEX($DC$9:$DC$55,24+1)=0))),IF(MIN($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MAX($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MAX($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f>
        <v>7780</v>
      </c>
      <c r="HL32">
        <f t="shared" si="93"/>
        <v>0</v>
      </c>
      <c r="HM32">
        <f>IFERROR(IF(AND($HL32=1,NOT(OR($AA32='King Node Model'!$T$22,$AA32='King Node Model'!$T$23,$AA32='King Node Model'!$F$24,AND($AG32="S",COUNTIF('Master Dashboard'!$AN$16:$AN$18,$AA32)&gt;0),AND($AG32="R",COUNTIF('Master Dashboard'!$AN$13:$AN$15,$AA32)&gt;0)))),1,0),0)</f>
        <v>0</v>
      </c>
      <c r="HN32">
        <f t="shared" si="94"/>
        <v>0</v>
      </c>
      <c r="HO32">
        <f t="shared" si="95"/>
        <v>0</v>
      </c>
      <c r="HP32">
        <f t="shared" si="96"/>
        <v>0</v>
      </c>
      <c r="HQ32" t="str">
        <f>IF(NOT(ISNUMBER($AA32)),"",IFERROR(TRIM(IF(N($MY32)=1,"DEXLEAN ","")&amp;IF(N($IZ32)=1,"DEXCAP ","")&amp;IF(AND($AG32="S",UPPER('King Node Model'!$L$5)="HIGH",$KC32="DOWN",N($AF32)&gt;0,$AA32='King Node Model'!$AN$70,$IY32="SELL"),"CHOPEDGEIV ","")&amp;IF(N($IS32)=1,"NOREV ","")&amp;IF(N($JY32)=1,"VFLAT ","")&amp;IF(N($KR32)=1,"GDEXVANNA ","")&amp;IF(N($LD32)=1,"KGSUPFAIL ","")&amp;IF(N($LE32)=1,"KGRESLEAK ","")&amp;IF(N($MH32)=1,"ZIGZAG ","")&amp;IF(N($KK32)=1,"DATAGAP ","")&amp;IF(N($KA32)&lt;&gt;0,"ACCUNDERCW ","")&amp;IF(AND($AG32="S",$HF32=1),"EDGE ","")&amp;IF(AND($HM32=1,'King Node Model'!$A$8="Pos",N($BG$72)&lt;&gt;1),"TROUGH ","")&amp;IF(AND($EU32=1,N($JZ32)&lt;&gt;1),"BUMP ","")&amp;IF(AND($GT32=1,N($JZ32)&lt;&gt;1),"SANDWICH ","")&amp;IF(AND($EX32&lt;&gt;1,OR('King Node Model'!$A$8="Neg",N($BG$72)=1),OR(AND(ISNUMBER($AC32),$AC32=MAX($AC$9:$AC$55)),AND(ISNUMBER($AB32),$AB32=MIN($AB$9:$AB$55))),NOT(AND(AND(ISNUMBER($AC32),$AC32=MAX($AC$9:$AC$55)),AND(ISNUMBER($AB32),$AB32=MIN($AB$9:$AB$55)))),$AG32="S",N($AB32)&lt;0,NOT(COUNTIF('Master Dashboard'!$AN$16:$AN$18,$AA32)&gt;0),NOT(AND(OR('King Node Model'!$A$8="Neg",N($BG$72)=1),ISNUMBER($AB32),$AB32=MIN($AB$9:$AB$55),$AA32=$BG$105))),"ACCEL ","")&amp;IF(AND($EX32&lt;&gt;1,ISNUMBER($AA32),OR('King Node Model'!$A$8="Neg",N($BG$72)=1),$EY32=1,NOT(AND($AG32="S",COUNTIF('Master Dashboard'!$AN$16:$AN$18,$AA32)&gt;0)),NOT(AND($AA32='King Node Model'!$B$23,IF($AG32="S",OR($AA32='King Node Model'!$C$24,COUNTIF('Master Dashboard'!$AN$16:$AN$18,$AA32)&gt;0),OR($AA32='King Node Model'!$C$23,COUNTIF('Master Dashboard'!$AN$13:$AN$15,$AA32)&gt;0)))),NOT(AND($EX32&lt;&gt;1,OR('King Node Model'!$A$8="Neg",N($BG$72)=1),OR(AND(ISNUMBER($AC32),$AC32=MAX($AC$9:$AC$55)),AND(ISNUMBER($AB32),$AB32=MIN($AB$9:$AB$55))),NOT(AND(AND(ISNUMBER($AC32),$AC32=MAX($AC$9:$AC$55)),AND(ISNUMBER($AB32),$AB32=MIN($AB$9:$AB$55)))),$AG32="S",N($AB32)&lt;0,NOT(COUNTIF('Master Dashboard'!$AN$16:$AN$18,$AA32)&gt;0)))),"AMPLIFY ","")&amp;IF(AND($AG32="S",OR('King Node Model'!$A$8="Neg",N($BG$72)=1),$AJ32&lt;&gt;1,N($MT32)&lt;&gt;1,NOT(AND(N($LR32)=1,N($MB32)=1)),ISNUMBER(SEARCH("ACCEL building",$CG32))),"ZACCEL ","")&amp;IF(AND($AG32="S",OR('King Node Model'!$A$8="Neg",N($BG$72)=1),$AA32='King Node Model'!$B$23,NOT(AND(AND(ISNUMBER($AC32),$AC32=MAX($AC$9:$AC$55)),AND(ISNUMBER($AB32),$AB32=MIN($AB$9:$AB$55)))),$EJ32&lt;&gt;1),"KINGACC ","")&amp;IF(AND($AG32="S",OR('King Node Model'!$A$8="Neg",N($BG$72)=1),ABS(N($AA32)-N('King Node Model'!$B$23))&lt;=$BG$107,NOT(AND(SUMPRODUCT((ABS($AF$9:$AF$55)&lt;=ABS(N($AF32)))*1)/COUNT($AF$9:$AF$55)&gt;=0.66,OR(ISNUMBER(SEARCH("firmer resistance",$CG32)),ISNUMBER(SEARCH("STRENGTHENING",$CG32)),ISNUMBER(SEARCH("firmer support",$CG32))))),NOT(AND(N($AB32)&gt;0,SUMPRODUCT((ABS($AB$9:$AB$55)&lt;=ABS(N($AB32)))*1)/COUNT($AB$9:$AB$55)&gt;=0.66)),$EJ32&lt;&gt;1,$AJ32&lt;&gt;1,COUNTIF('Master Dashboard'!$AN$16:$AN$18,$AA32)=0,NOT(AND($AG32="S",OR('King Node Model'!$A$8="Neg",N($BG$72)=1),$AA32='King Node Model'!$B$23,NOT(AND(AND(ISNUMBER($AC32),$AC32=MAX($AC$9:$AC$55)),AND(ISNUMBER($AB32),$AB32=MIN($AB$9:$AB$55)))),$EJ32&lt;&gt;1))),"KINGNODE ","")&amp;IF(AND($AG32="R",NOT(AND(AND(ISNUMBER($AC32),$AC32=MAX($AC$9:$AC$55)),AND(ISNUMBER($AB32),$AB32=MIN($AB$9:$AB$55)))),UPPER('King Node Model'!$L$5)="LOW",$KC32="DOWN",N($AF32)&gt;0),"LOWIVFALL ","")&amp;IF(AND($AG32="R",NOT(AND(AND(ISNUMBER($AC32),$AC32=MAX($AC$9:$AC$55)),AND(ISNUMBER($AB32),$AB32=MIN($AB$9:$AB$55)))),UPPER('King Node Model'!$L$5)="HIGH",$KC32="DOWN",N($AF32)&gt;0,IFERROR(MATCH($AA32,$W$9:$W$14,0)&gt;=4,FALSE)),"HIGHIVFALL ","")&amp;IF(AND($AG32="R",N($BG$99)=1),"SPOTUPVOLUP ","")&amp;IF(AND($AG32="R",ISNUMBER(SEARCH("5/5",'Master Dashboard'!$E$29)),OR(ISNUMBER(SEARCH("WEAKENING",$EQ32)),ISNUMBER(SEARCH("Pos gamma ↓",$EQ32)),ISNUMBER(SEARCH("thinning the ceiling",$EQ32)))),"SQUEEZE ","")&amp;IF(N($JU32)=1,"DEDGECLIFF ","")&amp;IF(N($KT32)=1,"DEXDRAIN ","")&amp;IF(N($HW32)&lt;&gt;0,"DEXDROP ","")&amp;IF(N($HX32)&lt;&gt;0,"PEAK+ ","")&amp;IF(N($IF32)=1,"CHOP ","")&amp;IF(N($IQ32)=1,"CONTESTED ","")&amp;IF(N($IW32)=1,"VSELL ","")&amp;IF(N($JK32)=1,"VBUYRES ","")&amp;IF(N($JL32)=1,"DOMFLAT ","")&amp;IF(N($JM32)=1,"DOMPULL ","")&amp;IF(N($JP32)=1,"OIZOMMA ","")&amp;IF(AND(N($JQ32)=1,N($JZ32)&lt;&gt;1),"OIDEX ","")),""))</f>
        <v>VSELL</v>
      </c>
      <c r="HS32">
        <f>IFERROR(IF(AND($DC32=1,OR(AND($AG32="R",INDEX($DC$9:$DC$55,23)=0,INDEX($DC$9:$DC$55,25)=1,INDEX($DC$9:$DC$55,26)=1),AND($AG32="S",INDEX($DC$9:$DC$55,25)=0,INDEX($DC$9:$DC$55,23)=1,INDEX($DC$9:$DC$55,22)=1))),1,0),0)</f>
        <v>0</v>
      </c>
      <c r="HT32">
        <f t="shared" si="97"/>
        <v>0</v>
      </c>
      <c r="HU32">
        <v>0</v>
      </c>
      <c r="HV32">
        <v>0</v>
      </c>
      <c r="HW32">
        <f>IFERROR(IF(OR(NOT(ISNUMBER($AA32)),'King Node Model'!$A$8&lt;&gt;"Pos",N($BG$72)=1,ABS(N($AE32))&lt;$BG$113,N($AV32)=1,$FA32="DOM",$AA32='King Node Model'!$T$23,AND(N($BG$116)=1,$AA32='King Node Model'!$F$24),NOT(ISNUMBER($KU32)),NOT(ISNUMBER($KV32))),0,IF(AND($AG32="S",COUNTIF('Master Dashboard'!$AN$16:$AN$18,$AA32)=0,$KU32&gt;=$BG$114,$KU32&gt;=$KV32+$BG$115,NOT(AND(N($AN33)=1,N($KV32)&lt;0)),N($AE32)&lt;=0),1,IF(AND($AG32="R",COUNTIF('Master Dashboard'!$AN$13:$AN$15,$AA32)=0,$KV32&gt;=$BG$114,$KV32&gt;=$KU32+$BG$115,NOT(AND(N($AN31)=1,N($KU32)&lt;0))),-1,0))),0)</f>
        <v>0</v>
      </c>
      <c r="HX32">
        <f>IFERROR(IF(AND(ISNUMBER($AA32),$FA32="PEAK+",N($AN32)&lt;&gt;1,NOT(AND('King Node Model'!$A$8="Pos",OR($AA32='King Node Model'!$T$22,$AA32='King Node Model'!$T$23,$AA32='King Node Model'!$F$24))),IF($AG32="S",COUNTIF('Master Dashboard'!$AN$16:$AN$18,$AA32)=0,IF($AG32="R",COUNTIF('Master Dashboard'!$AN$13:$AN$15,$AA32)=0,FALSE))),1,0),0)</f>
        <v>0</v>
      </c>
      <c r="HY32">
        <f t="shared" si="98"/>
        <v>-7.5836383579201634</v>
      </c>
      <c r="HZ32">
        <v>0</v>
      </c>
      <c r="IA32">
        <f>IFERROR(IF(AND(IF($BG$44=1,OR(ISNUMBER(SEARCH("Choppy",'King Node Model'!$S$38)),'King Node Model'!$S$52&lt;&gt;"",'King Node Model'!$A$8="Pos"),TRUE()),OR($DC32=1,$DC31=1,$DC33=1),ABS($AA32-$B$4)&lt;=$BG$7,ABS($AA32-$BG$28)&gt;=$BG$45,OR(AND($AA32&gt;$BG$28,$AG32="R"),AND($AA32&lt;$BG$28,$AG32="S",N($BG$154)=1)),ABS(IF($AA32&gt;$BG$28,$AE33,$AE31))&gt;=$BG$43,ABS(N(IF($AA32&gt;$BG$28,$AE31,$AE33)))&lt;=$BG$153*ABS(IF($AA32&gt;$BG$28,$AE33,$AE31)),IF(ISNUMBER($HZ32),$HZ32=1,AND(ISNUMBER($HY32),$HY32&gt;=$BG$42))),1,0),0)</f>
        <v>0</v>
      </c>
      <c r="IB32">
        <f t="shared" si="99"/>
        <v>0</v>
      </c>
      <c r="IC32" t="str">
        <f>IF(NOT(ISNUMBER($AA32)),"",IFERROR(MID(IF(AND($AC32=MAX($AC$9:$AC$55),$AB32=MIN($AB$9:$AB$55))," · DOM","")&amp;IF(AND($DC31=1,$DC32=1,$DC33=1,INDEX($AC$9:$AC$55,24-1)&lt;=(1-$FA$6)*$AC32,INDEX($AC$9:$AC$55,24-1)&lt;=(1-$FA$6)*INDEX($AC$9:$AC$55,24-2))," · GAP↑ → "&amp;INDEX($AA$9:$AA$55,24-2),"")&amp;IF(AND($DC33=1,$DC32=1,INDEX($AC$9:$AC$55,24+1)&lt;=(1-$FA$6)*$AC32,INDEX($AC$9:$AC$55,24+1)&lt;=(1-$FA$6)*INDEX($AC$9:$AC$55,24+2))," · GAP↓ → "&amp;INDEX($AA$9:$AA$55,24+2),"")&amp;IF($CZ32=1," · dEdge Cliff","")&amp;IF($GY32=1," · γWall","")&amp;IF(AND($DC32=1,$AB32&lt;0,$AC32&gt;=(1+$FA$6)*INDEX($AC$9:$AC$55,24-1),$AC32&gt;=(1+$FA$6)*INDEX($AC$9:$AC$55,24+1))," · PEAK-","")&amp;IF($GZ32=1," · γSh Edge","")&amp;IF($HL32=1," · Trough","")&amp;IF($HN32=1," · PEAK+","")&amp;IF($GF32=1," · Cluster",""),FIND(" · ",IF(AND($AC32=MAX($AC$9:$AC$55),$AB32=MIN($AB$9:$AB$55))," · DOM","")&amp;IF(AND($DC31=1,$DC32=1,$DC33=1,INDEX($AC$9:$AC$55,24-1)&lt;=(1-$FA$6)*$AC32,INDEX($AC$9:$AC$55,24-1)&lt;=(1-$FA$6)*INDEX($AC$9:$AC$55,24-2))," · GAP↑ → "&amp;INDEX($AA$9:$AA$55,24-2),"")&amp;IF(AND($DC33=1,$DC32=1,INDEX($AC$9:$AC$55,24+1)&lt;=(1-$FA$6)*$AC32,INDEX($AC$9:$AC$55,24+1)&lt;=(1-$FA$6)*INDEX($AC$9:$AC$55,24+2))," · GAP↓ → "&amp;INDEX($AA$9:$AA$55,24+2),"")&amp;IF($CZ32=1," · dEdge Cliff","")&amp;IF($GY32=1," · γWall","")&amp;IF(AND($DC32=1,$AB32&lt;0,$AC32&gt;=(1+$FA$6)*INDEX($AC$9:$AC$55,24-1),$AC32&gt;=(1+$FA$6)*INDEX($AC$9:$AC$55,24+1))," · PEAK-","")&amp;IF($GZ32=1," · γSh Edge","")&amp;IF($HL32=1," · Trough","")&amp;IF($HN32=1," · PEAK+","")&amp;IF($GF32=1," · Cluster",""),2),999),""))</f>
        <v xml:space="preserve"> · Cluster</v>
      </c>
      <c r="ID32" t="str">
        <f>IF(NOT(ISNUMBER($AA32)),"",IFERROR(MID(IF(AND($AC32=MAX($AC$9:$AC$55),$AB32=MIN($AB$9:$AB$55))," · DOM","")&amp;IF(AND($DC31=1,$DC32=1,$DC33=1,INDEX($AC$9:$AC$55,24-1)&lt;=(1-$FA$6)*$AC32,INDEX($AC$9:$AC$55,24-1)&lt;=(1-$FA$6)*INDEX($AC$9:$AC$55,24-2))," · GAP↑ → "&amp;INDEX($AA$9:$AA$55,24-2),"")&amp;IF(AND($DC33=1,$DC32=1,INDEX($AC$9:$AC$55,24+1)&lt;=(1-$FA$6)*$AC32,INDEX($AC$9:$AC$55,24+1)&lt;=(1-$FA$6)*INDEX($AC$9:$AC$55,24+2))," · GAP↓ → "&amp;INDEX($AA$9:$AA$55,24+2),"")&amp;IF($CZ32=1," · dEdge Cliff","")&amp;IF($GY32=1," · γWall","")&amp;IF(AND($DC32=1,$AB32&lt;0,$AC32&gt;=(1+$FA$6)*INDEX($AC$9:$AC$55,24-1),$AC32&gt;=(1+$FA$6)*INDEX($AC$9:$AC$55,24+1))," · PEAK-","")&amp;IF($GZ32=1," · γSh Edge","")&amp;IF($HL32=1," · Trough","")&amp;IF($HN32=1," · PEAK+","")&amp;IF(AND(NOT($HN32=1),NOT(AND($DC32=1,$AB32&lt;0)),N($GY32)&lt;&gt;1,N($GF32)&lt;&gt;1,N($GZ32)&lt;&gt;1,N($HL32)&lt;&gt;1,N($CZ32)&lt;&gt;1,NOT(AND($AC32=MAX($AC$9:$AC$55),$AB32=MIN($AB$9:$AB$55))),$AC32&gt;=(1+$FA$6)*INDEX($AC$9:$AC$55,24-1),$AC32&gt;=(1+$FA$6)*INDEX($AC$9:$AC$55,24+1))," · Knoll","")&amp;IF($GF32=1," · Cluster",""),4,999),""))</f>
        <v>DOM · Cluster</v>
      </c>
      <c r="IF32">
        <f t="shared" si="100"/>
        <v>0</v>
      </c>
      <c r="IG32">
        <f>IFERROR(IF(AND(ISNUMBER($AA32),'King Node Model'!$A$8="Pos",OR($AG32="S",$AG32="R"),$IN32="interior",COUNTIF(IF($AG32="S",'Master Dashboard'!$AN$16:$AN$18,'Master Dashboard'!$AN$13:$AN$15),$AA32)=0,$AA32&lt;&gt;'King Node Model'!$T$22,$AA32&lt;&gt;'King Node Model'!$T$23,$AA32&lt;&gt;'King Node Model'!$F$24),1,0),0)</f>
        <v>0</v>
      </c>
      <c r="IH32">
        <f t="shared" si="101"/>
        <v>1</v>
      </c>
      <c r="II32">
        <f t="shared" si="190"/>
        <v>3</v>
      </c>
      <c r="IJ32">
        <f t="shared" si="102"/>
        <v>1</v>
      </c>
      <c r="IK32">
        <f t="shared" si="103"/>
        <v>1</v>
      </c>
      <c r="IL32">
        <f t="shared" si="191"/>
        <v>1</v>
      </c>
      <c r="IM32">
        <f t="shared" si="104"/>
        <v>1</v>
      </c>
      <c r="IN32" t="str">
        <f t="shared" si="105"/>
        <v/>
      </c>
      <c r="IO32">
        <v>1</v>
      </c>
      <c r="IP32">
        <v>1</v>
      </c>
      <c r="IQ32">
        <f>IFERROR(IF($AG32="S",IF(OR(COUNTIF($W$9:$W$14,$AA32)&gt;0,COUNTIF('King Node Model'!$AL$42:'King Node Model'!$AL$43,$AA32)&gt;0),1,0),IF($AG32="R",IF(OR(COUNTIF($W$18:$W$23,$AA32)&gt;0,COUNTIF('King Node Model'!$AL$49:'King Node Model'!$AL$50,$AA32)&gt;0),1,0),0)),0)</f>
        <v>0</v>
      </c>
      <c r="IS32">
        <f>IF(AND(ISNUMBER($AA32),N($AN32)&lt;&gt;1,N($LR32)&lt;&gt;1,OR(N($EN32)&lt;&gt;1,AND('King Node Model'!$A$8&lt;&gt;"Neg",N($BG$72)&lt;&gt;1)),$AA32&lt;&gt;'King Node Model'!$T$22,$AA32&lt;&gt;'King Node Model'!$T$23,$AA32&lt;&gt;'King Node Model'!$F$24,NOT(AND($AG32="S",COUNTIF('Master Dashboard'!$AN$16:$AN$18,$AA32)&gt;0)),NOT(AND($AG32="R",COUNTIF('Master Dashboard'!$AN$13:$AN$15,$AA32)&gt;0)),NOT(AND('King Node Model'!$A$8&lt;&gt;"Neg",N($BG$72)&lt;&gt;1,COUNTIF('Master Dashboard'!$AN$13:$AN$18,$AA32)&gt;0))),1,0)</f>
        <v>0</v>
      </c>
      <c r="IT32">
        <v>0</v>
      </c>
      <c r="IU32">
        <f>IF(AND(ISNUMBER($AA32),$AA32='King Node Model'!$F$24,$AA32&gt;$GJ$3,N($AD32)&lt;0,$F$4="High"),1,0)</f>
        <v>0</v>
      </c>
      <c r="IV32" t="str">
        <f>""</f>
        <v/>
      </c>
      <c r="IW32">
        <f>IFERROR(IF(AND(ISNUMBER($AA32),NOT(AND(N($LR32)=1,N($MB32)=1)),$AG32="S",OR('King Node Model'!$A$8="Neg",N($BG$72)=1),$JV32="SELL",ABS(N($AD32))&gt;=$BG$94,NOT(AND(N($AD32)&gt;0,N($BG$78)=1,MEDIAN($AA32-$BG$82,$B$4,$AA32+$BG$83)=$B$4))),1,0),0)</f>
        <v>1</v>
      </c>
      <c r="IX32">
        <f>IFERROR(IF(AND(ISNUMBER($AA32),$AG32="S",OR('King Node Model'!$A$8="Neg",N($BG$72)=1),N($AD32)&gt;0,N($BG$78)=1,MEDIAN($AA32-$BG$82,$B$4,$AA32+$BG$83)=$B$4),1,0),0)</f>
        <v>0</v>
      </c>
      <c r="IY32" t="str">
        <f t="shared" si="106"/>
        <v>SELL</v>
      </c>
      <c r="IZ32">
        <f>IFERROR(IF(AND(ISNUMBER($AA32),$FA32&lt;&gt;"DOM",$AA32&lt;&gt;'King Node Model'!$F$24,OR(AND($AG32="S",COUNTIF('Master Dashboard'!$AN$16:$AN$18,$AA32)=0,N(INDEX($AE$9:$AE$55,MATCH($AA32+$BG$84,$AA$9:$AA$55,0)))&lt;=-$BG$85),AND($AG32="R",COUNTIF('Master Dashboard'!$AN$13:$AN$15,$AA32)=0,N(INDEX($AE$9:$AE$55,MATCH($AA32-$BG$84,$AA$9:$AA$55,0)))&gt;=$BG$85))),1,0),0)</f>
        <v>0</v>
      </c>
      <c r="JC32">
        <f t="shared" si="108"/>
        <v>0</v>
      </c>
      <c r="JD32" t="str">
        <f t="shared" si="193"/>
        <v/>
      </c>
      <c r="JE32">
        <f>IF(ISNUMBER($AA32),N(IFERROR(INDEX('King Node Model'!$L$29:$L$75,MATCH($AA32,'King Node Model'!$A$29:$A$75,0)),0)),"")</f>
        <v>3450</v>
      </c>
      <c r="JF32">
        <f>IF(ISNUMBER($AA32),N(IFERROR(INDEX('King Node Model'!$K$29:$K$75,MATCH($AA32,'King Node Model'!$A$29:$A$75,0)),0)),"")</f>
        <v>605</v>
      </c>
      <c r="JG32">
        <f t="shared" si="109"/>
        <v>5.7024793388429753</v>
      </c>
      <c r="JH32">
        <f t="shared" si="110"/>
        <v>0.17536231884057971</v>
      </c>
      <c r="JI32">
        <f t="shared" si="111"/>
        <v>0</v>
      </c>
      <c r="JJ32" t="str">
        <f t="shared" si="112"/>
        <v/>
      </c>
      <c r="JK32">
        <f t="shared" si="113"/>
        <v>0</v>
      </c>
      <c r="JL32">
        <f t="shared" si="114"/>
        <v>0</v>
      </c>
      <c r="JM32">
        <f t="shared" si="115"/>
        <v>0</v>
      </c>
      <c r="JN32">
        <f t="shared" si="116"/>
        <v>0</v>
      </c>
      <c r="JO32">
        <f t="shared" si="117"/>
        <v>0</v>
      </c>
      <c r="JP32">
        <f t="shared" si="118"/>
        <v>0</v>
      </c>
      <c r="JQ32">
        <f t="shared" si="119"/>
        <v>0</v>
      </c>
      <c r="JR32">
        <v>0</v>
      </c>
      <c r="JS32">
        <f>IFERROR(IF(AND(ISNUMBER($AA32),'King Node Model'!$A$8="Pos",OR($AG32="S",$AG32="R"),N($AB32)&gt;0,N($HP32)&lt;&gt;1,OR(AND($KC32="DOWN",N($AF32)&lt;0,N($AF32)=MIN($AF$9:$AF$55),-N($AF32)&gt;=MAX($AF$9:$AF$55)),AND($KC32="UP",N($AF32)&gt;0,N($AF32)=MAX($AF$9:$AF$55),N($AF32)&gt;=-MIN($AF$9:$AF$55)))),1,0),0)</f>
        <v>0</v>
      </c>
      <c r="JT32">
        <v>0</v>
      </c>
      <c r="JU32">
        <f>IFERROR(IF(AND(N($BG$109)=1,ISNUMBER($AA32),'King Node Model'!$A$8="Pos",N($CZ32)=1,N($AB32)&gt;0),1,0),0)</f>
        <v>0</v>
      </c>
      <c r="JV32" t="str">
        <f t="shared" si="120"/>
        <v>SELL</v>
      </c>
      <c r="JW32">
        <f t="shared" si="121"/>
        <v>1</v>
      </c>
      <c r="JX32">
        <f t="shared" si="122"/>
        <v>0</v>
      </c>
      <c r="JY32">
        <f t="shared" si="123"/>
        <v>0</v>
      </c>
      <c r="JZ32">
        <f t="shared" si="124"/>
        <v>0</v>
      </c>
      <c r="KA32">
        <f t="shared" si="125"/>
        <v>0</v>
      </c>
      <c r="KB32">
        <f t="shared" si="126"/>
        <v>0</v>
      </c>
      <c r="KC32" t="str">
        <f t="shared" si="127"/>
        <v>UP</v>
      </c>
      <c r="KE32" t="str">
        <f t="shared" si="128"/>
        <v>Now: strengthening the floor (IV rising) · if IV falls: weakens the floor · expected on arrival: STRENGTHENS ✓</v>
      </c>
      <c r="KF32" t="str">
        <f t="shared" si="129"/>
        <v>SELL</v>
      </c>
      <c r="KG32">
        <f t="shared" si="192"/>
        <v>0</v>
      </c>
      <c r="KH32" t="str">
        <f t="shared" si="130"/>
        <v/>
      </c>
      <c r="KI32" t="str">
        <f t="shared" si="131"/>
        <v/>
      </c>
      <c r="KJ32">
        <f t="shared" si="132"/>
        <v>0</v>
      </c>
      <c r="KK32">
        <f t="shared" si="133"/>
        <v>0</v>
      </c>
      <c r="KL32">
        <f t="shared" si="134"/>
        <v>0</v>
      </c>
      <c r="KM32">
        <f t="shared" si="135"/>
        <v>0</v>
      </c>
      <c r="KN32">
        <f t="shared" si="136"/>
        <v>0</v>
      </c>
      <c r="KO32">
        <v>0</v>
      </c>
      <c r="KP32">
        <f t="shared" si="137"/>
        <v>0</v>
      </c>
      <c r="KQ32">
        <f t="shared" si="138"/>
        <v>0</v>
      </c>
      <c r="KR32">
        <f t="shared" si="139"/>
        <v>0</v>
      </c>
      <c r="KS32">
        <f t="shared" si="140"/>
        <v>0</v>
      </c>
      <c r="KT32">
        <f t="shared" si="141"/>
        <v>0</v>
      </c>
      <c r="KU32">
        <f>IF(AND(ISNUMBER($AA32),ISNUMBER($AE32),ISNUMBER($AE31),N($AE32)&lt;&gt;0),($AE32-$AE31)/$AE32,"")</f>
      </c>
      <c r="KV32">
        <f>IF(AND(ISNUMBER($AA32),ISNUMBER($AE32),ISNUMBER($AE33),N($AE32)&lt;&gt;0),($AE32-$AE33)/$AE32,"")</f>
      </c>
      <c r="KW32">
        <f>IFERROR(IF(OR(NOT(ISNUMBER($AA32)),'King Node Model'!$A$8&lt;&gt;"Pos",N($BG$72)=1,ABS(N($AE32))&lt;$BG$113,$FA32="DOM",$AA32='King Node Model'!$T$23,AND(N($BG$116)=1,$AA32='King Node Model'!$F$24),NOT(ISNUMBER($KU32)),NOT(ISNUMBER($KV32))),0,IF(AND($AG32="S",COUNTIF('Master Dashboard'!$AN$16:$AN$18,$AA32)=0,$KU32&gt;=$BG$114,$KU32&gt;=$KV32+$BG$115),1,IF(AND($AG32="R",COUNTIF('Master Dashboard'!$AN$13:$AN$15,$AA32)=0,$KV32&gt;=$BG$114,$KV32&gt;=$KU32+$BG$115),-1,0))),0)</f>
        <v>0</v>
      </c>
      <c r="KX32">
        <f t="shared" si="144"/>
        <v>0</v>
      </c>
      <c r="KY32">
        <f t="shared" si="145"/>
        <v>0</v>
      </c>
      <c r="KZ32">
        <f t="shared" si="146"/>
        <v>0</v>
      </c>
      <c r="LA32">
        <f t="shared" si="147"/>
        <v>1</v>
      </c>
      <c r="LB32">
        <f t="shared" si="148"/>
        <v>0</v>
      </c>
      <c r="LC32">
        <f t="shared" si="149"/>
        <v>0</v>
      </c>
      <c r="LD32">
        <f t="shared" si="150"/>
        <v>0</v>
      </c>
      <c r="LE32">
        <f t="shared" si="151"/>
        <v>0</v>
      </c>
      <c r="LF32">
        <f t="shared" si="152"/>
        <v>0</v>
      </c>
      <c r="LG32" t="str">
        <f t="shared" si="153"/>
        <v/>
      </c>
      <c r="LH32" t="str">
        <f t="shared" si="154"/>
        <v/>
      </c>
      <c r="LI32" t="str">
        <f t="shared" si="155"/>
        <v/>
      </c>
      <c r="LJ32" t="str">
        <f t="shared" si="156"/>
        <v/>
      </c>
      <c r="LK32" t="str">
        <f t="shared" si="157"/>
        <v/>
      </c>
      <c r="LL32">
        <f t="shared" si="158"/>
        <v>0</v>
      </c>
      <c r="LM32">
        <f t="shared" si="159"/>
        <v>0</v>
      </c>
      <c r="LN32">
        <f t="shared" si="160"/>
        <v>0</v>
      </c>
      <c r="LO32">
        <v>0</v>
      </c>
      <c r="LP32">
        <f t="shared" si="161"/>
        <v>0</v>
      </c>
      <c r="LQ32" t="str">
        <f t="shared" si="162"/>
        <v/>
      </c>
      <c r="LR32">
        <f t="shared" si="163"/>
        <v>0</v>
      </c>
      <c r="LS32">
        <f t="shared" si="164"/>
        <v>0</v>
      </c>
      <c r="LT32">
        <f t="shared" si="165"/>
        <v>1</v>
      </c>
      <c r="LU32">
        <f t="shared" si="166"/>
        <v>-696485</v>
      </c>
      <c r="LV32">
        <f t="shared" si="167"/>
        <v>0</v>
      </c>
      <c r="LW32">
        <f t="shared" si="168"/>
        <v>0</v>
      </c>
      <c r="LX32">
        <f t="shared" si="169"/>
        <v>0</v>
      </c>
      <c r="LY32">
        <f t="shared" si="170"/>
        <v>0</v>
      </c>
      <c r="LZ32">
        <f t="shared" si="171"/>
        <v>0</v>
      </c>
      <c r="MA32">
        <f t="shared" si="172"/>
        <v>0</v>
      </c>
      <c r="MB32">
        <v>0</v>
      </c>
      <c r="MC32">
        <f t="shared" si="173"/>
        <v>1</v>
      </c>
      <c r="MD32">
        <f t="shared" si="174"/>
        <v>1</v>
      </c>
      <c r="ME32">
        <f t="shared" si="175"/>
        <v>0</v>
      </c>
      <c r="MF32">
        <f t="shared" si="176"/>
        <v>0</v>
      </c>
      <c r="MG32">
        <f t="shared" si="177"/>
        <v>0</v>
      </c>
      <c r="MH32">
        <f t="shared" si="178"/>
        <v>0</v>
      </c>
      <c r="MI32" t="str">
        <f t="shared" si="179"/>
        <v/>
      </c>
      <c r="MJ32">
        <f t="shared" si="180"/>
        <v>0</v>
      </c>
      <c r="MK32">
        <f t="shared" si="181"/>
        <v>0</v>
      </c>
      <c r="ML32">
        <f>IF(AND(OR('King Node Model'!$A$8="Neg",N($BG$72)=1),ISNUMBER($AA32),$AG32="R",N($AB32)&lt;0),IF(AND($AA31=$AA32+5,N($AB31)&gt;0,$AA30=$AA32+10,N($AB30)&lt;0),1,IF(AND($AA31=$AA32+5,N($AB31)&gt;0,$AA30=$AA32+10,N($AB30)&gt;0,$AA29=$AA32+15,N($AB29)&lt;0),2,IF(AND($AA31=$AA32+5,N($AB31)&gt;0,$AA30=$AA32+10,N($AB30)&gt;0,$AA29=$AA32+15,N($AB29)&gt;0,$AA28=$AA32+20,N($AB28)&lt;0),3,IF(AND($AA31=$AA32+5,N($AB31)&gt;0,$AA30=$AA32+10,N($AB30)&gt;0,$AA29=$AA32+15,N($AB29)&gt;0,$AA28=$AA32+20,N($AB28)&gt;0,$AA27=$AA32+25,N($AB27)&lt;0),4,0)))),0)</f>
      </c>
      <c r="MM32">
        <f>IF(AND(OR('King Node Model'!$A$8="Neg",N($BG$72)=1),ISNUMBER($AA32),$AG32="S",N($AB32)&lt;0),IF(AND($AA33=$AA32-5,N($AB33)&gt;0,$AA34=$AA32-10,N($AB34)&lt;0),1,IF(AND($AA33=$AA32-5,N($AB33)&gt;0,$AA34=$AA32-10,N($AB34)&gt;0,$AA35=$AA32-15,N($AB35)&lt;0),2,IF(AND($AA33=$AA32-5,N($AB33)&gt;0,$AA34=$AA32-10,N($AB34)&gt;0,$AA35=$AA32-15,N($AB35)&gt;0,$AA36=$AA32-20,N($AB36)&lt;0),3,IF(AND($AA33=$AA32-5,N($AB33)&gt;0,$AA34=$AA32-10,N($AB34)&gt;0,$AA35=$AA32-15,N($AB35)&gt;0,$AA36=$AA32-20,N($AB36)&gt;0,$AA37=$AA32-25,N($AB37)&lt;0),4,0)))),0)</f>
      </c>
      <c r="MN32">
        <f>IF(N($ML32)&gt;0,$AA32,0)</f>
      </c>
      <c r="MO32">
        <f>IF(N($MM32)&gt;0,$AA32,0)</f>
      </c>
      <c r="MP32">
        <f>IF(AND(OR('King Node Model'!$A$8="Neg",N($BG$72)=1),ISNUMBER($BG$155),$AA32=$BG$155,N($NC32)=1),2,IF(AND(OR('King Node Model'!$A$8="Neg",N($BG$72)=1),ISNUMBER($BG$156),$AA32=$BG$156,N($ND32)=1),1,0))</f>
      </c>
      <c r="MQ32">
        <f>IF(ABS(AE32)&lt;=0,0,IF($AG32="R",IF(ISNUMBER(AE31),IF((ABS(AE31)-ABS(AE32))/ABS(AE32)&lt;-0.4,1,0),0),IF(ISNUMBER(AE33),IF((ABS(AE33)-ABS(AE32))/ABS(AE32)&lt;-0.4,1,0),0)))</f>
      </c>
      <c r="MR32">
        <f>IF(OR(N($MQ32)&lt;&gt;1,N($BG$157)&lt;&gt;1,NOT(ISNUMBER($KU32)),NOT(ISNUMBER($KV32))),0,IF(OR(AND($AG32="S",OR(AND($KU32&gt;=$BG$114,$KU32&gt;=$KV32+$BG$115),AND($KU32&gt;1,$KV32&lt;=1,$KV32&gt;=$BG$114))),AND($AG32="R",OR(AND($KV32&gt;=$BG$114,$KV32&gt;=$KU32+$BG$115),AND($KV32&gt;1,$KU32&lt;=1,$KU32&gt;=$BG$114)))),1,0))</f>
      </c>
      <c r="MS32" t="str">
        <f>IF(AND(N($MR32)=1,N($NA32)&lt;&gt;1),"• DEX falls off more sharply "&amp;IF($AG32="S","above (","below (")&amp;TEXT(IF($AG32="S",$KU32,$KV32),"0%")&amp;") than "&amp;IF($AG32="S","below (","above (")&amp;TEXT(IF($AG32="S",$KV32,$KU32),"0%")&amp;") — Dex↓ not counted",IF(N($MW32)=1,"• Shoulder of the "&amp;IF($AG32="R",$AA33,$AA31)&amp;" wall — own DEX "&amp;TEXT($AE32/1000,"+#,##0;-#,##0")&amp;"K is "&amp;TEXT(ABS($AE32)/ABS(IF($AG32="R",$AE33,$AE31)),"0%")&amp;" of "&amp;TEXT(IF($AG32="R",$AE33,$AE31)/1000,"+#,##0;-#,##0")&amp;"K, Dex↓ not counted",""))</f>
      </c>
      <c r="MT32">
        <f>IF(AND(ISNUMBER($AA32),$AG32="S",ISNUMBER($AB32),$AB32=MIN($AB$9:$AB$55),$AA32=$BG$105,$JV32="BUY",ABS(N($AD32))&gt;=$BG$158),1,0)</f>
      </c>
      <c r="MU32" t="str">
        <f>IF(N($MY32)=1,"",IF(OR(N($MT32)=1,AND(OR('King Node Model'!$A$8="Neg",N($BG$72)=1),$AG32="S",ISNUMBER($AB32),$AB32=MIN($AB$9:$AB$55),$AA32=$BG$105)),"• Min GEX + Max Zomma (no reversal flag required) — accelerant warning not applied; zomma acceleration warning only within "&amp;$BG$98&amp;" pts of the level, and not when vanna buying is "&amp;TEXT($BG$158/1000,"0")&amp;"K or more"&amp;CHAR(10)&amp;IF(N($MT32)=1,"• Max Zomma and vanna buying ("&amp;TEXT(N($AD32)/1000,"+#,##0;-#,##0")&amp;"K) make this level safe","• Max Zomma is what makes this level safe"),"")&amp;$NB32&amp;$NI32)</f>
      </c>
      <c r="MV32" t="str">
        <f>IF(AND(ISNUMBER($AA32),OR($AA32=$BG$118,$AA32=$BG$119)),IF(N($AZ32)*IF($AG32="R",1,-1)&gt;0,"✓",IF(N($AZ32)*IF($AG32="R",1,-1)&lt;0,"✗","")),"")</f>
      </c>
      <c r="MW32">
        <f>IF(AND(N($MQ32)=1,N($BG$159)&gt;0,ISNUMBER(IF($AG32="R",$AE33,$AE31)),N(IF($AG32="R",$AE33,$AE31))&lt;&gt;0),IF(ABS(N($AE32))&lt;$BG$159*ABS(IF($AG32="R",$AE33,$AE31)),1,0),0)</f>
      </c>
      <c r="MX32">
        <f>IF(AND(ISNUMBER($AA32),$AA32=$BG$121,$AG32="R",N($AE32)&lt;0,OR(COUNTIF('King Node Model'!$AL$42:$AL$44,$AA32)=0,N($HP32)=1),N($NC32)=1),2,IF(AND(ISNUMBER($AA32),$AA32=$BG$120,$AG32="S",N($AE32)&gt;0,OR(COUNTIF('King Node Model'!$AL$49:$AL$51,$AA32)=0,N($HP32)=1),N($ND32)=1),1,0))</f>
      </c>
      <c r="MY32">
        <f>IF(AND(N($NA32)=1,NOT(AND(AND($AG32="S",ISNUMBER($AB32),$AB32=MIN($AB$9:$AB$55),$AA32=$BG$105),IFERROR(INDEX($AG$9:$AG$55,MATCH('King Node Model'!$B$23,$AA$9:$AA$55,0)),"")="R")),N($AV32)&lt;&gt;1),1,0)</f>
      </c>
      <c r="MZ32" t="str">
        <f>IF(N($MY32)&lt;&gt;1,"","• DEX falls off more sharply "&amp;IF($AG32="S","above (","below (")&amp;TEXT(IF($AG32="S",$KU32,$KV32),"0%")&amp;") than "&amp;IF($AG32="S","below (","above (")&amp;TEXT(IF($AG32="S",$KV32,$KU32),"0%")&amp;") — path of least resistance "&amp;IF($AG32="S","down","up")&amp;IF(N($AZ32)*IF($AG32="R",1,-1)&lt;0,CHAR(10)&amp;"• Speed against — GEX gets more negative as price "&amp;IF($AG32="R","rises","falls")&amp;" into it (speed "&amp;TEXT(N($AZ32),"#,##0;−#,##0")&amp;")","")&amp;IF(OR(N($NG32)=1,N($JC32)=1),CHAR(10)&amp;"• "&amp;IF(N($JC32)=1,"DOM with vanna BUY "&amp;TEXT(N($AD32)/1000,"+#,##0;−#,##0")&amp;"K","Put wall + Max Zomma + DOM")&amp;" backs the level, but it does not outweigh DEX"&amp;IF(N($AZ32)*IF($AG32="R",1,-1)&lt;0," and speed",""),IF(AND($AG32="S",ISNUMBER($AB32),$AB32=MIN($AB$9:$AB$55),$AA32=$BG$105),CHAR(10)&amp;"• Min GEX + Max Zomma backs the level, but it does not outweigh DEX"&amp;IF(N($AZ32)*IF($AG32="R",1,-1)&lt;0," and speed",""),IF(OR(N($JI32)=1,AND(N($GV32)=1,N($JK32)&lt;&gt;1,N($IW32)&lt;&gt;1),N($JC32)=1,AND($AA32='King Node Model'!$F$24,N($JN32)&lt;&gt;1,OR($AG32="R",AND($AG32="S",$F$4="High",IF($BG$80&lt;&gt;"",UPPER($BG$80),$D$5)="UP")))),CHAR(10)&amp;"• Vanna "&amp;IF($AG32="S","BUY ","SELL ")&amp;TEXT(N($AD32)/1000,"+#,##0;−#,##0")&amp;"K backs the level, but it does not outweigh DEX"&amp;IF(N($AZ32)*IF($AG32="R",1,-1)&lt;0," and speed",""),"")))&amp;IF(N($NE32)=1,CHAR(10)&amp;"• Buy-lean max-node exemption not applied — DEX leans against the level",""))</f>
      </c>
      <c r="NA32">
        <f>IF(AND(OR('King Node Model'!$A$8="Neg",N($BG$72)=1),ISNUMBER($AA32),ABS(N($AE32))&gt;=$BG$152,ISNUMBER($KU32),ISNUMBER($KV32)),IF(OR(AND($AG32="S",OR(AND($KU32&gt;=$BG$114,$KU32&gt;=$KV32+$BG$115),AND($KU32&gt;1,$KV32&lt;=1,$KV32&gt;=$BG$114))),AND($AG32="R",OR(AND($KV32&gt;=$BG$114,$KV32&gt;=$KU32+$BG$115),AND($KV32&gt;1,$KU32&lt;=1,$KU32&gt;=$BG$114)))),1,0),0)</f>
      </c>
      <c r="NB32" t="str">
        <f>IF(AND(N($NA32)=1,AND(AND($AG32="S",ISNUMBER($AB32),$AB32=MIN($AB$9:$AB$55),$AA32=$BG$105),IFERROR(INDEX($AG$9:$AG$55,MATCH('King Node Model'!$B$23,$AA$9:$AA$55,0)),"")="R")),CHAR(10)&amp;"• DEX falls off more sharply above ("&amp;TEXT($KU32,"0%")&amp;") than below ("&amp;TEXT($KV32,"0%")&amp;") — DEX-lean warning not applied: Min GEX + Max Zomma support with Max Gamma "&amp;'King Node Model'!$B$23&amp;" above (Dex↓ not counted)",IF(AND(OR(N($NA32)=1,N($NF32)=1),N($AV32)=1),IF(AND(OR('King Node Model'!$A$8="Neg",N($BG$72)=1),$AG32="S",ISNUMBER($AB32),$AB32=MIN($AB$9:$AB$55),$AA32=$BG$105),CHAR(10),"")&amp;"• DEX falls off more sharply "&amp;IF($AG32="S","above (","below (")&amp;TEXT(IF($AG32="S",$KU32,$KV32),"0%")&amp;") than "&amp;IF($AG32="S","below (","above (")&amp;TEXT(IF($AG32="S",$KV32,$KU32),"0%")&amp;") — DEX lean does not apply to iDex (isolated DEX)",""))</f>
      </c>
      <c r="NC32">
        <f>IF(OR($BG$163=1,AND($BG$161&gt;0,$BG$162&lt;99999,ISNUMBER($AA32),$AA32&lt;$BG$162)),1,0)</f>
      </c>
      <c r="ND32">
        <f>IF(OR($BG$163=-1,AND($BG$161&gt;0,$BG$162&lt;99999,ISNUMBER($AA32),$AA32&gt;$BG$161)),1,0)</f>
      </c>
      <c r="NE32">
        <f>IF(AND(OR('King Node Model'!$A$8="Neg",N($BG$72)=1),ISNUMBER(SEARCH("LOW",'Master Dashboard'!$M$5)),ISNUMBER(SEARCH("BUY",'Master Dashboard'!$G$8)),'King Node Model'!$T$23='King Node Model'!$B$23,OR($AA32='King Node Model'!$T$23,AND($AG32="R",$AA32='King Node Model'!$T$23+5)),OR(AND($AG32="S",$JV32="BUY"),AND($AG32="R",$JV32="SELL"))),1,0)</f>
      </c>
      <c r="NF32">
        <f>IFERROR(IF(OR(NOT(ISNUMBER($AA32)),'King Node Model'!$A$8&lt;&gt;"Pos",N($BG$72)=1,ABS(N($AE32))&lt;$BG$113,$FA32="DOM",$AA32='King Node Model'!$T$23,AND(N($BG$116)=1,$AA32='King Node Model'!$F$24),NOT(ISNUMBER($KU32)),NOT(ISNUMBER($KV32))),0,IF(AND($AG32="S",COUNTIF('Master Dashboard'!$AN$16:$AN$18,$AA32)=0,$KU32&gt;=$BG$114,$KU32&gt;=$KV32+$BG$115,NOT(AND(N($AN33)=1,N($KV32)&lt;0)),N($AE32)&lt;=0),1,IF(AND($AG32="R",COUNTIF('Master Dashboard'!$AN$13:$AN$15,$AA32)=0,$KV32&gt;=$BG$114,$KV32&gt;=$KU32+$BG$115,NOT(AND(N($AN31)=1,N($KU32)&lt;0))),-1,0))),0)</f>
      </c>
      <c r="NG32">
        <f t="shared" si="202"/>
      </c>
      <c r="NI32" t="str">
        <f>IF(AND(ISNUMBER($BG$165),ISNUMBER($AA32)),IF(OR(AND($AG32="S",$AA32&gt;$BG$165,$AA32-$BG$165&lt;=5),AND($AG32="R",$AA32&lt;$BG$165,$BG$165-$AA32&lt;=5)),IF(OR(AND(OR('King Node Model'!$A$8="Neg",N($BG$72)=1),$AG32="S",ISNUMBER($AB32),$AB32=MIN($AB$9:$AB$55),$AA32=$BG$105),$NB32&lt;&gt;""),CHAR(10),"")&amp;"• DOM forming at "&amp;$BG$165&amp;" (gamma "&amp;TEXT($BG$166,"0%")&amp;" of max) — price may be pulled to the node",""),"")</f>
      </c>
      <c r="NJ32">
        <f>IF(LEN($NI32)&gt;0,1,0)</f>
      </c>
    </row>
    <row r="33" spans="27:349" ht="15" customHeight="1" x14ac:dyDescent="0.25">
      <c r="AA33" s="181">
        <f>'King Node Model'!A53</f>
        <v>7765</v>
      </c>
      <c r="AB33" s="276">
        <f>'King Node Model'!C53</f>
        <v>-1477513</v>
      </c>
      <c r="AC33" s="181">
        <f>ABS('King Node Model'!B53)</f>
        <v>1894098</v>
      </c>
      <c r="AD33" s="276">
        <f>'King Node Model'!F53</f>
        <v>1615409</v>
      </c>
      <c r="AE33" s="276">
        <f>'King Node Model'!E53</f>
        <v>-268421</v>
      </c>
      <c r="AF33" s="276">
        <f>'King Node Model'!D53</f>
        <v>7227835</v>
      </c>
      <c r="AG33" s="181" t="str">
        <f t="shared" si="6"/>
        <v>S</v>
      </c>
      <c r="AH33" s="181">
        <f t="shared" si="7"/>
        <v>5</v>
      </c>
      <c r="AI33" s="181" t="str">
        <f t="shared" si="8"/>
        <v>SELL</v>
      </c>
      <c r="AJ33" s="181">
        <f t="shared" si="9"/>
        <v>1</v>
      </c>
      <c r="AK33" s="181">
        <f>IF(ABS(N($AE33))&gt;=$BG$85,1,0)</f>
      </c>
      <c r="AL33" s="181">
        <f t="shared" si="10"/>
        <v>1</v>
      </c>
      <c r="AM33" s="181">
        <f t="shared" si="11"/>
        <v>4</v>
      </c>
      <c r="AN33" s="181">
        <f t="shared" si="12"/>
        <v>1</v>
      </c>
      <c r="AO33" s="1" t="str">
        <f t="shared" si="13"/>
        <v/>
      </c>
      <c r="AP33" s="1">
        <f t="shared" si="14"/>
        <v>268421</v>
      </c>
      <c r="AQ33" s="1">
        <f t="shared" si="15"/>
        <v>7227835</v>
      </c>
      <c r="AR33" s="181">
        <f t="shared" si="16"/>
        <v>1.1897113546022555</v>
      </c>
      <c r="AS33" s="181">
        <f t="shared" si="17"/>
        <v>3</v>
      </c>
      <c r="AT33" s="181">
        <f t="shared" si="18"/>
        <v>7765</v>
      </c>
      <c r="AU33" s="181">
        <f t="shared" si="19"/>
        <v>7770</v>
      </c>
      <c r="AV33" s="218">
        <f t="shared" si="183"/>
        <v>0</v>
      </c>
      <c r="AW33" s="181">
        <f>ABS('King Node Model'!G53)</f>
        <v>232</v>
      </c>
      <c r="AX33" s="181">
        <f t="shared" si="20"/>
        <v>0</v>
      </c>
      <c r="AY33" s="181">
        <f t="shared" si="21"/>
        <v>0</v>
      </c>
      <c r="AZ33" s="276">
        <f>'King Node Model'!I53</f>
        <v>9905</v>
      </c>
      <c r="BA33" s="181">
        <f t="shared" si="22"/>
        <v>0</v>
      </c>
      <c r="BB33" s="181" t="str">
        <f t="shared" si="23"/>
        <v>S3</v>
      </c>
      <c r="BC33" s="10">
        <f>'King Node Model'!C53</f>
        <v>-1477513</v>
      </c>
      <c r="BD33" s="218">
        <f t="shared" si="184"/>
        <v>0</v>
      </c>
      <c r="BE33" s="218">
        <f t="shared" si="185"/>
        <v>1</v>
      </c>
      <c r="BF33" s="218" t="s">
        <v>1242</v>
      </c>
      <c r="BG33">
        <v>40000</v>
      </c>
      <c r="BI33" s="218">
        <f t="shared" si="186"/>
        <v>0</v>
      </c>
      <c r="BJ33" s="218">
        <f t="shared" si="187"/>
        <v>0</v>
      </c>
      <c r="BK33" s="218">
        <f t="shared" si="24"/>
        <v>0</v>
      </c>
      <c r="BL33" s="10">
        <f>'King Node Model'!H53</f>
        <v>101</v>
      </c>
      <c r="BM33" s="218">
        <f t="shared" si="25"/>
        <v>7</v>
      </c>
      <c r="BN33" s="218">
        <f t="shared" si="26"/>
        <v>8</v>
      </c>
      <c r="BO33" s="218">
        <f t="shared" si="27"/>
        <v>0</v>
      </c>
      <c r="BP33" s="218">
        <f t="shared" si="28"/>
        <v>0</v>
      </c>
      <c r="BQ33" t="str">
        <f t="shared" si="29"/>
        <v/>
      </c>
      <c r="BR33" t="str">
        <f t="shared" si="30"/>
        <v/>
      </c>
      <c r="BS33" s="218">
        <f t="shared" si="31"/>
        <v>1</v>
      </c>
      <c r="BT33" t="str">
        <f t="shared" si="32"/>
        <v/>
      </c>
      <c r="BU33" t="str">
        <f t="shared" si="33"/>
        <v/>
      </c>
      <c r="BV33" s="218">
        <f t="shared" si="34"/>
        <v>1615409</v>
      </c>
      <c r="BW33" s="218">
        <f t="shared" si="35"/>
        <v>268421</v>
      </c>
      <c r="BX33" s="218">
        <f>IF(AND(ISNUMBER(BC33),BC33&gt;=$BG$160,OR('King Node Model'!$A$8="Neg",N($BG$72)=1)),1,0)</f>
        <v>0</v>
      </c>
      <c r="BY33" s="218">
        <f t="shared" si="36"/>
        <v>0</v>
      </c>
      <c r="BZ33" s="218">
        <f t="shared" si="37"/>
        <v>0</v>
      </c>
      <c r="CA33" t="str">
        <f t="shared" si="38"/>
        <v/>
      </c>
      <c r="CB33" s="218">
        <f>IF(AND(ISNUMBER('King Node Model'!$D$27),AG33&lt;&gt;"",AA33='King Node Model'!$D$27),1,0)</f>
        <v>0</v>
      </c>
      <c r="CC33" s="218">
        <f>IF(OR('King Node Model'!$A$8="Neg",N($BG$72)=1),$BG$14*IF(ISNUMBER('King Node Model'!$D$26),MAX(0,1-ABS(AA33-'King Node Model'!$D$26)/$BG$18),0)+$BG$15*IFERROR(BV33/MAX($BV$9:$BV$55),0)+$BG$16*IFERROR(BW33/MAX($BW$9:$BW$55),0)+$BG$17*IFERROR(AC33/$S$11,0)*MAX(0,1+$BG$21*CF33),AR33)</f>
        <v>1.0108614835167815</v>
      </c>
      <c r="CD33" s="218">
        <f>IF(OR('King Node Model'!$A$8="Neg",N($BG$72)=1),IF(AND(AG33&lt;&gt;"",ABS(AA33-$B$4)&lt;=$BG$7,OR(AX33=0,$D$5&lt;&gt;"UP"),AY33=0,BK33&lt;&gt;1,CI33=0,AM33&gt;=$BG$20,AC33&gt;$BG$19),1,0),IF(AND(BS33=1,(COUNTIF($W$9:$W$14,AA33)+COUNTIF($W$18:$W$23,AA33))&gt;0,CI33=0,AM33&gt;=$BG$20,AC33&gt;$BG$19),1,0))</f>
        <v>1</v>
      </c>
      <c r="CE33" s="322" t="str">
        <f t="shared" si="39"/>
        <v/>
      </c>
      <c r="CF33" s="218">
        <f t="shared" si="40"/>
        <v>1</v>
      </c>
      <c r="CG33" t="str">
        <f t="shared" si="41"/>
        <v>ACCEL fading · Neg gamma ↓ (firmer support)</v>
      </c>
      <c r="CH33" t="str">
        <f t="shared" si="42"/>
        <v>Strengthening</v>
      </c>
      <c r="CI33" s="218">
        <f t="shared" si="43"/>
        <v>0</v>
      </c>
      <c r="CJ33" s="218">
        <f t="shared" si="44"/>
        <v>10.390000000000327</v>
      </c>
      <c r="CK33" s="218">
        <f t="shared" si="45"/>
        <v>0</v>
      </c>
      <c r="CL33" s="218">
        <f t="shared" si="46"/>
        <v>0</v>
      </c>
      <c r="CR33" t="s">
        <v>1493</v>
      </c>
      <c r="CS33">
        <f>IFERROR(INDEX($AF$9:$AF$55,MATCH('King Node Model'!$AL$49,$AA$9:$AA$55,0)),"")</f>
        <v>361389</v>
      </c>
      <c r="CU33" s="218">
        <f>IF(AND(AND('King Node Model'!$A$8&lt;&gt;"Neg",N($BG$72)&lt;&gt;1),SUMPRODUCT(($AG$9:$AG$55="S")*ISNUMBER($AT$9:$AT$55)*ISNUMBER($AU$9:$AU$55)*($AT$9:$AT$55&lt;&gt;$AU$9:$AU$55)*($AT$9:$AT$55&lt;=$AA33)*($AU$9:$AU$55&gt;=$AA33))&gt;0),0,IF(AND(OR($AA33='King Node Model'!$T$22,$AA33='King Node Model'!$F$24),$AG33="R",COUNTIF($W$9:$W$14,$AA33)&gt;0),1,IF(AND($FN33=1,$EU33&lt;&gt;1,$EM33&lt;&gt;1,$BK33&lt;&gt;1,$DH33&lt;&gt;1,$AG33="R",COUNTIF($W$9:$W$14,$AA33)&gt;0),1,IF($EU33=1,0,IF($EM33=1,0,IF(AND(OR($EE33=1,$GV33=1,AND($EL$7=1,$AA33='King Node Model'!$D$26,$EI33=1),AND(OR($AA33='King Node Model'!$T$22,$AA33='King Node Model'!$T$23),$AN33=1,OR($AX33=0,$D$5&lt;&gt;"UP"))),OR(NOT(OR('King Node Model'!$A$8="Neg",N($BG$72)=1)),$GV33=1,AND(OR($AA33='King Node Model'!$T$22,$AA33='King Node Model'!$T$23),$AN33=1,OR($AX33=0,$D$5&lt;&gt;"UP")),AND($AM33&gt;=$BG$20,$AC33&gt;IF($CZ33=1,$BG$48,$BG$19)))),1,IF($DH33=1,0,IF(AND($DC33=1,$GS33&lt;&gt;1,AND('King Node Model'!$A$8&lt;&gt;"Neg",N($BG$72)&lt;&gt;1)),0,IF(AND($EY33=1,NOT(OR('King Node Model'!$A$8="Neg",$BG$72=1)),$AA33&lt;&gt;'King Node Model'!$B$23),0,IF(AND($GS33=1,$AG33="R",OR($CI33=0,$EE33=1,$EX33=1,$GV33=1),COUNTIF($W$9:$W$14,$AA33)&gt;0,ABS($AA33-$B$4)&lt;=$BG$7,$BK33&lt;&gt;1,$AM33&gt;=$BG$20,$AC33&gt;IF($CZ33=1,$BG$48,$BG$19)),1,IF(OR('King Node Model'!$A$8="Neg",N($BG$72)=1),IF(AND(OR($AM33&gt;=$BG$20,$AA33='King Node Model'!$D$26,$GV33=1),$AG33="R",COUNTIF($W$9:$W$14,$AA33)&gt;0,ABS($AA33-$B$4)&lt;=$BG$7,OR($AX33=0,$D$5&lt;&gt;"UP"),$BK33&lt;&gt;1,OR(OR($CI33=0,$AJ33=1),AND($EI33=1,$LA33=1,COUNTIF($W$9:$W$11,$AA33)&gt;0,$AN33=1,OR($AX33=0,$D$5&lt;&gt;"UP"))),$AM33&gt;=$BG$20,$AC33&gt;IF($CZ33=1,$BG$48,$BG$19),OR($AN33=1,N($LR33)=1,$AA33='King Node Model'!$D$26,AND($BY33=1,$AA33&gt;$B$4),$BX33=1,$CF33=1,$CF33=1,AND(OR($AA33=$CP$4,$AA33=$CP$5,$AA33=$CP$6,$AA33=$CP$7),ABS($AA33-$B$4)&lt;=30),AND($AX33=1,$D$5="DOWN"))),1,0),IF(AND(OR($AM33&gt;=3,$AA33='King Node Model'!$D$26,$GV33=1),$AG33="R",COUNTIF($W$9:$W$14,$AA33)&gt;0,ABS($AA33-$B$4)&lt;=$BG$7,OR($AX33=0,$D$5&lt;&gt;"UP"),$BK33&lt;&gt;1,OR($CI33=0,$AJ33=1),$AM33&gt;=$BG$20,$AC33&gt;IF($CZ33=1,$BG$48,$BG$19),OR($AC33&gt;=MAX($AC$9:$AC$55),$BC33&gt;0,$AA33='King Node Model'!$D$26,AND(OR($AA33=$CP$4,$AA33=$CP$5,$AA33=$CP$6,$AA33=$CP$7),ABS($AA33-$B$4)&lt;=30),$CF33=1,$AN33=1,AND($AX33=1,$D$5="DOWN"))),1,0))))))))))))</f>
        <v>0</v>
      </c>
      <c r="CV33" s="218">
        <f>IF(AND(OR('King Node Model'!$A$8="Neg",N($BG$72)=1),$AG33="S",N($LR33)=1,N($MB33)=1),1,IF(AND(AND('King Node Model'!$A$8&lt;&gt;"Neg",N($BG$72)&lt;&gt;1),SUMPRODUCT(($AG$9:$AG$55="R")*ISNUMBER($AT$9:$AT$55)*ISNUMBER($AU$9:$AU$55)*($AT$9:$AT$55&lt;&gt;$AU$9:$AU$55)*($AT$9:$AT$55&lt;=$AA33)*($AU$9:$AU$55&gt;=$AA33))&gt;0,NOT(AND(N($LC33)=1,$AA33='King Node Model'!$B$23))),0,IF(AND($AA33='King Node Model'!$F$24,$AG33="S",COUNTIF($W$18:$W$23,$AA33)&gt;0),1,IF(AND($FN33=1,$EU33&lt;&gt;1,$EM33&lt;&gt;1,$DH33&lt;&gt;1,$AG33="S",COUNTIF($W$18:$W$23,$AA33)&gt;0),1,IF($EU33=1,0,IF(AND(OR($EF33=1,$GV33=1,AND(OR($AA33='King Node Model'!$T$22,$AA33='King Node Model'!$T$23,AND($AG33="S",COUNTIF('Master Dashboard'!$AN$16:$AN$18,$AA33)&gt;0)),$AN33=1,OR($AX33=0,$D$5&lt;&gt;"UP"))),OR(NOT(OR('King Node Model'!$A$8="Neg",N($BG$72)=1)),$GV33=1,AND(OR($AA33='King Node Model'!$T$22,$AA33='King Node Model'!$T$23,AND($AG33="S",COUNTIF('Master Dashboard'!$AN$16:$AN$18,$AA33)&gt;0)),$AN33=1,OR($AX33=0,$D$5&lt;&gt;"UP")),AND($AM33&gt;=$BG$20,$AC33&gt;IF($CZ33=1,$BG$48,$BG$19)))),1,IF($DH33=1,0,IF(AND($DC33=1,$GS33&lt;&gt;1,AND('King Node Model'!$A$8&lt;&gt;"Neg",N($BG$72)&lt;&gt;1)),0,IF(AND($EY33=1,NOT(OR('King Node Model'!$A$8="Neg",$BG$72=1)),$AA33&lt;&gt;'King Node Model'!$B$23,COUNTIF('Master Dashboard'!$AN$16:$AN$18,$AA33)=0),0,IF(AND($GS33=1,$AG33="S",OR($CI33=0,$EF33=1,$EX33=1,$GV33=1),COUNTIF($W$18:$W$23,$AA33)&gt;0,ABS($AA33-$B$4)&lt;=$BG$7,$BK33&lt;&gt;1,$AM33&gt;=$BG$20,$AC33&gt;IF($CZ33=1,$BG$48,$BG$19)),1,IF(OR('King Node Model'!$A$8="Neg",N($BG$72)=1),IF(AND(OR(OR($AM33&gt;=$BG$20,N($LR33)=1),$AA33='King Node Model'!$D$26,$GV33=1),$AG33="S",COUNTIF($W$18:$W$23,$AA33)&gt;0,ABS($AA33-$B$4)&lt;=$BG$7,OR($AX33=0,$D$5&lt;&gt;"UP"),$BK33&lt;&gt;1,OR($CI33=0,$AJ33=1,AND(N($LR33)=1,N($MB33)=1),N($MT33)=1),OR($AM33&gt;=$BG$20,N($LR33)=1),$AC33&gt;IF($CZ33=1,$BG$48,$BG$19),OR($AB33&gt;0,$AN33=1,N($MT33)=1,N($LR33)=1,$AA33='King Node Model'!$D$26,AND($BY33=1,$AA33&lt;$B$4),$BX33=1,$CF33=1,$CF33=1,AND(OR($AA33=$CP$4,$AA33=$CP$5,$AA33=$CP$6,$AA33=$CP$7),ABS($AA33-$B$4)&lt;=30),AND($AX33=1,$D$5="DOWN"))),1,0),IF(AND(OR($AM33&gt;=3,$AA33='King Node Model'!$D$26,$GV33=1),$AG33="S",COUNTIF($W$18:$W$23,$AA33)&gt;0,ABS($AA33-$B$4)&lt;=$BG$7,OR($AX33=0,$D$5&lt;&gt;"UP"),$BK33&lt;&gt;1,OR($CI33=0,$AJ33=1,AND(N($LR33)=1,N($MB33)=1),N($MT33)=1),$AM33&gt;=$BG$20,$AC33&gt;IF($CZ33=1,$BG$48,$BG$19),OR($AC33&gt;=MAX($AC$9:$AC$55),$BC33&gt;0,N($MT33)=1,$AA33='King Node Model'!$D$26,AND(OR($AA33=$CP$4,$AA33=$CP$5,$AA33=$CP$6,$AA33=$CP$7),ABS($AA33-$B$4)&lt;=30),$CF33=1,$AN33=1,AND($AX33=1,$D$5="DOWN"))),1,0))))))))))))</f>
        <v>0</v>
      </c>
      <c r="CX33" s="218">
        <f t="shared" si="48"/>
        <v>1</v>
      </c>
      <c r="CY33">
        <f t="shared" si="49"/>
        <v>1</v>
      </c>
      <c r="CZ33" s="218">
        <f t="shared" si="50"/>
        <v>0</v>
      </c>
      <c r="DA33" t="str">
        <f t="shared" si="51"/>
        <v/>
      </c>
      <c r="DB33" s="218">
        <f t="shared" si="52"/>
        <v>1894098</v>
      </c>
      <c r="DC33" s="218">
        <f t="shared" si="53"/>
        <v>1</v>
      </c>
      <c r="DD33" s="218">
        <f t="shared" si="54"/>
        <v>7</v>
      </c>
      <c r="DE33" s="218">
        <f t="shared" si="55"/>
        <v>3</v>
      </c>
      <c r="DF33" s="218">
        <f t="shared" si="56"/>
        <v>7755</v>
      </c>
      <c r="DG33" s="218">
        <f t="shared" si="57"/>
        <v>7795</v>
      </c>
      <c r="DH33" s="218">
        <f t="shared" si="58"/>
        <v>1</v>
      </c>
      <c r="DI33">
        <v>1</v>
      </c>
      <c r="DJ33">
        <v>1</v>
      </c>
      <c r="DK33">
        <v>329611</v>
      </c>
      <c r="DL33">
        <v>0</v>
      </c>
      <c r="DM33" t="str">
        <f>IF(AND($CV33=1,$AG33="S"),IF(AND(OR('King Node Model'!$A$8="Neg",N($BG$72)=1),'King Node Model'!$S$52=""),IF(OR(N($AN33)=1,N($LR33)=1,$AB33&gt;0,$AJ33=1,N($JO33)=1,AND(NOT($AE33&gt;0),NOT(IFERROR(AND(ISNUMBER($BC33),ISNUMBER($BC32),($BC33&gt;=0)&lt;&gt;($BC32&gt;=0)),FALSE())),OR(AND($BM33&lt;=6,$BN33&lt;=6),ABS($AA33-'King Node Model'!$T$23)&lt;=5,$LA33=1))),1,0),1),"")</f>
        <v/>
      </c>
      <c r="DN33" t="str">
        <f t="shared" si="59"/>
        <v/>
      </c>
      <c r="DO33" t="str">
        <f t="shared" si="60"/>
        <v>shelfAbs</v>
      </c>
      <c r="DP33">
        <f>IF(AND(OR('King Node Model'!$A$8="Neg",N($BG$72)=1),$AG33="S",ISNUMBER($AT33),ISNUMBER($AU33),$AT33&lt;&gt;$AU33,$AA33=$AT33),IF(AND(SUMPRODUCT(($AA$9:$AA$55&gt;=$AT33)*($AA$9:$AA$55&lt;=$AU33)*($AB$9:$AB$55&gt;0))&gt;0,SUMPRODUCT(($AA$9:$AA$55&gt;=$AT33)*($AA$9:$AA$55&lt;=$AU33)*($DM$9:$DM$55=1))&gt;0,SUMPRODUCT(($AA$9:$AA$55&gt;=$AT33)*($AA$9:$AA$55&lt;=$AU33)*(COUNTIF($W$18:$W$20,$AA$9:$AA$55)&gt;0))&gt;0),1,0),"")</f>
        <v>0</v>
      </c>
      <c r="DS33">
        <v>0</v>
      </c>
      <c r="DT33">
        <v>0</v>
      </c>
      <c r="DU33" t="str">
        <f>IF('King Node Model'!$A$8&lt;&gt;"Pos","",IF(OR($AA33="",NOT(ISNUMBER($AA33)),ABS($AA33-$B$4)&gt;$BG$7),"",TEXT($AA33,"0")&amp;" | "&amp;IF($AG33="","unclassified",IF($AG33&lt;&gt;IF($AA33&gt;$B$4,"R","S"),"orphan: in "&amp;$AG33&amp;"-list, "&amp;IF($AA33&lt;$B$4,"below","above")&amp;" spot",IF(IF($AG33="R",COUNTIF($W$9:$W$14,$AA33),COUNTIF($W$18:$W$23,$AA33))=0,"not in "&amp;$AG33&amp;"-list",IF($DH33=1,"absorbed into shelf box",IF($BK33=1,"absorbed: adjacent reversal",IF($CI33=1,"accel-accelerant",IF($AC33&lt;=$BG$19,"below gamma-floor",IF($AM33&lt;$BG$20,"confluence "&amp;TEXT($AM33,"0")&amp;" &lt; "&amp;TEXT($BG$20,"0"),IF(AND($AX33=1,$D$5="UP"),"accelerant in up-move",IF(NOT(OR($AC33&gt;=MAX($AC$9:$AC$55),$BC33&gt;0,$AA33='King Node Model'!$D$26,AND(OR($AA33=$CP$4,$AA33=$CP$5,$AA33=$CP$6,$AA33=$CP$7),ABS($AA33-$B$4)&lt;=30),ISNUMBER(SEARCH("STRENGTHENING",$CG33)),$AN33=1,AND($AX33=1,$D$5="DOWN"))),"no surface flag","-&gt; qualifies"))))))))))))</f>
        <v/>
      </c>
      <c r="DV33" s="218">
        <f t="shared" si="61"/>
        <v>99999</v>
      </c>
      <c r="DW33" s="218">
        <f t="shared" si="62"/>
        <v>10.390000000000327</v>
      </c>
      <c r="DX33" t="str">
        <f>IF('King Node Model'!$A$8&lt;&gt;"Pos","",IF(AND($DV33&lt;99999,$DV33=MIN($DV$9:$DV$55),$DG33&gt;$AA33),"R-box: "&amp;TEXT($AA33,"0")&amp;"-"&amp;TEXT($DG33,"0"),IF(AND($DW33&lt;99999,$DW33=MIN($DW$9:$DW$55),$DF33&lt;$AA33),"S-box: "&amp;TEXT($DF33,"0")&amp;"-"&amp;TEXT($AA33,"0"),"")))</f>
        <v/>
      </c>
      <c r="EB33">
        <f t="shared" si="63"/>
        <v>10.390000000000327</v>
      </c>
      <c r="EC33">
        <f t="shared" si="64"/>
        <v>538591</v>
      </c>
      <c r="ED33">
        <f t="shared" si="65"/>
        <v>0</v>
      </c>
      <c r="EE33">
        <f>IF(AND(OR('King Node Model'!$A$8="Neg",N($BG$72)=1),$AG33="R",ISNUMBER($EB33),$EB33&lt;=$BG$7,$AB33&gt;0,$EC33&gt;0,$AB33=$EC33),1,0)</f>
        <v>0</v>
      </c>
      <c r="EF33">
        <f>IF(AND(OR('King Node Model'!$A$8="Neg",N($BG$72)=1),$AG33="S",ISNUMBER($EB33),$EB33&lt;=$BG$7,$AB33&gt;0,$ED33&gt;0,$AB33=$ED33),1,0)</f>
        <v>0</v>
      </c>
      <c r="EI33">
        <v>1</v>
      </c>
      <c r="EJ33">
        <f>IF($AA33="",0,IF(SUMPRODUCT(($AA$9:$AA$55&gt;=$AT33)*($AA$9:$AA$55&lt;=$AU33)*($DT$9:$DT$55=1))+SUMPRODUCT(($DT$9:$DT$55=1)*($AT$9:$AT$55&lt;=$AA33)*($AU$9:$AU$55&gt;=$AA33))+($DT33=1)+AND(OR('King Node Model'!$A$8="Neg",N($BG$72)=1),ISNUMBER(SEARCH("LOW",'Master Dashboard'!$M$5)),ISNUMBER(SEARCH("BUY",'Master Dashboard'!$G$8)),'King Node Model'!$T$23='King Node Model'!$B$23,$AA33&gt;='King Node Model'!$T$23,$AA33&lt;='King Node Model'!$T$23+5)*1&gt;0,1,0))</f>
        <v>1</v>
      </c>
      <c r="EM33">
        <f t="shared" si="66"/>
        <v>0</v>
      </c>
      <c r="EN33">
        <v>0</v>
      </c>
      <c r="EO33">
        <f t="shared" si="67"/>
        <v>0</v>
      </c>
      <c r="EP33">
        <f t="shared" si="68"/>
        <v>1</v>
      </c>
      <c r="EQ33" t="str">
        <f t="shared" si="69"/>
        <v>ACCEL fading · Neg gamma ↓ (firmer support)</v>
      </c>
      <c r="ES33">
        <f>IF(AND(ISNUMBER(AA33),ISNUMBER(AF33),ABS(AA33-'King Node Model'!$B$4)&lt;=$BG$7),ABS(AF33),"")</f>
        <v>7227835</v>
      </c>
      <c r="ET33">
        <v>0</v>
      </c>
      <c r="EU33" s="218">
        <f>IF(AND(OR('King Node Model'!$A$8="Neg",N($BG$72)=1),ISNUMBER($AA32),ISNUMBER($AA33),ISNUMBER($AA34),ISNUMBER($AB32),ISNUMBER($AB33),ISNUMBER($AB34),ISNUMBER($AF33),$AB33&gt;0,$AB32&lt;0,$AB34&lt;0,$AF33&lt;0),1,0)</f>
        <v>0</v>
      </c>
      <c r="EW33">
        <f>IF(OR(N($MY33)=1,N($JM33)=1),0,N($NE33))</f>
        <v>0</v>
      </c>
      <c r="EX33">
        <f>IF(AND(OR('King Node Model'!$A$8="Neg",N($BG$72)=1),ISNUMBER($AA33),OR(AND($AA33='King Node Model'!$F$24,OR(AND($AG33="S",$F$4="High",IF($BG$80&lt;&gt;"",UPPER($BG$80),$D$5)="DOWN"),AND($AG33="R",$F$4="Low",IF($BG$80&lt;&gt;"",UPPER($BG$80),$D$5)="UP"))),$GV33=1)),1,0)</f>
        <v>0</v>
      </c>
      <c r="EY33">
        <f>IFERROR(IF(AND($DC33=1,$AB33&lt;0,$AC33&gt;=(1+$FA$6)*INDEX($AC$9:$AC$55,25-1),$AC33&gt;=(1+$FA$6)*INDEX($AC$9:$AC$55,25+1),$AC33&gt;=IFERROR(INDEX($AC$9:$AC$55,25-2),0),$AC33&gt;=IFERROR(INDEX($AC$9:$AC$55,25+2),0)),1,0),0)</f>
        <v>0</v>
      </c>
      <c r="FA33" t="str">
        <f>IF(NOT(ISNUMBER($AA33)),"",IFERROR(IF(AND($AC33=MAX($AC$9:$AC$55),$AB33=MIN($AB$9:$AB$55)),"DOM",IF(AND($DC32=1,$DC33=1,$DC34=1,INDEX($AC$9:$AC$55,25-1)&lt;=(1-$FA$6)*$AC33,INDEX($AC$9:$AC$55,25-1)&lt;=(1-$FA$6)*INDEX($AC$9:$AC$55,25-2)),"GAP↑",IF(AND($DC34=1,$DC33=1,INDEX($AC$9:$AC$55,25+1)&lt;=(1-$FA$6)*$AC33,INDEX($AC$9:$AC$55,25+1)&lt;=(1-$FA$6)*INDEX($AC$9:$AC$55,25+2)),"GAP↓",IF($CZ33=1,"dEdge Cliff",IF($GY33=1,"γWall",IF(AND($DC33=1,$AB33&lt;0,$AC33&gt;=(1+$FA$6)*INDEX($AC$9:$AC$55,25-1),$AC33&gt;=(1+$FA$6)*INDEX($AC$9:$AC$55,25+1)),"PEAK-",IF($GZ33=1,"γSh Edge",IF($HL33=1,"Trough",IF($HN33=1,"PEAK+",IF($GF33=1,"Cluster","")))))))))),""))</f>
        <v>Trough</v>
      </c>
      <c r="FB33" t="str">
        <f t="shared" si="70"/>
        <v/>
      </c>
      <c r="FC33" t="str">
        <f t="shared" si="71"/>
        <v/>
      </c>
      <c r="FD33">
        <f>IF(AND(ISNUMBER($AA33),ISNUMBER('King Node Model'!$AP$17),ISNUMBER('King Node Model'!$AQ$17),$AA33&gt;=MIN('King Node Model'!$AP$17,'King Node Model'!$AQ$17),$AA33&lt;=MAX('King Node Model'!$AP$17,'King Node Model'!$AQ$17),IFERROR(INDEX($AC$9:$AC$55,MATCH('King Node Model'!$AL$42,$AA$9:$AA$55,0)),0)&gt;0,$AC33&gt;=(1-$FA$6)*IFERROR(INDEX($AC$9:$AC$55,MATCH('King Node Model'!$AL$42,$AA$9:$AA$55,0)),0),$AC33&lt;=(1+$FA$6)*IFERROR(INDEX($AC$9:$AC$55,MATCH('King Node Model'!$AL$42,$AA$9:$AA$55,0)),0)),1,0)</f>
        <v>0</v>
      </c>
      <c r="FE33">
        <f>IF($AA33='King Node Model'!$AL$42,1,IF(AND($FD33=1,$FE32=1),1,0))</f>
        <v>0</v>
      </c>
      <c r="FF33">
        <f>IF($AA33='King Node Model'!$AL$42,1,IF(AND($FD33=1,$FF34=1),1,0))</f>
        <v>0</v>
      </c>
      <c r="FG33" t="str">
        <f>IF(OR($FE33=1,$FF33=1),25,"")</f>
        <v/>
      </c>
      <c r="FJ33">
        <f>IF(AND($CW$2=1,ISNUMBER($AA33),ISNUMBER($CW$3),ISNUMBER($CW$4),$AA33&gt;=MIN($CW$3,$CW$4),$AA33&lt;=MAX($CW$3,$CW$4),IFERROR(INDEX($AC$9:$AC$55,MATCH('King Node Model'!$AP$67,$AA$9:$AA$55,0)),0)&gt;0,$AC33&gt;=(1-$FA$6)*IFERROR(INDEX($AC$9:$AC$55,MATCH('King Node Model'!$AP$67,$AA$9:$AA$55,0)),0),$AC33&lt;=(1+$FA$6)*IFERROR(INDEX($AC$9:$AC$55,MATCH('King Node Model'!$AP$67,$AA$9:$AA$55,0)),0)),1,0)</f>
        <v>0</v>
      </c>
      <c r="FK33">
        <f>IF(AND($CW$2=1,$AA33='King Node Model'!$AP$67),1,IF(AND($FJ33=1,$FK32=1),1,0))</f>
        <v>0</v>
      </c>
      <c r="FL33">
        <f>IF(AND($CW$2=1,$AA33='King Node Model'!$AP$67),1,IF(AND($FJ33=1,$FL34=1),1,0))</f>
        <v>0</v>
      </c>
      <c r="FM33" t="str">
        <f>IF(OR($FK33=1,$FL33=1),25,"")</f>
        <v/>
      </c>
      <c r="FN33">
        <v>0</v>
      </c>
      <c r="FR33" t="str">
        <f t="shared" si="72"/>
        <v/>
      </c>
      <c r="FS33">
        <f t="shared" si="188"/>
        <v>0</v>
      </c>
      <c r="FT33">
        <f t="shared" si="73"/>
        <v>-0.78006153852651761</v>
      </c>
      <c r="FU33">
        <f t="shared" si="74"/>
        <v>1894098</v>
      </c>
      <c r="FV33">
        <f>IF($FW33=0,"",IF(OR($FW32=0,SIGN(IFERROR($BC33*1,0))&lt;&gt;SIGN(IFERROR($BC32*1,0)),$GH33=1,$GH32=1),MAX($FV$9:$FV32)+1,$FV32))</f>
        <v>8</v>
      </c>
      <c r="FW33">
        <f t="shared" si="75"/>
        <v>1</v>
      </c>
      <c r="FX33">
        <f t="shared" si="76"/>
        <v>4471438</v>
      </c>
      <c r="FY33">
        <f t="shared" si="77"/>
        <v>0</v>
      </c>
      <c r="FZ33">
        <f t="shared" si="189"/>
        <v>0</v>
      </c>
      <c r="GA33">
        <f t="shared" si="78"/>
        <v>0</v>
      </c>
      <c r="GB33">
        <f t="shared" si="79"/>
        <v>3</v>
      </c>
      <c r="GC33">
        <f t="shared" si="80"/>
        <v>12566480</v>
      </c>
      <c r="GD33" t="str">
        <f t="shared" si="81"/>
        <v/>
      </c>
      <c r="GE33" t="str">
        <f t="shared" si="82"/>
        <v/>
      </c>
      <c r="GF33">
        <f t="shared" si="83"/>
        <v>0</v>
      </c>
      <c r="GH33">
        <f>IFERROR(IF(AND($AC33&gt;=(1+$FA$6)*INDEX($AC$9:$AC$55,25-1),$AC33&gt;=(1+$FA$6)*INDEX($AC$9:$AC$55,25+1)),1,0),0)</f>
        <v>0</v>
      </c>
      <c r="GK33">
        <v>0</v>
      </c>
      <c r="GO33">
        <v>0</v>
      </c>
      <c r="GP33">
        <v>0</v>
      </c>
      <c r="GQ33">
        <f t="shared" si="84"/>
        <v>0</v>
      </c>
      <c r="GR33">
        <f t="shared" si="85"/>
        <v>0</v>
      </c>
      <c r="GS33">
        <f>IF(AND($EY33=1,$AA33&lt;&gt;'King Node Model'!$B$23),0,IF(OR($GQ33=1,$GR33=1),1,IF($DC33=1,IF(OR('King Node Model'!$A$8="Neg",N($BG$72)=1),IF(OR(AND($AC33=MAX($AC$9:$AC$55),$AB33=MIN($AB$9:$AB$55)),$AN33=1,$EE33=1,$EF33=1,$EX33=1,$GV33=1),1,0),1),0)))</f>
        <v>1</v>
      </c>
      <c r="GT33">
        <f>IFERROR(IF(AND(OR('King Node Model'!$A$8="Neg",N($BG$72)=1),$EU32=1,$AG33="R",ISNUMBER($AA33),ISNUMBER($AF33),$AF33&lt;&gt;0,$AA33&gt;$B$4-$BG$9,$AA33-$B$4&lt;=$BG$47,IF($KC33="UP",SIGN($AF33),IF($KC33="DOWN",-SIGN($AF33),0))&lt;&gt;1),1,0),0)</f>
        <v>0</v>
      </c>
      <c r="GU33" t="str">
        <f t="shared" si="86"/>
        <v/>
      </c>
      <c r="GV33">
        <f t="shared" si="87"/>
        <v>0</v>
      </c>
      <c r="GW33" t="str">
        <f t="shared" si="88"/>
        <v/>
      </c>
      <c r="GX33">
        <f t="shared" si="89"/>
        <v>10.390000000000327</v>
      </c>
      <c r="GY33">
        <f t="shared" si="90"/>
        <v>0</v>
      </c>
      <c r="GZ33">
        <f t="shared" si="91"/>
        <v>0</v>
      </c>
      <c r="HA33">
        <v>1</v>
      </c>
      <c r="HF33">
        <f>IFERROR(IF(AND($GZ33=1,'King Node Model'!$A$8="Pos",$D$5="UP",$CF33=-1,$AJ33&lt;&gt;1),1,0),0)</f>
        <v>0</v>
      </c>
      <c r="HG33">
        <f t="shared" si="92"/>
        <v>0</v>
      </c>
      <c r="HH33" t="str">
        <f>IF($GZ33=1,"",IFERROR(IF(NOT(ISNUMBER($AA33)),"",IF($EY33=1,"",IF($GF33=1,IF($GD33=$GE33,"",$GD33),IF(OR(AND($DC32=1,$DC33=1,$DC34=1,INDEX($AC$9:$AC$55,25-1)&lt;=(1-$FA$6)*$AC33,INDEX($AC$9:$AC$55,25-1)&lt;=(1-$FA$6)*INDEX($AC$9:$AC$55,25-2)),AND($DC34=1,$DC33=1,INDEX($AC$9:$AC$55,25+1)&lt;=(1-$FA$6)*$AC33,INDEX($AC$9:$AC$55,25+1)&lt;=(1-$FA$6)*INDEX($AC$9:$AC$55,25+2)),AND($DC33=1,OR(INDEX($DC$9:$DC$55,25-1)=0,INDEX($DC$9:$DC$55,25+1)=0))),IF(MIN($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MAX($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MIN($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f>
        <v/>
      </c>
      <c r="HI33" t="str">
        <f>IF($GZ33=1,"",IFERROR(IF(NOT(ISNUMBER($AA33)),"",IF($EY33=1,"",IF($GF33=1,IF($GD33=$GE33,"",$GE33),IF(OR(AND($DC32=1,$DC33=1,$DC34=1,INDEX($AC$9:$AC$55,25-1)&lt;=(1-$FA$6)*$AC33,INDEX($AC$9:$AC$55,25-1)&lt;=(1-$FA$6)*INDEX($AC$9:$AC$55,25-2)),AND($DC34=1,$DC33=1,INDEX($AC$9:$AC$55,25+1)&lt;=(1-$FA$6)*$AC33,INDEX($AC$9:$AC$55,25+1)&lt;=(1-$FA$6)*INDEX($AC$9:$AC$55,25+2)),AND($DC33=1,OR(INDEX($DC$9:$DC$55,25-1)=0,INDEX($DC$9:$DC$55,25+1)=0))),IF(MIN($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MAX($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MAX($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f>
        <v/>
      </c>
      <c r="HL33">
        <f t="shared" si="93"/>
        <v>1</v>
      </c>
      <c r="HM33">
        <f>IFERROR(IF(AND($HL33=1,NOT(OR($AA33='King Node Model'!$T$22,$AA33='King Node Model'!$T$23,$AA33='King Node Model'!$F$24,AND($AG33="S",COUNTIF('Master Dashboard'!$AN$16:$AN$18,$AA33)&gt;0),AND($AG33="R",COUNTIF('Master Dashboard'!$AN$13:$AN$15,$AA33)&gt;0)))),1,0),0)</f>
        <v>1</v>
      </c>
      <c r="HN33">
        <f t="shared" si="94"/>
        <v>0</v>
      </c>
      <c r="HO33">
        <f t="shared" si="95"/>
        <v>0</v>
      </c>
      <c r="HP33">
        <f t="shared" si="96"/>
        <v>1</v>
      </c>
      <c r="HQ33" t="str">
        <f>IF(NOT(ISNUMBER($AA33)),"",IFERROR(TRIM(IF(N($MY33)=1,"DEXLEAN ","")&amp;IF(N($IZ33)=1,"DEXCAP ","")&amp;IF(AND($AG33="S",UPPER('King Node Model'!$L$5)="HIGH",$KC33="DOWN",N($AF33)&gt;0,$AA33='King Node Model'!$AN$70,$IY33="SELL"),"CHOPEDGEIV ","")&amp;IF(N($IS33)=1,"NOREV ","")&amp;IF(N($JY33)=1,"VFLAT ","")&amp;IF(N($KR33)=1,"GDEXVANNA ","")&amp;IF(N($LD33)=1,"KGSUPFAIL ","")&amp;IF(N($LE33)=1,"KGRESLEAK ","")&amp;IF(N($MH33)=1,"ZIGZAG ","")&amp;IF(N($KK33)=1,"DATAGAP ","")&amp;IF(N($KA33)&lt;&gt;0,"ACCUNDERCW ","")&amp;IF(AND($AG33="S",$HF33=1),"EDGE ","")&amp;IF(AND($HM33=1,'King Node Model'!$A$8="Pos",N($BG$72)&lt;&gt;1),"TROUGH ","")&amp;IF(AND($EU33=1,N($JZ33)&lt;&gt;1),"BUMP ","")&amp;IF(AND($GT33=1,N($JZ33)&lt;&gt;1),"SANDWICH ","")&amp;IF(AND($EX33&lt;&gt;1,OR('King Node Model'!$A$8="Neg",N($BG$72)=1),OR(AND(ISNUMBER($AC33),$AC33=MAX($AC$9:$AC$55)),AND(ISNUMBER($AB33),$AB33=MIN($AB$9:$AB$55))),NOT(AND(AND(ISNUMBER($AC33),$AC33=MAX($AC$9:$AC$55)),AND(ISNUMBER($AB33),$AB33=MIN($AB$9:$AB$55)))),$AG33="S",N($AB33)&lt;0,NOT(COUNTIF('Master Dashboard'!$AN$16:$AN$18,$AA33)&gt;0),NOT(AND(OR('King Node Model'!$A$8="Neg",N($BG$72)=1),ISNUMBER($AB33),$AB33=MIN($AB$9:$AB$55),$AA33=$BG$105))),"ACCEL ","")&amp;IF(AND($EX33&lt;&gt;1,ISNUMBER($AA33),OR('King Node Model'!$A$8="Neg",N($BG$72)=1),$EY33=1,NOT(AND($AG33="S",COUNTIF('Master Dashboard'!$AN$16:$AN$18,$AA33)&gt;0)),NOT(AND($AA33='King Node Model'!$B$23,IF($AG33="S",OR($AA33='King Node Model'!$C$24,COUNTIF('Master Dashboard'!$AN$16:$AN$18,$AA33)&gt;0),OR($AA33='King Node Model'!$C$23,COUNTIF('Master Dashboard'!$AN$13:$AN$15,$AA33)&gt;0)))),NOT(AND($EX33&lt;&gt;1,OR('King Node Model'!$A$8="Neg",N($BG$72)=1),OR(AND(ISNUMBER($AC33),$AC33=MAX($AC$9:$AC$55)),AND(ISNUMBER($AB33),$AB33=MIN($AB$9:$AB$55))),NOT(AND(AND(ISNUMBER($AC33),$AC33=MAX($AC$9:$AC$55)),AND(ISNUMBER($AB33),$AB33=MIN($AB$9:$AB$55)))),$AG33="S",N($AB33)&lt;0,NOT(COUNTIF('Master Dashboard'!$AN$16:$AN$18,$AA33)&gt;0)))),"AMPLIFY ","")&amp;IF(AND($AG33="S",OR('King Node Model'!$A$8="Neg",N($BG$72)=1),$AJ33&lt;&gt;1,N($MT33)&lt;&gt;1,NOT(AND(N($LR33)=1,N($MB33)=1)),ISNUMBER(SEARCH("ACCEL building",$CG33))),"ZACCEL ","")&amp;IF(AND($AG33="S",OR('King Node Model'!$A$8="Neg",N($BG$72)=1),$AA33='King Node Model'!$B$23,NOT(AND(AND(ISNUMBER($AC33),$AC33=MAX($AC$9:$AC$55)),AND(ISNUMBER($AB33),$AB33=MIN($AB$9:$AB$55)))),$EJ33&lt;&gt;1),"KINGACC ","")&amp;IF(AND($AG33="S",OR('King Node Model'!$A$8="Neg",N($BG$72)=1),ABS(N($AA33)-N('King Node Model'!$B$23))&lt;=$BG$107,NOT(AND(SUMPRODUCT((ABS($AF$9:$AF$55)&lt;=ABS(N($AF33)))*1)/COUNT($AF$9:$AF$55)&gt;=0.66,OR(ISNUMBER(SEARCH("firmer resistance",$CG33)),ISNUMBER(SEARCH("STRENGTHENING",$CG33)),ISNUMBER(SEARCH("firmer support",$CG33))))),NOT(AND(N($AB33)&gt;0,SUMPRODUCT((ABS($AB$9:$AB$55)&lt;=ABS(N($AB33)))*1)/COUNT($AB$9:$AB$55)&gt;=0.66)),$EJ33&lt;&gt;1,$AJ33&lt;&gt;1,COUNTIF('Master Dashboard'!$AN$16:$AN$18,$AA33)=0,NOT(AND($AG33="S",OR('King Node Model'!$A$8="Neg",N($BG$72)=1),$AA33='King Node Model'!$B$23,NOT(AND(AND(ISNUMBER($AC33),$AC33=MAX($AC$9:$AC$55)),AND(ISNUMBER($AB33),$AB33=MIN($AB$9:$AB$55)))),$EJ33&lt;&gt;1))),"KINGNODE ","")&amp;IF(AND($AG33="R",NOT(AND(AND(ISNUMBER($AC33),$AC33=MAX($AC$9:$AC$55)),AND(ISNUMBER($AB33),$AB33=MIN($AB$9:$AB$55)))),UPPER('King Node Model'!$L$5)="LOW",$KC33="DOWN",N($AF33)&gt;0),"LOWIVFALL ","")&amp;IF(AND($AG33="R",NOT(AND(AND(ISNUMBER($AC33),$AC33=MAX($AC$9:$AC$55)),AND(ISNUMBER($AB33),$AB33=MIN($AB$9:$AB$55)))),UPPER('King Node Model'!$L$5)="HIGH",$KC33="DOWN",N($AF33)&gt;0,IFERROR(MATCH($AA33,$W$9:$W$14,0)&gt;=4,FALSE)),"HIGHIVFALL ","")&amp;IF(AND($AG33="R",N($BG$99)=1),"SPOTUPVOLUP ","")&amp;IF(AND($AG33="R",ISNUMBER(SEARCH("5/5",'Master Dashboard'!$E$29)),OR(ISNUMBER(SEARCH("WEAKENING",$EQ33)),ISNUMBER(SEARCH("Pos gamma ↓",$EQ33)),ISNUMBER(SEARCH("thinning the ceiling",$EQ33)))),"SQUEEZE ","")&amp;IF(N($JU33)=1,"DEDGECLIFF ","")&amp;IF(N($KT33)=1,"DEXDRAIN ","")&amp;IF(N($HW33)&lt;&gt;0,"DEXDROP ","")&amp;IF(N($HX33)&lt;&gt;0,"PEAK+ ","")&amp;IF(N($IF33)=1,"CHOP ","")&amp;IF(N($IQ33)=1,"CONTESTED ","")&amp;IF(N($IW33)=1,"VSELL ","")&amp;IF(N($JK33)=1,"VBUYRES ","")&amp;IF(N($JL33)=1,"DOMFLAT ","")&amp;IF(N($JM33)=1,"DOMPULL ","")&amp;IF(N($JP33)=1,"OIZOMMA ","")&amp;IF(AND(N($JQ33)=1,N($JZ33)&lt;&gt;1),"OIDEX ","")),""))</f>
        <v>VSELL</v>
      </c>
      <c r="HS33">
        <f>IFERROR(IF(AND($DC33=1,OR(AND($AG33="R",INDEX($DC$9:$DC$55,24)=0,INDEX($DC$9:$DC$55,26)=1,INDEX($DC$9:$DC$55,27)=1),AND($AG33="S",INDEX($DC$9:$DC$55,26)=0,INDEX($DC$9:$DC$55,24)=1,INDEX($DC$9:$DC$55,23)=1))),1,0),0)</f>
        <v>0</v>
      </c>
      <c r="HT33">
        <f t="shared" si="97"/>
        <v>1</v>
      </c>
      <c r="HU33">
        <v>0</v>
      </c>
      <c r="HV33">
        <v>1</v>
      </c>
      <c r="HW33">
        <f>IFERROR(IF(OR(NOT(ISNUMBER($AA33)),'King Node Model'!$A$8&lt;&gt;"Pos",N($BG$72)=1,ABS(N($AE33))&lt;$BG$113,N($AV33)=1,$FA33="DOM",$AA33='King Node Model'!$T$23,AND(N($BG$116)=1,$AA33='King Node Model'!$F$24),NOT(ISNUMBER($KU33)),NOT(ISNUMBER($KV33))),0,IF(AND($AG33="S",COUNTIF('Master Dashboard'!$AN$16:$AN$18,$AA33)=0,$KU33&gt;=$BG$114,$KU33&gt;=$KV33+$BG$115,NOT(AND(N($AN34)=1,N($KV33)&lt;0)),N($AE33)&lt;=0),1,IF(AND($AG33="R",COUNTIF('Master Dashboard'!$AN$13:$AN$15,$AA33)=0,$KV33&gt;=$BG$114,$KV33&gt;=$KU33+$BG$115,NOT(AND(N($AN32)=1,N($KU33)&lt;0))),-1,0))),0)</f>
        <v>0</v>
      </c>
      <c r="HX33">
        <f>IFERROR(IF(AND(ISNUMBER($AA33),$FA33="PEAK+",N($AN33)&lt;&gt;1,NOT(AND('King Node Model'!$A$8="Pos",OR($AA33='King Node Model'!$T$22,$AA33='King Node Model'!$T$23,$AA33='King Node Model'!$F$24))),IF($AG33="S",COUNTIF('Master Dashboard'!$AN$16:$AN$18,$AA33)=0,IF($AG33="R",COUNTIF('Master Dashboard'!$AN$13:$AN$15,$AA33)=0,FALSE))),1,0),0)</f>
        <v>0</v>
      </c>
      <c r="HY33">
        <f t="shared" si="98"/>
        <v>0.61460620113857445</v>
      </c>
      <c r="HZ33">
        <v>1</v>
      </c>
      <c r="IA33">
        <f>IFERROR(IF(AND(IF($BG$44=1,OR(ISNUMBER(SEARCH("Choppy",'King Node Model'!$S$38)),'King Node Model'!$S$52&lt;&gt;"",'King Node Model'!$A$8="Pos"),TRUE()),OR($DC33=1,$DC32=1,$DC34=1),ABS($AA33-$B$4)&lt;=$BG$7,ABS($AA33-$BG$28)&gt;=$BG$45,OR(AND($AA33&gt;$BG$28,$AG33="R"),AND($AA33&lt;$BG$28,$AG33="S",N($BG$154)=1)),ABS(IF($AA33&gt;$BG$28,$AE34,$AE32))&gt;=$BG$43,ABS(N(IF($AA33&gt;$BG$28,$AE32,$AE34)))&lt;=$BG$153*ABS(IF($AA33&gt;$BG$28,$AE34,$AE32)),IF(ISNUMBER($HZ33),$HZ33=1,AND(ISNUMBER($HY33),$HY33&gt;=$BG$42))),1,0),0)</f>
        <v>1</v>
      </c>
      <c r="IB33">
        <f t="shared" si="99"/>
        <v>0</v>
      </c>
      <c r="IC33" t="str">
        <f>IF(NOT(ISNUMBER($AA33)),"",IFERROR(MID(IF(AND($AC33=MAX($AC$9:$AC$55),$AB33=MIN($AB$9:$AB$55))," · DOM","")&amp;IF(AND($DC32=1,$DC33=1,$DC34=1,INDEX($AC$9:$AC$55,25-1)&lt;=(1-$FA$6)*$AC33,INDEX($AC$9:$AC$55,25-1)&lt;=(1-$FA$6)*INDEX($AC$9:$AC$55,25-2))," · GAP↑ → "&amp;INDEX($AA$9:$AA$55,25-2),"")&amp;IF(AND($DC34=1,$DC33=1,INDEX($AC$9:$AC$55,25+1)&lt;=(1-$FA$6)*$AC33,INDEX($AC$9:$AC$55,25+1)&lt;=(1-$FA$6)*INDEX($AC$9:$AC$55,25+2))," · GAP↓ → "&amp;INDEX($AA$9:$AA$55,25+2),"")&amp;IF($CZ33=1," · dEdge Cliff","")&amp;IF($GY33=1," · γWall","")&amp;IF(AND($DC33=1,$AB33&lt;0,$AC33&gt;=(1+$FA$6)*INDEX($AC$9:$AC$55,25-1),$AC33&gt;=(1+$FA$6)*INDEX($AC$9:$AC$55,25+1))," · PEAK-","")&amp;IF($GZ33=1," · γSh Edge","")&amp;IF($HL33=1," · Trough","")&amp;IF($HN33=1," · PEAK+","")&amp;IF($GF33=1," · Cluster",""),FIND(" · ",IF(AND($AC33=MAX($AC$9:$AC$55),$AB33=MIN($AB$9:$AB$55))," · DOM","")&amp;IF(AND($DC32=1,$DC33=1,$DC34=1,INDEX($AC$9:$AC$55,25-1)&lt;=(1-$FA$6)*$AC33,INDEX($AC$9:$AC$55,25-1)&lt;=(1-$FA$6)*INDEX($AC$9:$AC$55,25-2))," · GAP↑ → "&amp;INDEX($AA$9:$AA$55,25-2),"")&amp;IF(AND($DC34=1,$DC33=1,INDEX($AC$9:$AC$55,25+1)&lt;=(1-$FA$6)*$AC33,INDEX($AC$9:$AC$55,25+1)&lt;=(1-$FA$6)*INDEX($AC$9:$AC$55,25+2))," · GAP↓ → "&amp;INDEX($AA$9:$AA$55,25+2),"")&amp;IF($CZ33=1," · dEdge Cliff","")&amp;IF($GY33=1," · γWall","")&amp;IF(AND($DC33=1,$AB33&lt;0,$AC33&gt;=(1+$FA$6)*INDEX($AC$9:$AC$55,25-1),$AC33&gt;=(1+$FA$6)*INDEX($AC$9:$AC$55,25+1))," · PEAK-","")&amp;IF($GZ33=1," · γSh Edge","")&amp;IF($HL33=1," · Trough","")&amp;IF($HN33=1," · PEAK+","")&amp;IF($GF33=1," · Cluster",""),2),999),""))</f>
        <v/>
      </c>
      <c r="ID33" t="str">
        <f>IF(NOT(ISNUMBER($AA33)),"",IFERROR(MID(IF(AND($AC33=MAX($AC$9:$AC$55),$AB33=MIN($AB$9:$AB$55))," · DOM","")&amp;IF(AND($DC32=1,$DC33=1,$DC34=1,INDEX($AC$9:$AC$55,25-1)&lt;=(1-$FA$6)*$AC33,INDEX($AC$9:$AC$55,25-1)&lt;=(1-$FA$6)*INDEX($AC$9:$AC$55,25-2))," · GAP↑ → "&amp;INDEX($AA$9:$AA$55,25-2),"")&amp;IF(AND($DC34=1,$DC33=1,INDEX($AC$9:$AC$55,25+1)&lt;=(1-$FA$6)*$AC33,INDEX($AC$9:$AC$55,25+1)&lt;=(1-$FA$6)*INDEX($AC$9:$AC$55,25+2))," · GAP↓ → "&amp;INDEX($AA$9:$AA$55,25+2),"")&amp;IF($CZ33=1," · dEdge Cliff","")&amp;IF($GY33=1," · γWall","")&amp;IF(AND($DC33=1,$AB33&lt;0,$AC33&gt;=(1+$FA$6)*INDEX($AC$9:$AC$55,25-1),$AC33&gt;=(1+$FA$6)*INDEX($AC$9:$AC$55,25+1))," · PEAK-","")&amp;IF($GZ33=1," · γSh Edge","")&amp;IF($HL33=1," · Trough","")&amp;IF($HN33=1," · PEAK+","")&amp;IF(AND(NOT($HN33=1),NOT(AND($DC33=1,$AB33&lt;0)),N($GY33)&lt;&gt;1,N($GF33)&lt;&gt;1,N($GZ33)&lt;&gt;1,N($HL33)&lt;&gt;1,N($CZ33)&lt;&gt;1,NOT(AND($AC33=MAX($AC$9:$AC$55),$AB33=MIN($AB$9:$AB$55))),$AC33&gt;=(1+$FA$6)*INDEX($AC$9:$AC$55,25-1),$AC33&gt;=(1+$FA$6)*INDEX($AC$9:$AC$55,25+1))," · Knoll","")&amp;IF($GF33=1," · Cluster",""),4,999),""))</f>
        <v>Trough</v>
      </c>
      <c r="IF33">
        <f t="shared" si="100"/>
        <v>0</v>
      </c>
      <c r="IG33">
        <f>IFERROR(IF(AND(ISNUMBER($AA33),'King Node Model'!$A$8="Pos",OR($AG33="S",$AG33="R"),$IN33="interior",COUNTIF(IF($AG33="S",'Master Dashboard'!$AN$16:$AN$18,'Master Dashboard'!$AN$13:$AN$15),$AA33)=0,$AA33&lt;&gt;'King Node Model'!$T$22,$AA33&lt;&gt;'King Node Model'!$T$23,$AA33&lt;&gt;'King Node Model'!$F$24),1,0),0)</f>
        <v>0</v>
      </c>
      <c r="IH33">
        <f t="shared" si="101"/>
        <v>0</v>
      </c>
      <c r="II33">
        <f t="shared" si="190"/>
        <v>0</v>
      </c>
      <c r="IJ33">
        <f t="shared" si="102"/>
        <v>0</v>
      </c>
      <c r="IK33">
        <f t="shared" si="103"/>
        <v>0</v>
      </c>
      <c r="IL33">
        <f t="shared" si="191"/>
        <v>0</v>
      </c>
      <c r="IM33">
        <f t="shared" si="104"/>
        <v>0</v>
      </c>
      <c r="IN33" t="str">
        <f t="shared" si="105"/>
        <v/>
      </c>
      <c r="IO33">
        <v>0</v>
      </c>
      <c r="IP33">
        <v>0</v>
      </c>
      <c r="IQ33">
        <f>IFERROR(IF($AG33="S",IF(OR(COUNTIF($W$9:$W$14,$AA33)&gt;0,COUNTIF('King Node Model'!$AL$42:'King Node Model'!$AL$43,$AA33)&gt;0),1,0),IF($AG33="R",IF(OR(COUNTIF($W$18:$W$23,$AA33)&gt;0,COUNTIF('King Node Model'!$AL$49:'King Node Model'!$AL$50,$AA33)&gt;0),1,0),0)),0)</f>
        <v>0</v>
      </c>
      <c r="IS33">
        <f>IF(AND(ISNUMBER($AA33),N($AN33)&lt;&gt;1,N($LR33)&lt;&gt;1,OR(N($EN33)&lt;&gt;1,AND('King Node Model'!$A$8&lt;&gt;"Neg",N($BG$72)&lt;&gt;1)),$AA33&lt;&gt;'King Node Model'!$T$22,$AA33&lt;&gt;'King Node Model'!$T$23,$AA33&lt;&gt;'King Node Model'!$F$24,NOT(AND($AG33="S",COUNTIF('Master Dashboard'!$AN$16:$AN$18,$AA33)&gt;0)),NOT(AND($AG33="R",COUNTIF('Master Dashboard'!$AN$13:$AN$15,$AA33)&gt;0)),NOT(AND('King Node Model'!$A$8&lt;&gt;"Neg",N($BG$72)&lt;&gt;1,COUNTIF('Master Dashboard'!$AN$13:$AN$18,$AA33)&gt;0))),1,0)</f>
        <v>0</v>
      </c>
      <c r="IT33">
        <v>0</v>
      </c>
      <c r="IU33">
        <f>IF(AND(ISNUMBER($AA33),$AA33='King Node Model'!$F$24,$AA33&gt;$GJ$3,N($AD33)&lt;0,$F$4="High"),1,0)</f>
        <v>0</v>
      </c>
      <c r="IV33" t="str">
        <f>""</f>
        <v/>
      </c>
      <c r="IW33">
        <f>IFERROR(IF(AND(ISNUMBER($AA33),NOT(AND(N($LR33)=1,N($MB33)=1)),$AG33="S",OR('King Node Model'!$A$8="Neg",N($BG$72)=1),$JV33="SELL",ABS(N($AD33))&gt;=$BG$94,NOT(AND(N($AD33)&gt;0,N($BG$78)=1,MEDIAN($AA33-$BG$82,$B$4,$AA33+$BG$83)=$B$4))),1,0),0)</f>
        <v>1</v>
      </c>
      <c r="IX33">
        <f>IFERROR(IF(AND(ISNUMBER($AA33),$AG33="S",OR('King Node Model'!$A$8="Neg",N($BG$72)=1),N($AD33)&gt;0,N($BG$78)=1,MEDIAN($AA33-$BG$82,$B$4,$AA33+$BG$83)=$B$4),1,0),0)</f>
        <v>0</v>
      </c>
      <c r="IY33" t="str">
        <f t="shared" si="106"/>
        <v>SELL</v>
      </c>
      <c r="IZ33">
        <f>IFERROR(IF(AND(ISNUMBER($AA33),$FA33&lt;&gt;"DOM",$AA33&lt;&gt;'King Node Model'!$F$24,OR(AND($AG33="S",COUNTIF('Master Dashboard'!$AN$16:$AN$18,$AA33)=0,N(INDEX($AE$9:$AE$55,MATCH($AA33+$BG$84,$AA$9:$AA$55,0)))&lt;=-$BG$85),AND($AG33="R",COUNTIF('Master Dashboard'!$AN$13:$AN$15,$AA33)=0,N(INDEX($AE$9:$AE$55,MATCH($AA33-$BG$84,$AA$9:$AA$55,0)))&gt;=$BG$85))),1,0),0)</f>
        <v>0</v>
      </c>
      <c r="JC33">
        <f t="shared" si="108"/>
        <v>0</v>
      </c>
      <c r="JD33" t="str">
        <f t="shared" si="193"/>
        <v>P</v>
      </c>
      <c r="JE33">
        <f>IF(ISNUMBER($AA33),N(IFERROR(INDEX('King Node Model'!$L$29:$L$75,MATCH($AA33,'King Node Model'!$A$29:$A$75,0)),0)),"")</f>
        <v>1732</v>
      </c>
      <c r="JF33">
        <f>IF(ISNUMBER($AA33),N(IFERROR(INDEX('King Node Model'!$K$29:$K$75,MATCH($AA33,'King Node Model'!$A$29:$A$75,0)),0)),"")</f>
        <v>214</v>
      </c>
      <c r="JG33">
        <f t="shared" si="109"/>
        <v>8.0934579439252339</v>
      </c>
      <c r="JH33">
        <f t="shared" si="110"/>
        <v>0.12355658198614319</v>
      </c>
      <c r="JI33">
        <f t="shared" si="111"/>
        <v>0</v>
      </c>
      <c r="JJ33" t="str">
        <f t="shared" si="112"/>
        <v/>
      </c>
      <c r="JK33">
        <f t="shared" si="113"/>
        <v>0</v>
      </c>
      <c r="JL33">
        <f t="shared" si="114"/>
        <v>0</v>
      </c>
      <c r="JM33">
        <f t="shared" si="115"/>
        <v>0</v>
      </c>
      <c r="JN33">
        <f t="shared" si="116"/>
        <v>0</v>
      </c>
      <c r="JO33">
        <f t="shared" si="117"/>
        <v>0</v>
      </c>
      <c r="JP33">
        <f t="shared" si="118"/>
        <v>0</v>
      </c>
      <c r="JQ33">
        <f t="shared" si="119"/>
        <v>0</v>
      </c>
      <c r="JR33">
        <v>0</v>
      </c>
      <c r="JS33">
        <f>IFERROR(IF(AND(ISNUMBER($AA33),'King Node Model'!$A$8="Pos",OR($AG33="S",$AG33="R"),N($AB33)&gt;0,N($HP33)&lt;&gt;1,OR(AND($KC33="DOWN",N($AF33)&lt;0,N($AF33)=MIN($AF$9:$AF$55),-N($AF33)&gt;=MAX($AF$9:$AF$55)),AND($KC33="UP",N($AF33)&gt;0,N($AF33)=MAX($AF$9:$AF$55),N($AF33)&gt;=-MIN($AF$9:$AF$55)))),1,0),0)</f>
        <v>0</v>
      </c>
      <c r="JT33">
        <v>0</v>
      </c>
      <c r="JU33">
        <f>IFERROR(IF(AND(N($BG$109)=1,ISNUMBER($AA33),'King Node Model'!$A$8="Pos",N($CZ33)=1,N($AB33)&gt;0),1,0),0)</f>
        <v>0</v>
      </c>
      <c r="JV33" t="str">
        <f t="shared" si="120"/>
        <v>SELL</v>
      </c>
      <c r="JW33">
        <f t="shared" si="121"/>
        <v>1</v>
      </c>
      <c r="JX33">
        <f t="shared" si="122"/>
        <v>1</v>
      </c>
      <c r="JY33">
        <f t="shared" si="123"/>
        <v>0</v>
      </c>
      <c r="JZ33">
        <f t="shared" si="124"/>
        <v>0</v>
      </c>
      <c r="KA33">
        <f t="shared" si="125"/>
        <v>0</v>
      </c>
      <c r="KB33">
        <f t="shared" si="126"/>
        <v>0</v>
      </c>
      <c r="KC33" t="str">
        <f t="shared" si="127"/>
        <v>UP</v>
      </c>
      <c r="KE33" t="str">
        <f t="shared" si="128"/>
        <v>Now: strengthening the floor (IV rising) · if IV falls: weakens the floor · expected on arrival: STRENGTHENS ✓</v>
      </c>
      <c r="KF33" t="str">
        <f t="shared" si="129"/>
        <v>SELL</v>
      </c>
      <c r="KG33">
        <f t="shared" si="192"/>
        <v>0</v>
      </c>
      <c r="KH33" t="str">
        <f t="shared" si="130"/>
        <v/>
      </c>
      <c r="KI33" t="str">
        <f t="shared" si="131"/>
        <v/>
      </c>
      <c r="KJ33">
        <f t="shared" si="132"/>
        <v>0</v>
      </c>
      <c r="KK33">
        <f t="shared" si="133"/>
        <v>0</v>
      </c>
      <c r="KL33">
        <f t="shared" si="134"/>
        <v>0</v>
      </c>
      <c r="KM33">
        <f t="shared" si="135"/>
        <v>0</v>
      </c>
      <c r="KN33">
        <f t="shared" si="136"/>
        <v>0</v>
      </c>
      <c r="KO33">
        <v>0</v>
      </c>
      <c r="KP33">
        <f t="shared" si="137"/>
        <v>0</v>
      </c>
      <c r="KQ33">
        <f t="shared" si="138"/>
        <v>0</v>
      </c>
      <c r="KR33">
        <f t="shared" si="139"/>
        <v>0</v>
      </c>
      <c r="KS33">
        <f t="shared" si="140"/>
        <v>0</v>
      </c>
      <c r="KT33">
        <f t="shared" si="141"/>
        <v>0</v>
      </c>
      <c r="KU33">
        <f>IF(AND(ISNUMBER($AA33),ISNUMBER($AE33),ISNUMBER($AE32),N($AE33)&lt;&gt;0),($AE33-$AE32)/$AE33,"")</f>
      </c>
      <c r="KV33">
        <f>IF(AND(ISNUMBER($AA33),ISNUMBER($AE33),ISNUMBER($AE34),N($AE33)&lt;&gt;0),($AE33-$AE34)/$AE33,"")</f>
      </c>
      <c r="KW33">
        <f>IFERROR(IF(OR(NOT(ISNUMBER($AA33)),'King Node Model'!$A$8&lt;&gt;"Pos",N($BG$72)=1,ABS(N($AE33))&lt;$BG$113,$FA33="DOM",$AA33='King Node Model'!$T$23,AND(N($BG$116)=1,$AA33='King Node Model'!$F$24),NOT(ISNUMBER($KU33)),NOT(ISNUMBER($KV33))),0,IF(AND($AG33="S",COUNTIF('Master Dashboard'!$AN$16:$AN$18,$AA33)=0,$KU33&gt;=$BG$114,$KU33&gt;=$KV33+$BG$115),1,IF(AND($AG33="R",COUNTIF('Master Dashboard'!$AN$13:$AN$15,$AA33)=0,$KV33&gt;=$BG$114,$KV33&gt;=$KU33+$BG$115),-1,0))),0)</f>
        <v>0</v>
      </c>
      <c r="KX33">
        <f t="shared" si="144"/>
        <v>0</v>
      </c>
      <c r="KY33">
        <f t="shared" si="145"/>
        <v>0</v>
      </c>
      <c r="KZ33">
        <f t="shared" si="146"/>
        <v>0</v>
      </c>
      <c r="LA33">
        <f t="shared" si="147"/>
        <v>1</v>
      </c>
      <c r="LB33">
        <f t="shared" si="148"/>
        <v>0</v>
      </c>
      <c r="LC33">
        <f t="shared" si="149"/>
        <v>0</v>
      </c>
      <c r="LD33">
        <f t="shared" si="150"/>
        <v>0</v>
      </c>
      <c r="LE33">
        <f t="shared" si="151"/>
        <v>0</v>
      </c>
      <c r="LF33">
        <f t="shared" si="152"/>
        <v>0</v>
      </c>
      <c r="LG33" t="str">
        <f t="shared" si="153"/>
        <v/>
      </c>
      <c r="LH33" t="str">
        <f t="shared" si="154"/>
        <v/>
      </c>
      <c r="LI33" t="str">
        <f t="shared" si="155"/>
        <v/>
      </c>
      <c r="LJ33" t="str">
        <f t="shared" si="156"/>
        <v/>
      </c>
      <c r="LK33" t="str">
        <f t="shared" si="157"/>
        <v/>
      </c>
      <c r="LL33">
        <f t="shared" si="158"/>
        <v>0</v>
      </c>
      <c r="LM33">
        <f t="shared" si="159"/>
        <v>0</v>
      </c>
      <c r="LN33">
        <f t="shared" si="160"/>
        <v>0</v>
      </c>
      <c r="LO33">
        <v>0</v>
      </c>
      <c r="LP33">
        <f t="shared" si="161"/>
        <v>0</v>
      </c>
      <c r="LQ33" t="str">
        <f t="shared" si="162"/>
        <v/>
      </c>
      <c r="LR33">
        <f t="shared" si="163"/>
        <v>0</v>
      </c>
      <c r="LS33">
        <f t="shared" si="164"/>
        <v>0</v>
      </c>
      <c r="LT33">
        <f t="shared" si="165"/>
        <v>2</v>
      </c>
      <c r="LU33">
        <f t="shared" si="166"/>
        <v>-964906</v>
      </c>
      <c r="LV33">
        <f t="shared" si="167"/>
        <v>0</v>
      </c>
      <c r="LW33">
        <f t="shared" si="168"/>
        <v>0</v>
      </c>
      <c r="LX33">
        <f t="shared" si="169"/>
        <v>0</v>
      </c>
      <c r="LY33">
        <f t="shared" si="170"/>
        <v>0</v>
      </c>
      <c r="LZ33">
        <f t="shared" si="171"/>
        <v>0</v>
      </c>
      <c r="MA33">
        <f t="shared" si="172"/>
        <v>0</v>
      </c>
      <c r="MB33">
        <v>0</v>
      </c>
      <c r="MC33">
        <f t="shared" si="173"/>
        <v>1</v>
      </c>
      <c r="MD33">
        <f t="shared" si="174"/>
        <v>1</v>
      </c>
      <c r="ME33">
        <f t="shared" si="175"/>
        <v>0</v>
      </c>
      <c r="MF33">
        <f t="shared" si="176"/>
        <v>0</v>
      </c>
      <c r="MG33">
        <f t="shared" si="177"/>
        <v>0</v>
      </c>
      <c r="MH33">
        <f t="shared" si="178"/>
        <v>0</v>
      </c>
      <c r="MI33" t="str">
        <f t="shared" si="179"/>
        <v/>
      </c>
      <c r="MJ33">
        <f t="shared" si="180"/>
        <v>0</v>
      </c>
      <c r="MK33">
        <f t="shared" si="181"/>
        <v>0</v>
      </c>
      <c r="ML33">
        <f>IF(AND(OR('King Node Model'!$A$8="Neg",N($BG$72)=1),ISNUMBER($AA33),$AG33="R",N($AB33)&lt;0),IF(AND($AA32=$AA33+5,N($AB32)&gt;0,$AA31=$AA33+10,N($AB31)&lt;0),1,IF(AND($AA32=$AA33+5,N($AB32)&gt;0,$AA31=$AA33+10,N($AB31)&gt;0,$AA30=$AA33+15,N($AB30)&lt;0),2,IF(AND($AA32=$AA33+5,N($AB32)&gt;0,$AA31=$AA33+10,N($AB31)&gt;0,$AA30=$AA33+15,N($AB30)&gt;0,$AA29=$AA33+20,N($AB29)&lt;0),3,IF(AND($AA32=$AA33+5,N($AB32)&gt;0,$AA31=$AA33+10,N($AB31)&gt;0,$AA30=$AA33+15,N($AB30)&gt;0,$AA29=$AA33+20,N($AB29)&gt;0,$AA28=$AA33+25,N($AB28)&lt;0),4,0)))),0)</f>
      </c>
      <c r="MM33">
        <f>IF(AND(OR('King Node Model'!$A$8="Neg",N($BG$72)=1),ISNUMBER($AA33),$AG33="S",N($AB33)&lt;0),IF(AND($AA34=$AA33-5,N($AB34)&gt;0,$AA35=$AA33-10,N($AB35)&lt;0),1,IF(AND($AA34=$AA33-5,N($AB34)&gt;0,$AA35=$AA33-10,N($AB35)&gt;0,$AA36=$AA33-15,N($AB36)&lt;0),2,IF(AND($AA34=$AA33-5,N($AB34)&gt;0,$AA35=$AA33-10,N($AB35)&gt;0,$AA36=$AA33-15,N($AB36)&gt;0,$AA37=$AA33-20,N($AB37)&lt;0),3,IF(AND($AA34=$AA33-5,N($AB34)&gt;0,$AA35=$AA33-10,N($AB35)&gt;0,$AA36=$AA33-15,N($AB36)&gt;0,$AA37=$AA33-20,N($AB37)&gt;0,$AA38=$AA33-25,N($AB38)&lt;0),4,0)))),0)</f>
      </c>
      <c r="MN33">
        <f>IF(N($ML33)&gt;0,$AA33,0)</f>
      </c>
      <c r="MO33">
        <f>IF(N($MM33)&gt;0,$AA33,0)</f>
      </c>
      <c r="MP33">
        <f>IF(AND(OR('King Node Model'!$A$8="Neg",N($BG$72)=1),ISNUMBER($BG$155),$AA33=$BG$155,N($NC33)=1),2,IF(AND(OR('King Node Model'!$A$8="Neg",N($BG$72)=1),ISNUMBER($BG$156),$AA33=$BG$156,N($ND33)=1),1,0))</f>
      </c>
      <c r="MQ33">
        <f>IF(ABS(AE33)&lt;=0,0,IF($AG33="R",IF(ISNUMBER(AE32),IF((ABS(AE32)-ABS(AE33))/ABS(AE33)&lt;-0.4,1,0),0),IF(ISNUMBER(AE34),IF((ABS(AE34)-ABS(AE33))/ABS(AE33)&lt;-0.4,1,0),0)))</f>
      </c>
      <c r="MR33">
        <f>IF(OR(N($MQ33)&lt;&gt;1,N($BG$157)&lt;&gt;1,NOT(ISNUMBER($KU33)),NOT(ISNUMBER($KV33))),0,IF(OR(AND($AG33="S",OR(AND($KU33&gt;=$BG$114,$KU33&gt;=$KV33+$BG$115),AND($KU33&gt;1,$KV33&lt;=1,$KV33&gt;=$BG$114))),AND($AG33="R",OR(AND($KV33&gt;=$BG$114,$KV33&gt;=$KU33+$BG$115),AND($KV33&gt;1,$KU33&lt;=1,$KU33&gt;=$BG$114)))),1,0))</f>
      </c>
      <c r="MS33" t="str">
        <f>IF(AND(N($MR33)=1,N($NA33)&lt;&gt;1),"• DEX falls off more sharply "&amp;IF($AG33="S","above (","below (")&amp;TEXT(IF($AG33="S",$KU33,$KV33),"0%")&amp;") than "&amp;IF($AG33="S","below (","above (")&amp;TEXT(IF($AG33="S",$KV33,$KU33),"0%")&amp;") — Dex↓ not counted",IF(N($MW33)=1,"• Shoulder of the "&amp;IF($AG33="R",$AA34,$AA32)&amp;" wall — own DEX "&amp;TEXT($AE33/1000,"+#,##0;-#,##0")&amp;"K is "&amp;TEXT(ABS($AE33)/ABS(IF($AG33="R",$AE34,$AE32)),"0%")&amp;" of "&amp;TEXT(IF($AG33="R",$AE34,$AE32)/1000,"+#,##0;-#,##0")&amp;"K, Dex↓ not counted",""))</f>
      </c>
      <c r="MT33">
        <f>IF(AND(ISNUMBER($AA33),$AG33="S",ISNUMBER($AB33),$AB33=MIN($AB$9:$AB$55),$AA33=$BG$105,$JV33="BUY",ABS(N($AD33))&gt;=$BG$158),1,0)</f>
      </c>
      <c r="MU33" t="str">
        <f>IF(N($MY33)=1,"",IF(OR(N($MT33)=1,AND(OR('King Node Model'!$A$8="Neg",N($BG$72)=1),$AG33="S",ISNUMBER($AB33),$AB33=MIN($AB$9:$AB$55),$AA33=$BG$105)),"• Min GEX + Max Zomma (no reversal flag required) — accelerant warning not applied; zomma acceleration warning only within "&amp;$BG$98&amp;" pts of the level, and not when vanna buying is "&amp;TEXT($BG$158/1000,"0")&amp;"K or more"&amp;CHAR(10)&amp;IF(N($MT33)=1,"• Max Zomma and vanna buying ("&amp;TEXT(N($AD33)/1000,"+#,##0;-#,##0")&amp;"K) make this level safe","• Max Zomma is what makes this level safe"),"")&amp;$NB33&amp;$NI33)</f>
      </c>
      <c r="MV33" t="str">
        <f>IF(AND(ISNUMBER($AA33),OR($AA33=$BG$118,$AA33=$BG$119)),IF(N($AZ33)*IF($AG33="R",1,-1)&gt;0,"✓",IF(N($AZ33)*IF($AG33="R",1,-1)&lt;0,"✗","")),"")</f>
      </c>
      <c r="MW33">
        <f>IF(AND(N($MQ33)=1,N($BG$159)&gt;0,ISNUMBER(IF($AG33="R",$AE34,$AE32)),N(IF($AG33="R",$AE34,$AE32))&lt;&gt;0),IF(ABS(N($AE33))&lt;$BG$159*ABS(IF($AG33="R",$AE34,$AE32)),1,0),0)</f>
      </c>
      <c r="MX33">
        <f>IF(AND(ISNUMBER($AA33),$AA33=$BG$121,$AG33="R",N($AE33)&lt;0,OR(COUNTIF('King Node Model'!$AL$42:$AL$44,$AA33)=0,N($HP33)=1),N($NC33)=1),2,IF(AND(ISNUMBER($AA33),$AA33=$BG$120,$AG33="S",N($AE33)&gt;0,OR(COUNTIF('King Node Model'!$AL$49:$AL$51,$AA33)=0,N($HP33)=1),N($ND33)=1),1,0))</f>
      </c>
      <c r="MY33">
        <f>IF(AND(N($NA33)=1,NOT(AND(AND($AG33="S",ISNUMBER($AB33),$AB33=MIN($AB$9:$AB$55),$AA33=$BG$105),IFERROR(INDEX($AG$9:$AG$55,MATCH('King Node Model'!$B$23,$AA$9:$AA$55,0)),"")="R")),N($AV33)&lt;&gt;1),1,0)</f>
      </c>
      <c r="MZ33" t="str">
        <f>IF(N($MY33)&lt;&gt;1,"","• DEX falls off more sharply "&amp;IF($AG33="S","above (","below (")&amp;TEXT(IF($AG33="S",$KU33,$KV33),"0%")&amp;") than "&amp;IF($AG33="S","below (","above (")&amp;TEXT(IF($AG33="S",$KV33,$KU33),"0%")&amp;") — path of least resistance "&amp;IF($AG33="S","down","up")&amp;IF(N($AZ33)*IF($AG33="R",1,-1)&lt;0,CHAR(10)&amp;"• Speed against — GEX gets more negative as price "&amp;IF($AG33="R","rises","falls")&amp;" into it (speed "&amp;TEXT(N($AZ33),"#,##0;−#,##0")&amp;")","")&amp;IF(OR(N($NG33)=1,N($JC33)=1),CHAR(10)&amp;"• "&amp;IF(N($JC33)=1,"DOM with vanna BUY "&amp;TEXT(N($AD33)/1000,"+#,##0;−#,##0")&amp;"K","Put wall + Max Zomma + DOM")&amp;" backs the level, but it does not outweigh DEX"&amp;IF(N($AZ33)*IF($AG33="R",1,-1)&lt;0," and speed",""),IF(AND($AG33="S",ISNUMBER($AB33),$AB33=MIN($AB$9:$AB$55),$AA33=$BG$105),CHAR(10)&amp;"• Min GEX + Max Zomma backs the level, but it does not outweigh DEX"&amp;IF(N($AZ33)*IF($AG33="R",1,-1)&lt;0," and speed",""),IF(OR(N($JI33)=1,AND(N($GV33)=1,N($JK33)&lt;&gt;1,N($IW33)&lt;&gt;1),N($JC33)=1,AND($AA33='King Node Model'!$F$24,N($JN33)&lt;&gt;1,OR($AG33="R",AND($AG33="S",$F$4="High",IF($BG$80&lt;&gt;"",UPPER($BG$80),$D$5)="UP")))),CHAR(10)&amp;"• Vanna "&amp;IF($AG33="S","BUY ","SELL ")&amp;TEXT(N($AD33)/1000,"+#,##0;−#,##0")&amp;"K backs the level, but it does not outweigh DEX"&amp;IF(N($AZ33)*IF($AG33="R",1,-1)&lt;0," and speed",""),"")))&amp;IF(N($NE33)=1,CHAR(10)&amp;"• Buy-lean max-node exemption not applied — DEX leans against the level",""))</f>
      </c>
      <c r="NA33">
        <f>IF(AND(OR('King Node Model'!$A$8="Neg",N($BG$72)=1),ISNUMBER($AA33),ABS(N($AE33))&gt;=$BG$152,ISNUMBER($KU33),ISNUMBER($KV33)),IF(OR(AND($AG33="S",OR(AND($KU33&gt;=$BG$114,$KU33&gt;=$KV33+$BG$115),AND($KU33&gt;1,$KV33&lt;=1,$KV33&gt;=$BG$114))),AND($AG33="R",OR(AND($KV33&gt;=$BG$114,$KV33&gt;=$KU33+$BG$115),AND($KV33&gt;1,$KU33&lt;=1,$KU33&gt;=$BG$114)))),1,0),0)</f>
      </c>
      <c r="NB33" t="str">
        <f>IF(AND(N($NA33)=1,AND(AND($AG33="S",ISNUMBER($AB33),$AB33=MIN($AB$9:$AB$55),$AA33=$BG$105),IFERROR(INDEX($AG$9:$AG$55,MATCH('King Node Model'!$B$23,$AA$9:$AA$55,0)),"")="R")),CHAR(10)&amp;"• DEX falls off more sharply above ("&amp;TEXT($KU33,"0%")&amp;") than below ("&amp;TEXT($KV33,"0%")&amp;") — DEX-lean warning not applied: Min GEX + Max Zomma support with Max Gamma "&amp;'King Node Model'!$B$23&amp;" above (Dex↓ not counted)",IF(AND(OR(N($NA33)=1,N($NF33)=1),N($AV33)=1),IF(AND(OR('King Node Model'!$A$8="Neg",N($BG$72)=1),$AG33="S",ISNUMBER($AB33),$AB33=MIN($AB$9:$AB$55),$AA33=$BG$105),CHAR(10),"")&amp;"• DEX falls off more sharply "&amp;IF($AG33="S","above (","below (")&amp;TEXT(IF($AG33="S",$KU33,$KV33),"0%")&amp;") than "&amp;IF($AG33="S","below (","above (")&amp;TEXT(IF($AG33="S",$KV33,$KU33),"0%")&amp;") — DEX lean does not apply to iDex (isolated DEX)",""))</f>
      </c>
      <c r="NC33">
        <f>IF(OR($BG$163=1,AND($BG$161&gt;0,$BG$162&lt;99999,ISNUMBER($AA33),$AA33&lt;$BG$162)),1,0)</f>
      </c>
      <c r="ND33">
        <f>IF(OR($BG$163=-1,AND($BG$161&gt;0,$BG$162&lt;99999,ISNUMBER($AA33),$AA33&gt;$BG$161)),1,0)</f>
      </c>
      <c r="NE33">
        <f>IF(AND(OR('King Node Model'!$A$8="Neg",N($BG$72)=1),ISNUMBER(SEARCH("LOW",'Master Dashboard'!$M$5)),ISNUMBER(SEARCH("BUY",'Master Dashboard'!$G$8)),'King Node Model'!$T$23='King Node Model'!$B$23,OR($AA33='King Node Model'!$T$23,AND($AG33="R",$AA33='King Node Model'!$T$23+5)),OR(AND($AG33="S",$JV33="BUY"),AND($AG33="R",$JV33="SELL"))),1,0)</f>
      </c>
      <c r="NF33">
        <f>IFERROR(IF(OR(NOT(ISNUMBER($AA33)),'King Node Model'!$A$8&lt;&gt;"Pos",N($BG$72)=1,ABS(N($AE33))&lt;$BG$113,$FA33="DOM",$AA33='King Node Model'!$T$23,AND(N($BG$116)=1,$AA33='King Node Model'!$F$24),NOT(ISNUMBER($KU33)),NOT(ISNUMBER($KV33))),0,IF(AND($AG33="S",COUNTIF('Master Dashboard'!$AN$16:$AN$18,$AA33)=0,$KU33&gt;=$BG$114,$KU33&gt;=$KV33+$BG$115,NOT(AND(N($AN34)=1,N($KV33)&lt;0)),N($AE33)&lt;=0),1,IF(AND($AG33="R",COUNTIF('Master Dashboard'!$AN$13:$AN$15,$AA33)=0,$KV33&gt;=$BG$114,$KV33&gt;=$KU33+$BG$115,NOT(AND(N($AN32)=1,N($KU33)&lt;0))),-1,0))),0)</f>
      </c>
      <c r="NG33">
        <f t="shared" si="202"/>
      </c>
      <c r="NI33" t="str">
        <f>IF(AND(ISNUMBER($BG$165),ISNUMBER($AA33)),IF(OR(AND($AG33="S",$AA33&gt;$BG$165,$AA33-$BG$165&lt;=5),AND($AG33="R",$AA33&lt;$BG$165,$BG$165-$AA33&lt;=5)),IF(OR(AND(OR('King Node Model'!$A$8="Neg",N($BG$72)=1),$AG33="S",ISNUMBER($AB33),$AB33=MIN($AB$9:$AB$55),$AA33=$BG$105),$NB33&lt;&gt;""),CHAR(10),"")&amp;"• DOM forming at "&amp;$BG$165&amp;" (gamma "&amp;TEXT($BG$166,"0%")&amp;" of max) — price may be pulled to the node",""),"")</f>
      </c>
      <c r="NJ33">
        <f>IF(LEN($NI33)&gt;0,1,0)</f>
      </c>
    </row>
    <row r="34" spans="27:349" ht="15" customHeight="1" x14ac:dyDescent="0.25">
      <c r="AA34" s="181">
        <f>'King Node Model'!A54</f>
        <v>7760</v>
      </c>
      <c r="AB34" s="276">
        <f>'King Node Model'!C54</f>
        <v>-1166250</v>
      </c>
      <c r="AC34" s="181">
        <f>ABS('King Node Model'!B54)</f>
        <v>2069312</v>
      </c>
      <c r="AD34" s="276">
        <f>'King Node Model'!F54</f>
        <v>1776625</v>
      </c>
      <c r="AE34" s="276">
        <f>'King Node Model'!E54</f>
        <v>2138</v>
      </c>
      <c r="AF34" s="276">
        <f>'King Node Model'!D54</f>
        <v>3160433</v>
      </c>
      <c r="AG34" s="181" t="str">
        <f t="shared" si="6"/>
        <v>S</v>
      </c>
      <c r="AH34" s="181">
        <f t="shared" si="7"/>
        <v>4</v>
      </c>
      <c r="AI34" s="181" t="str">
        <f t="shared" si="8"/>
        <v>SELL</v>
      </c>
      <c r="AJ34" s="181">
        <f t="shared" si="9"/>
        <v>0</v>
      </c>
      <c r="AK34" s="181">
        <f>IF(ABS(N($AE34))&gt;=$BG$85,1,0)</f>
      </c>
      <c r="AL34" s="181">
        <f t="shared" si="10"/>
        <v>0</v>
      </c>
      <c r="AM34" s="181">
        <f t="shared" si="11"/>
        <v>3</v>
      </c>
      <c r="AN34" s="181">
        <f t="shared" si="12"/>
        <v>0</v>
      </c>
      <c r="AO34" s="1" t="str">
        <f t="shared" si="13"/>
        <v/>
      </c>
      <c r="AP34" s="1">
        <f t="shared" si="14"/>
        <v>2138</v>
      </c>
      <c r="AQ34" s="1">
        <f t="shared" si="15"/>
        <v>3160433</v>
      </c>
      <c r="AR34" s="181">
        <f t="shared" si="16"/>
        <v>0.67022756437638198</v>
      </c>
      <c r="AS34" s="181" t="str">
        <f t="shared" si="17"/>
        <v/>
      </c>
      <c r="AT34" s="181" t="str">
        <f t="shared" si="18"/>
        <v/>
      </c>
      <c r="AU34" s="181" t="str">
        <f t="shared" si="19"/>
        <v/>
      </c>
      <c r="AV34" s="218">
        <f t="shared" si="183"/>
        <v>0</v>
      </c>
      <c r="AW34" s="181">
        <f>ABS('King Node Model'!G54)</f>
        <v>487</v>
      </c>
      <c r="AX34" s="181">
        <f t="shared" si="20"/>
        <v>0</v>
      </c>
      <c r="AY34" s="181">
        <f t="shared" si="21"/>
        <v>0</v>
      </c>
      <c r="AZ34" s="276">
        <f>'King Node Model'!I54</f>
        <v>10634</v>
      </c>
      <c r="BA34" s="181">
        <f t="shared" si="22"/>
        <v>0</v>
      </c>
      <c r="BB34" s="181" t="str">
        <f t="shared" si="23"/>
        <v/>
      </c>
      <c r="BC34" s="10">
        <f>'King Node Model'!C54</f>
        <v>-1166250</v>
      </c>
      <c r="BD34" s="218">
        <f t="shared" si="184"/>
        <v>1</v>
      </c>
      <c r="BE34" s="218">
        <f t="shared" si="185"/>
        <v>1</v>
      </c>
      <c r="BF34" s="218" t="s">
        <v>1243</v>
      </c>
      <c r="BG34">
        <v>3</v>
      </c>
      <c r="BI34" s="218">
        <f t="shared" si="186"/>
        <v>0</v>
      </c>
      <c r="BJ34" s="218">
        <f t="shared" si="187"/>
        <v>0</v>
      </c>
      <c r="BK34" s="218">
        <f t="shared" si="24"/>
        <v>1</v>
      </c>
      <c r="BL34" s="10">
        <f>'King Node Model'!H54</f>
        <v>112</v>
      </c>
      <c r="BM34" s="218">
        <f t="shared" si="25"/>
        <v>6</v>
      </c>
      <c r="BN34" s="218">
        <f t="shared" si="26"/>
        <v>6</v>
      </c>
      <c r="BO34" s="218">
        <f t="shared" si="27"/>
        <v>0</v>
      </c>
      <c r="BP34" s="218">
        <f t="shared" si="28"/>
        <v>0</v>
      </c>
      <c r="BQ34" t="str">
        <f t="shared" si="29"/>
        <v/>
      </c>
      <c r="BR34" t="str">
        <f t="shared" si="30"/>
        <v/>
      </c>
      <c r="BS34" s="218">
        <f t="shared" si="31"/>
        <v>0</v>
      </c>
      <c r="BT34" t="str">
        <f t="shared" si="32"/>
        <v/>
      </c>
      <c r="BU34" t="str">
        <f t="shared" si="33"/>
        <v/>
      </c>
      <c r="BV34" s="218">
        <f t="shared" si="34"/>
        <v>1776625</v>
      </c>
      <c r="BW34" s="218">
        <f t="shared" si="35"/>
        <v>2138</v>
      </c>
      <c r="BX34" s="218">
        <f>IF(AND(ISNUMBER(BC34),BC34&gt;=$BG$160,OR('King Node Model'!$A$8="Neg",N($BG$72)=1)),1,0)</f>
        <v>0</v>
      </c>
      <c r="BY34" s="218">
        <f t="shared" si="36"/>
        <v>0</v>
      </c>
      <c r="BZ34" s="218">
        <f t="shared" si="37"/>
        <v>0</v>
      </c>
      <c r="CA34" t="str">
        <f t="shared" si="38"/>
        <v/>
      </c>
      <c r="CB34" s="218">
        <f>IF(AND(ISNUMBER('King Node Model'!$D$27),AG34&lt;&gt;"",AA34='King Node Model'!$D$27),1,0)</f>
        <v>0</v>
      </c>
      <c r="CC34" s="218">
        <f>IF(OR('King Node Model'!$A$8="Neg",N($BG$72)=1),$BG$14*IF(ISNUMBER('King Node Model'!$D$26),MAX(0,1-ABS(AA34-'King Node Model'!$D$26)/$BG$18),0)+$BG$15*IFERROR(BV34/MAX($BV$9:$BV$55),0)+$BG$16*IFERROR(BW34/MAX($BW$9:$BW$55),0)+$BG$17*IFERROR(AC34/$S$11,0)*MAX(0,1+$BG$21*CF34),AR34)</f>
        <v>0.87317633690203167</v>
      </c>
      <c r="CD34" s="218">
        <f>IF(OR('King Node Model'!$A$8="Neg",N($BG$72)=1),IF(AND(AG34&lt;&gt;"",ABS(AA34-$B$4)&lt;=$BG$7,OR(AX34=0,$D$5&lt;&gt;"UP"),AY34=0,BK34&lt;&gt;1,CI34=0,AM34&gt;=$BG$20,AC34&gt;$BG$19),1,0),IF(AND(BS34=1,(COUNTIF($W$9:$W$14,AA34)+COUNTIF($W$18:$W$23,AA34))&gt;0,CI34=0,AM34&gt;=$BG$20,AC34&gt;$BG$19),1,0))</f>
        <v>0</v>
      </c>
      <c r="CE34" s="322" t="str">
        <f t="shared" si="39"/>
        <v/>
      </c>
      <c r="CF34" s="218">
        <f t="shared" si="40"/>
        <v>0</v>
      </c>
      <c r="CG34" t="str">
        <f t="shared" si="41"/>
        <v/>
      </c>
      <c r="CH34" t="str">
        <f t="shared" si="42"/>
        <v>Dormant</v>
      </c>
      <c r="CI34" s="218">
        <f t="shared" si="43"/>
        <v>0</v>
      </c>
      <c r="CJ34" s="218">
        <f t="shared" si="44"/>
        <v>387420489</v>
      </c>
      <c r="CK34" s="218">
        <f t="shared" si="45"/>
        <v>0</v>
      </c>
      <c r="CL34" s="218">
        <f t="shared" si="46"/>
        <v>0</v>
      </c>
      <c r="CR34" t="s">
        <v>1494</v>
      </c>
      <c r="CS34" t="str">
        <f>IFERROR(INDEX($CG$9:$CG$55,MATCH('King Node Model'!$AL$49,$AA$9:$AA$55,0)),"")</f>
        <v/>
      </c>
      <c r="CU34" s="218">
        <f>IF(AND(AND('King Node Model'!$A$8&lt;&gt;"Neg",N($BG$72)&lt;&gt;1),SUMPRODUCT(($AG$9:$AG$55="S")*ISNUMBER($AT$9:$AT$55)*ISNUMBER($AU$9:$AU$55)*($AT$9:$AT$55&lt;&gt;$AU$9:$AU$55)*($AT$9:$AT$55&lt;=$AA34)*($AU$9:$AU$55&gt;=$AA34))&gt;0),0,IF(AND(OR($AA34='King Node Model'!$T$22,$AA34='King Node Model'!$F$24),$AG34="R",COUNTIF($W$9:$W$14,$AA34)&gt;0),1,IF(AND($FN34=1,$EU34&lt;&gt;1,$EM34&lt;&gt;1,$BK34&lt;&gt;1,$DH34&lt;&gt;1,$AG34="R",COUNTIF($W$9:$W$14,$AA34)&gt;0),1,IF($EU34=1,0,IF($EM34=1,0,IF(AND(OR($EE34=1,$GV34=1,AND($EL$7=1,$AA34='King Node Model'!$D$26,$EI34=1),AND(OR($AA34='King Node Model'!$T$22,$AA34='King Node Model'!$T$23),$AN34=1,OR($AX34=0,$D$5&lt;&gt;"UP"))),OR(NOT(OR('King Node Model'!$A$8="Neg",N($BG$72)=1)),$GV34=1,AND(OR($AA34='King Node Model'!$T$22,$AA34='King Node Model'!$T$23),$AN34=1,OR($AX34=0,$D$5&lt;&gt;"UP")),AND($AM34&gt;=$BG$20,$AC34&gt;IF($CZ34=1,$BG$48,$BG$19)))),1,IF($DH34=1,0,IF(AND($DC34=1,$GS34&lt;&gt;1,AND('King Node Model'!$A$8&lt;&gt;"Neg",N($BG$72)&lt;&gt;1)),0,IF(AND($EY34=1,NOT(OR('King Node Model'!$A$8="Neg",$BG$72=1)),$AA34&lt;&gt;'King Node Model'!$B$23),0,IF(AND($GS34=1,$AG34="R",OR($CI34=0,$EE34=1,$EX34=1,$GV34=1),COUNTIF($W$9:$W$14,$AA34)&gt;0,ABS($AA34-$B$4)&lt;=$BG$7,$BK34&lt;&gt;1,$AM34&gt;=$BG$20,$AC34&gt;IF($CZ34=1,$BG$48,$BG$19)),1,IF(OR('King Node Model'!$A$8="Neg",N($BG$72)=1),IF(AND(OR($AM34&gt;=$BG$20,$AA34='King Node Model'!$D$26,$GV34=1),$AG34="R",COUNTIF($W$9:$W$14,$AA34)&gt;0,ABS($AA34-$B$4)&lt;=$BG$7,OR($AX34=0,$D$5&lt;&gt;"UP"),$BK34&lt;&gt;1,OR(OR($CI34=0,$AJ34=1),AND($EI34=1,$LA34=1,COUNTIF($W$9:$W$11,$AA34)&gt;0,$AN34=1,OR($AX34=0,$D$5&lt;&gt;"UP"))),$AM34&gt;=$BG$20,$AC34&gt;IF($CZ34=1,$BG$48,$BG$19),OR($AN34=1,N($LR34)=1,$AA34='King Node Model'!$D$26,AND($BY34=1,$AA34&gt;$B$4),$BX34=1,$CF34=1,$CF34=1,AND(OR($AA34=$CP$4,$AA34=$CP$5,$AA34=$CP$6,$AA34=$CP$7),ABS($AA34-$B$4)&lt;=30),AND($AX34=1,$D$5="DOWN"))),1,0),IF(AND(OR($AM34&gt;=3,$AA34='King Node Model'!$D$26,$GV34=1),$AG34="R",COUNTIF($W$9:$W$14,$AA34)&gt;0,ABS($AA34-$B$4)&lt;=$BG$7,OR($AX34=0,$D$5&lt;&gt;"UP"),$BK34&lt;&gt;1,OR($CI34=0,$AJ34=1),$AM34&gt;=$BG$20,$AC34&gt;IF($CZ34=1,$BG$48,$BG$19),OR($AC34&gt;=MAX($AC$9:$AC$55),$BC34&gt;0,$AA34='King Node Model'!$D$26,AND(OR($AA34=$CP$4,$AA34=$CP$5,$AA34=$CP$6,$AA34=$CP$7),ABS($AA34-$B$4)&lt;=30),$CF34=1,$AN34=1,AND($AX34=1,$D$5="DOWN"))),1,0))))))))))))</f>
        <v>0</v>
      </c>
      <c r="CV34" s="218">
        <f>IF(AND(OR('King Node Model'!$A$8="Neg",N($BG$72)=1),$AG34="S",N($LR34)=1,N($MB34)=1),1,IF(AND(AND('King Node Model'!$A$8&lt;&gt;"Neg",N($BG$72)&lt;&gt;1),SUMPRODUCT(($AG$9:$AG$55="R")*ISNUMBER($AT$9:$AT$55)*ISNUMBER($AU$9:$AU$55)*($AT$9:$AT$55&lt;&gt;$AU$9:$AU$55)*($AT$9:$AT$55&lt;=$AA34)*($AU$9:$AU$55&gt;=$AA34))&gt;0,NOT(AND(N($LC34)=1,$AA34='King Node Model'!$B$23))),0,IF(AND($AA34='King Node Model'!$F$24,$AG34="S",COUNTIF($W$18:$W$23,$AA34)&gt;0),1,IF(AND($FN34=1,$EU34&lt;&gt;1,$EM34&lt;&gt;1,$DH34&lt;&gt;1,$AG34="S",COUNTIF($W$18:$W$23,$AA34)&gt;0),1,IF($EU34=1,0,IF(AND(OR($EF34=1,$GV34=1,AND(OR($AA34='King Node Model'!$T$22,$AA34='King Node Model'!$T$23,AND($AG34="S",COUNTIF('Master Dashboard'!$AN$16:$AN$18,$AA34)&gt;0)),$AN34=1,OR($AX34=0,$D$5&lt;&gt;"UP"))),OR(NOT(OR('King Node Model'!$A$8="Neg",N($BG$72)=1)),$GV34=1,AND(OR($AA34='King Node Model'!$T$22,$AA34='King Node Model'!$T$23,AND($AG34="S",COUNTIF('Master Dashboard'!$AN$16:$AN$18,$AA34)&gt;0)),$AN34=1,OR($AX34=0,$D$5&lt;&gt;"UP")),AND($AM34&gt;=$BG$20,$AC34&gt;IF($CZ34=1,$BG$48,$BG$19)))),1,IF($DH34=1,0,IF(AND($DC34=1,$GS34&lt;&gt;1,AND('King Node Model'!$A$8&lt;&gt;"Neg",N($BG$72)&lt;&gt;1)),0,IF(AND($EY34=1,NOT(OR('King Node Model'!$A$8="Neg",$BG$72=1)),$AA34&lt;&gt;'King Node Model'!$B$23,COUNTIF('Master Dashboard'!$AN$16:$AN$18,$AA34)=0),0,IF(AND($GS34=1,$AG34="S",OR($CI34=0,$EF34=1,$EX34=1,$GV34=1),COUNTIF($W$18:$W$23,$AA34)&gt;0,ABS($AA34-$B$4)&lt;=$BG$7,$BK34&lt;&gt;1,$AM34&gt;=$BG$20,$AC34&gt;IF($CZ34=1,$BG$48,$BG$19)),1,IF(OR('King Node Model'!$A$8="Neg",N($BG$72)=1),IF(AND(OR(OR($AM34&gt;=$BG$20,N($LR34)=1),$AA34='King Node Model'!$D$26,$GV34=1),$AG34="S",COUNTIF($W$18:$W$23,$AA34)&gt;0,ABS($AA34-$B$4)&lt;=$BG$7,OR($AX34=0,$D$5&lt;&gt;"UP"),$BK34&lt;&gt;1,OR($CI34=0,$AJ34=1,AND(N($LR34)=1,N($MB34)=1),N($MT34)=1),OR($AM34&gt;=$BG$20,N($LR34)=1),$AC34&gt;IF($CZ34=1,$BG$48,$BG$19),OR($AB34&gt;0,$AN34=1,N($MT34)=1,N($LR34)=1,$AA34='King Node Model'!$D$26,AND($BY34=1,$AA34&lt;$B$4),$BX34=1,$CF34=1,$CF34=1,AND(OR($AA34=$CP$4,$AA34=$CP$5,$AA34=$CP$6,$AA34=$CP$7),ABS($AA34-$B$4)&lt;=30),AND($AX34=1,$D$5="DOWN"))),1,0),IF(AND(OR($AM34&gt;=3,$AA34='King Node Model'!$D$26,$GV34=1),$AG34="S",COUNTIF($W$18:$W$23,$AA34)&gt;0,ABS($AA34-$B$4)&lt;=$BG$7,OR($AX34=0,$D$5&lt;&gt;"UP"),$BK34&lt;&gt;1,OR($CI34=0,$AJ34=1,AND(N($LR34)=1,N($MB34)=1),N($MT34)=1),$AM34&gt;=$BG$20,$AC34&gt;IF($CZ34=1,$BG$48,$BG$19),OR($AC34&gt;=MAX($AC$9:$AC$55),$BC34&gt;0,N($MT34)=1,$AA34='King Node Model'!$D$26,AND(OR($AA34=$CP$4,$AA34=$CP$5,$AA34=$CP$6,$AA34=$CP$7),ABS($AA34-$B$4)&lt;=30),$CF34=1,$AN34=1,AND($AX34=1,$D$5="DOWN"))),1,0))))))))))))</f>
        <v>0</v>
      </c>
      <c r="CX34" s="218">
        <f t="shared" si="48"/>
        <v>0</v>
      </c>
      <c r="CY34" t="str">
        <f t="shared" si="49"/>
        <v/>
      </c>
      <c r="CZ34" s="218">
        <f t="shared" si="50"/>
        <v>0</v>
      </c>
      <c r="DA34" t="str">
        <f t="shared" si="51"/>
        <v/>
      </c>
      <c r="DB34" s="218">
        <f t="shared" si="52"/>
        <v>2069312</v>
      </c>
      <c r="DC34" s="218">
        <f t="shared" si="53"/>
        <v>1</v>
      </c>
      <c r="DD34" s="218">
        <f t="shared" si="54"/>
        <v>8</v>
      </c>
      <c r="DE34" s="218">
        <f t="shared" si="55"/>
        <v>2</v>
      </c>
      <c r="DF34" s="218">
        <f t="shared" si="56"/>
        <v>7755</v>
      </c>
      <c r="DG34" s="218">
        <f t="shared" si="57"/>
        <v>7795</v>
      </c>
      <c r="DH34" s="218">
        <f t="shared" si="58"/>
        <v>0</v>
      </c>
      <c r="DI34">
        <v>1</v>
      </c>
      <c r="DJ34">
        <v>1</v>
      </c>
      <c r="DK34">
        <v>2325943</v>
      </c>
      <c r="DL34">
        <v>0</v>
      </c>
      <c r="DM34" t="str">
        <f>IF(AND($CV34=1,$AG34="S"),IF(AND(OR('King Node Model'!$A$8="Neg",N($BG$72)=1),'King Node Model'!$S$52=""),IF(OR(N($AN34)=1,N($LR34)=1,$AB34&gt;0,$AJ34=1,N($JO34)=1,AND(NOT($AE34&gt;0),NOT(IFERROR(AND(ISNUMBER($BC34),ISNUMBER($BC33),($BC34&gt;=0)&lt;&gt;($BC33&gt;=0)),FALSE())),OR(AND($BM34&lt;=6,$BN34&lt;=6),ABS($AA34-'King Node Model'!$T$23)&lt;=5,$LA34=1))),1,0),1),"")</f>
        <v/>
      </c>
      <c r="DN34" t="str">
        <f t="shared" si="59"/>
        <v/>
      </c>
      <c r="DO34" t="str">
        <f t="shared" si="60"/>
        <v>W-list</v>
      </c>
      <c r="DP34" t="str">
        <f>IF(AND(OR('King Node Model'!$A$8="Neg",N($BG$72)=1),$AG34="S",ISNUMBER($AT34),ISNUMBER($AU34),$AT34&lt;&gt;$AU34,$AA34=$AT34),IF(AND(SUMPRODUCT(($AA$9:$AA$55&gt;=$AT34)*($AA$9:$AA$55&lt;=$AU34)*($AB$9:$AB$55&gt;0))&gt;0,SUMPRODUCT(($AA$9:$AA$55&gt;=$AT34)*($AA$9:$AA$55&lt;=$AU34)*($DM$9:$DM$55=1))&gt;0,SUMPRODUCT(($AA$9:$AA$55&gt;=$AT34)*($AA$9:$AA$55&lt;=$AU34)*(COUNTIF($W$18:$W$20,$AA$9:$AA$55)&gt;0))&gt;0),1,0),"")</f>
        <v/>
      </c>
      <c r="DS34">
        <v>0</v>
      </c>
      <c r="DT34">
        <v>0</v>
      </c>
      <c r="DU34" t="str">
        <f>IF('King Node Model'!$A$8&lt;&gt;"Pos","",IF(OR($AA34="",NOT(ISNUMBER($AA34)),ABS($AA34-$B$4)&gt;$BG$7),"",TEXT($AA34,"0")&amp;" | "&amp;IF($AG34="","unclassified",IF($AG34&lt;&gt;IF($AA34&gt;$B$4,"R","S"),"orphan: in "&amp;$AG34&amp;"-list, "&amp;IF($AA34&lt;$B$4,"below","above")&amp;" spot",IF(IF($AG34="R",COUNTIF($W$9:$W$14,$AA34),COUNTIF($W$18:$W$23,$AA34))=0,"not in "&amp;$AG34&amp;"-list",IF($DH34=1,"absorbed into shelf box",IF($BK34=1,"absorbed: adjacent reversal",IF($CI34=1,"accel-accelerant",IF($AC34&lt;=$BG$19,"below gamma-floor",IF($AM34&lt;$BG$20,"confluence "&amp;TEXT($AM34,"0")&amp;" &lt; "&amp;TEXT($BG$20,"0"),IF(AND($AX34=1,$D$5="UP"),"accelerant in up-move",IF(NOT(OR($AC34&gt;=MAX($AC$9:$AC$55),$BC34&gt;0,$AA34='King Node Model'!$D$26,AND(OR($AA34=$CP$4,$AA34=$CP$5,$AA34=$CP$6,$AA34=$CP$7),ABS($AA34-$B$4)&lt;=30),ISNUMBER(SEARCH("STRENGTHENING",$CG34)),$AN34=1,AND($AX34=1,$D$5="DOWN"))),"no surface flag","-&gt; qualifies"))))))))))))</f>
        <v/>
      </c>
      <c r="DV34" s="218">
        <f t="shared" si="61"/>
        <v>99999</v>
      </c>
      <c r="DW34" s="218">
        <f t="shared" si="62"/>
        <v>99999</v>
      </c>
      <c r="DX34" t="str">
        <f>IF('King Node Model'!$A$8&lt;&gt;"Pos","",IF(AND($DV34&lt;99999,$DV34=MIN($DV$9:$DV$55),$DG34&gt;$AA34),"R-box: "&amp;TEXT($AA34,"0")&amp;"-"&amp;TEXT($DG34,"0"),IF(AND($DW34&lt;99999,$DW34=MIN($DW$9:$DW$55),$DF34&lt;$AA34),"S-box: "&amp;TEXT($DF34,"0")&amp;"-"&amp;TEXT($AA34,"0"),"")))</f>
        <v/>
      </c>
      <c r="EB34">
        <f t="shared" si="63"/>
        <v>15.390000000000327</v>
      </c>
      <c r="EC34">
        <f t="shared" si="64"/>
        <v>538591</v>
      </c>
      <c r="ED34">
        <f t="shared" si="65"/>
        <v>0</v>
      </c>
      <c r="EE34">
        <f>IF(AND(OR('King Node Model'!$A$8="Neg",N($BG$72)=1),$AG34="R",ISNUMBER($EB34),$EB34&lt;=$BG$7,$AB34&gt;0,$EC34&gt;0,$AB34=$EC34),1,0)</f>
        <v>0</v>
      </c>
      <c r="EF34">
        <f>IF(AND(OR('King Node Model'!$A$8="Neg",N($BG$72)=1),$AG34="S",ISNUMBER($EB34),$EB34&lt;=$BG$7,$AB34&gt;0,$ED34&gt;0,$AB34=$ED34),1,0)</f>
        <v>0</v>
      </c>
      <c r="EI34">
        <v>1</v>
      </c>
      <c r="EJ34">
        <f>IF($AA34="",0,IF(SUMPRODUCT(($AA$9:$AA$55&gt;=$AT34)*($AA$9:$AA$55&lt;=$AU34)*($DT$9:$DT$55=1))+SUMPRODUCT(($DT$9:$DT$55=1)*($AT$9:$AT$55&lt;=$AA34)*($AU$9:$AU$55&gt;=$AA34))+($DT34=1)+AND(OR('King Node Model'!$A$8="Neg",N($BG$72)=1),ISNUMBER(SEARCH("LOW",'Master Dashboard'!$M$5)),ISNUMBER(SEARCH("BUY",'Master Dashboard'!$G$8)),'King Node Model'!$T$23='King Node Model'!$B$23,$AA34&gt;='King Node Model'!$T$23,$AA34&lt;='King Node Model'!$T$23+5)*1&gt;0,1,0))</f>
        <v>0</v>
      </c>
      <c r="EM34">
        <f t="shared" si="66"/>
        <v>0</v>
      </c>
      <c r="EN34">
        <v>0</v>
      </c>
      <c r="EO34">
        <f t="shared" si="67"/>
        <v>0</v>
      </c>
      <c r="EP34">
        <f t="shared" si="68"/>
        <v>0</v>
      </c>
      <c r="EQ34" t="str">
        <f t="shared" si="69"/>
        <v>ACCEL fading · Neg gamma ↓ (firmer support) (sub-threshold)</v>
      </c>
      <c r="ES34">
        <f>IF(AND(ISNUMBER(AA34),ISNUMBER(AF34),ABS(AA34-'King Node Model'!$B$4)&lt;=$BG$7),ABS(AF34),"")</f>
        <v>3160433</v>
      </c>
      <c r="ET34">
        <v>0</v>
      </c>
      <c r="EU34" s="218">
        <f>IF(AND(OR('King Node Model'!$A$8="Neg",N($BG$72)=1),ISNUMBER($AA33),ISNUMBER($AA34),ISNUMBER($AA35),ISNUMBER($AB33),ISNUMBER($AB34),ISNUMBER($AB35),ISNUMBER($AF34),$AB34&gt;0,$AB33&lt;0,$AB35&lt;0,$AF34&lt;0),1,0)</f>
        <v>0</v>
      </c>
      <c r="EW34">
        <f>IF(OR(N($MY34)=1,N($JM34)=1),0,N($NE34))</f>
        <v>0</v>
      </c>
      <c r="EX34">
        <f>IF(AND(OR('King Node Model'!$A$8="Neg",N($BG$72)=1),ISNUMBER($AA34),OR(AND($AA34='King Node Model'!$F$24,OR(AND($AG34="S",$F$4="High",IF($BG$80&lt;&gt;"",UPPER($BG$80),$D$5)="DOWN"),AND($AG34="R",$F$4="Low",IF($BG$80&lt;&gt;"",UPPER($BG$80),$D$5)="UP"))),$GV34=1)),1,0)</f>
        <v>0</v>
      </c>
      <c r="EY34">
        <f>IFERROR(IF(AND($DC34=1,$AB34&lt;0,$AC34&gt;=(1+$FA$6)*INDEX($AC$9:$AC$55,26-1),$AC34&gt;=(1+$FA$6)*INDEX($AC$9:$AC$55,26+1),$AC34&gt;=IFERROR(INDEX($AC$9:$AC$55,26-2),0),$AC34&gt;=IFERROR(INDEX($AC$9:$AC$55,26+2),0)),1,0),0)</f>
        <v>0</v>
      </c>
      <c r="FA34" t="str">
        <f>IF(NOT(ISNUMBER($AA34)),"",IFERROR(IF(AND($AC34=MAX($AC$9:$AC$55),$AB34=MIN($AB$9:$AB$55)),"DOM",IF(AND($DC33=1,$DC34=1,$DC35=1,INDEX($AC$9:$AC$55,26-1)&lt;=(1-$FA$6)*$AC34,INDEX($AC$9:$AC$55,26-1)&lt;=(1-$FA$6)*INDEX($AC$9:$AC$55,26-2)),"GAP↑",IF(AND($DC35=1,$DC34=1,INDEX($AC$9:$AC$55,26+1)&lt;=(1-$FA$6)*$AC34,INDEX($AC$9:$AC$55,26+1)&lt;=(1-$FA$6)*INDEX($AC$9:$AC$55,26+2)),"GAP↓",IF($CZ34=1,"dEdge Cliff",IF($GY34=1,"γWall",IF(AND($DC34=1,$AB34&lt;0,$AC34&gt;=(1+$FA$6)*INDEX($AC$9:$AC$55,26-1),$AC34&gt;=(1+$FA$6)*INDEX($AC$9:$AC$55,26+1)),"PEAK-",IF($GZ34=1,"γSh Edge",IF($HL34=1,"Trough",IF($HN34=1,"PEAK+",IF($GF34=1,"Cluster","")))))))))),""))</f>
        <v>GAP↓</v>
      </c>
      <c r="FB34" t="str">
        <f t="shared" si="70"/>
        <v/>
      </c>
      <c r="FC34" t="str">
        <f t="shared" si="71"/>
        <v/>
      </c>
      <c r="FD34">
        <f>IF(AND(ISNUMBER($AA34),ISNUMBER('King Node Model'!$AP$17),ISNUMBER('King Node Model'!$AQ$17),$AA34&gt;=MIN('King Node Model'!$AP$17,'King Node Model'!$AQ$17),$AA34&lt;=MAX('King Node Model'!$AP$17,'King Node Model'!$AQ$17),IFERROR(INDEX($AC$9:$AC$55,MATCH('King Node Model'!$AL$42,$AA$9:$AA$55,0)),0)&gt;0,$AC34&gt;=(1-$FA$6)*IFERROR(INDEX($AC$9:$AC$55,MATCH('King Node Model'!$AL$42,$AA$9:$AA$55,0)),0),$AC34&lt;=(1+$FA$6)*IFERROR(INDEX($AC$9:$AC$55,MATCH('King Node Model'!$AL$42,$AA$9:$AA$55,0)),0)),1,0)</f>
        <v>0</v>
      </c>
      <c r="FE34">
        <f>IF($AA34='King Node Model'!$AL$42,1,IF(AND($FD34=1,$FE33=1),1,0))</f>
        <v>0</v>
      </c>
      <c r="FF34">
        <f>IF($AA34='King Node Model'!$AL$42,1,IF(AND($FD34=1,$FF35=1),1,0))</f>
        <v>0</v>
      </c>
      <c r="FG34" t="str">
        <f>IF(OR($FE34=1,$FF34=1),26,"")</f>
        <v/>
      </c>
      <c r="FJ34">
        <f>IF(AND($CW$2=1,ISNUMBER($AA34),ISNUMBER($CW$3),ISNUMBER($CW$4),$AA34&gt;=MIN($CW$3,$CW$4),$AA34&lt;=MAX($CW$3,$CW$4),IFERROR(INDEX($AC$9:$AC$55,MATCH('King Node Model'!$AP$67,$AA$9:$AA$55,0)),0)&gt;0,$AC34&gt;=(1-$FA$6)*IFERROR(INDEX($AC$9:$AC$55,MATCH('King Node Model'!$AP$67,$AA$9:$AA$55,0)),0),$AC34&lt;=(1+$FA$6)*IFERROR(INDEX($AC$9:$AC$55,MATCH('King Node Model'!$AP$67,$AA$9:$AA$55,0)),0)),1,0)</f>
        <v>0</v>
      </c>
      <c r="FK34">
        <f>IF(AND($CW$2=1,$AA34='King Node Model'!$AP$67),1,IF(AND($FJ34=1,$FK33=1),1,0))</f>
        <v>0</v>
      </c>
      <c r="FL34">
        <f>IF(AND($CW$2=1,$AA34='King Node Model'!$AP$67),1,IF(AND($FJ34=1,$FL35=1),1,0))</f>
        <v>0</v>
      </c>
      <c r="FM34" t="str">
        <f>IF(OR($FK34=1,$FL34=1),26,"")</f>
        <v/>
      </c>
      <c r="FN34">
        <v>0</v>
      </c>
      <c r="FR34" t="str">
        <f t="shared" si="72"/>
        <v/>
      </c>
      <c r="FS34">
        <f t="shared" si="188"/>
        <v>0</v>
      </c>
      <c r="FT34">
        <f t="shared" si="73"/>
        <v>-0.56359311693934988</v>
      </c>
      <c r="FU34">
        <f t="shared" si="74"/>
        <v>2069312</v>
      </c>
      <c r="FV34">
        <f>IF($FW34=0,"",IF(OR($FW33=0,SIGN(IFERROR($BC34*1,0))&lt;&gt;SIGN(IFERROR($BC33*1,0)),$GH34=1,$GH33=1),MAX($FV$9:$FV33)+1,$FV33))</f>
        <v>8</v>
      </c>
      <c r="FW34">
        <f t="shared" si="75"/>
        <v>1</v>
      </c>
      <c r="FX34">
        <f t="shared" si="76"/>
        <v>4471438</v>
      </c>
      <c r="FY34">
        <f t="shared" si="77"/>
        <v>0</v>
      </c>
      <c r="FZ34">
        <f t="shared" si="189"/>
        <v>0</v>
      </c>
      <c r="GA34">
        <f t="shared" si="78"/>
        <v>0</v>
      </c>
      <c r="GB34">
        <f t="shared" si="79"/>
        <v>3</v>
      </c>
      <c r="GC34">
        <f t="shared" si="80"/>
        <v>12566480</v>
      </c>
      <c r="GD34" t="str">
        <f t="shared" si="81"/>
        <v/>
      </c>
      <c r="GE34" t="str">
        <f t="shared" si="82"/>
        <v/>
      </c>
      <c r="GF34">
        <f t="shared" si="83"/>
        <v>0</v>
      </c>
      <c r="GH34">
        <f>IFERROR(IF(AND($AC34&gt;=(1+$FA$6)*INDEX($AC$9:$AC$55,26-1),$AC34&gt;=(1+$FA$6)*INDEX($AC$9:$AC$55,26+1)),1,0),0)</f>
        <v>0</v>
      </c>
      <c r="GK34">
        <v>1</v>
      </c>
      <c r="GO34">
        <v>0</v>
      </c>
      <c r="GP34">
        <v>0</v>
      </c>
      <c r="GQ34">
        <f t="shared" si="84"/>
        <v>1</v>
      </c>
      <c r="GR34">
        <f t="shared" si="85"/>
        <v>0</v>
      </c>
      <c r="GS34">
        <f>IF(AND($EY34=1,$AA34&lt;&gt;'King Node Model'!$B$23),0,IF(OR($GQ34=1,$GR34=1),1,IF($DC34=1,IF(OR('King Node Model'!$A$8="Neg",N($BG$72)=1),IF(OR(AND($AC34=MAX($AC$9:$AC$55),$AB34=MIN($AB$9:$AB$55)),$AN34=1,$EE34=1,$EF34=1,$EX34=1,$GV34=1),1,0),1),0)))</f>
        <v>1</v>
      </c>
      <c r="GT34">
        <f>IFERROR(IF(AND(OR('King Node Model'!$A$8="Neg",N($BG$72)=1),$EU33=1,$AG34="R",ISNUMBER($AA34),ISNUMBER($AF34),$AF34&lt;&gt;0,$AA34&gt;$B$4-$BG$9,$AA34-$B$4&lt;=$BG$47,IF($KC34="UP",SIGN($AF34),IF($KC34="DOWN",-SIGN($AF34),0))&lt;&gt;1),1,0),0)</f>
        <v>0</v>
      </c>
      <c r="GU34" t="str">
        <f t="shared" si="86"/>
        <v/>
      </c>
      <c r="GV34">
        <f t="shared" si="87"/>
        <v>0</v>
      </c>
      <c r="GW34" t="str">
        <f t="shared" si="88"/>
        <v/>
      </c>
      <c r="GX34">
        <f t="shared" si="89"/>
        <v>15.390000000000327</v>
      </c>
      <c r="GY34">
        <f t="shared" si="90"/>
        <v>0</v>
      </c>
      <c r="GZ34">
        <f t="shared" si="91"/>
        <v>1</v>
      </c>
      <c r="HA34">
        <v>1</v>
      </c>
      <c r="HF34">
        <f>IFERROR(IF(AND($GZ34=1,'King Node Model'!$A$8="Pos",$D$5="UP",$CF34=-1,$AJ34&lt;&gt;1),1,0),0)</f>
        <v>0</v>
      </c>
      <c r="HG34">
        <f t="shared" si="92"/>
        <v>0</v>
      </c>
      <c r="HH34" t="str">
        <f>IF($GZ34=1,"",IFERROR(IF(NOT(ISNUMBER($AA34)),"",IF($EY34=1,"",IF($GF34=1,IF($GD34=$GE34,"",$GD34),IF(OR(AND($DC33=1,$DC34=1,$DC35=1,INDEX($AC$9:$AC$55,26-1)&lt;=(1-$FA$6)*$AC34,INDEX($AC$9:$AC$55,26-1)&lt;=(1-$FA$6)*INDEX($AC$9:$AC$55,26-2)),AND($DC35=1,$DC34=1,INDEX($AC$9:$AC$55,26+1)&lt;=(1-$FA$6)*$AC34,INDEX($AC$9:$AC$55,26+1)&lt;=(1-$FA$6)*INDEX($AC$9:$AC$55,26+2)),AND($DC34=1,OR(INDEX($DC$9:$DC$55,26-1)=0,INDEX($DC$9:$DC$55,26+1)=0))),IF(MIN($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MAX($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MIN($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f>
        <v/>
      </c>
      <c r="HI34" t="str">
        <f>IF($GZ34=1,"",IFERROR(IF(NOT(ISNUMBER($AA34)),"",IF($EY34=1,"",IF($GF34=1,IF($GD34=$GE34,"",$GE34),IF(OR(AND($DC33=1,$DC34=1,$DC35=1,INDEX($AC$9:$AC$55,26-1)&lt;=(1-$FA$6)*$AC34,INDEX($AC$9:$AC$55,26-1)&lt;=(1-$FA$6)*INDEX($AC$9:$AC$55,26-2)),AND($DC35=1,$DC34=1,INDEX($AC$9:$AC$55,26+1)&lt;=(1-$FA$6)*$AC34,INDEX($AC$9:$AC$55,26+1)&lt;=(1-$FA$6)*INDEX($AC$9:$AC$55,26+2)),AND($DC34=1,OR(INDEX($DC$9:$DC$55,26-1)=0,INDEX($DC$9:$DC$55,26+1)=0))),IF(MIN($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MAX($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MAX($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f>
        <v/>
      </c>
      <c r="HL34">
        <f t="shared" si="93"/>
        <v>0</v>
      </c>
      <c r="HM34">
        <f>IFERROR(IF(AND($HL34=1,NOT(OR($AA34='King Node Model'!$T$22,$AA34='King Node Model'!$T$23,$AA34='King Node Model'!$F$24,AND($AG34="S",COUNTIF('Master Dashboard'!$AN$16:$AN$18,$AA34)&gt;0),AND($AG34="R",COUNTIF('Master Dashboard'!$AN$13:$AN$15,$AA34)&gt;0)))),1,0),0)</f>
        <v>0</v>
      </c>
      <c r="HN34">
        <f t="shared" si="94"/>
        <v>0</v>
      </c>
      <c r="HO34">
        <f t="shared" si="95"/>
        <v>0</v>
      </c>
      <c r="HP34">
        <f t="shared" si="96"/>
        <v>1</v>
      </c>
      <c r="HQ34" t="str">
        <f>IF(NOT(ISNUMBER($AA34)),"",IFERROR(TRIM(IF(N($MY34)=1,"DEXLEAN ","")&amp;IF(N($IZ34)=1,"DEXCAP ","")&amp;IF(AND($AG34="S",UPPER('King Node Model'!$L$5)="HIGH",$KC34="DOWN",N($AF34)&gt;0,$AA34='King Node Model'!$AN$70,$IY34="SELL"),"CHOPEDGEIV ","")&amp;IF(N($IS34)=1,"NOREV ","")&amp;IF(N($JY34)=1,"VFLAT ","")&amp;IF(N($KR34)=1,"GDEXVANNA ","")&amp;IF(N($LD34)=1,"KGSUPFAIL ","")&amp;IF(N($LE34)=1,"KGRESLEAK ","")&amp;IF(N($MH34)=1,"ZIGZAG ","")&amp;IF(N($KK34)=1,"DATAGAP ","")&amp;IF(N($KA34)&lt;&gt;0,"ACCUNDERCW ","")&amp;IF(AND($AG34="S",$HF34=1),"EDGE ","")&amp;IF(AND($HM34=1,'King Node Model'!$A$8="Pos",N($BG$72)&lt;&gt;1),"TROUGH ","")&amp;IF(AND($EU34=1,N($JZ34)&lt;&gt;1),"BUMP ","")&amp;IF(AND($GT34=1,N($JZ34)&lt;&gt;1),"SANDWICH ","")&amp;IF(AND($EX34&lt;&gt;1,OR('King Node Model'!$A$8="Neg",N($BG$72)=1),OR(AND(ISNUMBER($AC34),$AC34=MAX($AC$9:$AC$55)),AND(ISNUMBER($AB34),$AB34=MIN($AB$9:$AB$55))),NOT(AND(AND(ISNUMBER($AC34),$AC34=MAX($AC$9:$AC$55)),AND(ISNUMBER($AB34),$AB34=MIN($AB$9:$AB$55)))),$AG34="S",N($AB34)&lt;0,NOT(COUNTIF('Master Dashboard'!$AN$16:$AN$18,$AA34)&gt;0),NOT(AND(OR('King Node Model'!$A$8="Neg",N($BG$72)=1),ISNUMBER($AB34),$AB34=MIN($AB$9:$AB$55),$AA34=$BG$105))),"ACCEL ","")&amp;IF(AND($EX34&lt;&gt;1,ISNUMBER($AA34),OR('King Node Model'!$A$8="Neg",N($BG$72)=1),$EY34=1,NOT(AND($AG34="S",COUNTIF('Master Dashboard'!$AN$16:$AN$18,$AA34)&gt;0)),NOT(AND($AA34='King Node Model'!$B$23,IF($AG34="S",OR($AA34='King Node Model'!$C$24,COUNTIF('Master Dashboard'!$AN$16:$AN$18,$AA34)&gt;0),OR($AA34='King Node Model'!$C$23,COUNTIF('Master Dashboard'!$AN$13:$AN$15,$AA34)&gt;0)))),NOT(AND($EX34&lt;&gt;1,OR('King Node Model'!$A$8="Neg",N($BG$72)=1),OR(AND(ISNUMBER($AC34),$AC34=MAX($AC$9:$AC$55)),AND(ISNUMBER($AB34),$AB34=MIN($AB$9:$AB$55))),NOT(AND(AND(ISNUMBER($AC34),$AC34=MAX($AC$9:$AC$55)),AND(ISNUMBER($AB34),$AB34=MIN($AB$9:$AB$55)))),$AG34="S",N($AB34)&lt;0,NOT(COUNTIF('Master Dashboard'!$AN$16:$AN$18,$AA34)&gt;0)))),"AMPLIFY ","")&amp;IF(AND($AG34="S",OR('King Node Model'!$A$8="Neg",N($BG$72)=1),$AJ34&lt;&gt;1,N($MT34)&lt;&gt;1,NOT(AND(N($LR34)=1,N($MB34)=1)),ISNUMBER(SEARCH("ACCEL building",$CG34))),"ZACCEL ","")&amp;IF(AND($AG34="S",OR('King Node Model'!$A$8="Neg",N($BG$72)=1),$AA34='King Node Model'!$B$23,NOT(AND(AND(ISNUMBER($AC34),$AC34=MAX($AC$9:$AC$55)),AND(ISNUMBER($AB34),$AB34=MIN($AB$9:$AB$55)))),$EJ34&lt;&gt;1),"KINGACC ","")&amp;IF(AND($AG34="S",OR('King Node Model'!$A$8="Neg",N($BG$72)=1),ABS(N($AA34)-N('King Node Model'!$B$23))&lt;=$BG$107,NOT(AND(SUMPRODUCT((ABS($AF$9:$AF$55)&lt;=ABS(N($AF34)))*1)/COUNT($AF$9:$AF$55)&gt;=0.66,OR(ISNUMBER(SEARCH("firmer resistance",$CG34)),ISNUMBER(SEARCH("STRENGTHENING",$CG34)),ISNUMBER(SEARCH("firmer support",$CG34))))),NOT(AND(N($AB34)&gt;0,SUMPRODUCT((ABS($AB$9:$AB$55)&lt;=ABS(N($AB34)))*1)/COUNT($AB$9:$AB$55)&gt;=0.66)),$EJ34&lt;&gt;1,$AJ34&lt;&gt;1,COUNTIF('Master Dashboard'!$AN$16:$AN$18,$AA34)=0,NOT(AND($AG34="S",OR('King Node Model'!$A$8="Neg",N($BG$72)=1),$AA34='King Node Model'!$B$23,NOT(AND(AND(ISNUMBER($AC34),$AC34=MAX($AC$9:$AC$55)),AND(ISNUMBER($AB34),$AB34=MIN($AB$9:$AB$55)))),$EJ34&lt;&gt;1))),"KINGNODE ","")&amp;IF(AND($AG34="R",NOT(AND(AND(ISNUMBER($AC34),$AC34=MAX($AC$9:$AC$55)),AND(ISNUMBER($AB34),$AB34=MIN($AB$9:$AB$55)))),UPPER('King Node Model'!$L$5)="LOW",$KC34="DOWN",N($AF34)&gt;0),"LOWIVFALL ","")&amp;IF(AND($AG34="R",NOT(AND(AND(ISNUMBER($AC34),$AC34=MAX($AC$9:$AC$55)),AND(ISNUMBER($AB34),$AB34=MIN($AB$9:$AB$55)))),UPPER('King Node Model'!$L$5)="HIGH",$KC34="DOWN",N($AF34)&gt;0,IFERROR(MATCH($AA34,$W$9:$W$14,0)&gt;=4,FALSE)),"HIGHIVFALL ","")&amp;IF(AND($AG34="R",N($BG$99)=1),"SPOTUPVOLUP ","")&amp;IF(AND($AG34="R",ISNUMBER(SEARCH("5/5",'Master Dashboard'!$E$29)),OR(ISNUMBER(SEARCH("WEAKENING",$EQ34)),ISNUMBER(SEARCH("Pos gamma ↓",$EQ34)),ISNUMBER(SEARCH("thinning the ceiling",$EQ34)))),"SQUEEZE ","")&amp;IF(N($JU34)=1,"DEDGECLIFF ","")&amp;IF(N($KT34)=1,"DEXDRAIN ","")&amp;IF(N($HW34)&lt;&gt;0,"DEXDROP ","")&amp;IF(N($HX34)&lt;&gt;0,"PEAK+ ","")&amp;IF(N($IF34)=1,"CHOP ","")&amp;IF(N($IQ34)=1,"CONTESTED ","")&amp;IF(N($IW34)=1,"VSELL ","")&amp;IF(N($JK34)=1,"VBUYRES ","")&amp;IF(N($JL34)=1,"DOMFLAT ","")&amp;IF(N($JM34)=1,"DOMPULL ","")&amp;IF(N($JP34)=1,"OIZOMMA ","")&amp;IF(AND(N($JQ34)=1,N($JZ34)&lt;&gt;1),"OIDEX ","")),""))</f>
        <v>NOREV VSELL</v>
      </c>
      <c r="HS34">
        <f>IFERROR(IF(AND($DC34=1,OR(AND($AG34="R",INDEX($DC$9:$DC$55,25)=0,INDEX($DC$9:$DC$55,27)=1,INDEX($DC$9:$DC$55,28)=1),AND($AG34="S",INDEX($DC$9:$DC$55,27)=0,INDEX($DC$9:$DC$55,25)=1,INDEX($DC$9:$DC$55,24)=1))),1,0),0)</f>
        <v>0</v>
      </c>
      <c r="HT34">
        <f t="shared" si="97"/>
        <v>0</v>
      </c>
      <c r="HU34">
        <v>1</v>
      </c>
      <c r="HV34">
        <v>0</v>
      </c>
      <c r="HW34">
        <f>IFERROR(IF(OR(NOT(ISNUMBER($AA34)),'King Node Model'!$A$8&lt;&gt;"Pos",N($BG$72)=1,ABS(N($AE34))&lt;$BG$113,N($AV34)=1,$FA34="DOM",$AA34='King Node Model'!$T$23,AND(N($BG$116)=1,$AA34='King Node Model'!$F$24),NOT(ISNUMBER($KU34)),NOT(ISNUMBER($KV34))),0,IF(AND($AG34="S",COUNTIF('Master Dashboard'!$AN$16:$AN$18,$AA34)=0,$KU34&gt;=$BG$114,$KU34&gt;=$KV34+$BG$115,NOT(AND(N($AN35)=1,N($KV34)&lt;0)),N($AE34)&lt;=0),1,IF(AND($AG34="R",COUNTIF('Master Dashboard'!$AN$13:$AN$15,$AA34)=0,$KV34&gt;=$BG$114,$KV34&gt;=$KU34+$BG$115,NOT(AND(N($AN33)=1,N($KU34)&lt;0))),-1,0))),0)</f>
        <v>0</v>
      </c>
      <c r="HX34">
        <f>IFERROR(IF(AND(ISNUMBER($AA34),$FA34="PEAK+",N($AN34)&lt;&gt;1,NOT(AND('King Node Model'!$A$8="Pos",OR($AA34='King Node Model'!$T$22,$AA34='King Node Model'!$T$23,$AA34='King Node Model'!$F$24))),IF($AG34="S",COUNTIF('Master Dashboard'!$AN$16:$AN$18,$AA34)=0,IF($AG34="R",COUNTIF('Master Dashboard'!$AN$13:$AN$15,$AA34)=0,FALSE))),1,0),0)</f>
        <v>0</v>
      </c>
      <c r="HY34">
        <f t="shared" si="98"/>
        <v>0.99203490039900011</v>
      </c>
      <c r="HZ34">
        <v>1</v>
      </c>
      <c r="IA34">
        <f>IFERROR(IF(AND(IF($BG$44=1,OR(ISNUMBER(SEARCH("Choppy",'King Node Model'!$S$38)),'King Node Model'!$S$52&lt;&gt;"",'King Node Model'!$A$8="Pos"),TRUE()),OR($DC34=1,$DC33=1,$DC35=1),ABS($AA34-$B$4)&lt;=$BG$7,ABS($AA34-$BG$28)&gt;=$BG$45,OR(AND($AA34&gt;$BG$28,$AG34="R"),AND($AA34&lt;$BG$28,$AG34="S",N($BG$154)=1)),ABS(IF($AA34&gt;$BG$28,$AE35,$AE33))&gt;=$BG$43,ABS(N(IF($AA34&gt;$BG$28,$AE33,$AE35)))&lt;=$BG$153*ABS(IF($AA34&gt;$BG$28,$AE35,$AE33)),IF(ISNUMBER($HZ34),$HZ34=1,AND(ISNUMBER($HY34),$HY34&gt;=$BG$42))),1,0),0)</f>
        <v>1</v>
      </c>
      <c r="IB34">
        <f t="shared" si="99"/>
        <v>1</v>
      </c>
      <c r="IC34" t="str">
        <f>IF(NOT(ISNUMBER($AA34)),"",IFERROR(MID(IF(AND($AC34=MAX($AC$9:$AC$55),$AB34=MIN($AB$9:$AB$55))," · DOM","")&amp;IF(AND($DC33=1,$DC34=1,$DC35=1,INDEX($AC$9:$AC$55,26-1)&lt;=(1-$FA$6)*$AC34,INDEX($AC$9:$AC$55,26-1)&lt;=(1-$FA$6)*INDEX($AC$9:$AC$55,26-2))," · GAP↑ → "&amp;INDEX($AA$9:$AA$55,26-2),"")&amp;IF(AND($DC35=1,$DC34=1,INDEX($AC$9:$AC$55,26+1)&lt;=(1-$FA$6)*$AC34,INDEX($AC$9:$AC$55,26+1)&lt;=(1-$FA$6)*INDEX($AC$9:$AC$55,26+2))," · GAP↓ → "&amp;INDEX($AA$9:$AA$55,26+2),"")&amp;IF($CZ34=1," · dEdge Cliff","")&amp;IF($GY34=1," · γWall","")&amp;IF(AND($DC34=1,$AB34&lt;0,$AC34&gt;=(1+$FA$6)*INDEX($AC$9:$AC$55,26-1),$AC34&gt;=(1+$FA$6)*INDEX($AC$9:$AC$55,26+1))," · PEAK-","")&amp;IF($GZ34=1," · γSh Edge","")&amp;IF($HL34=1," · Trough","")&amp;IF($HN34=1," · PEAK+","")&amp;IF($GF34=1," · Cluster",""),FIND(" · ",IF(AND($AC34=MAX($AC$9:$AC$55),$AB34=MIN($AB$9:$AB$55))," · DOM","")&amp;IF(AND($DC33=1,$DC34=1,$DC35=1,INDEX($AC$9:$AC$55,26-1)&lt;=(1-$FA$6)*$AC34,INDEX($AC$9:$AC$55,26-1)&lt;=(1-$FA$6)*INDEX($AC$9:$AC$55,26-2))," · GAP↑ → "&amp;INDEX($AA$9:$AA$55,26-2),"")&amp;IF(AND($DC35=1,$DC34=1,INDEX($AC$9:$AC$55,26+1)&lt;=(1-$FA$6)*$AC34,INDEX($AC$9:$AC$55,26+1)&lt;=(1-$FA$6)*INDEX($AC$9:$AC$55,26+2))," · GAP↓ → "&amp;INDEX($AA$9:$AA$55,26+2),"")&amp;IF($CZ34=1," · dEdge Cliff","")&amp;IF($GY34=1," · γWall","")&amp;IF(AND($DC34=1,$AB34&lt;0,$AC34&gt;=(1+$FA$6)*INDEX($AC$9:$AC$55,26-1),$AC34&gt;=(1+$FA$6)*INDEX($AC$9:$AC$55,26+1))," · PEAK-","")&amp;IF($GZ34=1," · γSh Edge","")&amp;IF($HL34=1," · Trough","")&amp;IF($HN34=1," · PEAK+","")&amp;IF($GF34=1," · Cluster",""),2),999),""))</f>
        <v xml:space="preserve"> · γSh Edge</v>
      </c>
      <c r="ID34" t="str">
        <f>IF(NOT(ISNUMBER($AA34)),"",IFERROR(MID(IF(AND($AC34=MAX($AC$9:$AC$55),$AB34=MIN($AB$9:$AB$55))," · DOM","")&amp;IF(AND($DC33=1,$DC34=1,$DC35=1,INDEX($AC$9:$AC$55,26-1)&lt;=(1-$FA$6)*$AC34,INDEX($AC$9:$AC$55,26-1)&lt;=(1-$FA$6)*INDEX($AC$9:$AC$55,26-2))," · GAP↑ → "&amp;INDEX($AA$9:$AA$55,26-2),"")&amp;IF(AND($DC35=1,$DC34=1,INDEX($AC$9:$AC$55,26+1)&lt;=(1-$FA$6)*$AC34,INDEX($AC$9:$AC$55,26+1)&lt;=(1-$FA$6)*INDEX($AC$9:$AC$55,26+2))," · GAP↓ → "&amp;INDEX($AA$9:$AA$55,26+2),"")&amp;IF($CZ34=1," · dEdge Cliff","")&amp;IF($GY34=1," · γWall","")&amp;IF(AND($DC34=1,$AB34&lt;0,$AC34&gt;=(1+$FA$6)*INDEX($AC$9:$AC$55,26-1),$AC34&gt;=(1+$FA$6)*INDEX($AC$9:$AC$55,26+1))," · PEAK-","")&amp;IF($GZ34=1," · γSh Edge","")&amp;IF($HL34=1," · Trough","")&amp;IF($HN34=1," · PEAK+","")&amp;IF(AND(NOT($HN34=1),NOT(AND($DC34=1,$AB34&lt;0)),N($GY34)&lt;&gt;1,N($GF34)&lt;&gt;1,N($GZ34)&lt;&gt;1,N($HL34)&lt;&gt;1,N($CZ34)&lt;&gt;1,NOT(AND($AC34=MAX($AC$9:$AC$55),$AB34=MIN($AB$9:$AB$55))),$AC34&gt;=(1+$FA$6)*INDEX($AC$9:$AC$55,26-1),$AC34&gt;=(1+$FA$6)*INDEX($AC$9:$AC$55,26+1))," · Knoll","")&amp;IF($GF34=1," · Cluster",""),4,999),""))</f>
        <v>GAP↓ → 7750 · γSh Edge</v>
      </c>
      <c r="IF34">
        <f t="shared" si="100"/>
        <v>0</v>
      </c>
      <c r="IG34">
        <f>IFERROR(IF(AND(ISNUMBER($AA34),'King Node Model'!$A$8="Pos",OR($AG34="S",$AG34="R"),$IN34="interior",COUNTIF(IF($AG34="S",'Master Dashboard'!$AN$16:$AN$18,'Master Dashboard'!$AN$13:$AN$15),$AA34)=0,$AA34&lt;&gt;'King Node Model'!$T$22,$AA34&lt;&gt;'King Node Model'!$T$23,$AA34&lt;&gt;'King Node Model'!$F$24),1,0),0)</f>
        <v>0</v>
      </c>
      <c r="IH34">
        <f t="shared" si="101"/>
        <v>0</v>
      </c>
      <c r="II34">
        <f t="shared" si="190"/>
        <v>0</v>
      </c>
      <c r="IJ34">
        <f t="shared" si="102"/>
        <v>0</v>
      </c>
      <c r="IK34">
        <f t="shared" si="103"/>
        <v>0</v>
      </c>
      <c r="IL34">
        <f t="shared" si="191"/>
        <v>0</v>
      </c>
      <c r="IM34">
        <f t="shared" si="104"/>
        <v>0</v>
      </c>
      <c r="IN34" t="str">
        <f t="shared" si="105"/>
        <v/>
      </c>
      <c r="IO34">
        <v>0</v>
      </c>
      <c r="IP34">
        <v>0</v>
      </c>
      <c r="IQ34">
        <f>IFERROR(IF($AG34="S",IF(OR(COUNTIF($W$9:$W$14,$AA34)&gt;0,COUNTIF('King Node Model'!$AL$42:'King Node Model'!$AL$43,$AA34)&gt;0),1,0),IF($AG34="R",IF(OR(COUNTIF($W$18:$W$23,$AA34)&gt;0,COUNTIF('King Node Model'!$AL$49:'King Node Model'!$AL$50,$AA34)&gt;0),1,0),0)),0)</f>
        <v>0</v>
      </c>
      <c r="IS34">
        <f>IF(AND(ISNUMBER($AA34),N($AN34)&lt;&gt;1,N($LR34)&lt;&gt;1,OR(N($EN34)&lt;&gt;1,AND('King Node Model'!$A$8&lt;&gt;"Neg",N($BG$72)&lt;&gt;1)),$AA34&lt;&gt;'King Node Model'!$T$22,$AA34&lt;&gt;'King Node Model'!$T$23,$AA34&lt;&gt;'King Node Model'!$F$24,NOT(AND($AG34="S",COUNTIF('Master Dashboard'!$AN$16:$AN$18,$AA34)&gt;0)),NOT(AND($AG34="R",COUNTIF('Master Dashboard'!$AN$13:$AN$15,$AA34)&gt;0)),NOT(AND('King Node Model'!$A$8&lt;&gt;"Neg",N($BG$72)&lt;&gt;1,COUNTIF('Master Dashboard'!$AN$13:$AN$18,$AA34)&gt;0))),1,0)</f>
        <v>1</v>
      </c>
      <c r="IT34">
        <v>0</v>
      </c>
      <c r="IU34">
        <f>IF(AND(ISNUMBER($AA34),$AA34='King Node Model'!$F$24,$AA34&gt;$GJ$3,N($AD34)&lt;0,$F$4="High"),1,0)</f>
        <v>0</v>
      </c>
      <c r="IV34" t="str">
        <f>""</f>
        <v/>
      </c>
      <c r="IW34">
        <f>IFERROR(IF(AND(ISNUMBER($AA34),NOT(AND(N($LR34)=1,N($MB34)=1)),$AG34="S",OR('King Node Model'!$A$8="Neg",N($BG$72)=1),$JV34="SELL",ABS(N($AD34))&gt;=$BG$94,NOT(AND(N($AD34)&gt;0,N($BG$78)=1,MEDIAN($AA34-$BG$82,$B$4,$AA34+$BG$83)=$B$4))),1,0),0)</f>
        <v>1</v>
      </c>
      <c r="IX34">
        <f>IFERROR(IF(AND(ISNUMBER($AA34),$AG34="S",OR('King Node Model'!$A$8="Neg",N($BG$72)=1),N($AD34)&gt;0,N($BG$78)=1,MEDIAN($AA34-$BG$82,$B$4,$AA34+$BG$83)=$B$4),1,0),0)</f>
        <v>0</v>
      </c>
      <c r="IY34" t="str">
        <f t="shared" si="106"/>
        <v>SELL</v>
      </c>
      <c r="IZ34">
        <f>IFERROR(IF(AND(ISNUMBER($AA34),$FA34&lt;&gt;"DOM",$AA34&lt;&gt;'King Node Model'!$F$24,OR(AND($AG34="S",COUNTIF('Master Dashboard'!$AN$16:$AN$18,$AA34)=0,N(INDEX($AE$9:$AE$55,MATCH($AA34+$BG$84,$AA$9:$AA$55,0)))&lt;=-$BG$85),AND($AG34="R",COUNTIF('Master Dashboard'!$AN$13:$AN$15,$AA34)=0,N(INDEX($AE$9:$AE$55,MATCH($AA34-$BG$84,$AA$9:$AA$55,0)))&gt;=$BG$85))),1,0),0)</f>
        <v>0</v>
      </c>
      <c r="JC34">
        <f t="shared" si="108"/>
        <v>0</v>
      </c>
      <c r="JD34" t="str">
        <f t="shared" si="193"/>
        <v/>
      </c>
      <c r="JE34">
        <f>IF(ISNUMBER($AA34),N(IFERROR(INDEX('King Node Model'!$L$29:$L$75,MATCH($AA34,'King Node Model'!$A$29:$A$75,0)),0)),"")</f>
        <v>1967</v>
      </c>
      <c r="JF34">
        <f>IF(ISNUMBER($AA34),N(IFERROR(INDEX('King Node Model'!$K$29:$K$75,MATCH($AA34,'King Node Model'!$A$29:$A$75,0)),0)),"")</f>
        <v>549</v>
      </c>
      <c r="JG34">
        <f t="shared" si="109"/>
        <v>3.5828779599271403</v>
      </c>
      <c r="JH34">
        <f t="shared" si="110"/>
        <v>0.27910523640061008</v>
      </c>
      <c r="JI34">
        <f t="shared" si="111"/>
        <v>0</v>
      </c>
      <c r="JJ34" t="str">
        <f t="shared" si="112"/>
        <v/>
      </c>
      <c r="JK34">
        <f t="shared" si="113"/>
        <v>0</v>
      </c>
      <c r="JL34">
        <f t="shared" si="114"/>
        <v>0</v>
      </c>
      <c r="JM34">
        <f t="shared" si="115"/>
        <v>0</v>
      </c>
      <c r="JN34">
        <f t="shared" si="116"/>
        <v>0</v>
      </c>
      <c r="JO34">
        <f t="shared" si="117"/>
        <v>0</v>
      </c>
      <c r="JP34">
        <f t="shared" si="118"/>
        <v>0</v>
      </c>
      <c r="JQ34">
        <f t="shared" si="119"/>
        <v>0</v>
      </c>
      <c r="JR34">
        <v>0</v>
      </c>
      <c r="JS34">
        <f>IFERROR(IF(AND(ISNUMBER($AA34),'King Node Model'!$A$8="Pos",OR($AG34="S",$AG34="R"),N($AB34)&gt;0,N($HP34)&lt;&gt;1,OR(AND($KC34="DOWN",N($AF34)&lt;0,N($AF34)=MIN($AF$9:$AF$55),-N($AF34)&gt;=MAX($AF$9:$AF$55)),AND($KC34="UP",N($AF34)&gt;0,N($AF34)=MAX($AF$9:$AF$55),N($AF34)&gt;=-MIN($AF$9:$AF$55)))),1,0),0)</f>
        <v>0</v>
      </c>
      <c r="JT34">
        <v>0</v>
      </c>
      <c r="JU34">
        <f>IFERROR(IF(AND(N($BG$109)=1,ISNUMBER($AA34),'King Node Model'!$A$8="Pos",N($CZ34)=1,N($AB34)&gt;0),1,0),0)</f>
        <v>0</v>
      </c>
      <c r="JV34" t="str">
        <f t="shared" si="120"/>
        <v>SELL</v>
      </c>
      <c r="JW34">
        <f t="shared" si="121"/>
        <v>0</v>
      </c>
      <c r="JX34">
        <f t="shared" si="122"/>
        <v>1</v>
      </c>
      <c r="JY34">
        <f t="shared" si="123"/>
        <v>0</v>
      </c>
      <c r="JZ34">
        <f t="shared" si="124"/>
        <v>0</v>
      </c>
      <c r="KA34">
        <f t="shared" si="125"/>
        <v>0</v>
      </c>
      <c r="KB34">
        <f t="shared" si="126"/>
        <v>0</v>
      </c>
      <c r="KC34" t="str">
        <f t="shared" si="127"/>
        <v>UP</v>
      </c>
      <c r="KE34" t="str">
        <f t="shared" si="128"/>
        <v>Now: strengthening the floor (IV rising) · if IV falls: weakens the floor · expected on arrival: STRENGTHENS ✓</v>
      </c>
      <c r="KF34" t="str">
        <f t="shared" si="129"/>
        <v>SELL</v>
      </c>
      <c r="KG34">
        <f t="shared" si="192"/>
        <v>0</v>
      </c>
      <c r="KH34" t="str">
        <f t="shared" si="130"/>
        <v/>
      </c>
      <c r="KI34" t="str">
        <f t="shared" si="131"/>
        <v/>
      </c>
      <c r="KJ34">
        <f t="shared" si="132"/>
        <v>0</v>
      </c>
      <c r="KK34">
        <f t="shared" si="133"/>
        <v>0</v>
      </c>
      <c r="KL34">
        <f t="shared" si="134"/>
        <v>0</v>
      </c>
      <c r="KM34">
        <f t="shared" si="135"/>
        <v>0</v>
      </c>
      <c r="KN34">
        <f t="shared" si="136"/>
        <v>0</v>
      </c>
      <c r="KO34">
        <v>0</v>
      </c>
      <c r="KP34">
        <f t="shared" si="137"/>
        <v>0</v>
      </c>
      <c r="KQ34">
        <f t="shared" si="138"/>
        <v>0</v>
      </c>
      <c r="KR34">
        <f t="shared" si="139"/>
        <v>0</v>
      </c>
      <c r="KS34">
        <f t="shared" si="140"/>
        <v>0</v>
      </c>
      <c r="KT34">
        <f t="shared" si="141"/>
        <v>0</v>
      </c>
      <c r="KU34">
        <f>IF(AND(ISNUMBER($AA34),ISNUMBER($AE34),ISNUMBER($AE33),N($AE34)&lt;&gt;0),($AE34-$AE33)/$AE34,"")</f>
      </c>
      <c r="KV34">
        <f>IF(AND(ISNUMBER($AA34),ISNUMBER($AE34),ISNUMBER($AE35),N($AE34)&lt;&gt;0),($AE34-$AE35)/$AE34,"")</f>
      </c>
      <c r="KW34">
        <f>IFERROR(IF(OR(NOT(ISNUMBER($AA34)),'King Node Model'!$A$8&lt;&gt;"Pos",N($BG$72)=1,ABS(N($AE34))&lt;$BG$113,$FA34="DOM",$AA34='King Node Model'!$T$23,AND(N($BG$116)=1,$AA34='King Node Model'!$F$24),NOT(ISNUMBER($KU34)),NOT(ISNUMBER($KV34))),0,IF(AND($AG34="S",COUNTIF('Master Dashboard'!$AN$16:$AN$18,$AA34)=0,$KU34&gt;=$BG$114,$KU34&gt;=$KV34+$BG$115),1,IF(AND($AG34="R",COUNTIF('Master Dashboard'!$AN$13:$AN$15,$AA34)=0,$KV34&gt;=$BG$114,$KV34&gt;=$KU34+$BG$115),-1,0))),0)</f>
        <v>0</v>
      </c>
      <c r="KX34">
        <f t="shared" si="144"/>
        <v>0</v>
      </c>
      <c r="KY34">
        <f t="shared" si="145"/>
        <v>0</v>
      </c>
      <c r="KZ34">
        <f t="shared" si="146"/>
        <v>0</v>
      </c>
      <c r="LA34">
        <f t="shared" si="147"/>
        <v>0</v>
      </c>
      <c r="LB34">
        <f t="shared" si="148"/>
        <v>0</v>
      </c>
      <c r="LC34">
        <f t="shared" si="149"/>
        <v>0</v>
      </c>
      <c r="LD34">
        <f t="shared" si="150"/>
        <v>0</v>
      </c>
      <c r="LE34">
        <f t="shared" si="151"/>
        <v>0</v>
      </c>
      <c r="LF34">
        <f t="shared" si="152"/>
        <v>0</v>
      </c>
      <c r="LG34" t="str">
        <f t="shared" si="153"/>
        <v/>
      </c>
      <c r="LH34" t="str">
        <f t="shared" si="154"/>
        <v/>
      </c>
      <c r="LI34" t="str">
        <f t="shared" si="155"/>
        <v/>
      </c>
      <c r="LJ34" t="str">
        <f t="shared" si="156"/>
        <v/>
      </c>
      <c r="LK34" t="str">
        <f t="shared" si="157"/>
        <v/>
      </c>
      <c r="LL34">
        <f t="shared" si="158"/>
        <v>0</v>
      </c>
      <c r="LM34">
        <f t="shared" si="159"/>
        <v>0</v>
      </c>
      <c r="LN34">
        <f t="shared" si="160"/>
        <v>0</v>
      </c>
      <c r="LO34">
        <v>0</v>
      </c>
      <c r="LP34">
        <f t="shared" si="161"/>
        <v>0</v>
      </c>
      <c r="LQ34" t="str">
        <f t="shared" si="162"/>
        <v/>
      </c>
      <c r="LR34">
        <f t="shared" si="163"/>
        <v>0</v>
      </c>
      <c r="LS34">
        <f t="shared" si="164"/>
        <v>0</v>
      </c>
      <c r="LT34">
        <f t="shared" si="165"/>
        <v>0</v>
      </c>
      <c r="LU34">
        <f t="shared" si="166"/>
        <v>0</v>
      </c>
      <c r="LV34">
        <f t="shared" si="167"/>
        <v>0</v>
      </c>
      <c r="LW34">
        <f t="shared" si="168"/>
        <v>0</v>
      </c>
      <c r="LX34">
        <f t="shared" si="169"/>
        <v>0</v>
      </c>
      <c r="LY34">
        <f t="shared" si="170"/>
        <v>0</v>
      </c>
      <c r="LZ34">
        <f t="shared" si="171"/>
        <v>0</v>
      </c>
      <c r="MA34">
        <f t="shared" si="172"/>
        <v>0</v>
      </c>
      <c r="MB34">
        <v>0</v>
      </c>
      <c r="MC34">
        <f t="shared" si="173"/>
        <v>1</v>
      </c>
      <c r="MD34">
        <f t="shared" si="174"/>
        <v>1</v>
      </c>
      <c r="ME34">
        <f t="shared" si="175"/>
        <v>0</v>
      </c>
      <c r="MF34">
        <f t="shared" si="176"/>
        <v>0</v>
      </c>
      <c r="MG34">
        <f t="shared" si="177"/>
        <v>0</v>
      </c>
      <c r="MH34">
        <f t="shared" si="178"/>
        <v>0</v>
      </c>
      <c r="MI34" t="str">
        <f t="shared" si="179"/>
        <v/>
      </c>
      <c r="MJ34">
        <f t="shared" si="180"/>
        <v>0</v>
      </c>
      <c r="MK34">
        <f t="shared" si="181"/>
        <v>0</v>
      </c>
      <c r="ML34">
        <f>IF(AND(OR('King Node Model'!$A$8="Neg",N($BG$72)=1),ISNUMBER($AA34),$AG34="R",N($AB34)&lt;0),IF(AND($AA33=$AA34+5,N($AB33)&gt;0,$AA32=$AA34+10,N($AB32)&lt;0),1,IF(AND($AA33=$AA34+5,N($AB33)&gt;0,$AA32=$AA34+10,N($AB32)&gt;0,$AA31=$AA34+15,N($AB31)&lt;0),2,IF(AND($AA33=$AA34+5,N($AB33)&gt;0,$AA32=$AA34+10,N($AB32)&gt;0,$AA31=$AA34+15,N($AB31)&gt;0,$AA30=$AA34+20,N($AB30)&lt;0),3,IF(AND($AA33=$AA34+5,N($AB33)&gt;0,$AA32=$AA34+10,N($AB32)&gt;0,$AA31=$AA34+15,N($AB31)&gt;0,$AA30=$AA34+20,N($AB30)&gt;0,$AA29=$AA34+25,N($AB29)&lt;0),4,0)))),0)</f>
      </c>
      <c r="MM34">
        <f>IF(AND(OR('King Node Model'!$A$8="Neg",N($BG$72)=1),ISNUMBER($AA34),$AG34="S",N($AB34)&lt;0),IF(AND($AA35=$AA34-5,N($AB35)&gt;0,$AA36=$AA34-10,N($AB36)&lt;0),1,IF(AND($AA35=$AA34-5,N($AB35)&gt;0,$AA36=$AA34-10,N($AB36)&gt;0,$AA37=$AA34-15,N($AB37)&lt;0),2,IF(AND($AA35=$AA34-5,N($AB35)&gt;0,$AA36=$AA34-10,N($AB36)&gt;0,$AA37=$AA34-15,N($AB37)&gt;0,$AA38=$AA34-20,N($AB38)&lt;0),3,IF(AND($AA35=$AA34-5,N($AB35)&gt;0,$AA36=$AA34-10,N($AB36)&gt;0,$AA37=$AA34-15,N($AB37)&gt;0,$AA38=$AA34-20,N($AB38)&gt;0,$AA39=$AA34-25,N($AB39)&lt;0),4,0)))),0)</f>
      </c>
      <c r="MN34">
        <f>IF(N($ML34)&gt;0,$AA34,0)</f>
      </c>
      <c r="MO34">
        <f>IF(N($MM34)&gt;0,$AA34,0)</f>
      </c>
      <c r="MP34">
        <f>IF(AND(OR('King Node Model'!$A$8="Neg",N($BG$72)=1),ISNUMBER($BG$155),$AA34=$BG$155,N($NC34)=1),2,IF(AND(OR('King Node Model'!$A$8="Neg",N($BG$72)=1),ISNUMBER($BG$156),$AA34=$BG$156,N($ND34)=1),1,0))</f>
      </c>
      <c r="MQ34">
        <f>IF(ABS(AE34)&lt;=0,0,IF($AG34="R",IF(ISNUMBER(AE33),IF((ABS(AE33)-ABS(AE34))/ABS(AE34)&lt;-0.4,1,0),0),IF(ISNUMBER(AE35),IF((ABS(AE35)-ABS(AE34))/ABS(AE34)&lt;-0.4,1,0),0)))</f>
      </c>
      <c r="MR34">
        <f>IF(OR(N($MQ34)&lt;&gt;1,N($BG$157)&lt;&gt;1,NOT(ISNUMBER($KU34)),NOT(ISNUMBER($KV34))),0,IF(OR(AND($AG34="S",OR(AND($KU34&gt;=$BG$114,$KU34&gt;=$KV34+$BG$115),AND($KU34&gt;1,$KV34&lt;=1,$KV34&gt;=$BG$114))),AND($AG34="R",OR(AND($KV34&gt;=$BG$114,$KV34&gt;=$KU34+$BG$115),AND($KV34&gt;1,$KU34&lt;=1,$KU34&gt;=$BG$114)))),1,0))</f>
      </c>
      <c r="MS34" t="str">
        <f>IF(AND(N($MR34)=1,N($NA34)&lt;&gt;1),"• DEX falls off more sharply "&amp;IF($AG34="S","above (","below (")&amp;TEXT(IF($AG34="S",$KU34,$KV34),"0%")&amp;") than "&amp;IF($AG34="S","below (","above (")&amp;TEXT(IF($AG34="S",$KV34,$KU34),"0%")&amp;") — Dex↓ not counted",IF(N($MW34)=1,"• Shoulder of the "&amp;IF($AG34="R",$AA35,$AA33)&amp;" wall — own DEX "&amp;TEXT($AE34/1000,"+#,##0;-#,##0")&amp;"K is "&amp;TEXT(ABS($AE34)/ABS(IF($AG34="R",$AE35,$AE33)),"0%")&amp;" of "&amp;TEXT(IF($AG34="R",$AE35,$AE33)/1000,"+#,##0;-#,##0")&amp;"K, Dex↓ not counted",""))</f>
      </c>
      <c r="MT34">
        <f>IF(AND(ISNUMBER($AA34),$AG34="S",ISNUMBER($AB34),$AB34=MIN($AB$9:$AB$55),$AA34=$BG$105,$JV34="BUY",ABS(N($AD34))&gt;=$BG$158),1,0)</f>
      </c>
      <c r="MU34" t="str">
        <f>IF(N($MY34)=1,"",IF(OR(N($MT34)=1,AND(OR('King Node Model'!$A$8="Neg",N($BG$72)=1),$AG34="S",ISNUMBER($AB34),$AB34=MIN($AB$9:$AB$55),$AA34=$BG$105)),"• Min GEX + Max Zomma (no reversal flag required) — accelerant warning not applied; zomma acceleration warning only within "&amp;$BG$98&amp;" pts of the level, and not when vanna buying is "&amp;TEXT($BG$158/1000,"0")&amp;"K or more"&amp;CHAR(10)&amp;IF(N($MT34)=1,"• Max Zomma and vanna buying ("&amp;TEXT(N($AD34)/1000,"+#,##0;-#,##0")&amp;"K) make this level safe","• Max Zomma is what makes this level safe"),"")&amp;$NB34&amp;$NI34)</f>
      </c>
      <c r="MV34" t="str">
        <f>IF(AND(ISNUMBER($AA34),OR($AA34=$BG$118,$AA34=$BG$119)),IF(N($AZ34)*IF($AG34="R",1,-1)&gt;0,"✓",IF(N($AZ34)*IF($AG34="R",1,-1)&lt;0,"✗","")),"")</f>
      </c>
      <c r="MW34">
        <f>IF(AND(N($MQ34)=1,N($BG$159)&gt;0,ISNUMBER(IF($AG34="R",$AE35,$AE33)),N(IF($AG34="R",$AE35,$AE33))&lt;&gt;0),IF(ABS(N($AE34))&lt;$BG$159*ABS(IF($AG34="R",$AE35,$AE33)),1,0),0)</f>
      </c>
      <c r="MX34">
        <f>IF(AND(ISNUMBER($AA34),$AA34=$BG$121,$AG34="R",N($AE34)&lt;0,OR(COUNTIF('King Node Model'!$AL$42:$AL$44,$AA34)=0,N($HP34)=1),N($NC34)=1),2,IF(AND(ISNUMBER($AA34),$AA34=$BG$120,$AG34="S",N($AE34)&gt;0,OR(COUNTIF('King Node Model'!$AL$49:$AL$51,$AA34)=0,N($HP34)=1),N($ND34)=1),1,0))</f>
      </c>
      <c r="MY34">
        <f>IF(AND(N($NA34)=1,NOT(AND(AND($AG34="S",ISNUMBER($AB34),$AB34=MIN($AB$9:$AB$55),$AA34=$BG$105),IFERROR(INDEX($AG$9:$AG$55,MATCH('King Node Model'!$B$23,$AA$9:$AA$55,0)),"")="R")),N($AV34)&lt;&gt;1),1,0)</f>
      </c>
      <c r="MZ34" t="str">
        <f>IF(N($MY34)&lt;&gt;1,"","• DEX falls off more sharply "&amp;IF($AG34="S","above (","below (")&amp;TEXT(IF($AG34="S",$KU34,$KV34),"0%")&amp;") than "&amp;IF($AG34="S","below (","above (")&amp;TEXT(IF($AG34="S",$KV34,$KU34),"0%")&amp;") — path of least resistance "&amp;IF($AG34="S","down","up")&amp;IF(N($AZ34)*IF($AG34="R",1,-1)&lt;0,CHAR(10)&amp;"• Speed against — GEX gets more negative as price "&amp;IF($AG34="R","rises","falls")&amp;" into it (speed "&amp;TEXT(N($AZ34),"#,##0;−#,##0")&amp;")","")&amp;IF(OR(N($NG34)=1,N($JC34)=1),CHAR(10)&amp;"• "&amp;IF(N($JC34)=1,"DOM with vanna BUY "&amp;TEXT(N($AD34)/1000,"+#,##0;−#,##0")&amp;"K","Put wall + Max Zomma + DOM")&amp;" backs the level, but it does not outweigh DEX"&amp;IF(N($AZ34)*IF($AG34="R",1,-1)&lt;0," and speed",""),IF(AND($AG34="S",ISNUMBER($AB34),$AB34=MIN($AB$9:$AB$55),$AA34=$BG$105),CHAR(10)&amp;"• Min GEX + Max Zomma backs the level, but it does not outweigh DEX"&amp;IF(N($AZ34)*IF($AG34="R",1,-1)&lt;0," and speed",""),IF(OR(N($JI34)=1,AND(N($GV34)=1,N($JK34)&lt;&gt;1,N($IW34)&lt;&gt;1),N($JC34)=1,AND($AA34='King Node Model'!$F$24,N($JN34)&lt;&gt;1,OR($AG34="R",AND($AG34="S",$F$4="High",IF($BG$80&lt;&gt;"",UPPER($BG$80),$D$5)="UP")))),CHAR(10)&amp;"• Vanna "&amp;IF($AG34="S","BUY ","SELL ")&amp;TEXT(N($AD34)/1000,"+#,##0;−#,##0")&amp;"K backs the level, but it does not outweigh DEX"&amp;IF(N($AZ34)*IF($AG34="R",1,-1)&lt;0," and speed",""),"")))&amp;IF(N($NE34)=1,CHAR(10)&amp;"• Buy-lean max-node exemption not applied — DEX leans against the level",""))</f>
      </c>
      <c r="NA34">
        <f>IF(AND(OR('King Node Model'!$A$8="Neg",N($BG$72)=1),ISNUMBER($AA34),ABS(N($AE34))&gt;=$BG$152,ISNUMBER($KU34),ISNUMBER($KV34)),IF(OR(AND($AG34="S",OR(AND($KU34&gt;=$BG$114,$KU34&gt;=$KV34+$BG$115),AND($KU34&gt;1,$KV34&lt;=1,$KV34&gt;=$BG$114))),AND($AG34="R",OR(AND($KV34&gt;=$BG$114,$KV34&gt;=$KU34+$BG$115),AND($KV34&gt;1,$KU34&lt;=1,$KU34&gt;=$BG$114)))),1,0),0)</f>
      </c>
      <c r="NB34" t="str">
        <f>IF(AND(N($NA34)=1,AND(AND($AG34="S",ISNUMBER($AB34),$AB34=MIN($AB$9:$AB$55),$AA34=$BG$105),IFERROR(INDEX($AG$9:$AG$55,MATCH('King Node Model'!$B$23,$AA$9:$AA$55,0)),"")="R")),CHAR(10)&amp;"• DEX falls off more sharply above ("&amp;TEXT($KU34,"0%")&amp;") than below ("&amp;TEXT($KV34,"0%")&amp;") — DEX-lean warning not applied: Min GEX + Max Zomma support with Max Gamma "&amp;'King Node Model'!$B$23&amp;" above (Dex↓ not counted)",IF(AND(OR(N($NA34)=1,N($NF34)=1),N($AV34)=1),IF(AND(OR('King Node Model'!$A$8="Neg",N($BG$72)=1),$AG34="S",ISNUMBER($AB34),$AB34=MIN($AB$9:$AB$55),$AA34=$BG$105),CHAR(10),"")&amp;"• DEX falls off more sharply "&amp;IF($AG34="S","above (","below (")&amp;TEXT(IF($AG34="S",$KU34,$KV34),"0%")&amp;") than "&amp;IF($AG34="S","below (","above (")&amp;TEXT(IF($AG34="S",$KV34,$KU34),"0%")&amp;") — DEX lean does not apply to iDex (isolated DEX)",""))</f>
      </c>
      <c r="NC34">
        <f>IF(OR($BG$163=1,AND($BG$161&gt;0,$BG$162&lt;99999,ISNUMBER($AA34),$AA34&lt;$BG$162)),1,0)</f>
      </c>
      <c r="ND34">
        <f>IF(OR($BG$163=-1,AND($BG$161&gt;0,$BG$162&lt;99999,ISNUMBER($AA34),$AA34&gt;$BG$161)),1,0)</f>
      </c>
      <c r="NE34">
        <f>IF(AND(OR('King Node Model'!$A$8="Neg",N($BG$72)=1),ISNUMBER(SEARCH("LOW",'Master Dashboard'!$M$5)),ISNUMBER(SEARCH("BUY",'Master Dashboard'!$G$8)),'King Node Model'!$T$23='King Node Model'!$B$23,OR($AA34='King Node Model'!$T$23,AND($AG34="R",$AA34='King Node Model'!$T$23+5)),OR(AND($AG34="S",$JV34="BUY"),AND($AG34="R",$JV34="SELL"))),1,0)</f>
      </c>
      <c r="NF34">
        <f>IFERROR(IF(OR(NOT(ISNUMBER($AA34)),'King Node Model'!$A$8&lt;&gt;"Pos",N($BG$72)=1,ABS(N($AE34))&lt;$BG$113,$FA34="DOM",$AA34='King Node Model'!$T$23,AND(N($BG$116)=1,$AA34='King Node Model'!$F$24),NOT(ISNUMBER($KU34)),NOT(ISNUMBER($KV34))),0,IF(AND($AG34="S",COUNTIF('Master Dashboard'!$AN$16:$AN$18,$AA34)=0,$KU34&gt;=$BG$114,$KU34&gt;=$KV34+$BG$115,NOT(AND(N($AN35)=1,N($KV34)&lt;0)),N($AE34)&lt;=0),1,IF(AND($AG34="R",COUNTIF('Master Dashboard'!$AN$13:$AN$15,$AA34)=0,$KV34&gt;=$BG$114,$KV34&gt;=$KU34+$BG$115,NOT(AND(N($AN33)=1,N($KU34)&lt;0))),-1,0))),0)</f>
      </c>
      <c r="NG34">
        <f t="shared" si="202"/>
      </c>
      <c r="NI34" t="str">
        <f>IF(AND(ISNUMBER($BG$165),ISNUMBER($AA34)),IF(OR(AND($AG34="S",$AA34&gt;$BG$165,$AA34-$BG$165&lt;=5),AND($AG34="R",$AA34&lt;$BG$165,$BG$165-$AA34&lt;=5)),IF(OR(AND(OR('King Node Model'!$A$8="Neg",N($BG$72)=1),$AG34="S",ISNUMBER($AB34),$AB34=MIN($AB$9:$AB$55),$AA34=$BG$105),$NB34&lt;&gt;""),CHAR(10),"")&amp;"• DOM forming at "&amp;$BG$165&amp;" (gamma "&amp;TEXT($BG$166,"0%")&amp;" of max) — price may be pulled to the node",""),"")</f>
      </c>
      <c r="NJ34">
        <f>IF(LEN($NI34)&gt;0,1,0)</f>
      </c>
    </row>
    <row r="35" spans="27:349" ht="15" customHeight="1" x14ac:dyDescent="0.25">
      <c r="AA35" s="181">
        <f>'King Node Model'!A55</f>
        <v>7755</v>
      </c>
      <c r="AB35" s="276">
        <f>'King Node Model'!C55</f>
        <v>-393911</v>
      </c>
      <c r="AC35" s="181">
        <f>ABS('King Node Model'!B55)</f>
        <v>1134998</v>
      </c>
      <c r="AD35" s="276">
        <f>'King Node Model'!F55</f>
        <v>754668</v>
      </c>
      <c r="AE35" s="276">
        <f>'King Node Model'!E55</f>
        <v>216510</v>
      </c>
      <c r="AF35" s="276">
        <f>'King Node Model'!D55</f>
        <v>82619</v>
      </c>
      <c r="AG35" s="181" t="str">
        <f t="shared" si="6"/>
        <v>S</v>
      </c>
      <c r="AH35" s="181">
        <f t="shared" si="7"/>
        <v>8</v>
      </c>
      <c r="AI35" s="181" t="str">
        <f t="shared" si="8"/>
        <v>SELL</v>
      </c>
      <c r="AJ35" s="181">
        <f t="shared" si="9"/>
        <v>0</v>
      </c>
      <c r="AK35" s="181">
        <f>IF(ABS(N($AE35))&gt;=$BG$85,1,0)</f>
      </c>
      <c r="AL35" s="181">
        <f t="shared" si="10"/>
        <v>0</v>
      </c>
      <c r="AM35" s="181">
        <f t="shared" si="11"/>
        <v>0</v>
      </c>
      <c r="AN35" s="181">
        <f t="shared" si="12"/>
        <v>0</v>
      </c>
      <c r="AO35" s="1" t="str">
        <f t="shared" si="13"/>
        <v/>
      </c>
      <c r="AP35" s="1">
        <f t="shared" si="14"/>
        <v>216510</v>
      </c>
      <c r="AQ35" s="1">
        <f t="shared" si="15"/>
        <v>82619</v>
      </c>
      <c r="AR35" s="181">
        <f t="shared" si="16"/>
        <v>0.20306630663334704</v>
      </c>
      <c r="AS35" s="181">
        <f t="shared" si="17"/>
        <v>9</v>
      </c>
      <c r="AT35" s="181" t="str">
        <f t="shared" si="18"/>
        <v/>
      </c>
      <c r="AU35" s="181" t="str">
        <f t="shared" si="19"/>
        <v/>
      </c>
      <c r="AV35" s="218">
        <f t="shared" si="183"/>
        <v>0</v>
      </c>
      <c r="AW35" s="181">
        <f>ABS('King Node Model'!G55)</f>
        <v>420</v>
      </c>
      <c r="AX35" s="181">
        <f t="shared" si="20"/>
        <v>0</v>
      </c>
      <c r="AY35" s="181">
        <f t="shared" si="21"/>
        <v>0</v>
      </c>
      <c r="AZ35" s="276">
        <f>'King Node Model'!I55</f>
        <v>4371</v>
      </c>
      <c r="BA35" s="181">
        <f t="shared" si="22"/>
        <v>0</v>
      </c>
      <c r="BB35" s="181" t="str">
        <f t="shared" si="23"/>
        <v>S9</v>
      </c>
      <c r="BC35" s="10">
        <f>'King Node Model'!C55</f>
        <v>-393911</v>
      </c>
      <c r="BD35" s="218">
        <f t="shared" si="184"/>
        <v>0</v>
      </c>
      <c r="BE35" s="218">
        <f t="shared" si="185"/>
        <v>0</v>
      </c>
      <c r="BF35" s="218" t="s">
        <v>1244</v>
      </c>
      <c r="BG35">
        <v>0.4</v>
      </c>
      <c r="BI35" s="218">
        <f t="shared" si="186"/>
        <v>0</v>
      </c>
      <c r="BJ35" s="218">
        <f t="shared" si="187"/>
        <v>0</v>
      </c>
      <c r="BK35" s="218">
        <f t="shared" si="24"/>
        <v>0</v>
      </c>
      <c r="BL35" s="10">
        <f>'King Node Model'!H55</f>
        <v>63</v>
      </c>
      <c r="BM35" s="218">
        <f t="shared" si="25"/>
        <v>13</v>
      </c>
      <c r="BN35" s="218">
        <f t="shared" si="26"/>
        <v>16</v>
      </c>
      <c r="BO35" s="218">
        <f t="shared" si="27"/>
        <v>0</v>
      </c>
      <c r="BP35" s="218">
        <f t="shared" si="28"/>
        <v>0</v>
      </c>
      <c r="BQ35" t="str">
        <f t="shared" si="29"/>
        <v/>
      </c>
      <c r="BR35" t="str">
        <f t="shared" si="30"/>
        <v/>
      </c>
      <c r="BS35" s="218">
        <f t="shared" si="31"/>
        <v>0</v>
      </c>
      <c r="BT35" t="str">
        <f t="shared" si="32"/>
        <v/>
      </c>
      <c r="BU35" t="str">
        <f t="shared" si="33"/>
        <v/>
      </c>
      <c r="BV35" s="218">
        <f t="shared" si="34"/>
        <v>754668</v>
      </c>
      <c r="BW35" s="218">
        <f t="shared" si="35"/>
        <v>216510</v>
      </c>
      <c r="BX35" s="218">
        <f>IF(AND(ISNUMBER(BC35),BC35&gt;=$BG$160,OR('King Node Model'!$A$8="Neg",N($BG$72)=1)),1,0)</f>
        <v>0</v>
      </c>
      <c r="BY35" s="218">
        <f t="shared" si="36"/>
        <v>0</v>
      </c>
      <c r="BZ35" s="218">
        <f t="shared" si="37"/>
        <v>0</v>
      </c>
      <c r="CA35" t="str">
        <f t="shared" si="38"/>
        <v/>
      </c>
      <c r="CB35" s="218">
        <f>IF(AND(ISNUMBER('King Node Model'!$D$27),AG35&lt;&gt;"",AA35='King Node Model'!$D$27),1,0)</f>
        <v>0</v>
      </c>
      <c r="CC35" s="218">
        <f>IF(OR('King Node Model'!$A$8="Neg",N($BG$72)=1),$BG$14*IF(ISNUMBER('King Node Model'!$D$26),MAX(0,1-ABS(AA35-'King Node Model'!$D$26)/$BG$18),0)+$BG$15*IFERROR(BV35/MAX($BV$9:$BV$55),0)+$BG$16*IFERROR(BW35/MAX($BW$9:$BW$55),0)+$BG$17*IFERROR(AC35/$S$11,0)*MAX(0,1+$BG$21*CF35),AR35)</f>
        <v>0.52217620412878174</v>
      </c>
      <c r="CD35" s="218">
        <f>IF(OR('King Node Model'!$A$8="Neg",N($BG$72)=1),IF(AND(AG35&lt;&gt;"",ABS(AA35-$B$4)&lt;=$BG$7,OR(AX35=0,$D$5&lt;&gt;"UP"),AY35=0,BK35&lt;&gt;1,CI35=0,AM35&gt;=$BG$20,AC35&gt;$BG$19),1,0),IF(AND(BS35=1,(COUNTIF($W$9:$W$14,AA35)+COUNTIF($W$18:$W$23,AA35))&gt;0,CI35=0,AM35&gt;=$BG$20,AC35&gt;$BG$19),1,0))</f>
        <v>0</v>
      </c>
      <c r="CE35" s="322" t="str">
        <f t="shared" si="39"/>
        <v/>
      </c>
      <c r="CF35" s="218">
        <f t="shared" si="40"/>
        <v>0</v>
      </c>
      <c r="CG35" t="str">
        <f t="shared" si="41"/>
        <v/>
      </c>
      <c r="CH35" t="str">
        <f t="shared" si="42"/>
        <v>Dormant</v>
      </c>
      <c r="CI35" s="218">
        <f t="shared" si="43"/>
        <v>0</v>
      </c>
      <c r="CJ35" s="218">
        <f t="shared" si="44"/>
        <v>387420489</v>
      </c>
      <c r="CK35" s="218">
        <f t="shared" si="45"/>
        <v>0</v>
      </c>
      <c r="CL35" s="218">
        <f t="shared" si="46"/>
        <v>0</v>
      </c>
      <c r="CR35" t="s">
        <v>1495</v>
      </c>
      <c r="CS35" t="str">
        <f>'Master Dashboard'!$L$45</f>
        <v>UNSAFE·Level at risk
• Vanna BUY on arrival — dealers buy into this ceiling as IV falls</v>
      </c>
      <c r="CU35" s="218">
        <f>IF(AND(AND('King Node Model'!$A$8&lt;&gt;"Neg",N($BG$72)&lt;&gt;1),SUMPRODUCT(($AG$9:$AG$55="S")*ISNUMBER($AT$9:$AT$55)*ISNUMBER($AU$9:$AU$55)*($AT$9:$AT$55&lt;&gt;$AU$9:$AU$55)*($AT$9:$AT$55&lt;=$AA35)*($AU$9:$AU$55&gt;=$AA35))&gt;0),0,IF(AND(OR($AA35='King Node Model'!$T$22,$AA35='King Node Model'!$F$24),$AG35="R",COUNTIF($W$9:$W$14,$AA35)&gt;0),1,IF(AND($FN35=1,$EU35&lt;&gt;1,$EM35&lt;&gt;1,$BK35&lt;&gt;1,$DH35&lt;&gt;1,$AG35="R",COUNTIF($W$9:$W$14,$AA35)&gt;0),1,IF($EU35=1,0,IF($EM35=1,0,IF(AND(OR($EE35=1,$GV35=1,AND($EL$7=1,$AA35='King Node Model'!$D$26,$EI35=1),AND(OR($AA35='King Node Model'!$T$22,$AA35='King Node Model'!$T$23),$AN35=1,OR($AX35=0,$D$5&lt;&gt;"UP"))),OR(NOT(OR('King Node Model'!$A$8="Neg",N($BG$72)=1)),$GV35=1,AND(OR($AA35='King Node Model'!$T$22,$AA35='King Node Model'!$T$23),$AN35=1,OR($AX35=0,$D$5&lt;&gt;"UP")),AND($AM35&gt;=$BG$20,$AC35&gt;IF($CZ35=1,$BG$48,$BG$19)))),1,IF($DH35=1,0,IF(AND($DC35=1,$GS35&lt;&gt;1,AND('King Node Model'!$A$8&lt;&gt;"Neg",N($BG$72)&lt;&gt;1)),0,IF(AND($EY35=1,NOT(OR('King Node Model'!$A$8="Neg",$BG$72=1)),$AA35&lt;&gt;'King Node Model'!$B$23),0,IF(AND($GS35=1,$AG35="R",OR($CI35=0,$EE35=1,$EX35=1,$GV35=1),COUNTIF($W$9:$W$14,$AA35)&gt;0,ABS($AA35-$B$4)&lt;=$BG$7,$BK35&lt;&gt;1,$AM35&gt;=$BG$20,$AC35&gt;IF($CZ35=1,$BG$48,$BG$19)),1,IF(OR('King Node Model'!$A$8="Neg",N($BG$72)=1),IF(AND(OR($AM35&gt;=$BG$20,$AA35='King Node Model'!$D$26,$GV35=1),$AG35="R",COUNTIF($W$9:$W$14,$AA35)&gt;0,ABS($AA35-$B$4)&lt;=$BG$7,OR($AX35=0,$D$5&lt;&gt;"UP"),$BK35&lt;&gt;1,OR(OR($CI35=0,$AJ35=1),AND($EI35=1,$LA35=1,COUNTIF($W$9:$W$11,$AA35)&gt;0,$AN35=1,OR($AX35=0,$D$5&lt;&gt;"UP"))),$AM35&gt;=$BG$20,$AC35&gt;IF($CZ35=1,$BG$48,$BG$19),OR($AN35=1,N($LR35)=1,$AA35='King Node Model'!$D$26,AND($BY35=1,$AA35&gt;$B$4),$BX35=1,$CF35=1,$CF35=1,AND(OR($AA35=$CP$4,$AA35=$CP$5,$AA35=$CP$6,$AA35=$CP$7),ABS($AA35-$B$4)&lt;=30),AND($AX35=1,$D$5="DOWN"))),1,0),IF(AND(OR($AM35&gt;=3,$AA35='King Node Model'!$D$26,$GV35=1),$AG35="R",COUNTIF($W$9:$W$14,$AA35)&gt;0,ABS($AA35-$B$4)&lt;=$BG$7,OR($AX35=0,$D$5&lt;&gt;"UP"),$BK35&lt;&gt;1,OR($CI35=0,$AJ35=1),$AM35&gt;=$BG$20,$AC35&gt;IF($CZ35=1,$BG$48,$BG$19),OR($AC35&gt;=MAX($AC$9:$AC$55),$BC35&gt;0,$AA35='King Node Model'!$D$26,AND(OR($AA35=$CP$4,$AA35=$CP$5,$AA35=$CP$6,$AA35=$CP$7),ABS($AA35-$B$4)&lt;=30),$CF35=1,$AN35=1,AND($AX35=1,$D$5="DOWN"))),1,0))))))))))))</f>
        <v>0</v>
      </c>
      <c r="CV35" s="218">
        <f>IF(AND(OR('King Node Model'!$A$8="Neg",N($BG$72)=1),$AG35="S",N($LR35)=1,N($MB35)=1),1,IF(AND(AND('King Node Model'!$A$8&lt;&gt;"Neg",N($BG$72)&lt;&gt;1),SUMPRODUCT(($AG$9:$AG$55="R")*ISNUMBER($AT$9:$AT$55)*ISNUMBER($AU$9:$AU$55)*($AT$9:$AT$55&lt;&gt;$AU$9:$AU$55)*($AT$9:$AT$55&lt;=$AA35)*($AU$9:$AU$55&gt;=$AA35))&gt;0,NOT(AND(N($LC35)=1,$AA35='King Node Model'!$B$23))),0,IF(AND($AA35='King Node Model'!$F$24,$AG35="S",COUNTIF($W$18:$W$23,$AA35)&gt;0),1,IF(AND($FN35=1,$EU35&lt;&gt;1,$EM35&lt;&gt;1,$DH35&lt;&gt;1,$AG35="S",COUNTIF($W$18:$W$23,$AA35)&gt;0),1,IF($EU35=1,0,IF(AND(OR($EF35=1,$GV35=1,AND(OR($AA35='King Node Model'!$T$22,$AA35='King Node Model'!$T$23,AND($AG35="S",COUNTIF('Master Dashboard'!$AN$16:$AN$18,$AA35)&gt;0)),$AN35=1,OR($AX35=0,$D$5&lt;&gt;"UP"))),OR(NOT(OR('King Node Model'!$A$8="Neg",N($BG$72)=1)),$GV35=1,AND(OR($AA35='King Node Model'!$T$22,$AA35='King Node Model'!$T$23,AND($AG35="S",COUNTIF('Master Dashboard'!$AN$16:$AN$18,$AA35)&gt;0)),$AN35=1,OR($AX35=0,$D$5&lt;&gt;"UP")),AND($AM35&gt;=$BG$20,$AC35&gt;IF($CZ35=1,$BG$48,$BG$19)))),1,IF($DH35=1,0,IF(AND($DC35=1,$GS35&lt;&gt;1,AND('King Node Model'!$A$8&lt;&gt;"Neg",N($BG$72)&lt;&gt;1)),0,IF(AND($EY35=1,NOT(OR('King Node Model'!$A$8="Neg",$BG$72=1)),$AA35&lt;&gt;'King Node Model'!$B$23,COUNTIF('Master Dashboard'!$AN$16:$AN$18,$AA35)=0),0,IF(AND($GS35=1,$AG35="S",OR($CI35=0,$EF35=1,$EX35=1,$GV35=1),COUNTIF($W$18:$W$23,$AA35)&gt;0,ABS($AA35-$B$4)&lt;=$BG$7,$BK35&lt;&gt;1,$AM35&gt;=$BG$20,$AC35&gt;IF($CZ35=1,$BG$48,$BG$19)),1,IF(OR('King Node Model'!$A$8="Neg",N($BG$72)=1),IF(AND(OR(OR($AM35&gt;=$BG$20,N($LR35)=1),$AA35='King Node Model'!$D$26,$GV35=1),$AG35="S",COUNTIF($W$18:$W$23,$AA35)&gt;0,ABS($AA35-$B$4)&lt;=$BG$7,OR($AX35=0,$D$5&lt;&gt;"UP"),$BK35&lt;&gt;1,OR($CI35=0,$AJ35=1,AND(N($LR35)=1,N($MB35)=1),N($MT35)=1),OR($AM35&gt;=$BG$20,N($LR35)=1),$AC35&gt;IF($CZ35=1,$BG$48,$BG$19),OR($AB35&gt;0,$AN35=1,N($MT35)=1,N($LR35)=1,$AA35='King Node Model'!$D$26,AND($BY35=1,$AA35&lt;$B$4),$BX35=1,$CF35=1,$CF35=1,AND(OR($AA35=$CP$4,$AA35=$CP$5,$AA35=$CP$6,$AA35=$CP$7),ABS($AA35-$B$4)&lt;=30),AND($AX35=1,$D$5="DOWN"))),1,0),IF(AND(OR($AM35&gt;=3,$AA35='King Node Model'!$D$26,$GV35=1),$AG35="S",COUNTIF($W$18:$W$23,$AA35)&gt;0,ABS($AA35-$B$4)&lt;=$BG$7,OR($AX35=0,$D$5&lt;&gt;"UP"),$BK35&lt;&gt;1,OR($CI35=0,$AJ35=1,AND(N($LR35)=1,N($MB35)=1),N($MT35)=1),$AM35&gt;=$BG$20,$AC35&gt;IF($CZ35=1,$BG$48,$BG$19),OR($AC35&gt;=MAX($AC$9:$AC$55),$BC35&gt;0,N($MT35)=1,$AA35='King Node Model'!$D$26,AND(OR($AA35=$CP$4,$AA35=$CP$5,$AA35=$CP$6,$AA35=$CP$7),ABS($AA35-$B$4)&lt;=30),$CF35=1,$AN35=1,AND($AX35=1,$D$5="DOWN"))),1,0))))))))))))</f>
        <v>0</v>
      </c>
      <c r="CX35" s="218">
        <f t="shared" si="48"/>
        <v>0</v>
      </c>
      <c r="CY35" t="str">
        <f t="shared" si="49"/>
        <v/>
      </c>
      <c r="CZ35" s="218">
        <f t="shared" si="50"/>
        <v>0</v>
      </c>
      <c r="DA35" t="str">
        <f t="shared" si="51"/>
        <v/>
      </c>
      <c r="DB35">
        <f t="shared" si="52"/>
        <v>1134998</v>
      </c>
      <c r="DC35" s="218">
        <f t="shared" si="53"/>
        <v>1</v>
      </c>
      <c r="DD35" s="218">
        <f t="shared" si="54"/>
        <v>9</v>
      </c>
      <c r="DE35" s="218">
        <f t="shared" si="55"/>
        <v>1</v>
      </c>
      <c r="DF35">
        <f t="shared" si="56"/>
        <v>7755</v>
      </c>
      <c r="DG35">
        <f t="shared" si="57"/>
        <v>7795</v>
      </c>
      <c r="DH35" s="218">
        <f t="shared" si="58"/>
        <v>0</v>
      </c>
      <c r="DI35">
        <v>1</v>
      </c>
      <c r="DJ35">
        <v>1</v>
      </c>
      <c r="DK35">
        <v>437111</v>
      </c>
      <c r="DL35">
        <v>0</v>
      </c>
      <c r="DM35" t="str">
        <f>IF(AND($CV35=1,$AG35="S"),IF(AND(OR('King Node Model'!$A$8="Neg",N($BG$72)=1),'King Node Model'!$S$52=""),IF(OR(N($AN35)=1,N($LR35)=1,$AB35&gt;0,$AJ35=1,N($JO35)=1,AND(NOT($AE35&gt;0),NOT(IFERROR(AND(ISNUMBER($BC35),ISNUMBER($BC34),($BC35&gt;=0)&lt;&gt;($BC34&gt;=0)),FALSE())),OR(AND($BM35&lt;=6,$BN35&lt;=6),ABS($AA35-'King Node Model'!$T$23)&lt;=5,$LA35=1))),1,0),1),"")</f>
        <v/>
      </c>
      <c r="DN35" t="str">
        <f t="shared" si="59"/>
        <v/>
      </c>
      <c r="DO35" t="str">
        <f t="shared" si="60"/>
        <v>W-list</v>
      </c>
      <c r="DP35" t="str">
        <f>IF(AND(OR('King Node Model'!$A$8="Neg",N($BG$72)=1),$AG35="S",ISNUMBER($AT35),ISNUMBER($AU35),$AT35&lt;&gt;$AU35,$AA35=$AT35),IF(AND(SUMPRODUCT(($AA$9:$AA$55&gt;=$AT35)*($AA$9:$AA$55&lt;=$AU35)*($AB$9:$AB$55&gt;0))&gt;0,SUMPRODUCT(($AA$9:$AA$55&gt;=$AT35)*($AA$9:$AA$55&lt;=$AU35)*($DM$9:$DM$55=1))&gt;0,SUMPRODUCT(($AA$9:$AA$55&gt;=$AT35)*($AA$9:$AA$55&lt;=$AU35)*(COUNTIF($W$18:$W$20,$AA$9:$AA$55)&gt;0))&gt;0),1,0),"")</f>
        <v/>
      </c>
      <c r="DS35">
        <v>0</v>
      </c>
      <c r="DT35">
        <v>0</v>
      </c>
      <c r="DU35" t="str">
        <f>IF('King Node Model'!$A$8&lt;&gt;"Pos","",IF(OR($AA35="",NOT(ISNUMBER($AA35)),ABS($AA35-$B$4)&gt;$BG$7),"",TEXT($AA35,"0")&amp;" | "&amp;IF($AG35="","unclassified",IF($AG35&lt;&gt;IF($AA35&gt;$B$4,"R","S"),"orphan: in "&amp;$AG35&amp;"-list, "&amp;IF($AA35&lt;$B$4,"below","above")&amp;" spot",IF(IF($AG35="R",COUNTIF($W$9:$W$14,$AA35),COUNTIF($W$18:$W$23,$AA35))=0,"not in "&amp;$AG35&amp;"-list",IF($DH35=1,"absorbed into shelf box",IF($BK35=1,"absorbed: adjacent reversal",IF($CI35=1,"accel-accelerant",IF($AC35&lt;=$BG$19,"below gamma-floor",IF($AM35&lt;$BG$20,"confluence "&amp;TEXT($AM35,"0")&amp;" &lt; "&amp;TEXT($BG$20,"0"),IF(AND($AX35=1,$D$5="UP"),"accelerant in up-move",IF(NOT(OR($AC35&gt;=MAX($AC$9:$AC$55),$BC35&gt;0,$AA35='King Node Model'!$D$26,AND(OR($AA35=$CP$4,$AA35=$CP$5,$AA35=$CP$6,$AA35=$CP$7),ABS($AA35-$B$4)&lt;=30),ISNUMBER(SEARCH("STRENGTHENING",$CG35)),$AN35=1,AND($AX35=1,$D$5="DOWN"))),"no surface flag","-&gt; qualifies"))))))))))))</f>
        <v/>
      </c>
      <c r="DV35" s="218">
        <f t="shared" si="61"/>
        <v>99999</v>
      </c>
      <c r="DW35" s="218">
        <f t="shared" si="62"/>
        <v>99999</v>
      </c>
      <c r="DX35" t="str">
        <f>IF('King Node Model'!$A$8&lt;&gt;"Pos","",IF(AND($DV35&lt;99999,$DV35=MIN($DV$9:$DV$55),$DG35&gt;$AA35),"R-box: "&amp;TEXT($AA35,"0")&amp;"-"&amp;TEXT($DG35,"0"),IF(AND($DW35&lt;99999,$DW35=MIN($DW$9:$DW$55),$DF35&lt;$AA35),"S-box: "&amp;TEXT($DF35,"0")&amp;"-"&amp;TEXT($AA35,"0"),"")))</f>
        <v/>
      </c>
      <c r="EB35">
        <f t="shared" si="63"/>
        <v>20.390000000000327</v>
      </c>
      <c r="EC35">
        <f t="shared" si="64"/>
        <v>538591</v>
      </c>
      <c r="ED35">
        <f t="shared" si="65"/>
        <v>0</v>
      </c>
      <c r="EE35">
        <f>IF(AND(OR('King Node Model'!$A$8="Neg",N($BG$72)=1),$AG35="R",ISNUMBER($EB35),$EB35&lt;=$BG$7,$AB35&gt;0,$EC35&gt;0,$AB35=$EC35),1,0)</f>
        <v>0</v>
      </c>
      <c r="EF35">
        <f>IF(AND(OR('King Node Model'!$A$8="Neg",N($BG$72)=1),$AG35="S",ISNUMBER($EB35),$EB35&lt;=$BG$7,$AB35&gt;0,$ED35&gt;0,$AB35=$ED35),1,0)</f>
        <v>0</v>
      </c>
      <c r="EI35">
        <v>1</v>
      </c>
      <c r="EJ35">
        <f>IF($AA35="",0,IF(SUMPRODUCT(($AA$9:$AA$55&gt;=$AT35)*($AA$9:$AA$55&lt;=$AU35)*($DT$9:$DT$55=1))+SUMPRODUCT(($DT$9:$DT$55=1)*($AT$9:$AT$55&lt;=$AA35)*($AU$9:$AU$55&gt;=$AA35))+($DT35=1)+AND(OR('King Node Model'!$A$8="Neg",N($BG$72)=1),ISNUMBER(SEARCH("LOW",'Master Dashboard'!$M$5)),ISNUMBER(SEARCH("BUY",'Master Dashboard'!$G$8)),'King Node Model'!$T$23='King Node Model'!$B$23,$AA35&gt;='King Node Model'!$T$23,$AA35&lt;='King Node Model'!$T$23+5)*1&gt;0,1,0))</f>
        <v>0</v>
      </c>
      <c r="EM35">
        <f t="shared" si="66"/>
        <v>0</v>
      </c>
      <c r="EN35">
        <v>0</v>
      </c>
      <c r="EO35">
        <f t="shared" si="67"/>
        <v>0</v>
      </c>
      <c r="EP35">
        <f t="shared" si="68"/>
        <v>0</v>
      </c>
      <c r="EQ35" t="str">
        <f t="shared" si="69"/>
        <v>firming the floor (magnitude weak)</v>
      </c>
      <c r="ES35">
        <f>IF(AND(ISNUMBER(AA35),ISNUMBER(AF35),ABS(AA35-'King Node Model'!$B$4)&lt;=$BG$7),ABS(AF35),"")</f>
        <v>82619</v>
      </c>
      <c r="ET35">
        <v>0</v>
      </c>
      <c r="EU35" s="218">
        <f>IF(AND(OR('King Node Model'!$A$8="Neg",N($BG$72)=1),ISNUMBER($AA34),ISNUMBER($AA35),ISNUMBER($AA36),ISNUMBER($AB34),ISNUMBER($AB35),ISNUMBER($AB36),ISNUMBER($AF35),$AB35&gt;0,$AB34&lt;0,$AB36&lt;0,$AF35&lt;0),1,0)</f>
        <v>0</v>
      </c>
      <c r="EW35">
        <f>IF(OR(N($MY35)=1,N($JM35)=1),0,N($NE35))</f>
        <v>0</v>
      </c>
      <c r="EX35">
        <f>IF(AND(OR('King Node Model'!$A$8="Neg",N($BG$72)=1),ISNUMBER($AA35),OR(AND($AA35='King Node Model'!$F$24,OR(AND($AG35="S",$F$4="High",IF($BG$80&lt;&gt;"",UPPER($BG$80),$D$5)="DOWN"),AND($AG35="R",$F$4="Low",IF($BG$80&lt;&gt;"",UPPER($BG$80),$D$5)="UP"))),$GV35=1)),1,0)</f>
        <v>0</v>
      </c>
      <c r="EY35">
        <f>IFERROR(IF(AND($DC35=1,$AB35&lt;0,$AC35&gt;=(1+$FA$6)*INDEX($AC$9:$AC$55,27-1),$AC35&gt;=(1+$FA$6)*INDEX($AC$9:$AC$55,27+1),$AC35&gt;=IFERROR(INDEX($AC$9:$AC$55,27-2),0),$AC35&gt;=IFERROR(INDEX($AC$9:$AC$55,27+2),0)),1,0),0)</f>
        <v>0</v>
      </c>
      <c r="FA35" t="str">
        <f>IF(NOT(ISNUMBER($AA35)),"",IFERROR(IF(AND($AC35=MAX($AC$9:$AC$55),$AB35=MIN($AB$9:$AB$55)),"DOM",IF(AND($DC34=1,$DC35=1,$DC36=1,INDEX($AC$9:$AC$55,27-1)&lt;=(1-$FA$6)*$AC35,INDEX($AC$9:$AC$55,27-1)&lt;=(1-$FA$6)*INDEX($AC$9:$AC$55,27-2)),"GAP↑",IF(AND($DC36=1,$DC35=1,INDEX($AC$9:$AC$55,27+1)&lt;=(1-$FA$6)*$AC35,INDEX($AC$9:$AC$55,27+1)&lt;=(1-$FA$6)*INDEX($AC$9:$AC$55,27+2)),"GAP↓",IF($CZ35=1,"dEdge Cliff",IF($GY35=1,"γWall",IF(AND($DC35=1,$AB35&lt;0,$AC35&gt;=(1+$FA$6)*INDEX($AC$9:$AC$55,27-1),$AC35&gt;=(1+$FA$6)*INDEX($AC$9:$AC$55,27+1)),"PEAK-",IF($GZ35=1,"γSh Edge",IF($HL35=1,"Trough",IF($HN35=1,"PEAK+",IF($GF35=1,"Cluster","")))))))))),""))</f>
        <v/>
      </c>
      <c r="FB35" t="str">
        <f t="shared" si="70"/>
        <v/>
      </c>
      <c r="FC35" t="str">
        <f t="shared" si="71"/>
        <v/>
      </c>
      <c r="FD35">
        <f>IF(AND(ISNUMBER($AA35),ISNUMBER('King Node Model'!$AP$17),ISNUMBER('King Node Model'!$AQ$17),$AA35&gt;=MIN('King Node Model'!$AP$17,'King Node Model'!$AQ$17),$AA35&lt;=MAX('King Node Model'!$AP$17,'King Node Model'!$AQ$17),IFERROR(INDEX($AC$9:$AC$55,MATCH('King Node Model'!$AL$42,$AA$9:$AA$55,0)),0)&gt;0,$AC35&gt;=(1-$FA$6)*IFERROR(INDEX($AC$9:$AC$55,MATCH('King Node Model'!$AL$42,$AA$9:$AA$55,0)),0),$AC35&lt;=(1+$FA$6)*IFERROR(INDEX($AC$9:$AC$55,MATCH('King Node Model'!$AL$42,$AA$9:$AA$55,0)),0)),1,0)</f>
        <v>0</v>
      </c>
      <c r="FE35">
        <f>IF($AA35='King Node Model'!$AL$42,1,IF(AND($FD35=1,$FE34=1),1,0))</f>
        <v>0</v>
      </c>
      <c r="FF35">
        <f>IF($AA35='King Node Model'!$AL$42,1,IF(AND($FD35=1,$FF36=1),1,0))</f>
        <v>0</v>
      </c>
      <c r="FG35" t="str">
        <f>IF(OR($FE35=1,$FF35=1),27,"")</f>
        <v/>
      </c>
      <c r="FJ35">
        <f>IF(AND($CW$2=1,ISNUMBER($AA35),ISNUMBER($CW$3),ISNUMBER($CW$4),$AA35&gt;=MIN($CW$3,$CW$4),$AA35&lt;=MAX($CW$3,$CW$4),IFERROR(INDEX($AC$9:$AC$55,MATCH('King Node Model'!$AP$67,$AA$9:$AA$55,0)),0)&gt;0,$AC35&gt;=(1-$FA$6)*IFERROR(INDEX($AC$9:$AC$55,MATCH('King Node Model'!$AP$67,$AA$9:$AA$55,0)),0),$AC35&lt;=(1+$FA$6)*IFERROR(INDEX($AC$9:$AC$55,MATCH('King Node Model'!$AP$67,$AA$9:$AA$55,0)),0)),1,0)</f>
        <v>0</v>
      </c>
      <c r="FK35">
        <f>IF(AND($CW$2=1,$AA35='King Node Model'!$AP$67),1,IF(AND($FJ35=1,$FK34=1),1,0))</f>
        <v>0</v>
      </c>
      <c r="FL35">
        <f>IF(AND($CW$2=1,$AA35='King Node Model'!$AP$67),1,IF(AND($FJ35=1,$FL36=1),1,0))</f>
        <v>0</v>
      </c>
      <c r="FM35" t="str">
        <f>IF(OR($FK35=1,$FL35=1),27,"")</f>
        <v/>
      </c>
      <c r="FN35">
        <v>0</v>
      </c>
      <c r="FR35" t="str">
        <f t="shared" si="72"/>
        <v/>
      </c>
      <c r="FS35">
        <f t="shared" si="188"/>
        <v>0</v>
      </c>
      <c r="FT35">
        <f t="shared" si="73"/>
        <v>-0.3470587613370244</v>
      </c>
      <c r="FU35">
        <f t="shared" si="74"/>
        <v>1134998</v>
      </c>
      <c r="FV35">
        <f>IF($FW35=0,"",IF(OR($FW34=0,SIGN(IFERROR($BC35*1,0))&lt;&gt;SIGN(IFERROR($BC34*1,0)),$GH35=1,$GH34=1),MAX($FV$9:$FV34)+1,$FV34))</f>
        <v>8</v>
      </c>
      <c r="FW35">
        <f t="shared" si="75"/>
        <v>1</v>
      </c>
      <c r="FX35">
        <f t="shared" si="76"/>
        <v>4471438</v>
      </c>
      <c r="FY35">
        <f t="shared" si="77"/>
        <v>0</v>
      </c>
      <c r="FZ35">
        <f t="shared" si="189"/>
        <v>0</v>
      </c>
      <c r="GA35">
        <f t="shared" si="78"/>
        <v>0</v>
      </c>
      <c r="GB35">
        <f t="shared" si="79"/>
        <v>3</v>
      </c>
      <c r="GC35">
        <f t="shared" si="80"/>
        <v>12566480</v>
      </c>
      <c r="GD35" t="str">
        <f t="shared" si="81"/>
        <v/>
      </c>
      <c r="GE35" t="str">
        <f t="shared" si="82"/>
        <v/>
      </c>
      <c r="GF35">
        <f t="shared" si="83"/>
        <v>0</v>
      </c>
      <c r="GH35">
        <f>IFERROR(IF(AND($AC35&gt;=(1+$FA$6)*INDEX($AC$9:$AC$55,27-1),$AC35&gt;=(1+$FA$6)*INDEX($AC$9:$AC$55,27+1)),1,0),0)</f>
        <v>0</v>
      </c>
      <c r="GK35">
        <v>0</v>
      </c>
      <c r="GO35">
        <v>0</v>
      </c>
      <c r="GP35">
        <v>0</v>
      </c>
      <c r="GQ35">
        <f t="shared" si="84"/>
        <v>0</v>
      </c>
      <c r="GR35">
        <f t="shared" si="85"/>
        <v>1</v>
      </c>
      <c r="GS35">
        <f>IF(AND($EY35=1,$AA35&lt;&gt;'King Node Model'!$B$23),0,IF(OR($GQ35=1,$GR35=1),1,IF($DC35=1,IF(OR('King Node Model'!$A$8="Neg",N($BG$72)=1),IF(OR(AND($AC35=MAX($AC$9:$AC$55),$AB35=MIN($AB$9:$AB$55)),$AN35=1,$EE35=1,$EF35=1,$EX35=1,$GV35=1),1,0),1),0)))</f>
        <v>1</v>
      </c>
      <c r="GT35">
        <f>IFERROR(IF(AND(OR('King Node Model'!$A$8="Neg",N($BG$72)=1),$EU34=1,$AG35="R",ISNUMBER($AA35),ISNUMBER($AF35),$AF35&lt;&gt;0,$AA35&gt;$B$4-$BG$9,$AA35-$B$4&lt;=$BG$47,IF($KC35="UP",SIGN($AF35),IF($KC35="DOWN",-SIGN($AF35),0))&lt;&gt;1),1,0),0)</f>
        <v>0</v>
      </c>
      <c r="GU35" t="str">
        <f t="shared" si="86"/>
        <v/>
      </c>
      <c r="GV35">
        <f t="shared" si="87"/>
        <v>0</v>
      </c>
      <c r="GW35" t="str">
        <f t="shared" si="88"/>
        <v/>
      </c>
      <c r="GX35">
        <f t="shared" si="89"/>
        <v>20.390000000000327</v>
      </c>
      <c r="GY35">
        <f t="shared" si="90"/>
        <v>0</v>
      </c>
      <c r="GZ35">
        <f t="shared" si="91"/>
        <v>0</v>
      </c>
      <c r="HA35">
        <v>1</v>
      </c>
      <c r="HF35">
        <f>IFERROR(IF(AND($GZ35=1,'King Node Model'!$A$8="Pos",$D$5="UP",$CF35=-1,$AJ35&lt;&gt;1),1,0),0)</f>
        <v>0</v>
      </c>
      <c r="HG35">
        <f t="shared" si="92"/>
        <v>1</v>
      </c>
      <c r="HH35">
        <f>IF($GZ35=1,"",IFERROR(IF(NOT(ISNUMBER($AA35)),"",IF($EY35=1,"",IF($GF35=1,IF($GD35=$GE35,"",$GD35),IF(OR(AND($DC34=1,$DC35=1,$DC36=1,INDEX($AC$9:$AC$55,27-1)&lt;=(1-$FA$6)*$AC35,INDEX($AC$9:$AC$55,27-1)&lt;=(1-$FA$6)*INDEX($AC$9:$AC$55,27-2)),AND($DC36=1,$DC35=1,INDEX($AC$9:$AC$55,27+1)&lt;=(1-$FA$6)*$AC35,INDEX($AC$9:$AC$55,27+1)&lt;=(1-$FA$6)*INDEX($AC$9:$AC$55,27+2)),AND($DC35=1,OR(INDEX($DC$9:$DC$55,27-1)=0,INDEX($DC$9:$DC$55,27+1)=0))),IF(MIN($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MAX($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MIN($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f>
        <v>7755</v>
      </c>
      <c r="HI35">
        <f>IF($GZ35=1,"",IFERROR(IF(NOT(ISNUMBER($AA35)),"",IF($EY35=1,"",IF($GF35=1,IF($GD35=$GE35,"",$GE35),IF(OR(AND($DC34=1,$DC35=1,$DC36=1,INDEX($AC$9:$AC$55,27-1)&lt;=(1-$FA$6)*$AC35,INDEX($AC$9:$AC$55,27-1)&lt;=(1-$FA$6)*INDEX($AC$9:$AC$55,27-2)),AND($DC36=1,$DC35=1,INDEX($AC$9:$AC$55,27+1)&lt;=(1-$FA$6)*$AC35,INDEX($AC$9:$AC$55,27+1)&lt;=(1-$FA$6)*INDEX($AC$9:$AC$55,27+2)),AND($DC35=1,OR(INDEX($DC$9:$DC$55,27-1)=0,INDEX($DC$9:$DC$55,27+1)=0))),IF(MIN($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MAX($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MAX($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f>
        <v>7760</v>
      </c>
      <c r="HL35">
        <f t="shared" si="93"/>
        <v>0</v>
      </c>
      <c r="HM35">
        <f>IFERROR(IF(AND($HL35=1,NOT(OR($AA35='King Node Model'!$T$22,$AA35='King Node Model'!$T$23,$AA35='King Node Model'!$F$24,AND($AG35="S",COUNTIF('Master Dashboard'!$AN$16:$AN$18,$AA35)&gt;0),AND($AG35="R",COUNTIF('Master Dashboard'!$AN$13:$AN$15,$AA35)&gt;0)))),1,0),0)</f>
        <v>0</v>
      </c>
      <c r="HN35">
        <f t="shared" si="94"/>
        <v>0</v>
      </c>
      <c r="HO35">
        <f t="shared" si="95"/>
        <v>0</v>
      </c>
      <c r="HP35">
        <f t="shared" si="96"/>
        <v>1</v>
      </c>
      <c r="HQ35" t="str">
        <f>IF(NOT(ISNUMBER($AA35)),"",IFERROR(TRIM(IF(N($MY35)=1,"DEXLEAN ","")&amp;IF(N($IZ35)=1,"DEXCAP ","")&amp;IF(AND($AG35="S",UPPER('King Node Model'!$L$5)="HIGH",$KC35="DOWN",N($AF35)&gt;0,$AA35='King Node Model'!$AN$70,$IY35="SELL"),"CHOPEDGEIV ","")&amp;IF(N($IS35)=1,"NOREV ","")&amp;IF(N($JY35)=1,"VFLAT ","")&amp;IF(N($KR35)=1,"GDEXVANNA ","")&amp;IF(N($LD35)=1,"KGSUPFAIL ","")&amp;IF(N($LE35)=1,"KGRESLEAK ","")&amp;IF(N($MH35)=1,"ZIGZAG ","")&amp;IF(N($KK35)=1,"DATAGAP ","")&amp;IF(N($KA35)&lt;&gt;0,"ACCUNDERCW ","")&amp;IF(AND($AG35="S",$HF35=1),"EDGE ","")&amp;IF(AND($HM35=1,'King Node Model'!$A$8="Pos",N($BG$72)&lt;&gt;1),"TROUGH ","")&amp;IF(AND($EU35=1,N($JZ35)&lt;&gt;1),"BUMP ","")&amp;IF(AND($GT35=1,N($JZ35)&lt;&gt;1),"SANDWICH ","")&amp;IF(AND($EX35&lt;&gt;1,OR('King Node Model'!$A$8="Neg",N($BG$72)=1),OR(AND(ISNUMBER($AC35),$AC35=MAX($AC$9:$AC$55)),AND(ISNUMBER($AB35),$AB35=MIN($AB$9:$AB$55))),NOT(AND(AND(ISNUMBER($AC35),$AC35=MAX($AC$9:$AC$55)),AND(ISNUMBER($AB35),$AB35=MIN($AB$9:$AB$55)))),$AG35="S",N($AB35)&lt;0,NOT(COUNTIF('Master Dashboard'!$AN$16:$AN$18,$AA35)&gt;0),NOT(AND(OR('King Node Model'!$A$8="Neg",N($BG$72)=1),ISNUMBER($AB35),$AB35=MIN($AB$9:$AB$55),$AA35=$BG$105))),"ACCEL ","")&amp;IF(AND($EX35&lt;&gt;1,ISNUMBER($AA35),OR('King Node Model'!$A$8="Neg",N($BG$72)=1),$EY35=1,NOT(AND($AG35="S",COUNTIF('Master Dashboard'!$AN$16:$AN$18,$AA35)&gt;0)),NOT(AND($AA35='King Node Model'!$B$23,IF($AG35="S",OR($AA35='King Node Model'!$C$24,COUNTIF('Master Dashboard'!$AN$16:$AN$18,$AA35)&gt;0),OR($AA35='King Node Model'!$C$23,COUNTIF('Master Dashboard'!$AN$13:$AN$15,$AA35)&gt;0)))),NOT(AND($EX35&lt;&gt;1,OR('King Node Model'!$A$8="Neg",N($BG$72)=1),OR(AND(ISNUMBER($AC35),$AC35=MAX($AC$9:$AC$55)),AND(ISNUMBER($AB35),$AB35=MIN($AB$9:$AB$55))),NOT(AND(AND(ISNUMBER($AC35),$AC35=MAX($AC$9:$AC$55)),AND(ISNUMBER($AB35),$AB35=MIN($AB$9:$AB$55)))),$AG35="S",N($AB35)&lt;0,NOT(COUNTIF('Master Dashboard'!$AN$16:$AN$18,$AA35)&gt;0)))),"AMPLIFY ","")&amp;IF(AND($AG35="S",OR('King Node Model'!$A$8="Neg",N($BG$72)=1),$AJ35&lt;&gt;1,N($MT35)&lt;&gt;1,NOT(AND(N($LR35)=1,N($MB35)=1)),ISNUMBER(SEARCH("ACCEL building",$CG35))),"ZACCEL ","")&amp;IF(AND($AG35="S",OR('King Node Model'!$A$8="Neg",N($BG$72)=1),$AA35='King Node Model'!$B$23,NOT(AND(AND(ISNUMBER($AC35),$AC35=MAX($AC$9:$AC$55)),AND(ISNUMBER($AB35),$AB35=MIN($AB$9:$AB$55)))),$EJ35&lt;&gt;1),"KINGACC ","")&amp;IF(AND($AG35="S",OR('King Node Model'!$A$8="Neg",N($BG$72)=1),ABS(N($AA35)-N('King Node Model'!$B$23))&lt;=$BG$107,NOT(AND(SUMPRODUCT((ABS($AF$9:$AF$55)&lt;=ABS(N($AF35)))*1)/COUNT($AF$9:$AF$55)&gt;=0.66,OR(ISNUMBER(SEARCH("firmer resistance",$CG35)),ISNUMBER(SEARCH("STRENGTHENING",$CG35)),ISNUMBER(SEARCH("firmer support",$CG35))))),NOT(AND(N($AB35)&gt;0,SUMPRODUCT((ABS($AB$9:$AB$55)&lt;=ABS(N($AB35)))*1)/COUNT($AB$9:$AB$55)&gt;=0.66)),$EJ35&lt;&gt;1,$AJ35&lt;&gt;1,COUNTIF('Master Dashboard'!$AN$16:$AN$18,$AA35)=0,NOT(AND($AG35="S",OR('King Node Model'!$A$8="Neg",N($BG$72)=1),$AA35='King Node Model'!$B$23,NOT(AND(AND(ISNUMBER($AC35),$AC35=MAX($AC$9:$AC$55)),AND(ISNUMBER($AB35),$AB35=MIN($AB$9:$AB$55)))),$EJ35&lt;&gt;1))),"KINGNODE ","")&amp;IF(AND($AG35="R",NOT(AND(AND(ISNUMBER($AC35),$AC35=MAX($AC$9:$AC$55)),AND(ISNUMBER($AB35),$AB35=MIN($AB$9:$AB$55)))),UPPER('King Node Model'!$L$5)="LOW",$KC35="DOWN",N($AF35)&gt;0),"LOWIVFALL ","")&amp;IF(AND($AG35="R",NOT(AND(AND(ISNUMBER($AC35),$AC35=MAX($AC$9:$AC$55)),AND(ISNUMBER($AB35),$AB35=MIN($AB$9:$AB$55)))),UPPER('King Node Model'!$L$5)="HIGH",$KC35="DOWN",N($AF35)&gt;0,IFERROR(MATCH($AA35,$W$9:$W$14,0)&gt;=4,FALSE)),"HIGHIVFALL ","")&amp;IF(AND($AG35="R",N($BG$99)=1),"SPOTUPVOLUP ","")&amp;IF(AND($AG35="R",ISNUMBER(SEARCH("5/5",'Master Dashboard'!$E$29)),OR(ISNUMBER(SEARCH("WEAKENING",$EQ35)),ISNUMBER(SEARCH("Pos gamma ↓",$EQ35)),ISNUMBER(SEARCH("thinning the ceiling",$EQ35)))),"SQUEEZE ","")&amp;IF(N($JU35)=1,"DEDGECLIFF ","")&amp;IF(N($KT35)=1,"DEXDRAIN ","")&amp;IF(N($HW35)&lt;&gt;0,"DEXDROP ","")&amp;IF(N($HX35)&lt;&gt;0,"PEAK+ ","")&amp;IF(N($IF35)=1,"CHOP ","")&amp;IF(N($IQ35)=1,"CONTESTED ","")&amp;IF(N($IW35)=1,"VSELL ","")&amp;IF(N($JK35)=1,"VBUYRES ","")&amp;IF(N($JL35)=1,"DOMFLAT ","")&amp;IF(N($JM35)=1,"DOMPULL ","")&amp;IF(N($JP35)=1,"OIZOMMA ","")&amp;IF(AND(N($JQ35)=1,N($JZ35)&lt;&gt;1),"OIDEX ","")),""))</f>
        <v>NOREV VSELL</v>
      </c>
      <c r="HS35">
        <f>IFERROR(IF(AND($DC35=1,OR(AND($AG35="R",INDEX($DC$9:$DC$55,26)=0,INDEX($DC$9:$DC$55,28)=1,INDEX($DC$9:$DC$55,29)=1),AND($AG35="S",INDEX($DC$9:$DC$55,28)=0,INDEX($DC$9:$DC$55,26)=1,INDEX($DC$9:$DC$55,25)=1))),1,0),0)</f>
        <v>1</v>
      </c>
      <c r="HT35">
        <f t="shared" si="97"/>
        <v>0</v>
      </c>
      <c r="HU35">
        <v>0</v>
      </c>
      <c r="HV35">
        <v>0</v>
      </c>
      <c r="HW35">
        <f>IFERROR(IF(OR(NOT(ISNUMBER($AA35)),'King Node Model'!$A$8&lt;&gt;"Pos",N($BG$72)=1,ABS(N($AE35))&lt;$BG$113,N($AV35)=1,$FA35="DOM",$AA35='King Node Model'!$T$23,AND(N($BG$116)=1,$AA35='King Node Model'!$F$24),NOT(ISNUMBER($KU35)),NOT(ISNUMBER($KV35))),0,IF(AND($AG35="S",COUNTIF('Master Dashboard'!$AN$16:$AN$18,$AA35)=0,$KU35&gt;=$BG$114,$KU35&gt;=$KV35+$BG$115,NOT(AND(N($AN36)=1,N($KV35)&lt;0)),N($AE35)&lt;=0),1,IF(AND($AG35="R",COUNTIF('Master Dashboard'!$AN$13:$AN$15,$AA35)=0,$KV35&gt;=$BG$114,$KV35&gt;=$KU35+$BG$115,NOT(AND(N($AN34)=1,N($KU35)&lt;0))),-1,0))),0)</f>
        <v>0</v>
      </c>
      <c r="HX35">
        <f>IFERROR(IF(AND(ISNUMBER($AA35),$FA35="PEAK+",N($AN35)&lt;&gt;1,NOT(AND('King Node Model'!$A$8="Pos",OR($AA35='King Node Model'!$T$22,$AA35='King Node Model'!$T$23,$AA35='King Node Model'!$F$24))),IF($AG35="S",COUNTIF('Master Dashboard'!$AN$16:$AN$18,$AA35)=0,IF($AG35="R",COUNTIF('Master Dashboard'!$AN$13:$AN$15,$AA35)=0,FALSE))),1,0),0)</f>
        <v>0</v>
      </c>
      <c r="HY35">
        <f t="shared" si="98"/>
        <v>-100.26753975678204</v>
      </c>
      <c r="HZ35">
        <v>0</v>
      </c>
      <c r="IA35">
        <f>IFERROR(IF(AND(IF($BG$44=1,OR(ISNUMBER(SEARCH("Choppy",'King Node Model'!$S$38)),'King Node Model'!$S$52&lt;&gt;"",'King Node Model'!$A$8="Pos"),TRUE()),OR($DC35=1,$DC34=1,$DC36=1),ABS($AA35-$B$4)&lt;=$BG$7,ABS($AA35-$BG$28)&gt;=$BG$45,OR(AND($AA35&gt;$BG$28,$AG35="R"),AND($AA35&lt;$BG$28,$AG35="S",N($BG$154)=1)),ABS(IF($AA35&gt;$BG$28,$AE36,$AE34))&gt;=$BG$43,ABS(N(IF($AA35&gt;$BG$28,$AE34,$AE36)))&lt;=$BG$153*ABS(IF($AA35&gt;$BG$28,$AE36,$AE34)),IF(ISNUMBER($HZ35),$HZ35=1,AND(ISNUMBER($HY35),$HY35&gt;=$BG$42))),1,0),0)</f>
        <v>0</v>
      </c>
      <c r="IB35">
        <f t="shared" si="99"/>
        <v>0</v>
      </c>
      <c r="IC35" t="str">
        <f>IF(NOT(ISNUMBER($AA35)),"",IFERROR(MID(IF(AND($AC35=MAX($AC$9:$AC$55),$AB35=MIN($AB$9:$AB$55))," · DOM","")&amp;IF(AND($DC34=1,$DC35=1,$DC36=1,INDEX($AC$9:$AC$55,27-1)&lt;=(1-$FA$6)*$AC35,INDEX($AC$9:$AC$55,27-1)&lt;=(1-$FA$6)*INDEX($AC$9:$AC$55,27-2))," · GAP↑ → "&amp;INDEX($AA$9:$AA$55,27-2),"")&amp;IF(AND($DC36=1,$DC35=1,INDEX($AC$9:$AC$55,27+1)&lt;=(1-$FA$6)*$AC35,INDEX($AC$9:$AC$55,27+1)&lt;=(1-$FA$6)*INDEX($AC$9:$AC$55,27+2))," · GAP↓ → "&amp;INDEX($AA$9:$AA$55,27+2),"")&amp;IF($CZ35=1," · dEdge Cliff","")&amp;IF($GY35=1," · γWall","")&amp;IF(AND($DC35=1,$AB35&lt;0,$AC35&gt;=(1+$FA$6)*INDEX($AC$9:$AC$55,27-1),$AC35&gt;=(1+$FA$6)*INDEX($AC$9:$AC$55,27+1))," · PEAK-","")&amp;IF($GZ35=1," · γSh Edge","")&amp;IF($HL35=1," · Trough","")&amp;IF($HN35=1," · PEAK+","")&amp;IF($GF35=1," · Cluster",""),FIND(" · ",IF(AND($AC35=MAX($AC$9:$AC$55),$AB35=MIN($AB$9:$AB$55))," · DOM","")&amp;IF(AND($DC34=1,$DC35=1,$DC36=1,INDEX($AC$9:$AC$55,27-1)&lt;=(1-$FA$6)*$AC35,INDEX($AC$9:$AC$55,27-1)&lt;=(1-$FA$6)*INDEX($AC$9:$AC$55,27-2))," · GAP↑ → "&amp;INDEX($AA$9:$AA$55,27-2),"")&amp;IF(AND($DC36=1,$DC35=1,INDEX($AC$9:$AC$55,27+1)&lt;=(1-$FA$6)*$AC35,INDEX($AC$9:$AC$55,27+1)&lt;=(1-$FA$6)*INDEX($AC$9:$AC$55,27+2))," · GAP↓ → "&amp;INDEX($AA$9:$AA$55,27+2),"")&amp;IF($CZ35=1," · dEdge Cliff","")&amp;IF($GY35=1," · γWall","")&amp;IF(AND($DC35=1,$AB35&lt;0,$AC35&gt;=(1+$FA$6)*INDEX($AC$9:$AC$55,27-1),$AC35&gt;=(1+$FA$6)*INDEX($AC$9:$AC$55,27+1))," · PEAK-","")&amp;IF($GZ35=1," · γSh Edge","")&amp;IF($HL35=1," · Trough","")&amp;IF($HN35=1," · PEAK+","")&amp;IF($GF35=1," · Cluster",""),2),999),""))</f>
        <v/>
      </c>
      <c r="ID35" t="str">
        <f>IF(NOT(ISNUMBER($AA35)),"",IFERROR(MID(IF(AND($AC35=MAX($AC$9:$AC$55),$AB35=MIN($AB$9:$AB$55))," · DOM","")&amp;IF(AND($DC34=1,$DC35=1,$DC36=1,INDEX($AC$9:$AC$55,27-1)&lt;=(1-$FA$6)*$AC35,INDEX($AC$9:$AC$55,27-1)&lt;=(1-$FA$6)*INDEX($AC$9:$AC$55,27-2))," · GAP↑ → "&amp;INDEX($AA$9:$AA$55,27-2),"")&amp;IF(AND($DC36=1,$DC35=1,INDEX($AC$9:$AC$55,27+1)&lt;=(1-$FA$6)*$AC35,INDEX($AC$9:$AC$55,27+1)&lt;=(1-$FA$6)*INDEX($AC$9:$AC$55,27+2))," · GAP↓ → "&amp;INDEX($AA$9:$AA$55,27+2),"")&amp;IF($CZ35=1," · dEdge Cliff","")&amp;IF($GY35=1," · γWall","")&amp;IF(AND($DC35=1,$AB35&lt;0,$AC35&gt;=(1+$FA$6)*INDEX($AC$9:$AC$55,27-1),$AC35&gt;=(1+$FA$6)*INDEX($AC$9:$AC$55,27+1))," · PEAK-","")&amp;IF($GZ35=1," · γSh Edge","")&amp;IF($HL35=1," · Trough","")&amp;IF($HN35=1," · PEAK+","")&amp;IF(AND(NOT($HN35=1),NOT(AND($DC35=1,$AB35&lt;0)),N($GY35)&lt;&gt;1,N($GF35)&lt;&gt;1,N($GZ35)&lt;&gt;1,N($HL35)&lt;&gt;1,N($CZ35)&lt;&gt;1,NOT(AND($AC35=MAX($AC$9:$AC$55),$AB35=MIN($AB$9:$AB$55))),$AC35&gt;=(1+$FA$6)*INDEX($AC$9:$AC$55,27-1),$AC35&gt;=(1+$FA$6)*INDEX($AC$9:$AC$55,27+1))," · Knoll","")&amp;IF($GF35=1," · Cluster",""),4,999),""))</f>
        <v/>
      </c>
      <c r="IF35">
        <f t="shared" si="100"/>
        <v>0</v>
      </c>
      <c r="IG35">
        <f>IFERROR(IF(AND(ISNUMBER($AA35),'King Node Model'!$A$8="Pos",OR($AG35="S",$AG35="R"),$IN35="interior",COUNTIF(IF($AG35="S",'Master Dashboard'!$AN$16:$AN$18,'Master Dashboard'!$AN$13:$AN$15),$AA35)=0,$AA35&lt;&gt;'King Node Model'!$T$22,$AA35&lt;&gt;'King Node Model'!$T$23,$AA35&lt;&gt;'King Node Model'!$F$24),1,0),0)</f>
        <v>0</v>
      </c>
      <c r="IH35">
        <f t="shared" si="101"/>
        <v>0</v>
      </c>
      <c r="II35">
        <f t="shared" si="190"/>
        <v>0</v>
      </c>
      <c r="IJ35">
        <f t="shared" si="102"/>
        <v>0</v>
      </c>
      <c r="IK35">
        <f t="shared" si="103"/>
        <v>0</v>
      </c>
      <c r="IL35">
        <f t="shared" si="191"/>
        <v>0</v>
      </c>
      <c r="IM35">
        <f t="shared" si="104"/>
        <v>0</v>
      </c>
      <c r="IN35" t="str">
        <f t="shared" si="105"/>
        <v/>
      </c>
      <c r="IO35">
        <v>0</v>
      </c>
      <c r="IP35">
        <v>0</v>
      </c>
      <c r="IQ35">
        <f>IFERROR(IF($AG35="S",IF(OR(COUNTIF($W$9:$W$14,$AA35)&gt;0,COUNTIF('King Node Model'!$AL$42:'King Node Model'!$AL$43,$AA35)&gt;0),1,0),IF($AG35="R",IF(OR(COUNTIF($W$18:$W$23,$AA35)&gt;0,COUNTIF('King Node Model'!$AL$49:'King Node Model'!$AL$50,$AA35)&gt;0),1,0),0)),0)</f>
        <v>0</v>
      </c>
      <c r="IS35">
        <f>IF(AND(ISNUMBER($AA35),N($AN35)&lt;&gt;1,N($LR35)&lt;&gt;1,OR(N($EN35)&lt;&gt;1,AND('King Node Model'!$A$8&lt;&gt;"Neg",N($BG$72)&lt;&gt;1)),$AA35&lt;&gt;'King Node Model'!$T$22,$AA35&lt;&gt;'King Node Model'!$T$23,$AA35&lt;&gt;'King Node Model'!$F$24,NOT(AND($AG35="S",COUNTIF('Master Dashboard'!$AN$16:$AN$18,$AA35)&gt;0)),NOT(AND($AG35="R",COUNTIF('Master Dashboard'!$AN$13:$AN$15,$AA35)&gt;0)),NOT(AND('King Node Model'!$A$8&lt;&gt;"Neg",N($BG$72)&lt;&gt;1,COUNTIF('Master Dashboard'!$AN$13:$AN$18,$AA35)&gt;0))),1,0)</f>
        <v>1</v>
      </c>
      <c r="IT35">
        <v>0</v>
      </c>
      <c r="IU35">
        <f>IF(AND(ISNUMBER($AA35),$AA35='King Node Model'!$F$24,$AA35&gt;$GJ$3,N($AD35)&lt;0,$F$4="High"),1,0)</f>
        <v>0</v>
      </c>
      <c r="IV35" t="str">
        <f>""</f>
        <v/>
      </c>
      <c r="IW35">
        <f>IFERROR(IF(AND(ISNUMBER($AA35),NOT(AND(N($LR35)=1,N($MB35)=1)),$AG35="S",OR('King Node Model'!$A$8="Neg",N($BG$72)=1),$JV35="SELL",ABS(N($AD35))&gt;=$BG$94,NOT(AND(N($AD35)&gt;0,N($BG$78)=1,MEDIAN($AA35-$BG$82,$B$4,$AA35+$BG$83)=$B$4))),1,0),0)</f>
        <v>1</v>
      </c>
      <c r="IX35">
        <f>IFERROR(IF(AND(ISNUMBER($AA35),$AG35="S",OR('King Node Model'!$A$8="Neg",N($BG$72)=1),N($AD35)&gt;0,N($BG$78)=1,MEDIAN($AA35-$BG$82,$B$4,$AA35+$BG$83)=$B$4),1,0),0)</f>
        <v>0</v>
      </c>
      <c r="IY35" t="str">
        <f t="shared" si="106"/>
        <v>SELL</v>
      </c>
      <c r="IZ35">
        <f>IFERROR(IF(AND(ISNUMBER($AA35),$FA35&lt;&gt;"DOM",$AA35&lt;&gt;'King Node Model'!$F$24,OR(AND($AG35="S",COUNTIF('Master Dashboard'!$AN$16:$AN$18,$AA35)=0,N(INDEX($AE$9:$AE$55,MATCH($AA35+$BG$84,$AA$9:$AA$55,0)))&lt;=-$BG$85),AND($AG35="R",COUNTIF('Master Dashboard'!$AN$13:$AN$15,$AA35)=0,N(INDEX($AE$9:$AE$55,MATCH($AA35-$BG$84,$AA$9:$AA$55,0)))&gt;=$BG$85))),1,0),0)</f>
        <v>0</v>
      </c>
      <c r="JC35">
        <f t="shared" si="108"/>
        <v>0</v>
      </c>
      <c r="JD35" t="str">
        <f t="shared" si="193"/>
        <v/>
      </c>
      <c r="JE35">
        <f>IF(ISNUMBER($AA35),N(IFERROR(INDEX('King Node Model'!$L$29:$L$75,MATCH($AA35,'King Node Model'!$A$29:$A$75,0)),0)),"")</f>
        <v>1145</v>
      </c>
      <c r="JF35">
        <f>IF(ISNUMBER($AA35),N(IFERROR(INDEX('King Node Model'!$K$29:$K$75,MATCH($AA35,'King Node Model'!$A$29:$A$75,0)),0)),"")</f>
        <v>555</v>
      </c>
      <c r="JG35">
        <f t="shared" si="109"/>
        <v>2.0630630630630629</v>
      </c>
      <c r="JH35">
        <f t="shared" si="110"/>
        <v>0.48471615720524019</v>
      </c>
      <c r="JI35">
        <f t="shared" si="111"/>
        <v>0</v>
      </c>
      <c r="JJ35" t="str">
        <f t="shared" si="112"/>
        <v>Hollow</v>
      </c>
      <c r="JK35">
        <f t="shared" si="113"/>
        <v>0</v>
      </c>
      <c r="JL35">
        <f t="shared" si="114"/>
        <v>0</v>
      </c>
      <c r="JM35">
        <f t="shared" si="115"/>
        <v>0</v>
      </c>
      <c r="JN35">
        <f t="shared" si="116"/>
        <v>0</v>
      </c>
      <c r="JO35">
        <f t="shared" si="117"/>
        <v>0</v>
      </c>
      <c r="JP35">
        <f t="shared" si="118"/>
        <v>0</v>
      </c>
      <c r="JQ35">
        <f t="shared" si="119"/>
        <v>0</v>
      </c>
      <c r="JR35">
        <v>0</v>
      </c>
      <c r="JS35">
        <f>IFERROR(IF(AND(ISNUMBER($AA35),'King Node Model'!$A$8="Pos",OR($AG35="S",$AG35="R"),N($AB35)&gt;0,N($HP35)&lt;&gt;1,OR(AND($KC35="DOWN",N($AF35)&lt;0,N($AF35)=MIN($AF$9:$AF$55),-N($AF35)&gt;=MAX($AF$9:$AF$55)),AND($KC35="UP",N($AF35)&gt;0,N($AF35)=MAX($AF$9:$AF$55),N($AF35)&gt;=-MIN($AF$9:$AF$55)))),1,0),0)</f>
        <v>0</v>
      </c>
      <c r="JT35">
        <v>0</v>
      </c>
      <c r="JU35">
        <f>IFERROR(IF(AND(N($BG$109)=1,ISNUMBER($AA35),'King Node Model'!$A$8="Pos",N($CZ35)=1,N($AB35)&gt;0),1,0),0)</f>
        <v>0</v>
      </c>
      <c r="JV35" t="str">
        <f t="shared" si="120"/>
        <v>SELL</v>
      </c>
      <c r="JW35">
        <f t="shared" si="121"/>
        <v>0</v>
      </c>
      <c r="JX35">
        <f t="shared" si="122"/>
        <v>0</v>
      </c>
      <c r="JY35">
        <f t="shared" si="123"/>
        <v>0</v>
      </c>
      <c r="JZ35">
        <f t="shared" si="124"/>
        <v>0</v>
      </c>
      <c r="KA35">
        <f t="shared" si="125"/>
        <v>0</v>
      </c>
      <c r="KB35">
        <f t="shared" si="126"/>
        <v>0</v>
      </c>
      <c r="KC35" t="str">
        <f t="shared" si="127"/>
        <v>UP</v>
      </c>
      <c r="KE35" t="str">
        <f t="shared" si="128"/>
        <v>Now: strengthening the floor (IV rising) · if IV falls: weakens the floor · expected on arrival: STRENGTHENS ✓</v>
      </c>
      <c r="KF35" t="str">
        <f t="shared" si="129"/>
        <v>SELL</v>
      </c>
      <c r="KG35">
        <f t="shared" si="192"/>
        <v>0</v>
      </c>
      <c r="KH35" t="str">
        <f t="shared" si="130"/>
        <v/>
      </c>
      <c r="KI35" t="str">
        <f t="shared" si="131"/>
        <v/>
      </c>
      <c r="KJ35">
        <f t="shared" si="132"/>
        <v>0</v>
      </c>
      <c r="KK35">
        <f t="shared" si="133"/>
        <v>0</v>
      </c>
      <c r="KL35">
        <f t="shared" si="134"/>
        <v>0</v>
      </c>
      <c r="KM35">
        <f t="shared" si="135"/>
        <v>0</v>
      </c>
      <c r="KN35">
        <f t="shared" si="136"/>
        <v>0</v>
      </c>
      <c r="KO35">
        <v>0</v>
      </c>
      <c r="KP35">
        <f t="shared" si="137"/>
        <v>0</v>
      </c>
      <c r="KQ35">
        <f t="shared" si="138"/>
        <v>0</v>
      </c>
      <c r="KR35">
        <f t="shared" si="139"/>
        <v>0</v>
      </c>
      <c r="KS35">
        <f t="shared" si="140"/>
        <v>0</v>
      </c>
      <c r="KT35">
        <f t="shared" si="141"/>
        <v>0</v>
      </c>
      <c r="KU35">
        <f>IF(AND(ISNUMBER($AA35),ISNUMBER($AE35),ISNUMBER($AE34),N($AE35)&lt;&gt;0),($AE35-$AE34)/$AE35,"")</f>
      </c>
      <c r="KV35">
        <f>IF(AND(ISNUMBER($AA35),ISNUMBER($AE35),ISNUMBER($AE36),N($AE35)&lt;&gt;0),($AE35-$AE36)/$AE35,"")</f>
      </c>
      <c r="KW35">
        <f>IFERROR(IF(OR(NOT(ISNUMBER($AA35)),'King Node Model'!$A$8&lt;&gt;"Pos",N($BG$72)=1,ABS(N($AE35))&lt;$BG$113,$FA35="DOM",$AA35='King Node Model'!$T$23,AND(N($BG$116)=1,$AA35='King Node Model'!$F$24),NOT(ISNUMBER($KU35)),NOT(ISNUMBER($KV35))),0,IF(AND($AG35="S",COUNTIF('Master Dashboard'!$AN$16:$AN$18,$AA35)=0,$KU35&gt;=$BG$114,$KU35&gt;=$KV35+$BG$115),1,IF(AND($AG35="R",COUNTIF('Master Dashboard'!$AN$13:$AN$15,$AA35)=0,$KV35&gt;=$BG$114,$KV35&gt;=$KU35+$BG$115),-1,0))),0)</f>
        <v>0</v>
      </c>
      <c r="KX35">
        <f t="shared" si="144"/>
        <v>0</v>
      </c>
      <c r="KY35">
        <f t="shared" si="145"/>
        <v>0</v>
      </c>
      <c r="KZ35">
        <f t="shared" si="146"/>
        <v>0</v>
      </c>
      <c r="LA35">
        <f t="shared" si="147"/>
        <v>0</v>
      </c>
      <c r="LB35">
        <f t="shared" si="148"/>
        <v>0</v>
      </c>
      <c r="LC35">
        <f t="shared" si="149"/>
        <v>0</v>
      </c>
      <c r="LD35">
        <f t="shared" si="150"/>
        <v>0</v>
      </c>
      <c r="LE35">
        <f t="shared" si="151"/>
        <v>0</v>
      </c>
      <c r="LF35">
        <f t="shared" si="152"/>
        <v>0</v>
      </c>
      <c r="LG35" t="str">
        <f t="shared" si="153"/>
        <v/>
      </c>
      <c r="LH35" t="str">
        <f t="shared" si="154"/>
        <v/>
      </c>
      <c r="LI35" t="str">
        <f t="shared" si="155"/>
        <v/>
      </c>
      <c r="LJ35" t="str">
        <f t="shared" si="156"/>
        <v/>
      </c>
      <c r="LK35" t="str">
        <f t="shared" si="157"/>
        <v/>
      </c>
      <c r="LL35">
        <f t="shared" si="158"/>
        <v>0</v>
      </c>
      <c r="LM35">
        <f t="shared" si="159"/>
        <v>0</v>
      </c>
      <c r="LN35">
        <f t="shared" si="160"/>
        <v>0</v>
      </c>
      <c r="LO35">
        <v>0</v>
      </c>
      <c r="LP35">
        <f t="shared" si="161"/>
        <v>0</v>
      </c>
      <c r="LQ35" t="str">
        <f t="shared" si="162"/>
        <v/>
      </c>
      <c r="LR35">
        <f t="shared" si="163"/>
        <v>0</v>
      </c>
      <c r="LS35">
        <f t="shared" si="164"/>
        <v>0</v>
      </c>
      <c r="LT35">
        <f t="shared" si="165"/>
        <v>0</v>
      </c>
      <c r="LU35">
        <f t="shared" si="166"/>
        <v>0</v>
      </c>
      <c r="LV35">
        <f t="shared" si="167"/>
        <v>0</v>
      </c>
      <c r="LW35">
        <f t="shared" si="168"/>
        <v>0</v>
      </c>
      <c r="LX35">
        <f t="shared" si="169"/>
        <v>0</v>
      </c>
      <c r="LY35">
        <f t="shared" si="170"/>
        <v>0</v>
      </c>
      <c r="LZ35">
        <f t="shared" si="171"/>
        <v>0</v>
      </c>
      <c r="MA35">
        <f t="shared" si="172"/>
        <v>0</v>
      </c>
      <c r="MB35">
        <v>0</v>
      </c>
      <c r="MC35">
        <f t="shared" si="173"/>
        <v>1</v>
      </c>
      <c r="MD35">
        <f t="shared" si="174"/>
        <v>1</v>
      </c>
      <c r="ME35">
        <f t="shared" si="175"/>
        <v>0</v>
      </c>
      <c r="MF35">
        <f t="shared" si="176"/>
        <v>0</v>
      </c>
      <c r="MG35">
        <f t="shared" si="177"/>
        <v>0</v>
      </c>
      <c r="MH35">
        <f t="shared" si="178"/>
        <v>0</v>
      </c>
      <c r="MI35" t="str">
        <f t="shared" si="179"/>
        <v/>
      </c>
      <c r="MJ35">
        <f t="shared" si="180"/>
        <v>0</v>
      </c>
      <c r="MK35">
        <f t="shared" si="181"/>
        <v>0</v>
      </c>
      <c r="ML35">
        <f>IF(AND(OR('King Node Model'!$A$8="Neg",N($BG$72)=1),ISNUMBER($AA35),$AG35="R",N($AB35)&lt;0),IF(AND($AA34=$AA35+5,N($AB34)&gt;0,$AA33=$AA35+10,N($AB33)&lt;0),1,IF(AND($AA34=$AA35+5,N($AB34)&gt;0,$AA33=$AA35+10,N($AB33)&gt;0,$AA32=$AA35+15,N($AB32)&lt;0),2,IF(AND($AA34=$AA35+5,N($AB34)&gt;0,$AA33=$AA35+10,N($AB33)&gt;0,$AA32=$AA35+15,N($AB32)&gt;0,$AA31=$AA35+20,N($AB31)&lt;0),3,IF(AND($AA34=$AA35+5,N($AB34)&gt;0,$AA33=$AA35+10,N($AB33)&gt;0,$AA32=$AA35+15,N($AB32)&gt;0,$AA31=$AA35+20,N($AB31)&gt;0,$AA30=$AA35+25,N($AB30)&lt;0),4,0)))),0)</f>
      </c>
      <c r="MM35">
        <f>IF(AND(OR('King Node Model'!$A$8="Neg",N($BG$72)=1),ISNUMBER($AA35),$AG35="S",N($AB35)&lt;0),IF(AND($AA36=$AA35-5,N($AB36)&gt;0,$AA37=$AA35-10,N($AB37)&lt;0),1,IF(AND($AA36=$AA35-5,N($AB36)&gt;0,$AA37=$AA35-10,N($AB37)&gt;0,$AA38=$AA35-15,N($AB38)&lt;0),2,IF(AND($AA36=$AA35-5,N($AB36)&gt;0,$AA37=$AA35-10,N($AB37)&gt;0,$AA38=$AA35-15,N($AB38)&gt;0,$AA39=$AA35-20,N($AB39)&lt;0),3,IF(AND($AA36=$AA35-5,N($AB36)&gt;0,$AA37=$AA35-10,N($AB37)&gt;0,$AA38=$AA35-15,N($AB38)&gt;0,$AA39=$AA35-20,N($AB39)&gt;0,$AA40=$AA35-25,N($AB40)&lt;0),4,0)))),0)</f>
      </c>
      <c r="MN35">
        <f>IF(N($ML35)&gt;0,$AA35,0)</f>
      </c>
      <c r="MO35">
        <f>IF(N($MM35)&gt;0,$AA35,0)</f>
      </c>
      <c r="MP35">
        <f>IF(AND(OR('King Node Model'!$A$8="Neg",N($BG$72)=1),ISNUMBER($BG$155),$AA35=$BG$155,N($NC35)=1),2,IF(AND(OR('King Node Model'!$A$8="Neg",N($BG$72)=1),ISNUMBER($BG$156),$AA35=$BG$156,N($ND35)=1),1,0))</f>
      </c>
      <c r="MQ35">
        <f>IF(ABS(AE35)&lt;=0,0,IF($AG35="R",IF(ISNUMBER(AE34),IF((ABS(AE34)-ABS(AE35))/ABS(AE35)&lt;-0.4,1,0),0),IF(ISNUMBER(AE36),IF((ABS(AE36)-ABS(AE35))/ABS(AE35)&lt;-0.4,1,0),0)))</f>
      </c>
      <c r="MR35">
        <f>IF(OR(N($MQ35)&lt;&gt;1,N($BG$157)&lt;&gt;1,NOT(ISNUMBER($KU35)),NOT(ISNUMBER($KV35))),0,IF(OR(AND($AG35="S",OR(AND($KU35&gt;=$BG$114,$KU35&gt;=$KV35+$BG$115),AND($KU35&gt;1,$KV35&lt;=1,$KV35&gt;=$BG$114))),AND($AG35="R",OR(AND($KV35&gt;=$BG$114,$KV35&gt;=$KU35+$BG$115),AND($KV35&gt;1,$KU35&lt;=1,$KU35&gt;=$BG$114)))),1,0))</f>
      </c>
      <c r="MS35" t="str">
        <f>IF(AND(N($MR35)=1,N($NA35)&lt;&gt;1),"• DEX falls off more sharply "&amp;IF($AG35="S","above (","below (")&amp;TEXT(IF($AG35="S",$KU35,$KV35),"0%")&amp;") than "&amp;IF($AG35="S","below (","above (")&amp;TEXT(IF($AG35="S",$KV35,$KU35),"0%")&amp;") — Dex↓ not counted",IF(N($MW35)=1,"• Shoulder of the "&amp;IF($AG35="R",$AA36,$AA34)&amp;" wall — own DEX "&amp;TEXT($AE35/1000,"+#,##0;-#,##0")&amp;"K is "&amp;TEXT(ABS($AE35)/ABS(IF($AG35="R",$AE36,$AE34)),"0%")&amp;" of "&amp;TEXT(IF($AG35="R",$AE36,$AE34)/1000,"+#,##0;-#,##0")&amp;"K, Dex↓ not counted",""))</f>
      </c>
      <c r="MT35">
        <f>IF(AND(ISNUMBER($AA35),$AG35="S",ISNUMBER($AB35),$AB35=MIN($AB$9:$AB$55),$AA35=$BG$105,$JV35="BUY",ABS(N($AD35))&gt;=$BG$158),1,0)</f>
      </c>
      <c r="MU35" t="str">
        <f>IF(N($MY35)=1,"",IF(OR(N($MT35)=1,AND(OR('King Node Model'!$A$8="Neg",N($BG$72)=1),$AG35="S",ISNUMBER($AB35),$AB35=MIN($AB$9:$AB$55),$AA35=$BG$105)),"• Min GEX + Max Zomma (no reversal flag required) — accelerant warning not applied; zomma acceleration warning only within "&amp;$BG$98&amp;" pts of the level, and not when vanna buying is "&amp;TEXT($BG$158/1000,"0")&amp;"K or more"&amp;CHAR(10)&amp;IF(N($MT35)=1,"• Max Zomma and vanna buying ("&amp;TEXT(N($AD35)/1000,"+#,##0;-#,##0")&amp;"K) make this level safe","• Max Zomma is what makes this level safe"),"")&amp;$NB35&amp;$NI35)</f>
      </c>
      <c r="MV35" t="str">
        <f>IF(AND(ISNUMBER($AA35),OR($AA35=$BG$118,$AA35=$BG$119)),IF(N($AZ35)*IF($AG35="R",1,-1)&gt;0,"✓",IF(N($AZ35)*IF($AG35="R",1,-1)&lt;0,"✗","")),"")</f>
      </c>
      <c r="MW35">
        <f>IF(AND(N($MQ35)=1,N($BG$159)&gt;0,ISNUMBER(IF($AG35="R",$AE36,$AE34)),N(IF($AG35="R",$AE36,$AE34))&lt;&gt;0),IF(ABS(N($AE35))&lt;$BG$159*ABS(IF($AG35="R",$AE36,$AE34)),1,0),0)</f>
      </c>
      <c r="MX35">
        <f>IF(AND(ISNUMBER($AA35),$AA35=$BG$121,$AG35="R",N($AE35)&lt;0,OR(COUNTIF('King Node Model'!$AL$42:$AL$44,$AA35)=0,N($HP35)=1),N($NC35)=1),2,IF(AND(ISNUMBER($AA35),$AA35=$BG$120,$AG35="S",N($AE35)&gt;0,OR(COUNTIF('King Node Model'!$AL$49:$AL$51,$AA35)=0,N($HP35)=1),N($ND35)=1),1,0))</f>
      </c>
      <c r="MY35">
        <f>IF(AND(N($NA35)=1,NOT(AND(AND($AG35="S",ISNUMBER($AB35),$AB35=MIN($AB$9:$AB$55),$AA35=$BG$105),IFERROR(INDEX($AG$9:$AG$55,MATCH('King Node Model'!$B$23,$AA$9:$AA$55,0)),"")="R")),N($AV35)&lt;&gt;1),1,0)</f>
      </c>
      <c r="MZ35" t="str">
        <f>IF(N($MY35)&lt;&gt;1,"","• DEX falls off more sharply "&amp;IF($AG35="S","above (","below (")&amp;TEXT(IF($AG35="S",$KU35,$KV35),"0%")&amp;") than "&amp;IF($AG35="S","below (","above (")&amp;TEXT(IF($AG35="S",$KV35,$KU35),"0%")&amp;") — path of least resistance "&amp;IF($AG35="S","down","up")&amp;IF(N($AZ35)*IF($AG35="R",1,-1)&lt;0,CHAR(10)&amp;"• Speed against — GEX gets more negative as price "&amp;IF($AG35="R","rises","falls")&amp;" into it (speed "&amp;TEXT(N($AZ35),"#,##0;−#,##0")&amp;")","")&amp;IF(OR(N($NG35)=1,N($JC35)=1),CHAR(10)&amp;"• "&amp;IF(N($JC35)=1,"DOM with vanna BUY "&amp;TEXT(N($AD35)/1000,"+#,##0;−#,##0")&amp;"K","Put wall + Max Zomma + DOM")&amp;" backs the level, but it does not outweigh DEX"&amp;IF(N($AZ35)*IF($AG35="R",1,-1)&lt;0," and speed",""),IF(AND($AG35="S",ISNUMBER($AB35),$AB35=MIN($AB$9:$AB$55),$AA35=$BG$105),CHAR(10)&amp;"• Min GEX + Max Zomma backs the level, but it does not outweigh DEX"&amp;IF(N($AZ35)*IF($AG35="R",1,-1)&lt;0," and speed",""),IF(OR(N($JI35)=1,AND(N($GV35)=1,N($JK35)&lt;&gt;1,N($IW35)&lt;&gt;1),N($JC35)=1,AND($AA35='King Node Model'!$F$24,N($JN35)&lt;&gt;1,OR($AG35="R",AND($AG35="S",$F$4="High",IF($BG$80&lt;&gt;"",UPPER($BG$80),$D$5)="UP")))),CHAR(10)&amp;"• Vanna "&amp;IF($AG35="S","BUY ","SELL ")&amp;TEXT(N($AD35)/1000,"+#,##0;−#,##0")&amp;"K backs the level, but it does not outweigh DEX"&amp;IF(N($AZ35)*IF($AG35="R",1,-1)&lt;0," and speed",""),"")))&amp;IF(N($NE35)=1,CHAR(10)&amp;"• Buy-lean max-node exemption not applied — DEX leans against the level",""))</f>
      </c>
      <c r="NA35">
        <f>IF(AND(OR('King Node Model'!$A$8="Neg",N($BG$72)=1),ISNUMBER($AA35),ABS(N($AE35))&gt;=$BG$152,ISNUMBER($KU35),ISNUMBER($KV35)),IF(OR(AND($AG35="S",OR(AND($KU35&gt;=$BG$114,$KU35&gt;=$KV35+$BG$115),AND($KU35&gt;1,$KV35&lt;=1,$KV35&gt;=$BG$114))),AND($AG35="R",OR(AND($KV35&gt;=$BG$114,$KV35&gt;=$KU35+$BG$115),AND($KV35&gt;1,$KU35&lt;=1,$KU35&gt;=$BG$114)))),1,0),0)</f>
      </c>
      <c r="NB35" t="str">
        <f>IF(AND(N($NA35)=1,AND(AND($AG35="S",ISNUMBER($AB35),$AB35=MIN($AB$9:$AB$55),$AA35=$BG$105),IFERROR(INDEX($AG$9:$AG$55,MATCH('King Node Model'!$B$23,$AA$9:$AA$55,0)),"")="R")),CHAR(10)&amp;"• DEX falls off more sharply above ("&amp;TEXT($KU35,"0%")&amp;") than below ("&amp;TEXT($KV35,"0%")&amp;") — DEX-lean warning not applied: Min GEX + Max Zomma support with Max Gamma "&amp;'King Node Model'!$B$23&amp;" above (Dex↓ not counted)",IF(AND(OR(N($NA35)=1,N($NF35)=1),N($AV35)=1),IF(AND(OR('King Node Model'!$A$8="Neg",N($BG$72)=1),$AG35="S",ISNUMBER($AB35),$AB35=MIN($AB$9:$AB$55),$AA35=$BG$105),CHAR(10),"")&amp;"• DEX falls off more sharply "&amp;IF($AG35="S","above (","below (")&amp;TEXT(IF($AG35="S",$KU35,$KV35),"0%")&amp;") than "&amp;IF($AG35="S","below (","above (")&amp;TEXT(IF($AG35="S",$KV35,$KU35),"0%")&amp;") — DEX lean does not apply to iDex (isolated DEX)",""))</f>
      </c>
      <c r="NC35">
        <f>IF(OR($BG$163=1,AND($BG$161&gt;0,$BG$162&lt;99999,ISNUMBER($AA35),$AA35&lt;$BG$162)),1,0)</f>
      </c>
      <c r="ND35">
        <f>IF(OR($BG$163=-1,AND($BG$161&gt;0,$BG$162&lt;99999,ISNUMBER($AA35),$AA35&gt;$BG$161)),1,0)</f>
      </c>
      <c r="NE35">
        <f>IF(AND(OR('King Node Model'!$A$8="Neg",N($BG$72)=1),ISNUMBER(SEARCH("LOW",'Master Dashboard'!$M$5)),ISNUMBER(SEARCH("BUY",'Master Dashboard'!$G$8)),'King Node Model'!$T$23='King Node Model'!$B$23,OR($AA35='King Node Model'!$T$23,AND($AG35="R",$AA35='King Node Model'!$T$23+5)),OR(AND($AG35="S",$JV35="BUY"),AND($AG35="R",$JV35="SELL"))),1,0)</f>
      </c>
      <c r="NF35">
        <f>IFERROR(IF(OR(NOT(ISNUMBER($AA35)),'King Node Model'!$A$8&lt;&gt;"Pos",N($BG$72)=1,ABS(N($AE35))&lt;$BG$113,$FA35="DOM",$AA35='King Node Model'!$T$23,AND(N($BG$116)=1,$AA35='King Node Model'!$F$24),NOT(ISNUMBER($KU35)),NOT(ISNUMBER($KV35))),0,IF(AND($AG35="S",COUNTIF('Master Dashboard'!$AN$16:$AN$18,$AA35)=0,$KU35&gt;=$BG$114,$KU35&gt;=$KV35+$BG$115,NOT(AND(N($AN36)=1,N($KV35)&lt;0)),N($AE35)&lt;=0),1,IF(AND($AG35="R",COUNTIF('Master Dashboard'!$AN$13:$AN$15,$AA35)=0,$KV35&gt;=$BG$114,$KV35&gt;=$KU35+$BG$115,NOT(AND(N($AN34)=1,N($KU35)&lt;0))),-1,0))),0)</f>
      </c>
      <c r="NG35">
        <f t="shared" si="202"/>
      </c>
      <c r="NI35" t="str">
        <f>IF(AND(ISNUMBER($BG$165),ISNUMBER($AA35)),IF(OR(AND($AG35="S",$AA35&gt;$BG$165,$AA35-$BG$165&lt;=5),AND($AG35="R",$AA35&lt;$BG$165,$BG$165-$AA35&lt;=5)),IF(OR(AND(OR('King Node Model'!$A$8="Neg",N($BG$72)=1),$AG35="S",ISNUMBER($AB35),$AB35=MIN($AB$9:$AB$55),$AA35=$BG$105),$NB35&lt;&gt;""),CHAR(10),"")&amp;"• DOM forming at "&amp;$BG$165&amp;" (gamma "&amp;TEXT($BG$166,"0%")&amp;" of max) — price may be pulled to the node",""),"")</f>
      </c>
      <c r="NJ35">
        <f>IF(LEN($NI35)&gt;0,1,0)</f>
      </c>
    </row>
    <row r="36" spans="27:349" ht="15" customHeight="1" x14ac:dyDescent="0.25">
      <c r="AA36" s="181">
        <f>'King Node Model'!A56</f>
        <v>7750</v>
      </c>
      <c r="AB36" s="276">
        <f>'King Node Model'!C56</f>
        <v>-1614015</v>
      </c>
      <c r="AC36" s="181">
        <f>ABS('King Node Model'!B56)</f>
        <v>3240730</v>
      </c>
      <c r="AD36" s="276">
        <f>'King Node Model'!F56</f>
        <v>3673666</v>
      </c>
      <c r="AE36" s="276">
        <f>'King Node Model'!E56</f>
        <v>617231</v>
      </c>
      <c r="AF36" s="276">
        <f>'King Node Model'!D56</f>
        <v>-3878047</v>
      </c>
      <c r="AG36" s="181" t="str">
        <f t="shared" si="6"/>
        <v>S</v>
      </c>
      <c r="AH36" s="181">
        <f t="shared" si="7"/>
        <v>3</v>
      </c>
      <c r="AI36" s="181" t="str">
        <f t="shared" si="8"/>
        <v>SELL</v>
      </c>
      <c r="AJ36" s="181">
        <f t="shared" si="9"/>
        <v>1</v>
      </c>
      <c r="AK36" s="181">
        <f>IF(ABS(N($AE36))&gt;=$BG$85,1,0)</f>
      </c>
      <c r="AL36" s="181">
        <f t="shared" si="10"/>
        <v>0</v>
      </c>
      <c r="AM36" s="181">
        <f t="shared" si="11"/>
        <v>3</v>
      </c>
      <c r="AN36" s="181">
        <f t="shared" si="12"/>
        <v>1</v>
      </c>
      <c r="AO36" s="1" t="str">
        <f t="shared" si="13"/>
        <v/>
      </c>
      <c r="AP36" s="1">
        <f t="shared" si="14"/>
        <v>617231</v>
      </c>
      <c r="AQ36" s="1">
        <f t="shared" si="15"/>
        <v>3878047</v>
      </c>
      <c r="AR36" s="181">
        <f t="shared" si="16"/>
        <v>1.2798098956085269</v>
      </c>
      <c r="AS36" s="181">
        <f t="shared" si="17"/>
        <v>2</v>
      </c>
      <c r="AT36" s="181" t="str">
        <f t="shared" si="18"/>
        <v/>
      </c>
      <c r="AU36" s="181" t="str">
        <f t="shared" si="19"/>
        <v/>
      </c>
      <c r="AV36" s="218">
        <f t="shared" si="183"/>
        <v>0</v>
      </c>
      <c r="AW36" s="181">
        <f>ABS('King Node Model'!G56)</f>
        <v>1690</v>
      </c>
      <c r="AX36" s="181">
        <f t="shared" si="20"/>
        <v>1</v>
      </c>
      <c r="AY36" s="181">
        <f t="shared" si="21"/>
        <v>1</v>
      </c>
      <c r="AZ36" s="276">
        <f>'King Node Model'!I56</f>
        <v>20533</v>
      </c>
      <c r="BA36" s="181">
        <f t="shared" si="22"/>
        <v>0</v>
      </c>
      <c r="BB36" s="181" t="str">
        <f t="shared" si="23"/>
        <v>S2</v>
      </c>
      <c r="BC36" s="10">
        <f>'King Node Model'!C56</f>
        <v>-1614015</v>
      </c>
      <c r="BD36" s="218">
        <f t="shared" si="184"/>
        <v>0</v>
      </c>
      <c r="BE36" s="218">
        <f t="shared" si="185"/>
        <v>0</v>
      </c>
      <c r="BF36" s="336" t="s">
        <v>1245</v>
      </c>
      <c r="BG36" s="409">
        <f>IF(OR('King Node Model'!$A$8="Neg",N($BG$72)=1),$BG$38,$BG$37)</f>
        <v>6</v>
      </c>
      <c r="BI36" s="218">
        <f t="shared" si="186"/>
        <v>0</v>
      </c>
      <c r="BJ36" s="218">
        <f t="shared" si="187"/>
        <v>0</v>
      </c>
      <c r="BK36" s="218">
        <f t="shared" si="24"/>
        <v>0</v>
      </c>
      <c r="BL36" s="10">
        <f>'King Node Model'!H56</f>
        <v>187</v>
      </c>
      <c r="BM36" s="218">
        <f t="shared" si="25"/>
        <v>5</v>
      </c>
      <c r="BN36" s="218">
        <f t="shared" si="26"/>
        <v>1</v>
      </c>
      <c r="BO36" s="218">
        <f t="shared" si="27"/>
        <v>0</v>
      </c>
      <c r="BP36" s="218">
        <f t="shared" si="28"/>
        <v>0</v>
      </c>
      <c r="BQ36" t="str">
        <f t="shared" si="29"/>
        <v/>
      </c>
      <c r="BR36" t="str">
        <f t="shared" si="30"/>
        <v/>
      </c>
      <c r="BS36" s="218">
        <f t="shared" si="31"/>
        <v>0</v>
      </c>
      <c r="BT36" t="str">
        <f t="shared" si="32"/>
        <v/>
      </c>
      <c r="BU36" s="218" t="str">
        <f t="shared" si="33"/>
        <v/>
      </c>
      <c r="BV36" s="218">
        <f t="shared" si="34"/>
        <v>3673666</v>
      </c>
      <c r="BW36" s="218">
        <f t="shared" si="35"/>
        <v>617231</v>
      </c>
      <c r="BX36" s="218">
        <f>IF(AND(ISNUMBER(BC36),BC36&gt;=$BG$160,OR('King Node Model'!$A$8="Neg",N($BG$72)=1)),1,0)</f>
        <v>0</v>
      </c>
      <c r="BY36" s="218">
        <f t="shared" si="36"/>
        <v>0</v>
      </c>
      <c r="BZ36" s="218">
        <f t="shared" si="37"/>
        <v>1</v>
      </c>
      <c r="CA36">
        <f t="shared" si="38"/>
        <v>2</v>
      </c>
      <c r="CB36" s="218">
        <f>IF(AND(ISNUMBER('King Node Model'!$D$27),AG36&lt;&gt;"",AA36='King Node Model'!$D$27),1,0)</f>
        <v>0</v>
      </c>
      <c r="CC36" s="218">
        <f>IF(OR('King Node Model'!$A$8="Neg",N($BG$72)=1),$BG$14*IF(ISNUMBER('King Node Model'!$D$26),MAX(0,1-ABS(AA36-'King Node Model'!$D$26)/$BG$18),0)+$BG$15*IFERROR(BV36/MAX($BV$9:$BV$55),0)+$BG$16*IFERROR(BW36/MAX($BW$9:$BW$55),0)+$BG$17*IFERROR(AC36/$S$11,0)*MAX(0,1+$BG$21*CF36),AR36)</f>
        <v>1.5115324683754228</v>
      </c>
      <c r="CD36" s="218">
        <f>IF(OR('King Node Model'!$A$8="Neg",N($BG$72)=1),IF(AND(AG36&lt;&gt;"",ABS(AA36-$B$4)&lt;=$BG$7,OR(AX36=0,$D$5&lt;&gt;"UP"),AY36=0,BK36&lt;&gt;1,CI36=0,AM36&gt;=$BG$20,AC36&gt;$BG$19),1,0),IF(AND(BS36=1,(COUNTIF($W$9:$W$14,AA36)+COUNTIF($W$18:$W$23,AA36))&gt;0,CI36=0,AM36&gt;=$BG$20,AC36&gt;$BG$19),1,0))</f>
        <v>0</v>
      </c>
      <c r="CE36" s="322" t="str">
        <f t="shared" si="39"/>
        <v/>
      </c>
      <c r="CF36" s="218">
        <f t="shared" si="40"/>
        <v>0</v>
      </c>
      <c r="CG36" t="str">
        <f t="shared" si="41"/>
        <v/>
      </c>
      <c r="CH36" t="str">
        <f t="shared" si="42"/>
        <v>Dormant</v>
      </c>
      <c r="CI36" s="218">
        <f t="shared" si="43"/>
        <v>0</v>
      </c>
      <c r="CJ36" s="218">
        <f t="shared" si="44"/>
        <v>387420489</v>
      </c>
      <c r="CK36" s="218">
        <f t="shared" si="45"/>
        <v>0</v>
      </c>
      <c r="CL36" s="218">
        <f t="shared" si="46"/>
        <v>0</v>
      </c>
      <c r="CR36" t="s">
        <v>1496</v>
      </c>
      <c r="CS36" t="str">
        <f>'Master Dashboard'!$L$52</f>
        <v>UNSAFE·Level at risk
EXEMPT·buy-lean max node — border suppressed
• Within 5 pts of the DOM 7770 — price tends to be pulled to the node
• Dex not aligned (C-OI support needs Dex ≥ +100K)</v>
      </c>
      <c r="CU36" s="218">
        <f>IF(AND(AND('King Node Model'!$A$8&lt;&gt;"Neg",N($BG$72)&lt;&gt;1),SUMPRODUCT(($AG$9:$AG$55="S")*ISNUMBER($AT$9:$AT$55)*ISNUMBER($AU$9:$AU$55)*($AT$9:$AT$55&lt;&gt;$AU$9:$AU$55)*($AT$9:$AT$55&lt;=$AA36)*($AU$9:$AU$55&gt;=$AA36))&gt;0),0,IF(AND(OR($AA36='King Node Model'!$T$22,$AA36='King Node Model'!$F$24),$AG36="R",COUNTIF($W$9:$W$14,$AA36)&gt;0),1,IF(AND($FN36=1,$EU36&lt;&gt;1,$EM36&lt;&gt;1,$BK36&lt;&gt;1,$DH36&lt;&gt;1,$AG36="R",COUNTIF($W$9:$W$14,$AA36)&gt;0),1,IF($EU36=1,0,IF($EM36=1,0,IF(AND(OR($EE36=1,$GV36=1,AND($EL$7=1,$AA36='King Node Model'!$D$26,$EI36=1),AND(OR($AA36='King Node Model'!$T$22,$AA36='King Node Model'!$T$23),$AN36=1,OR($AX36=0,$D$5&lt;&gt;"UP"))),OR(NOT(OR('King Node Model'!$A$8="Neg",N($BG$72)=1)),$GV36=1,AND(OR($AA36='King Node Model'!$T$22,$AA36='King Node Model'!$T$23),$AN36=1,OR($AX36=0,$D$5&lt;&gt;"UP")),AND($AM36&gt;=$BG$20,$AC36&gt;IF($CZ36=1,$BG$48,$BG$19)))),1,IF($DH36=1,0,IF(AND($DC36=1,$GS36&lt;&gt;1,AND('King Node Model'!$A$8&lt;&gt;"Neg",N($BG$72)&lt;&gt;1)),0,IF(AND($EY36=1,NOT(OR('King Node Model'!$A$8="Neg",$BG$72=1)),$AA36&lt;&gt;'King Node Model'!$B$23),0,IF(AND($GS36=1,$AG36="R",OR($CI36=0,$EE36=1,$EX36=1,$GV36=1),COUNTIF($W$9:$W$14,$AA36)&gt;0,ABS($AA36-$B$4)&lt;=$BG$7,$BK36&lt;&gt;1,$AM36&gt;=$BG$20,$AC36&gt;IF($CZ36=1,$BG$48,$BG$19)),1,IF(OR('King Node Model'!$A$8="Neg",N($BG$72)=1),IF(AND(OR($AM36&gt;=$BG$20,$AA36='King Node Model'!$D$26,$GV36=1),$AG36="R",COUNTIF($W$9:$W$14,$AA36)&gt;0,ABS($AA36-$B$4)&lt;=$BG$7,OR($AX36=0,$D$5&lt;&gt;"UP"),$BK36&lt;&gt;1,OR(OR($CI36=0,$AJ36=1),AND($EI36=1,$LA36=1,COUNTIF($W$9:$W$11,$AA36)&gt;0,$AN36=1,OR($AX36=0,$D$5&lt;&gt;"UP"))),$AM36&gt;=$BG$20,$AC36&gt;IF($CZ36=1,$BG$48,$BG$19),OR($AN36=1,N($LR36)=1,$AA36='King Node Model'!$D$26,AND($BY36=1,$AA36&gt;$B$4),$BX36=1,$CF36=1,$CF36=1,AND(OR($AA36=$CP$4,$AA36=$CP$5,$AA36=$CP$6,$AA36=$CP$7),ABS($AA36-$B$4)&lt;=30),AND($AX36=1,$D$5="DOWN"))),1,0),IF(AND(OR($AM36&gt;=3,$AA36='King Node Model'!$D$26,$GV36=1),$AG36="R",COUNTIF($W$9:$W$14,$AA36)&gt;0,ABS($AA36-$B$4)&lt;=$BG$7,OR($AX36=0,$D$5&lt;&gt;"UP"),$BK36&lt;&gt;1,OR($CI36=0,$AJ36=1),$AM36&gt;=$BG$20,$AC36&gt;IF($CZ36=1,$BG$48,$BG$19),OR($AC36&gt;=MAX($AC$9:$AC$55),$BC36&gt;0,$AA36='King Node Model'!$D$26,AND(OR($AA36=$CP$4,$AA36=$CP$5,$AA36=$CP$6,$AA36=$CP$7),ABS($AA36-$B$4)&lt;=30),$CF36=1,$AN36=1,AND($AX36=1,$D$5="DOWN"))),1,0))))))))))))</f>
        <v>0</v>
      </c>
      <c r="CV36" s="218">
        <f>IF(AND(OR('King Node Model'!$A$8="Neg",N($BG$72)=1),$AG36="S",N($LR36)=1,N($MB36)=1),1,IF(AND(AND('King Node Model'!$A$8&lt;&gt;"Neg",N($BG$72)&lt;&gt;1),SUMPRODUCT(($AG$9:$AG$55="R")*ISNUMBER($AT$9:$AT$55)*ISNUMBER($AU$9:$AU$55)*($AT$9:$AT$55&lt;&gt;$AU$9:$AU$55)*($AT$9:$AT$55&lt;=$AA36)*($AU$9:$AU$55&gt;=$AA36))&gt;0,NOT(AND(N($LC36)=1,$AA36='King Node Model'!$B$23))),0,IF(AND($AA36='King Node Model'!$F$24,$AG36="S",COUNTIF($W$18:$W$23,$AA36)&gt;0),1,IF(AND($FN36=1,$EU36&lt;&gt;1,$EM36&lt;&gt;1,$DH36&lt;&gt;1,$AG36="S",COUNTIF($W$18:$W$23,$AA36)&gt;0),1,IF($EU36=1,0,IF(AND(OR($EF36=1,$GV36=1,AND(OR($AA36='King Node Model'!$T$22,$AA36='King Node Model'!$T$23,AND($AG36="S",COUNTIF('Master Dashboard'!$AN$16:$AN$18,$AA36)&gt;0)),$AN36=1,OR($AX36=0,$D$5&lt;&gt;"UP"))),OR(NOT(OR('King Node Model'!$A$8="Neg",N($BG$72)=1)),$GV36=1,AND(OR($AA36='King Node Model'!$T$22,$AA36='King Node Model'!$T$23,AND($AG36="S",COUNTIF('Master Dashboard'!$AN$16:$AN$18,$AA36)&gt;0)),$AN36=1,OR($AX36=0,$D$5&lt;&gt;"UP")),AND($AM36&gt;=$BG$20,$AC36&gt;IF($CZ36=1,$BG$48,$BG$19)))),1,IF($DH36=1,0,IF(AND($DC36=1,$GS36&lt;&gt;1,AND('King Node Model'!$A$8&lt;&gt;"Neg",N($BG$72)&lt;&gt;1)),0,IF(AND($EY36=1,NOT(OR('King Node Model'!$A$8="Neg",$BG$72=1)),$AA36&lt;&gt;'King Node Model'!$B$23,COUNTIF('Master Dashboard'!$AN$16:$AN$18,$AA36)=0),0,IF(AND($GS36=1,$AG36="S",OR($CI36=0,$EF36=1,$EX36=1,$GV36=1),COUNTIF($W$18:$W$23,$AA36)&gt;0,ABS($AA36-$B$4)&lt;=$BG$7,$BK36&lt;&gt;1,$AM36&gt;=$BG$20,$AC36&gt;IF($CZ36=1,$BG$48,$BG$19)),1,IF(OR('King Node Model'!$A$8="Neg",N($BG$72)=1),IF(AND(OR(OR($AM36&gt;=$BG$20,N($LR36)=1),$AA36='King Node Model'!$D$26,$GV36=1),$AG36="S",COUNTIF($W$18:$W$23,$AA36)&gt;0,ABS($AA36-$B$4)&lt;=$BG$7,OR($AX36=0,$D$5&lt;&gt;"UP"),$BK36&lt;&gt;1,OR($CI36=0,$AJ36=1,AND(N($LR36)=1,N($MB36)=1),N($MT36)=1),OR($AM36&gt;=$BG$20,N($LR36)=1),$AC36&gt;IF($CZ36=1,$BG$48,$BG$19),OR($AB36&gt;0,$AN36=1,N($MT36)=1,N($LR36)=1,$AA36='King Node Model'!$D$26,AND($BY36=1,$AA36&lt;$B$4),$BX36=1,$CF36=1,$CF36=1,AND(OR($AA36=$CP$4,$AA36=$CP$5,$AA36=$CP$6,$AA36=$CP$7),ABS($AA36-$B$4)&lt;=30),AND($AX36=1,$D$5="DOWN"))),1,0),IF(AND(OR($AM36&gt;=3,$AA36='King Node Model'!$D$26,$GV36=1),$AG36="S",COUNTIF($W$18:$W$23,$AA36)&gt;0,ABS($AA36-$B$4)&lt;=$BG$7,OR($AX36=0,$D$5&lt;&gt;"UP"),$BK36&lt;&gt;1,OR($CI36=0,$AJ36=1,AND(N($LR36)=1,N($MB36)=1),N($MT36)=1),$AM36&gt;=$BG$20,$AC36&gt;IF($CZ36=1,$BG$48,$BG$19),OR($AC36&gt;=MAX($AC$9:$AC$55),$BC36&gt;0,N($MT36)=1,$AA36='King Node Model'!$D$26,AND(OR($AA36=$CP$4,$AA36=$CP$5,$AA36=$CP$6,$AA36=$CP$7),ABS($AA36-$B$4)&lt;=30),$CF36=1,$AN36=1,AND($AX36=1,$D$5="DOWN"))),1,0))))))))))))</f>
        <v>0</v>
      </c>
      <c r="CX36" s="218">
        <f t="shared" si="48"/>
        <v>0</v>
      </c>
      <c r="CY36" t="str">
        <f t="shared" si="49"/>
        <v/>
      </c>
      <c r="CZ36" s="218">
        <f t="shared" si="50"/>
        <v>0</v>
      </c>
      <c r="DA36" t="str">
        <f t="shared" si="51"/>
        <v/>
      </c>
      <c r="DB36" t="str">
        <f t="shared" si="52"/>
        <v/>
      </c>
      <c r="DC36" s="218">
        <f t="shared" si="53"/>
        <v>0</v>
      </c>
      <c r="DD36" s="218">
        <f t="shared" si="54"/>
        <v>0</v>
      </c>
      <c r="DE36" s="218">
        <f t="shared" si="55"/>
        <v>0</v>
      </c>
      <c r="DF36" t="str">
        <f t="shared" si="56"/>
        <v/>
      </c>
      <c r="DG36" t="str">
        <f t="shared" si="57"/>
        <v/>
      </c>
      <c r="DH36" s="218">
        <f t="shared" si="58"/>
        <v>0</v>
      </c>
      <c r="DI36">
        <v>1</v>
      </c>
      <c r="DJ36">
        <v>1</v>
      </c>
      <c r="DK36">
        <v>522961</v>
      </c>
      <c r="DL36">
        <v>0</v>
      </c>
      <c r="DM36" s="218" t="str">
        <f>IF(AND($CV36=1,$AG36="S"),IF(AND(OR('King Node Model'!$A$8="Neg",N($BG$72)=1),'King Node Model'!$S$52=""),IF(OR(N($AN36)=1,N($LR36)=1,$AB36&gt;0,$AJ36=1,N($JO36)=1,AND(NOT($AE36&gt;0),NOT(IFERROR(AND(ISNUMBER($BC36),ISNUMBER($BC35),($BC36&gt;=0)&lt;&gt;($BC35&gt;=0)),FALSE())),OR(AND($BM36&lt;=6,$BN36&lt;=6),ABS($AA36-'King Node Model'!$T$23)&lt;=5,$LA36=1))),1,0),1),"")</f>
        <v/>
      </c>
      <c r="DN36" s="218" t="str">
        <f t="shared" si="59"/>
        <v/>
      </c>
      <c r="DO36" t="str">
        <f t="shared" si="60"/>
        <v>vommaIVup</v>
      </c>
      <c r="DP36" t="str">
        <f>IF(AND(OR('King Node Model'!$A$8="Neg",N($BG$72)=1),$AG36="S",ISNUMBER($AT36),ISNUMBER($AU36),$AT36&lt;&gt;$AU36,$AA36=$AT36),IF(AND(SUMPRODUCT(($AA$9:$AA$55&gt;=$AT36)*($AA$9:$AA$55&lt;=$AU36)*($AB$9:$AB$55&gt;0))&gt;0,SUMPRODUCT(($AA$9:$AA$55&gt;=$AT36)*($AA$9:$AA$55&lt;=$AU36)*($DM$9:$DM$55=1))&gt;0,SUMPRODUCT(($AA$9:$AA$55&gt;=$AT36)*($AA$9:$AA$55&lt;=$AU36)*(COUNTIF($W$18:$W$20,$AA$9:$AA$55)&gt;0))&gt;0),1,0),"")</f>
        <v/>
      </c>
      <c r="DS36">
        <v>0</v>
      </c>
      <c r="DT36">
        <v>0</v>
      </c>
      <c r="DU36" t="str">
        <f>IF('King Node Model'!$A$8&lt;&gt;"Pos","",IF(OR($AA36="",NOT(ISNUMBER($AA36)),ABS($AA36-$B$4)&gt;$BG$7),"",TEXT($AA36,"0")&amp;" | "&amp;IF($AG36="","unclassified",IF($AG36&lt;&gt;IF($AA36&gt;$B$4,"R","S"),"orphan: in "&amp;$AG36&amp;"-list, "&amp;IF($AA36&lt;$B$4,"below","above")&amp;" spot",IF(IF($AG36="R",COUNTIF($W$9:$W$14,$AA36),COUNTIF($W$18:$W$23,$AA36))=0,"not in "&amp;$AG36&amp;"-list",IF($DH36=1,"absorbed into shelf box",IF($BK36=1,"absorbed: adjacent reversal",IF($CI36=1,"accel-accelerant",IF($AC36&lt;=$BG$19,"below gamma-floor",IF($AM36&lt;$BG$20,"confluence "&amp;TEXT($AM36,"0")&amp;" &lt; "&amp;TEXT($BG$20,"0"),IF(AND($AX36=1,$D$5="UP"),"accelerant in up-move",IF(NOT(OR($AC36&gt;=MAX($AC$9:$AC$55),$BC36&gt;0,$AA36='King Node Model'!$D$26,AND(OR($AA36=$CP$4,$AA36=$CP$5,$AA36=$CP$6,$AA36=$CP$7),ABS($AA36-$B$4)&lt;=30),ISNUMBER(SEARCH("STRENGTHENING",$CG36)),$AN36=1,AND($AX36=1,$D$5="DOWN"))),"no surface flag","-&gt; qualifies"))))))))))))</f>
        <v/>
      </c>
      <c r="DV36" s="218">
        <f t="shared" si="61"/>
        <v>99999</v>
      </c>
      <c r="DW36" s="218">
        <f t="shared" si="62"/>
        <v>99999</v>
      </c>
      <c r="DX36" t="str">
        <f>IF('King Node Model'!$A$8&lt;&gt;"Pos","",IF(AND($DV36&lt;99999,$DV36=MIN($DV$9:$DV$55),$DG36&gt;$AA36),"R-box: "&amp;TEXT($AA36,"0")&amp;"-"&amp;TEXT($DG36,"0"),IF(AND($DW36&lt;99999,$DW36=MIN($DW$9:$DW$55),$DF36&lt;$AA36),"S-box: "&amp;TEXT($DF36,"0")&amp;"-"&amp;TEXT($AA36,"0"),"")))</f>
        <v/>
      </c>
      <c r="EB36">
        <f t="shared" si="63"/>
        <v>25.390000000000327</v>
      </c>
      <c r="EC36">
        <f t="shared" si="64"/>
        <v>538591</v>
      </c>
      <c r="ED36">
        <f t="shared" si="65"/>
        <v>0</v>
      </c>
      <c r="EE36">
        <f>IF(AND(OR('King Node Model'!$A$8="Neg",N($BG$72)=1),$AG36="R",ISNUMBER($EB36),$EB36&lt;=$BG$7,$AB36&gt;0,$EC36&gt;0,$AB36=$EC36),1,0)</f>
        <v>0</v>
      </c>
      <c r="EF36">
        <f>IF(AND(OR('King Node Model'!$A$8="Neg",N($BG$72)=1),$AG36="S",ISNUMBER($EB36),$EB36&lt;=$BG$7,$AB36&gt;0,$ED36&gt;0,$AB36=$ED36),1,0)</f>
        <v>0</v>
      </c>
      <c r="EI36">
        <v>1</v>
      </c>
      <c r="EJ36">
        <f>IF($AA36="",0,IF(SUMPRODUCT(($AA$9:$AA$55&gt;=$AT36)*($AA$9:$AA$55&lt;=$AU36)*($DT$9:$DT$55=1))+SUMPRODUCT(($DT$9:$DT$55=1)*($AT$9:$AT$55&lt;=$AA36)*($AU$9:$AU$55&gt;=$AA36))+($DT36=1)+AND(OR('King Node Model'!$A$8="Neg",N($BG$72)=1),ISNUMBER(SEARCH("LOW",'Master Dashboard'!$M$5)),ISNUMBER(SEARCH("BUY",'Master Dashboard'!$G$8)),'King Node Model'!$T$23='King Node Model'!$B$23,$AA36&gt;='King Node Model'!$T$23,$AA36&lt;='King Node Model'!$T$23+5)*1&gt;0,1,0))</f>
        <v>0</v>
      </c>
      <c r="EM36">
        <f t="shared" si="66"/>
        <v>0</v>
      </c>
      <c r="EN36">
        <v>0</v>
      </c>
      <c r="EO36">
        <f t="shared" si="67"/>
        <v>0</v>
      </c>
      <c r="EP36">
        <f t="shared" si="68"/>
        <v>0</v>
      </c>
      <c r="EQ36" t="str">
        <f t="shared" si="69"/>
        <v>ACCEL building · Neg gamma ↑ (weaker support) (sub-threshold)</v>
      </c>
      <c r="ES36">
        <f>IF(AND(ISNUMBER(AA36),ISNUMBER(AF36),ABS(AA36-'King Node Model'!$B$4)&lt;=$BG$7),ABS(AF36),"")</f>
        <v>3878047</v>
      </c>
      <c r="ET36">
        <v>0</v>
      </c>
      <c r="EU36" s="218">
        <f>IF(AND(OR('King Node Model'!$A$8="Neg",N($BG$72)=1),ISNUMBER($AA35),ISNUMBER($AA36),ISNUMBER($AA37),ISNUMBER($AB35),ISNUMBER($AB36),ISNUMBER($AB37),ISNUMBER($AF36),$AB36&gt;0,$AB35&lt;0,$AB37&lt;0,$AF36&lt;0),1,0)</f>
        <v>0</v>
      </c>
      <c r="EW36">
        <f>IF(OR(N($MY36)=1,N($JM36)=1),0,N($NE36))</f>
        <v>0</v>
      </c>
      <c r="EX36">
        <f>IF(AND(OR('King Node Model'!$A$8="Neg",N($BG$72)=1),ISNUMBER($AA36),OR(AND($AA36='King Node Model'!$F$24,OR(AND($AG36="S",$F$4="High",IF($BG$80&lt;&gt;"",UPPER($BG$80),$D$5)="DOWN"),AND($AG36="R",$F$4="Low",IF($BG$80&lt;&gt;"",UPPER($BG$80),$D$5)="UP"))),$GV36=1)),1,0)</f>
        <v>0</v>
      </c>
      <c r="EY36">
        <f>IFERROR(IF(AND($DC36=1,$AB36&lt;0,$AC36&gt;=(1+$FA$6)*INDEX($AC$9:$AC$55,28-1),$AC36&gt;=(1+$FA$6)*INDEX($AC$9:$AC$55,28+1),$AC36&gt;=IFERROR(INDEX($AC$9:$AC$55,28-2),0),$AC36&gt;=IFERROR(INDEX($AC$9:$AC$55,28+2),0)),1,0),0)</f>
        <v>0</v>
      </c>
      <c r="FA36" t="str">
        <f>IF(NOT(ISNUMBER($AA36)),"",IFERROR(IF(AND($AC36=MAX($AC$9:$AC$55),$AB36=MIN($AB$9:$AB$55)),"DOM",IF(AND($DC35=1,$DC36=1,$DC37=1,INDEX($AC$9:$AC$55,28-1)&lt;=(1-$FA$6)*$AC36,INDEX($AC$9:$AC$55,28-1)&lt;=(1-$FA$6)*INDEX($AC$9:$AC$55,28-2)),"GAP↑",IF(AND($DC37=1,$DC36=1,INDEX($AC$9:$AC$55,28+1)&lt;=(1-$FA$6)*$AC36,INDEX($AC$9:$AC$55,28+1)&lt;=(1-$FA$6)*INDEX($AC$9:$AC$55,28+2)),"GAP↓",IF($CZ36=1,"dEdge Cliff",IF($GY36=1,"γWall",IF(AND($DC36=1,$AB36&lt;0,$AC36&gt;=(1+$FA$6)*INDEX($AC$9:$AC$55,28-1),$AC36&gt;=(1+$FA$6)*INDEX($AC$9:$AC$55,28+1)),"PEAK-",IF($GZ36=1,"γSh Edge",IF($HL36=1,"Trough",IF($HN36=1,"PEAK+",IF($GF36=1,"Cluster","")))))))))),""))</f>
        <v>γWall</v>
      </c>
      <c r="FB36" t="str">
        <f t="shared" si="70"/>
        <v/>
      </c>
      <c r="FC36" t="str">
        <f t="shared" si="71"/>
        <v/>
      </c>
      <c r="FD36">
        <f>IF(AND(ISNUMBER($AA36),ISNUMBER('King Node Model'!$AP$17),ISNUMBER('King Node Model'!$AQ$17),$AA36&gt;=MIN('King Node Model'!$AP$17,'King Node Model'!$AQ$17),$AA36&lt;=MAX('King Node Model'!$AP$17,'King Node Model'!$AQ$17),IFERROR(INDEX($AC$9:$AC$55,MATCH('King Node Model'!$AL$42,$AA$9:$AA$55,0)),0)&gt;0,$AC36&gt;=(1-$FA$6)*IFERROR(INDEX($AC$9:$AC$55,MATCH('King Node Model'!$AL$42,$AA$9:$AA$55,0)),0),$AC36&lt;=(1+$FA$6)*IFERROR(INDEX($AC$9:$AC$55,MATCH('King Node Model'!$AL$42,$AA$9:$AA$55,0)),0)),1,0)</f>
        <v>0</v>
      </c>
      <c r="FE36">
        <f>IF($AA36='King Node Model'!$AL$42,1,IF(AND($FD36=1,$FE35=1),1,0))</f>
        <v>0</v>
      </c>
      <c r="FF36">
        <f>IF($AA36='King Node Model'!$AL$42,1,IF(AND($FD36=1,$FF37=1),1,0))</f>
        <v>0</v>
      </c>
      <c r="FG36" t="str">
        <f>IF(OR($FE36=1,$FF36=1),28,"")</f>
        <v/>
      </c>
      <c r="FJ36">
        <f>IF(AND($CW$2=1,ISNUMBER($AA36),ISNUMBER($CW$3),ISNUMBER($CW$4),$AA36&gt;=MIN($CW$3,$CW$4),$AA36&lt;=MAX($CW$3,$CW$4),IFERROR(INDEX($AC$9:$AC$55,MATCH('King Node Model'!$AP$67,$AA$9:$AA$55,0)),0)&gt;0,$AC36&gt;=(1-$FA$6)*IFERROR(INDEX($AC$9:$AC$55,MATCH('King Node Model'!$AP$67,$AA$9:$AA$55,0)),0),$AC36&lt;=(1+$FA$6)*IFERROR(INDEX($AC$9:$AC$55,MATCH('King Node Model'!$AP$67,$AA$9:$AA$55,0)),0)),1,0)</f>
        <v>0</v>
      </c>
      <c r="FK36">
        <f>IF(AND($CW$2=1,$AA36='King Node Model'!$AP$67),1,IF(AND($FJ36=1,$FK35=1),1,0))</f>
        <v>0</v>
      </c>
      <c r="FL36">
        <f>IF(AND($CW$2=1,$AA36='King Node Model'!$AP$67),1,IF(AND($FJ36=1,$FL37=1),1,0))</f>
        <v>0</v>
      </c>
      <c r="FM36" t="str">
        <f>IF(OR($FK36=1,$FL36=1),28,"")</f>
        <v/>
      </c>
      <c r="FN36">
        <v>0</v>
      </c>
      <c r="FR36" t="str">
        <f t="shared" si="72"/>
        <v/>
      </c>
      <c r="FS36">
        <f t="shared" si="188"/>
        <v>0</v>
      </c>
      <c r="FT36">
        <f t="shared" si="73"/>
        <v>-0.49804056493444376</v>
      </c>
      <c r="FU36">
        <f t="shared" si="74"/>
        <v>3240730</v>
      </c>
      <c r="FV36">
        <f>IF($FW36=0,"",IF(OR($FW35=0,SIGN(IFERROR($BC36*1,0))&lt;&gt;SIGN(IFERROR($BC35*1,0)),$GH36=1,$GH35=1),MAX($FV$9:$FV35)+1,$FV35))</f>
        <v>9</v>
      </c>
      <c r="FW36">
        <f t="shared" si="75"/>
        <v>1</v>
      </c>
      <c r="FX36">
        <f t="shared" si="76"/>
        <v>3240730</v>
      </c>
      <c r="FY36">
        <f t="shared" si="77"/>
        <v>1</v>
      </c>
      <c r="FZ36">
        <f t="shared" si="189"/>
        <v>1</v>
      </c>
      <c r="GA36">
        <f t="shared" si="78"/>
        <v>1</v>
      </c>
      <c r="GB36">
        <f t="shared" si="79"/>
        <v>1</v>
      </c>
      <c r="GC36">
        <f t="shared" si="80"/>
        <v>3240730</v>
      </c>
      <c r="GD36">
        <f t="shared" si="81"/>
        <v>7750</v>
      </c>
      <c r="GE36">
        <f t="shared" si="82"/>
        <v>7750</v>
      </c>
      <c r="GF36">
        <f t="shared" si="83"/>
        <v>0</v>
      </c>
      <c r="GH36">
        <f>IFERROR(IF(AND($AC36&gt;=(1+$FA$6)*INDEX($AC$9:$AC$55,28-1),$AC36&gt;=(1+$FA$6)*INDEX($AC$9:$AC$55,28+1)),1,0),0)</f>
        <v>1</v>
      </c>
      <c r="GK36">
        <v>1</v>
      </c>
      <c r="GO36">
        <v>0</v>
      </c>
      <c r="GP36">
        <v>0</v>
      </c>
      <c r="GQ36">
        <f t="shared" si="84"/>
        <v>0</v>
      </c>
      <c r="GR36">
        <f t="shared" si="85"/>
        <v>0</v>
      </c>
      <c r="GS36">
        <f>IF(AND($EY36=1,$AA36&lt;&gt;'King Node Model'!$B$23),0,IF(OR($GQ36=1,$GR36=1),1,IF($DC36=1,IF(OR('King Node Model'!$A$8="Neg",N($BG$72)=1),IF(OR(AND($AC36=MAX($AC$9:$AC$55),$AB36=MIN($AB$9:$AB$55)),$AN36=1,$EE36=1,$EF36=1,$EX36=1,$GV36=1),1,0),1),0)))</f>
        <v>0</v>
      </c>
      <c r="GT36">
        <f>IFERROR(IF(AND(OR('King Node Model'!$A$8="Neg",N($BG$72)=1),$EU35=1,$AG36="R",ISNUMBER($AA36),ISNUMBER($AF36),$AF36&lt;&gt;0,$AA36&gt;$B$4-$BG$9,$AA36-$B$4&lt;=$BG$47,IF($KC36="UP",SIGN($AF36),IF($KC36="DOWN",-SIGN($AF36),0))&lt;&gt;1),1,0),0)</f>
        <v>0</v>
      </c>
      <c r="GU36" t="str">
        <f t="shared" si="86"/>
        <v/>
      </c>
      <c r="GV36">
        <f t="shared" si="87"/>
        <v>0</v>
      </c>
      <c r="GW36" t="str">
        <f t="shared" si="88"/>
        <v/>
      </c>
      <c r="GX36">
        <f t="shared" si="89"/>
        <v>25.390000000000327</v>
      </c>
      <c r="GY36">
        <f t="shared" si="90"/>
        <v>1</v>
      </c>
      <c r="GZ36">
        <f t="shared" si="91"/>
        <v>0</v>
      </c>
      <c r="HA36">
        <v>1</v>
      </c>
      <c r="HF36">
        <f>IFERROR(IF(AND($GZ36=1,'King Node Model'!$A$8="Pos",$D$5="UP",$CF36=-1,$AJ36&lt;&gt;1),1,0),0)</f>
        <v>0</v>
      </c>
      <c r="HG36">
        <f t="shared" si="92"/>
        <v>0</v>
      </c>
      <c r="HH36" t="str">
        <f>IF($GZ36=1,"",IFERROR(IF(NOT(ISNUMBER($AA36)),"",IF($EY36=1,"",IF($GF36=1,IF($GD36=$GE36,"",$GD36),IF(OR(AND($DC35=1,$DC36=1,$DC37=1,INDEX($AC$9:$AC$55,28-1)&lt;=(1-$FA$6)*$AC36,INDEX($AC$9:$AC$55,28-1)&lt;=(1-$FA$6)*INDEX($AC$9:$AC$55,28-2)),AND($DC37=1,$DC36=1,INDEX($AC$9:$AC$55,28+1)&lt;=(1-$FA$6)*$AC36,INDEX($AC$9:$AC$55,28+1)&lt;=(1-$FA$6)*INDEX($AC$9:$AC$55,28+2)),AND($DC36=1,OR(INDEX($DC$9:$DC$55,28-1)=0,INDEX($DC$9:$DC$55,28+1)=0))),IF(MIN($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MAX($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MIN($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f>
        <v/>
      </c>
      <c r="HI36" t="str">
        <f>IF($GZ36=1,"",IFERROR(IF(NOT(ISNUMBER($AA36)),"",IF($EY36=1,"",IF($GF36=1,IF($GD36=$GE36,"",$GE36),IF(OR(AND($DC35=1,$DC36=1,$DC37=1,INDEX($AC$9:$AC$55,28-1)&lt;=(1-$FA$6)*$AC36,INDEX($AC$9:$AC$55,28-1)&lt;=(1-$FA$6)*INDEX($AC$9:$AC$55,28-2)),AND($DC37=1,$DC36=1,INDEX($AC$9:$AC$55,28+1)&lt;=(1-$FA$6)*$AC36,INDEX($AC$9:$AC$55,28+1)&lt;=(1-$FA$6)*INDEX($AC$9:$AC$55,28+2)),AND($DC36=1,OR(INDEX($DC$9:$DC$55,28-1)=0,INDEX($DC$9:$DC$55,28+1)=0))),IF(MIN($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MAX($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MAX($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f>
        <v/>
      </c>
      <c r="HL36">
        <f t="shared" si="93"/>
        <v>0</v>
      </c>
      <c r="HM36">
        <f>IFERROR(IF(AND($HL36=1,NOT(OR($AA36='King Node Model'!$T$22,$AA36='King Node Model'!$T$23,$AA36='King Node Model'!$F$24,AND($AG36="S",COUNTIF('Master Dashboard'!$AN$16:$AN$18,$AA36)&gt;0),AND($AG36="R",COUNTIF('Master Dashboard'!$AN$13:$AN$15,$AA36)&gt;0)))),1,0),0)</f>
        <v>0</v>
      </c>
      <c r="HN36">
        <f t="shared" si="94"/>
        <v>0</v>
      </c>
      <c r="HO36">
        <f t="shared" si="95"/>
        <v>0</v>
      </c>
      <c r="HP36">
        <f t="shared" si="96"/>
        <v>1</v>
      </c>
      <c r="HQ36" t="str">
        <f>IF(NOT(ISNUMBER($AA36)),"",IFERROR(TRIM(IF(N($MY36)=1,"DEXLEAN ","")&amp;IF(N($IZ36)=1,"DEXCAP ","")&amp;IF(AND($AG36="S",UPPER('King Node Model'!$L$5)="HIGH",$KC36="DOWN",N($AF36)&gt;0,$AA36='King Node Model'!$AN$70,$IY36="SELL"),"CHOPEDGEIV ","")&amp;IF(N($IS36)=1,"NOREV ","")&amp;IF(N($JY36)=1,"VFLAT ","")&amp;IF(N($KR36)=1,"GDEXVANNA ","")&amp;IF(N($LD36)=1,"KGSUPFAIL ","")&amp;IF(N($LE36)=1,"KGRESLEAK ","")&amp;IF(N($MH36)=1,"ZIGZAG ","")&amp;IF(N($KK36)=1,"DATAGAP ","")&amp;IF(N($KA36)&lt;&gt;0,"ACCUNDERCW ","")&amp;IF(AND($AG36="S",$HF36=1),"EDGE ","")&amp;IF(AND($HM36=1,'King Node Model'!$A$8="Pos",N($BG$72)&lt;&gt;1),"TROUGH ","")&amp;IF(AND($EU36=1,N($JZ36)&lt;&gt;1),"BUMP ","")&amp;IF(AND($GT36=1,N($JZ36)&lt;&gt;1),"SANDWICH ","")&amp;IF(AND($EX36&lt;&gt;1,OR('King Node Model'!$A$8="Neg",N($BG$72)=1),OR(AND(ISNUMBER($AC36),$AC36=MAX($AC$9:$AC$55)),AND(ISNUMBER($AB36),$AB36=MIN($AB$9:$AB$55))),NOT(AND(AND(ISNUMBER($AC36),$AC36=MAX($AC$9:$AC$55)),AND(ISNUMBER($AB36),$AB36=MIN($AB$9:$AB$55)))),$AG36="S",N($AB36)&lt;0,NOT(COUNTIF('Master Dashboard'!$AN$16:$AN$18,$AA36)&gt;0),NOT(AND(OR('King Node Model'!$A$8="Neg",N($BG$72)=1),ISNUMBER($AB36),$AB36=MIN($AB$9:$AB$55),$AA36=$BG$105))),"ACCEL ","")&amp;IF(AND($EX36&lt;&gt;1,ISNUMBER($AA36),OR('King Node Model'!$A$8="Neg",N($BG$72)=1),$EY36=1,NOT(AND($AG36="S",COUNTIF('Master Dashboard'!$AN$16:$AN$18,$AA36)&gt;0)),NOT(AND($AA36='King Node Model'!$B$23,IF($AG36="S",OR($AA36='King Node Model'!$C$24,COUNTIF('Master Dashboard'!$AN$16:$AN$18,$AA36)&gt;0),OR($AA36='King Node Model'!$C$23,COUNTIF('Master Dashboard'!$AN$13:$AN$15,$AA36)&gt;0)))),NOT(AND($EX36&lt;&gt;1,OR('King Node Model'!$A$8="Neg",N($BG$72)=1),OR(AND(ISNUMBER($AC36),$AC36=MAX($AC$9:$AC$55)),AND(ISNUMBER($AB36),$AB36=MIN($AB$9:$AB$55))),NOT(AND(AND(ISNUMBER($AC36),$AC36=MAX($AC$9:$AC$55)),AND(ISNUMBER($AB36),$AB36=MIN($AB$9:$AB$55)))),$AG36="S",N($AB36)&lt;0,NOT(COUNTIF('Master Dashboard'!$AN$16:$AN$18,$AA36)&gt;0)))),"AMPLIFY ","")&amp;IF(AND($AG36="S",OR('King Node Model'!$A$8="Neg",N($BG$72)=1),$AJ36&lt;&gt;1,N($MT36)&lt;&gt;1,NOT(AND(N($LR36)=1,N($MB36)=1)),ISNUMBER(SEARCH("ACCEL building",$CG36))),"ZACCEL ","")&amp;IF(AND($AG36="S",OR('King Node Model'!$A$8="Neg",N($BG$72)=1),$AA36='King Node Model'!$B$23,NOT(AND(AND(ISNUMBER($AC36),$AC36=MAX($AC$9:$AC$55)),AND(ISNUMBER($AB36),$AB36=MIN($AB$9:$AB$55)))),$EJ36&lt;&gt;1),"KINGACC ","")&amp;IF(AND($AG36="S",OR('King Node Model'!$A$8="Neg",N($BG$72)=1),ABS(N($AA36)-N('King Node Model'!$B$23))&lt;=$BG$107,NOT(AND(SUMPRODUCT((ABS($AF$9:$AF$55)&lt;=ABS(N($AF36)))*1)/COUNT($AF$9:$AF$55)&gt;=0.66,OR(ISNUMBER(SEARCH("firmer resistance",$CG36)),ISNUMBER(SEARCH("STRENGTHENING",$CG36)),ISNUMBER(SEARCH("firmer support",$CG36))))),NOT(AND(N($AB36)&gt;0,SUMPRODUCT((ABS($AB$9:$AB$55)&lt;=ABS(N($AB36)))*1)/COUNT($AB$9:$AB$55)&gt;=0.66)),$EJ36&lt;&gt;1,$AJ36&lt;&gt;1,COUNTIF('Master Dashboard'!$AN$16:$AN$18,$AA36)=0,NOT(AND($AG36="S",OR('King Node Model'!$A$8="Neg",N($BG$72)=1),$AA36='King Node Model'!$B$23,NOT(AND(AND(ISNUMBER($AC36),$AC36=MAX($AC$9:$AC$55)),AND(ISNUMBER($AB36),$AB36=MIN($AB$9:$AB$55)))),$EJ36&lt;&gt;1))),"KINGNODE ","")&amp;IF(AND($AG36="R",NOT(AND(AND(ISNUMBER($AC36),$AC36=MAX($AC$9:$AC$55)),AND(ISNUMBER($AB36),$AB36=MIN($AB$9:$AB$55)))),UPPER('King Node Model'!$L$5)="LOW",$KC36="DOWN",N($AF36)&gt;0),"LOWIVFALL ","")&amp;IF(AND($AG36="R",NOT(AND(AND(ISNUMBER($AC36),$AC36=MAX($AC$9:$AC$55)),AND(ISNUMBER($AB36),$AB36=MIN($AB$9:$AB$55)))),UPPER('King Node Model'!$L$5)="HIGH",$KC36="DOWN",N($AF36)&gt;0,IFERROR(MATCH($AA36,$W$9:$W$14,0)&gt;=4,FALSE)),"HIGHIVFALL ","")&amp;IF(AND($AG36="R",N($BG$99)=1),"SPOTUPVOLUP ","")&amp;IF(AND($AG36="R",ISNUMBER(SEARCH("5/5",'Master Dashboard'!$E$29)),OR(ISNUMBER(SEARCH("WEAKENING",$EQ36)),ISNUMBER(SEARCH("Pos gamma ↓",$EQ36)),ISNUMBER(SEARCH("thinning the ceiling",$EQ36)))),"SQUEEZE ","")&amp;IF(N($JU36)=1,"DEDGECLIFF ","")&amp;IF(N($KT36)=1,"DEXDRAIN ","")&amp;IF(N($HW36)&lt;&gt;0,"DEXDROP ","")&amp;IF(N($HX36)&lt;&gt;0,"PEAK+ ","")&amp;IF(N($IF36)=1,"CHOP ","")&amp;IF(N($IQ36)=1,"CONTESTED ","")&amp;IF(N($IW36)=1,"VSELL ","")&amp;IF(N($JK36)=1,"VBUYRES ","")&amp;IF(N($JL36)=1,"DOMFLAT ","")&amp;IF(N($JM36)=1,"DOMPULL ","")&amp;IF(N($JP36)=1,"OIZOMMA ","")&amp;IF(AND(N($JQ36)=1,N($JZ36)&lt;&gt;1),"OIDEX ","")),""))</f>
        <v>VSELL</v>
      </c>
      <c r="HS36">
        <f>IFERROR(IF(AND($DC36=1,OR(AND($AG36="R",INDEX($DC$9:$DC$55,27)=0,INDEX($DC$9:$DC$55,29)=1,INDEX($DC$9:$DC$55,30)=1),AND($AG36="S",INDEX($DC$9:$DC$55,29)=0,INDEX($DC$9:$DC$55,27)=1,INDEX($DC$9:$DC$55,26)=1))),1,0),0)</f>
        <v>0</v>
      </c>
      <c r="HT36">
        <f t="shared" si="97"/>
        <v>0</v>
      </c>
      <c r="HU36">
        <v>0</v>
      </c>
      <c r="HV36">
        <v>0</v>
      </c>
      <c r="HW36">
        <f>IFERROR(IF(OR(NOT(ISNUMBER($AA36)),'King Node Model'!$A$8&lt;&gt;"Pos",N($BG$72)=1,ABS(N($AE36))&lt;$BG$113,N($AV36)=1,$FA36="DOM",$AA36='King Node Model'!$T$23,AND(N($BG$116)=1,$AA36='King Node Model'!$F$24),NOT(ISNUMBER($KU36)),NOT(ISNUMBER($KV36))),0,IF(AND($AG36="S",COUNTIF('Master Dashboard'!$AN$16:$AN$18,$AA36)=0,$KU36&gt;=$BG$114,$KU36&gt;=$KV36+$BG$115,NOT(AND(N($AN37)=1,N($KV36)&lt;0)),N($AE36)&lt;=0),1,IF(AND($AG36="R",COUNTIF('Master Dashboard'!$AN$13:$AN$15,$AA36)=0,$KV36&gt;=$BG$114,$KV36&gt;=$KU36+$BG$115,NOT(AND(N($AN35)=1,N($KU36)&lt;0))),-1,0))),0)</f>
        <v>0</v>
      </c>
      <c r="HX36">
        <f>IFERROR(IF(AND(ISNUMBER($AA36),$FA36="PEAK+",N($AN36)&lt;&gt;1,NOT(AND('King Node Model'!$A$8="Pos",OR($AA36='King Node Model'!$T$22,$AA36='King Node Model'!$T$23,$AA36='King Node Model'!$F$24))),IF($AG36="S",COUNTIF('Master Dashboard'!$AN$16:$AN$18,$AA36)=0,IF($AG36="R",COUNTIF('Master Dashboard'!$AN$13:$AN$15,$AA36)=0,FALSE))),1,0),0)</f>
        <v>0</v>
      </c>
      <c r="HY36">
        <f t="shared" si="98"/>
        <v>-1.8508198235647315</v>
      </c>
      <c r="HZ36">
        <v>0</v>
      </c>
      <c r="IA36">
        <f>IFERROR(IF(AND(IF($BG$44=1,OR(ISNUMBER(SEARCH("Choppy",'King Node Model'!$S$38)),'King Node Model'!$S$52&lt;&gt;"",'King Node Model'!$A$8="Pos"),TRUE()),OR($DC36=1,$DC35=1,$DC37=1),ABS($AA36-$B$4)&lt;=$BG$7,ABS($AA36-$BG$28)&gt;=$BG$45,OR(AND($AA36&gt;$BG$28,$AG36="R"),AND($AA36&lt;$BG$28,$AG36="S",N($BG$154)=1)),ABS(IF($AA36&gt;$BG$28,$AE37,$AE35))&gt;=$BG$43,ABS(N(IF($AA36&gt;$BG$28,$AE35,$AE37)))&lt;=$BG$153*ABS(IF($AA36&gt;$BG$28,$AE37,$AE35)),IF(ISNUMBER($HZ36),$HZ36=1,AND(ISNUMBER($HY36),$HY36&gt;=$BG$42))),1,0),0)</f>
        <v>0</v>
      </c>
      <c r="IB36">
        <f t="shared" si="99"/>
        <v>0</v>
      </c>
      <c r="IC36" t="str">
        <f>IF(NOT(ISNUMBER($AA36)),"",IFERROR(MID(IF(AND($AC36=MAX($AC$9:$AC$55),$AB36=MIN($AB$9:$AB$55))," · DOM","")&amp;IF(AND($DC35=1,$DC36=1,$DC37=1,INDEX($AC$9:$AC$55,28-1)&lt;=(1-$FA$6)*$AC36,INDEX($AC$9:$AC$55,28-1)&lt;=(1-$FA$6)*INDEX($AC$9:$AC$55,28-2))," · GAP↑ → "&amp;INDEX($AA$9:$AA$55,28-2),"")&amp;IF(AND($DC37=1,$DC36=1,INDEX($AC$9:$AC$55,28+1)&lt;=(1-$FA$6)*$AC36,INDEX($AC$9:$AC$55,28+1)&lt;=(1-$FA$6)*INDEX($AC$9:$AC$55,28+2))," · GAP↓ → "&amp;INDEX($AA$9:$AA$55,28+2),"")&amp;IF($CZ36=1," · dEdge Cliff","")&amp;IF($GY36=1," · γWall","")&amp;IF(AND($DC36=1,$AB36&lt;0,$AC36&gt;=(1+$FA$6)*INDEX($AC$9:$AC$55,28-1),$AC36&gt;=(1+$FA$6)*INDEX($AC$9:$AC$55,28+1))," · PEAK-","")&amp;IF($GZ36=1," · γSh Edge","")&amp;IF($HL36=1," · Trough","")&amp;IF($HN36=1," · PEAK+","")&amp;IF($GF36=1," · Cluster",""),FIND(" · ",IF(AND($AC36=MAX($AC$9:$AC$55),$AB36=MIN($AB$9:$AB$55))," · DOM","")&amp;IF(AND($DC35=1,$DC36=1,$DC37=1,INDEX($AC$9:$AC$55,28-1)&lt;=(1-$FA$6)*$AC36,INDEX($AC$9:$AC$55,28-1)&lt;=(1-$FA$6)*INDEX($AC$9:$AC$55,28-2))," · GAP↑ → "&amp;INDEX($AA$9:$AA$55,28-2),"")&amp;IF(AND($DC37=1,$DC36=1,INDEX($AC$9:$AC$55,28+1)&lt;=(1-$FA$6)*$AC36,INDEX($AC$9:$AC$55,28+1)&lt;=(1-$FA$6)*INDEX($AC$9:$AC$55,28+2))," · GAP↓ → "&amp;INDEX($AA$9:$AA$55,28+2),"")&amp;IF($CZ36=1," · dEdge Cliff","")&amp;IF($GY36=1," · γWall","")&amp;IF(AND($DC36=1,$AB36&lt;0,$AC36&gt;=(1+$FA$6)*INDEX($AC$9:$AC$55,28-1),$AC36&gt;=(1+$FA$6)*INDEX($AC$9:$AC$55,28+1))," · PEAK-","")&amp;IF($GZ36=1," · γSh Edge","")&amp;IF($HL36=1," · Trough","")&amp;IF($HN36=1," · PEAK+","")&amp;IF($GF36=1," · Cluster",""),2),999),""))</f>
        <v/>
      </c>
      <c r="ID36" t="str">
        <f>IF(NOT(ISNUMBER($AA36)),"",IFERROR(MID(IF(AND($AC36=MAX($AC$9:$AC$55),$AB36=MIN($AB$9:$AB$55))," · DOM","")&amp;IF(AND($DC35=1,$DC36=1,$DC37=1,INDEX($AC$9:$AC$55,28-1)&lt;=(1-$FA$6)*$AC36,INDEX($AC$9:$AC$55,28-1)&lt;=(1-$FA$6)*INDEX($AC$9:$AC$55,28-2))," · GAP↑ → "&amp;INDEX($AA$9:$AA$55,28-2),"")&amp;IF(AND($DC37=1,$DC36=1,INDEX($AC$9:$AC$55,28+1)&lt;=(1-$FA$6)*$AC36,INDEX($AC$9:$AC$55,28+1)&lt;=(1-$FA$6)*INDEX($AC$9:$AC$55,28+2))," · GAP↓ → "&amp;INDEX($AA$9:$AA$55,28+2),"")&amp;IF($CZ36=1," · dEdge Cliff","")&amp;IF($GY36=1," · γWall","")&amp;IF(AND($DC36=1,$AB36&lt;0,$AC36&gt;=(1+$FA$6)*INDEX($AC$9:$AC$55,28-1),$AC36&gt;=(1+$FA$6)*INDEX($AC$9:$AC$55,28+1))," · PEAK-","")&amp;IF($GZ36=1," · γSh Edge","")&amp;IF($HL36=1," · Trough","")&amp;IF($HN36=1," · PEAK+","")&amp;IF(AND(NOT($HN36=1),NOT(AND($DC36=1,$AB36&lt;0)),N($GY36)&lt;&gt;1,N($GF36)&lt;&gt;1,N($GZ36)&lt;&gt;1,N($HL36)&lt;&gt;1,N($CZ36)&lt;&gt;1,NOT(AND($AC36=MAX($AC$9:$AC$55),$AB36=MIN($AB$9:$AB$55))),$AC36&gt;=(1+$FA$6)*INDEX($AC$9:$AC$55,28-1),$AC36&gt;=(1+$FA$6)*INDEX($AC$9:$AC$55,28+1))," · Knoll","")&amp;IF($GF36=1," · Cluster",""),4,999),""))</f>
        <v>γWall</v>
      </c>
      <c r="IF36">
        <f t="shared" si="100"/>
        <v>0</v>
      </c>
      <c r="IG36">
        <f>IFERROR(IF(AND(ISNUMBER($AA36),'King Node Model'!$A$8="Pos",OR($AG36="S",$AG36="R"),$IN36="interior",COUNTIF(IF($AG36="S",'Master Dashboard'!$AN$16:$AN$18,'Master Dashboard'!$AN$13:$AN$15),$AA36)=0,$AA36&lt;&gt;'King Node Model'!$T$22,$AA36&lt;&gt;'King Node Model'!$T$23,$AA36&lt;&gt;'King Node Model'!$F$24),1,0),0)</f>
        <v>0</v>
      </c>
      <c r="IH36">
        <f t="shared" si="101"/>
        <v>0</v>
      </c>
      <c r="II36">
        <f t="shared" si="190"/>
        <v>0</v>
      </c>
      <c r="IJ36">
        <f t="shared" si="102"/>
        <v>0</v>
      </c>
      <c r="IK36">
        <f t="shared" si="103"/>
        <v>0</v>
      </c>
      <c r="IL36">
        <f t="shared" si="191"/>
        <v>0</v>
      </c>
      <c r="IM36">
        <f t="shared" si="104"/>
        <v>0</v>
      </c>
      <c r="IN36" t="str">
        <f t="shared" si="105"/>
        <v/>
      </c>
      <c r="IO36">
        <v>0</v>
      </c>
      <c r="IP36">
        <v>0</v>
      </c>
      <c r="IQ36">
        <f>IFERROR(IF($AG36="S",IF(OR(COUNTIF($W$9:$W$14,$AA36)&gt;0,COUNTIF('King Node Model'!$AL$42:'King Node Model'!$AL$43,$AA36)&gt;0),1,0),IF($AG36="R",IF(OR(COUNTIF($W$18:$W$23,$AA36)&gt;0,COUNTIF('King Node Model'!$AL$49:'King Node Model'!$AL$50,$AA36)&gt;0),1,0),0)),0)</f>
        <v>0</v>
      </c>
      <c r="IS36">
        <f>IF(AND(ISNUMBER($AA36),N($AN36)&lt;&gt;1,N($LR36)&lt;&gt;1,OR(N($EN36)&lt;&gt;1,AND('King Node Model'!$A$8&lt;&gt;"Neg",N($BG$72)&lt;&gt;1)),$AA36&lt;&gt;'King Node Model'!$T$22,$AA36&lt;&gt;'King Node Model'!$T$23,$AA36&lt;&gt;'King Node Model'!$F$24,NOT(AND($AG36="S",COUNTIF('Master Dashboard'!$AN$16:$AN$18,$AA36)&gt;0)),NOT(AND($AG36="R",COUNTIF('Master Dashboard'!$AN$13:$AN$15,$AA36)&gt;0)),NOT(AND('King Node Model'!$A$8&lt;&gt;"Neg",N($BG$72)&lt;&gt;1,COUNTIF('Master Dashboard'!$AN$13:$AN$18,$AA36)&gt;0))),1,0)</f>
        <v>0</v>
      </c>
      <c r="IT36">
        <v>1</v>
      </c>
      <c r="IU36">
        <f>IF(AND(ISNUMBER($AA36),$AA36='King Node Model'!$F$24,$AA36&gt;$GJ$3,N($AD36)&lt;0,$F$4="High"),1,0)</f>
        <v>0</v>
      </c>
      <c r="IV36" t="str">
        <f>""</f>
        <v/>
      </c>
      <c r="IW36">
        <f>IFERROR(IF(AND(ISNUMBER($AA36),NOT(AND(N($LR36)=1,N($MB36)=1)),$AG36="S",OR('King Node Model'!$A$8="Neg",N($BG$72)=1),$JV36="SELL",ABS(N($AD36))&gt;=$BG$94,NOT(AND(N($AD36)&gt;0,N($BG$78)=1,MEDIAN($AA36-$BG$82,$B$4,$AA36+$BG$83)=$B$4))),1,0),0)</f>
        <v>1</v>
      </c>
      <c r="IX36">
        <f>IFERROR(IF(AND(ISNUMBER($AA36),$AG36="S",OR('King Node Model'!$A$8="Neg",N($BG$72)=1),N($AD36)&gt;0,N($BG$78)=1,MEDIAN($AA36-$BG$82,$B$4,$AA36+$BG$83)=$B$4),1,0),0)</f>
        <v>0</v>
      </c>
      <c r="IY36" t="str">
        <f t="shared" si="106"/>
        <v>SELL</v>
      </c>
      <c r="IZ36">
        <f>IFERROR(IF(AND(ISNUMBER($AA36),$FA36&lt;&gt;"DOM",$AA36&lt;&gt;'King Node Model'!$F$24,OR(AND($AG36="S",COUNTIF('Master Dashboard'!$AN$16:$AN$18,$AA36)=0,N(INDEX($AE$9:$AE$55,MATCH($AA36+$BG$84,$AA$9:$AA$55,0)))&lt;=-$BG$85),AND($AG36="R",COUNTIF('Master Dashboard'!$AN$13:$AN$15,$AA36)=0,N(INDEX($AE$9:$AE$55,MATCH($AA36-$BG$84,$AA$9:$AA$55,0)))&gt;=$BG$85))),1,0),0)</f>
        <v>0</v>
      </c>
      <c r="JC36">
        <f t="shared" si="108"/>
        <v>0</v>
      </c>
      <c r="JD36" t="str">
        <f t="shared" si="193"/>
        <v/>
      </c>
      <c r="JE36">
        <f>IF(ISNUMBER($AA36),N(IFERROR(INDEX('King Node Model'!$L$29:$L$75,MATCH($AA36,'King Node Model'!$A$29:$A$75,0)),0)),"")</f>
        <v>4587</v>
      </c>
      <c r="JF36">
        <f>IF(ISNUMBER($AA36),N(IFERROR(INDEX('King Node Model'!$K$29:$K$75,MATCH($AA36,'King Node Model'!$A$29:$A$75,0)),0)),"")</f>
        <v>1537</v>
      </c>
      <c r="JG36">
        <f t="shared" si="109"/>
        <v>2.9843851659076122</v>
      </c>
      <c r="JH36">
        <f t="shared" si="110"/>
        <v>0.33507739263134945</v>
      </c>
      <c r="JI36">
        <f t="shared" si="111"/>
        <v>0</v>
      </c>
      <c r="JJ36" t="str">
        <f t="shared" si="112"/>
        <v/>
      </c>
      <c r="JK36">
        <f t="shared" si="113"/>
        <v>0</v>
      </c>
      <c r="JL36">
        <f t="shared" si="114"/>
        <v>0</v>
      </c>
      <c r="JM36">
        <f t="shared" si="115"/>
        <v>0</v>
      </c>
      <c r="JN36">
        <f t="shared" si="116"/>
        <v>0</v>
      </c>
      <c r="JO36">
        <f t="shared" si="117"/>
        <v>0</v>
      </c>
      <c r="JP36">
        <f t="shared" si="118"/>
        <v>0</v>
      </c>
      <c r="JQ36">
        <f t="shared" si="119"/>
        <v>0</v>
      </c>
      <c r="JR36">
        <v>0</v>
      </c>
      <c r="JS36">
        <f>IFERROR(IF(AND(ISNUMBER($AA36),'King Node Model'!$A$8="Pos",OR($AG36="S",$AG36="R"),N($AB36)&gt;0,N($HP36)&lt;&gt;1,OR(AND($KC36="DOWN",N($AF36)&lt;0,N($AF36)=MIN($AF$9:$AF$55),-N($AF36)&gt;=MAX($AF$9:$AF$55)),AND($KC36="UP",N($AF36)&gt;0,N($AF36)=MAX($AF$9:$AF$55),N($AF36)&gt;=-MIN($AF$9:$AF$55)))),1,0),0)</f>
        <v>0</v>
      </c>
      <c r="JT36">
        <v>0</v>
      </c>
      <c r="JU36">
        <f>IFERROR(IF(AND(N($BG$109)=1,ISNUMBER($AA36),'King Node Model'!$A$8="Pos",N($CZ36)=1,N($AB36)&gt;0),1,0),0)</f>
        <v>0</v>
      </c>
      <c r="JV36" t="str">
        <f t="shared" si="120"/>
        <v>SELL</v>
      </c>
      <c r="JW36">
        <f t="shared" si="121"/>
        <v>0</v>
      </c>
      <c r="JX36">
        <f t="shared" si="122"/>
        <v>0</v>
      </c>
      <c r="JY36">
        <f t="shared" si="123"/>
        <v>0</v>
      </c>
      <c r="JZ36">
        <f t="shared" si="124"/>
        <v>0</v>
      </c>
      <c r="KA36">
        <f t="shared" si="125"/>
        <v>0</v>
      </c>
      <c r="KB36">
        <f t="shared" si="126"/>
        <v>0</v>
      </c>
      <c r="KC36" t="str">
        <f t="shared" si="127"/>
        <v>UP</v>
      </c>
      <c r="KE36" t="str">
        <f t="shared" si="128"/>
        <v>Now: weakening the floor (IV rising) · if IV falls: strengthens the floor · expected on arrival: WEAKENS ✗</v>
      </c>
      <c r="KF36" t="str">
        <f t="shared" si="129"/>
        <v>SELL</v>
      </c>
      <c r="KG36">
        <f t="shared" si="192"/>
        <v>0</v>
      </c>
      <c r="KH36" t="str">
        <f t="shared" si="130"/>
        <v/>
      </c>
      <c r="KI36" t="str">
        <f t="shared" si="131"/>
        <v/>
      </c>
      <c r="KJ36">
        <f t="shared" si="132"/>
        <v>0</v>
      </c>
      <c r="KK36">
        <f t="shared" si="133"/>
        <v>0</v>
      </c>
      <c r="KL36">
        <f t="shared" si="134"/>
        <v>0</v>
      </c>
      <c r="KM36">
        <f t="shared" si="135"/>
        <v>0</v>
      </c>
      <c r="KN36">
        <f t="shared" si="136"/>
        <v>0</v>
      </c>
      <c r="KO36">
        <v>0</v>
      </c>
      <c r="KP36">
        <f t="shared" si="137"/>
        <v>0</v>
      </c>
      <c r="KQ36">
        <f t="shared" si="138"/>
        <v>0</v>
      </c>
      <c r="KR36">
        <f t="shared" si="139"/>
        <v>0</v>
      </c>
      <c r="KS36">
        <f t="shared" si="140"/>
        <v>0</v>
      </c>
      <c r="KT36">
        <f t="shared" si="141"/>
        <v>0</v>
      </c>
      <c r="KU36">
        <f>IF(AND(ISNUMBER($AA36),ISNUMBER($AE36),ISNUMBER($AE35),N($AE36)&lt;&gt;0),($AE36-$AE35)/$AE36,"")</f>
      </c>
      <c r="KV36">
        <f>IF(AND(ISNUMBER($AA36),ISNUMBER($AE36),ISNUMBER($AE37),N($AE36)&lt;&gt;0),($AE36-$AE37)/$AE36,"")</f>
      </c>
      <c r="KW36">
        <f>IFERROR(IF(OR(NOT(ISNUMBER($AA36)),'King Node Model'!$A$8&lt;&gt;"Pos",N($BG$72)=1,ABS(N($AE36))&lt;$BG$113,$FA36="DOM",$AA36='King Node Model'!$T$23,AND(N($BG$116)=1,$AA36='King Node Model'!$F$24),NOT(ISNUMBER($KU36)),NOT(ISNUMBER($KV36))),0,IF(AND($AG36="S",COUNTIF('Master Dashboard'!$AN$16:$AN$18,$AA36)=0,$KU36&gt;=$BG$114,$KU36&gt;=$KV36+$BG$115),1,IF(AND($AG36="R",COUNTIF('Master Dashboard'!$AN$13:$AN$15,$AA36)=0,$KV36&gt;=$BG$114,$KV36&gt;=$KU36+$BG$115),-1,0))),0)</f>
        <v>0</v>
      </c>
      <c r="KX36">
        <f t="shared" si="144"/>
        <v>0</v>
      </c>
      <c r="KY36">
        <f t="shared" si="145"/>
        <v>0</v>
      </c>
      <c r="KZ36">
        <f t="shared" si="146"/>
        <v>0</v>
      </c>
      <c r="LA36">
        <f t="shared" si="147"/>
        <v>0</v>
      </c>
      <c r="LB36">
        <f t="shared" si="148"/>
        <v>0</v>
      </c>
      <c r="LC36">
        <f t="shared" si="149"/>
        <v>0</v>
      </c>
      <c r="LD36">
        <f t="shared" si="150"/>
        <v>0</v>
      </c>
      <c r="LE36">
        <f t="shared" si="151"/>
        <v>0</v>
      </c>
      <c r="LF36">
        <f t="shared" si="152"/>
        <v>0</v>
      </c>
      <c r="LG36" t="str">
        <f t="shared" si="153"/>
        <v/>
      </c>
      <c r="LH36" t="str">
        <f t="shared" si="154"/>
        <v/>
      </c>
      <c r="LI36" t="str">
        <f t="shared" si="155"/>
        <v/>
      </c>
      <c r="LJ36" t="str">
        <f t="shared" si="156"/>
        <v/>
      </c>
      <c r="LK36" t="str">
        <f t="shared" si="157"/>
        <v/>
      </c>
      <c r="LL36">
        <f t="shared" si="158"/>
        <v>0</v>
      </c>
      <c r="LM36">
        <f t="shared" si="159"/>
        <v>0</v>
      </c>
      <c r="LN36">
        <f t="shared" si="160"/>
        <v>0</v>
      </c>
      <c r="LO36">
        <v>0</v>
      </c>
      <c r="LP36">
        <f t="shared" si="161"/>
        <v>0</v>
      </c>
      <c r="LQ36" t="str">
        <f t="shared" si="162"/>
        <v/>
      </c>
      <c r="LR36">
        <f t="shared" si="163"/>
        <v>0</v>
      </c>
      <c r="LS36">
        <f t="shared" si="164"/>
        <v>0</v>
      </c>
      <c r="LT36">
        <f t="shared" si="165"/>
        <v>0</v>
      </c>
      <c r="LU36">
        <f t="shared" si="166"/>
        <v>0</v>
      </c>
      <c r="LV36">
        <f t="shared" si="167"/>
        <v>1</v>
      </c>
      <c r="LW36">
        <f t="shared" si="168"/>
        <v>617231</v>
      </c>
      <c r="LX36">
        <f t="shared" si="169"/>
        <v>0</v>
      </c>
      <c r="LY36">
        <f t="shared" si="170"/>
        <v>0</v>
      </c>
      <c r="LZ36">
        <f t="shared" si="171"/>
        <v>0</v>
      </c>
      <c r="MA36">
        <f t="shared" si="172"/>
        <v>0</v>
      </c>
      <c r="MB36">
        <v>0</v>
      </c>
      <c r="MC36">
        <f t="shared" si="173"/>
        <v>1</v>
      </c>
      <c r="MD36">
        <f t="shared" si="174"/>
        <v>1</v>
      </c>
      <c r="ME36">
        <f t="shared" si="175"/>
        <v>0</v>
      </c>
      <c r="MF36">
        <f t="shared" si="176"/>
        <v>0</v>
      </c>
      <c r="MG36">
        <f t="shared" si="177"/>
        <v>0</v>
      </c>
      <c r="MH36">
        <f t="shared" si="178"/>
        <v>0</v>
      </c>
      <c r="MI36" t="str">
        <f t="shared" si="179"/>
        <v/>
      </c>
      <c r="MJ36">
        <f t="shared" si="180"/>
        <v>0</v>
      </c>
      <c r="MK36">
        <f t="shared" si="181"/>
        <v>0</v>
      </c>
      <c r="ML36">
        <f>IF(AND(OR('King Node Model'!$A$8="Neg",N($BG$72)=1),ISNUMBER($AA36),$AG36="R",N($AB36)&lt;0),IF(AND($AA35=$AA36+5,N($AB35)&gt;0,$AA34=$AA36+10,N($AB34)&lt;0),1,IF(AND($AA35=$AA36+5,N($AB35)&gt;0,$AA34=$AA36+10,N($AB34)&gt;0,$AA33=$AA36+15,N($AB33)&lt;0),2,IF(AND($AA35=$AA36+5,N($AB35)&gt;0,$AA34=$AA36+10,N($AB34)&gt;0,$AA33=$AA36+15,N($AB33)&gt;0,$AA32=$AA36+20,N($AB32)&lt;0),3,IF(AND($AA35=$AA36+5,N($AB35)&gt;0,$AA34=$AA36+10,N($AB34)&gt;0,$AA33=$AA36+15,N($AB33)&gt;0,$AA32=$AA36+20,N($AB32)&gt;0,$AA31=$AA36+25,N($AB31)&lt;0),4,0)))),0)</f>
      </c>
      <c r="MM36">
        <f>IF(AND(OR('King Node Model'!$A$8="Neg",N($BG$72)=1),ISNUMBER($AA36),$AG36="S",N($AB36)&lt;0),IF(AND($AA37=$AA36-5,N($AB37)&gt;0,$AA38=$AA36-10,N($AB38)&lt;0),1,IF(AND($AA37=$AA36-5,N($AB37)&gt;0,$AA38=$AA36-10,N($AB38)&gt;0,$AA39=$AA36-15,N($AB39)&lt;0),2,IF(AND($AA37=$AA36-5,N($AB37)&gt;0,$AA38=$AA36-10,N($AB38)&gt;0,$AA39=$AA36-15,N($AB39)&gt;0,$AA40=$AA36-20,N($AB40)&lt;0),3,IF(AND($AA37=$AA36-5,N($AB37)&gt;0,$AA38=$AA36-10,N($AB38)&gt;0,$AA39=$AA36-15,N($AB39)&gt;0,$AA40=$AA36-20,N($AB40)&gt;0,$AA41=$AA36-25,N($AB41)&lt;0),4,0)))),0)</f>
      </c>
      <c r="MN36">
        <f>IF(N($ML36)&gt;0,$AA36,0)</f>
      </c>
      <c r="MO36">
        <f>IF(N($MM36)&gt;0,$AA36,0)</f>
      </c>
      <c r="MP36">
        <f>IF(AND(OR('King Node Model'!$A$8="Neg",N($BG$72)=1),ISNUMBER($BG$155),$AA36=$BG$155,N($NC36)=1),2,IF(AND(OR('King Node Model'!$A$8="Neg",N($BG$72)=1),ISNUMBER($BG$156),$AA36=$BG$156,N($ND36)=1),1,0))</f>
      </c>
      <c r="MQ36">
        <f>IF(ABS(AE36)&lt;=0,0,IF($AG36="R",IF(ISNUMBER(AE35),IF((ABS(AE35)-ABS(AE36))/ABS(AE36)&lt;-0.4,1,0),0),IF(ISNUMBER(AE37),IF((ABS(AE37)-ABS(AE36))/ABS(AE36)&lt;-0.4,1,0),0)))</f>
      </c>
      <c r="MR36">
        <f>IF(OR(N($MQ36)&lt;&gt;1,N($BG$157)&lt;&gt;1,NOT(ISNUMBER($KU36)),NOT(ISNUMBER($KV36))),0,IF(OR(AND($AG36="S",OR(AND($KU36&gt;=$BG$114,$KU36&gt;=$KV36+$BG$115),AND($KU36&gt;1,$KV36&lt;=1,$KV36&gt;=$BG$114))),AND($AG36="R",OR(AND($KV36&gt;=$BG$114,$KV36&gt;=$KU36+$BG$115),AND($KV36&gt;1,$KU36&lt;=1,$KU36&gt;=$BG$114)))),1,0))</f>
      </c>
      <c r="MS36" t="str">
        <f>IF(AND(N($MR36)=1,N($NA36)&lt;&gt;1),"• DEX falls off more sharply "&amp;IF($AG36="S","above (","below (")&amp;TEXT(IF($AG36="S",$KU36,$KV36),"0%")&amp;") than "&amp;IF($AG36="S","below (","above (")&amp;TEXT(IF($AG36="S",$KV36,$KU36),"0%")&amp;") — Dex↓ not counted",IF(N($MW36)=1,"• Shoulder of the "&amp;IF($AG36="R",$AA37,$AA35)&amp;" wall — own DEX "&amp;TEXT($AE36/1000,"+#,##0;-#,##0")&amp;"K is "&amp;TEXT(ABS($AE36)/ABS(IF($AG36="R",$AE37,$AE35)),"0%")&amp;" of "&amp;TEXT(IF($AG36="R",$AE37,$AE35)/1000,"+#,##0;-#,##0")&amp;"K, Dex↓ not counted",""))</f>
      </c>
      <c r="MT36">
        <f>IF(AND(ISNUMBER($AA36),$AG36="S",ISNUMBER($AB36),$AB36=MIN($AB$9:$AB$55),$AA36=$BG$105,$JV36="BUY",ABS(N($AD36))&gt;=$BG$158),1,0)</f>
      </c>
      <c r="MU36" t="str">
        <f>IF(N($MY36)=1,"",IF(OR(N($MT36)=1,AND(OR('King Node Model'!$A$8="Neg",N($BG$72)=1),$AG36="S",ISNUMBER($AB36),$AB36=MIN($AB$9:$AB$55),$AA36=$BG$105)),"• Min GEX + Max Zomma (no reversal flag required) — accelerant warning not applied; zomma acceleration warning only within "&amp;$BG$98&amp;" pts of the level, and not when vanna buying is "&amp;TEXT($BG$158/1000,"0")&amp;"K or more"&amp;CHAR(10)&amp;IF(N($MT36)=1,"• Max Zomma and vanna buying ("&amp;TEXT(N($AD36)/1000,"+#,##0;-#,##0")&amp;"K) make this level safe","• Max Zomma is what makes this level safe"),"")&amp;$NB36&amp;$NI36)</f>
      </c>
      <c r="MV36" t="str">
        <f>IF(AND(ISNUMBER($AA36),OR($AA36=$BG$118,$AA36=$BG$119)),IF(N($AZ36)*IF($AG36="R",1,-1)&gt;0,"✓",IF(N($AZ36)*IF($AG36="R",1,-1)&lt;0,"✗","")),"")</f>
      </c>
      <c r="MW36">
        <f>IF(AND(N($MQ36)=1,N($BG$159)&gt;0,ISNUMBER(IF($AG36="R",$AE37,$AE35)),N(IF($AG36="R",$AE37,$AE35))&lt;&gt;0),IF(ABS(N($AE36))&lt;$BG$159*ABS(IF($AG36="R",$AE37,$AE35)),1,0),0)</f>
      </c>
      <c r="MX36">
        <f>IF(AND(ISNUMBER($AA36),$AA36=$BG$121,$AG36="R",N($AE36)&lt;0,OR(COUNTIF('King Node Model'!$AL$42:$AL$44,$AA36)=0,N($HP36)=1),N($NC36)=1),2,IF(AND(ISNUMBER($AA36),$AA36=$BG$120,$AG36="S",N($AE36)&gt;0,OR(COUNTIF('King Node Model'!$AL$49:$AL$51,$AA36)=0,N($HP36)=1),N($ND36)=1),1,0))</f>
      </c>
      <c r="MY36">
        <f>IF(AND(N($NA36)=1,NOT(AND(AND($AG36="S",ISNUMBER($AB36),$AB36=MIN($AB$9:$AB$55),$AA36=$BG$105),IFERROR(INDEX($AG$9:$AG$55,MATCH('King Node Model'!$B$23,$AA$9:$AA$55,0)),"")="R")),N($AV36)&lt;&gt;1),1,0)</f>
      </c>
      <c r="MZ36" t="str">
        <f>IF(N($MY36)&lt;&gt;1,"","• DEX falls off more sharply "&amp;IF($AG36="S","above (","below (")&amp;TEXT(IF($AG36="S",$KU36,$KV36),"0%")&amp;") than "&amp;IF($AG36="S","below (","above (")&amp;TEXT(IF($AG36="S",$KV36,$KU36),"0%")&amp;") — path of least resistance "&amp;IF($AG36="S","down","up")&amp;IF(N($AZ36)*IF($AG36="R",1,-1)&lt;0,CHAR(10)&amp;"• Speed against — GEX gets more negative as price "&amp;IF($AG36="R","rises","falls")&amp;" into it (speed "&amp;TEXT(N($AZ36),"#,##0;−#,##0")&amp;")","")&amp;IF(OR(N($NG36)=1,N($JC36)=1),CHAR(10)&amp;"• "&amp;IF(N($JC36)=1,"DOM with vanna BUY "&amp;TEXT(N($AD36)/1000,"+#,##0;−#,##0")&amp;"K","Put wall + Max Zomma + DOM")&amp;" backs the level, but it does not outweigh DEX"&amp;IF(N($AZ36)*IF($AG36="R",1,-1)&lt;0," and speed",""),IF(AND($AG36="S",ISNUMBER($AB36),$AB36=MIN($AB$9:$AB$55),$AA36=$BG$105),CHAR(10)&amp;"• Min GEX + Max Zomma backs the level, but it does not outweigh DEX"&amp;IF(N($AZ36)*IF($AG36="R",1,-1)&lt;0," and speed",""),IF(OR(N($JI36)=1,AND(N($GV36)=1,N($JK36)&lt;&gt;1,N($IW36)&lt;&gt;1),N($JC36)=1,AND($AA36='King Node Model'!$F$24,N($JN36)&lt;&gt;1,OR($AG36="R",AND($AG36="S",$F$4="High",IF($BG$80&lt;&gt;"",UPPER($BG$80),$D$5)="UP")))),CHAR(10)&amp;"• Vanna "&amp;IF($AG36="S","BUY ","SELL ")&amp;TEXT(N($AD36)/1000,"+#,##0;−#,##0")&amp;"K backs the level, but it does not outweigh DEX"&amp;IF(N($AZ36)*IF($AG36="R",1,-1)&lt;0," and speed",""),"")))&amp;IF(N($NE36)=1,CHAR(10)&amp;"• Buy-lean max-node exemption not applied — DEX leans against the level",""))</f>
      </c>
      <c r="NA36">
        <f>IF(AND(OR('King Node Model'!$A$8="Neg",N($BG$72)=1),ISNUMBER($AA36),ABS(N($AE36))&gt;=$BG$152,ISNUMBER($KU36),ISNUMBER($KV36)),IF(OR(AND($AG36="S",OR(AND($KU36&gt;=$BG$114,$KU36&gt;=$KV36+$BG$115),AND($KU36&gt;1,$KV36&lt;=1,$KV36&gt;=$BG$114))),AND($AG36="R",OR(AND($KV36&gt;=$BG$114,$KV36&gt;=$KU36+$BG$115),AND($KV36&gt;1,$KU36&lt;=1,$KU36&gt;=$BG$114)))),1,0),0)</f>
      </c>
      <c r="NB36" t="str">
        <f>IF(AND(N($NA36)=1,AND(AND($AG36="S",ISNUMBER($AB36),$AB36=MIN($AB$9:$AB$55),$AA36=$BG$105),IFERROR(INDEX($AG$9:$AG$55,MATCH('King Node Model'!$B$23,$AA$9:$AA$55,0)),"")="R")),CHAR(10)&amp;"• DEX falls off more sharply above ("&amp;TEXT($KU36,"0%")&amp;") than below ("&amp;TEXT($KV36,"0%")&amp;") — DEX-lean warning not applied: Min GEX + Max Zomma support with Max Gamma "&amp;'King Node Model'!$B$23&amp;" above (Dex↓ not counted)",IF(AND(OR(N($NA36)=1,N($NF36)=1),N($AV36)=1),IF(AND(OR('King Node Model'!$A$8="Neg",N($BG$72)=1),$AG36="S",ISNUMBER($AB36),$AB36=MIN($AB$9:$AB$55),$AA36=$BG$105),CHAR(10),"")&amp;"• DEX falls off more sharply "&amp;IF($AG36="S","above (","below (")&amp;TEXT(IF($AG36="S",$KU36,$KV36),"0%")&amp;") than "&amp;IF($AG36="S","below (","above (")&amp;TEXT(IF($AG36="S",$KV36,$KU36),"0%")&amp;") — DEX lean does not apply to iDex (isolated DEX)",""))</f>
      </c>
      <c r="NC36">
        <f>IF(OR($BG$163=1,AND($BG$161&gt;0,$BG$162&lt;99999,ISNUMBER($AA36),$AA36&lt;$BG$162)),1,0)</f>
      </c>
      <c r="ND36">
        <f>IF(OR($BG$163=-1,AND($BG$161&gt;0,$BG$162&lt;99999,ISNUMBER($AA36),$AA36&gt;$BG$161)),1,0)</f>
      </c>
      <c r="NE36">
        <f>IF(AND(OR('King Node Model'!$A$8="Neg",N($BG$72)=1),ISNUMBER(SEARCH("LOW",'Master Dashboard'!$M$5)),ISNUMBER(SEARCH("BUY",'Master Dashboard'!$G$8)),'King Node Model'!$T$23='King Node Model'!$B$23,OR($AA36='King Node Model'!$T$23,AND($AG36="R",$AA36='King Node Model'!$T$23+5)),OR(AND($AG36="S",$JV36="BUY"),AND($AG36="R",$JV36="SELL"))),1,0)</f>
      </c>
      <c r="NF36">
        <f>IFERROR(IF(OR(NOT(ISNUMBER($AA36)),'King Node Model'!$A$8&lt;&gt;"Pos",N($BG$72)=1,ABS(N($AE36))&lt;$BG$113,$FA36="DOM",$AA36='King Node Model'!$T$23,AND(N($BG$116)=1,$AA36='King Node Model'!$F$24),NOT(ISNUMBER($KU36)),NOT(ISNUMBER($KV36))),0,IF(AND($AG36="S",COUNTIF('Master Dashboard'!$AN$16:$AN$18,$AA36)=0,$KU36&gt;=$BG$114,$KU36&gt;=$KV36+$BG$115,NOT(AND(N($AN37)=1,N($KV36)&lt;0)),N($AE36)&lt;=0),1,IF(AND($AG36="R",COUNTIF('Master Dashboard'!$AN$13:$AN$15,$AA36)=0,$KV36&gt;=$BG$114,$KV36&gt;=$KU36+$BG$115,NOT(AND(N($AN35)=1,N($KU36)&lt;0))),-1,0))),0)</f>
      </c>
      <c r="NG36">
        <f t="shared" si="202"/>
      </c>
      <c r="NI36" t="str">
        <f>IF(AND(ISNUMBER($BG$165),ISNUMBER($AA36)),IF(OR(AND($AG36="S",$AA36&gt;$BG$165,$AA36-$BG$165&lt;=5),AND($AG36="R",$AA36&lt;$BG$165,$BG$165-$AA36&lt;=5)),IF(OR(AND(OR('King Node Model'!$A$8="Neg",N($BG$72)=1),$AG36="S",ISNUMBER($AB36),$AB36=MIN($AB$9:$AB$55),$AA36=$BG$105),$NB36&lt;&gt;""),CHAR(10),"")&amp;"• DOM forming at "&amp;$BG$165&amp;" (gamma "&amp;TEXT($BG$166,"0%")&amp;" of max) — price may be pulled to the node",""),"")</f>
      </c>
      <c r="NJ36">
        <f>IF(LEN($NI36)&gt;0,1,0)</f>
      </c>
    </row>
    <row r="37" spans="27:349" ht="15" customHeight="1" x14ac:dyDescent="0.25">
      <c r="AA37" s="181">
        <f>'King Node Model'!A57</f>
        <v>7745</v>
      </c>
      <c r="AB37" s="276">
        <f>'King Node Model'!C57</f>
        <v>-1009366</v>
      </c>
      <c r="AC37" s="181">
        <f>ABS('King Node Model'!B57)</f>
        <v>1233853</v>
      </c>
      <c r="AD37" s="276">
        <f>'King Node Model'!F57</f>
        <v>2622675</v>
      </c>
      <c r="AE37" s="276">
        <f>'King Node Model'!E57</f>
        <v>-632</v>
      </c>
      <c r="AF37" s="276">
        <f>'King Node Model'!D57</f>
        <v>-4964885</v>
      </c>
      <c r="AG37" s="181" t="str">
        <f t="shared" si="6"/>
        <v>S</v>
      </c>
      <c r="AH37" s="181">
        <f t="shared" si="7"/>
        <v>6</v>
      </c>
      <c r="AI37" s="181" t="str">
        <f t="shared" si="8"/>
        <v>SELL</v>
      </c>
      <c r="AJ37" s="181">
        <f t="shared" si="9"/>
        <v>0</v>
      </c>
      <c r="AK37" s="181">
        <f>IF(ABS(N($AE37))&gt;=$BG$85,1,0)</f>
      </c>
      <c r="AL37" s="181">
        <f t="shared" si="10"/>
        <v>0</v>
      </c>
      <c r="AM37" s="181">
        <f t="shared" si="11"/>
        <v>2</v>
      </c>
      <c r="AN37" s="181">
        <f t="shared" si="12"/>
        <v>0</v>
      </c>
      <c r="AO37" s="1" t="str">
        <f t="shared" si="13"/>
        <v/>
      </c>
      <c r="AP37" s="1">
        <f t="shared" si="14"/>
        <v>632</v>
      </c>
      <c r="AQ37" s="1">
        <f t="shared" si="15"/>
        <v>4964885</v>
      </c>
      <c r="AR37" s="181">
        <f t="shared" si="16"/>
        <v>0.42075278691105639</v>
      </c>
      <c r="AS37" s="181" t="str">
        <f t="shared" si="17"/>
        <v/>
      </c>
      <c r="AT37" s="181" t="str">
        <f t="shared" si="18"/>
        <v/>
      </c>
      <c r="AU37" s="181" t="str">
        <f t="shared" si="19"/>
        <v/>
      </c>
      <c r="AV37" s="218">
        <f t="shared" si="183"/>
        <v>0</v>
      </c>
      <c r="AW37" s="181">
        <f>ABS('King Node Model'!G57)</f>
        <v>837</v>
      </c>
      <c r="AX37" s="181">
        <f t="shared" si="20"/>
        <v>1</v>
      </c>
      <c r="AY37" s="181">
        <f t="shared" si="21"/>
        <v>1</v>
      </c>
      <c r="AZ37" s="276">
        <f>'King Node Model'!I57</f>
        <v>14087</v>
      </c>
      <c r="BA37" s="181">
        <f t="shared" si="22"/>
        <v>0</v>
      </c>
      <c r="BB37" s="181" t="str">
        <f t="shared" si="23"/>
        <v/>
      </c>
      <c r="BC37" s="10">
        <f>'King Node Model'!C57</f>
        <v>-1009366</v>
      </c>
      <c r="BD37" s="218">
        <f t="shared" si="184"/>
        <v>1</v>
      </c>
      <c r="BE37" s="218">
        <f t="shared" si="185"/>
        <v>1</v>
      </c>
      <c r="BF37" s="218" t="s">
        <v>1246</v>
      </c>
      <c r="BG37">
        <v>3</v>
      </c>
      <c r="BI37" s="218">
        <f t="shared" si="186"/>
        <v>0</v>
      </c>
      <c r="BJ37" s="218">
        <f t="shared" si="187"/>
        <v>0</v>
      </c>
      <c r="BK37" s="218">
        <f t="shared" si="24"/>
        <v>1</v>
      </c>
      <c r="BL37" s="10">
        <f>'King Node Model'!H57</f>
        <v>74</v>
      </c>
      <c r="BM37" s="218">
        <f t="shared" si="25"/>
        <v>12</v>
      </c>
      <c r="BN37" s="218">
        <f t="shared" si="26"/>
        <v>3</v>
      </c>
      <c r="BO37" s="218">
        <f t="shared" si="27"/>
        <v>0</v>
      </c>
      <c r="BP37" s="218">
        <f t="shared" si="28"/>
        <v>0</v>
      </c>
      <c r="BQ37" t="str">
        <f t="shared" si="29"/>
        <v/>
      </c>
      <c r="BR37" t="str">
        <f t="shared" si="30"/>
        <v/>
      </c>
      <c r="BS37" s="218">
        <f t="shared" si="31"/>
        <v>0</v>
      </c>
      <c r="BT37" t="str">
        <f t="shared" si="32"/>
        <v/>
      </c>
      <c r="BU37" t="str">
        <f t="shared" si="33"/>
        <v/>
      </c>
      <c r="BV37" s="218">
        <f t="shared" si="34"/>
        <v>2622675</v>
      </c>
      <c r="BW37" s="218">
        <f t="shared" si="35"/>
        <v>632</v>
      </c>
      <c r="BX37" s="218">
        <f>IF(AND(ISNUMBER(BC37),BC37&gt;=$BG$160,OR('King Node Model'!$A$8="Neg",N($BG$72)=1)),1,0)</f>
        <v>0</v>
      </c>
      <c r="BY37" s="218">
        <f t="shared" si="36"/>
        <v>0</v>
      </c>
      <c r="BZ37" s="218">
        <f t="shared" si="37"/>
        <v>0</v>
      </c>
      <c r="CA37" t="str">
        <f t="shared" si="38"/>
        <v/>
      </c>
      <c r="CB37" s="218">
        <f>IF(AND(ISNUMBER('King Node Model'!$D$27),AG37&lt;&gt;"",AA37='King Node Model'!$D$27),1,0)</f>
        <v>0</v>
      </c>
      <c r="CC37" s="218">
        <f>IF(OR('King Node Model'!$A$8="Neg",N($BG$72)=1),$BG$14*IF(ISNUMBER('King Node Model'!$D$26),MAX(0,1-ABS(AA37-'King Node Model'!$D$26)/$BG$18),0)+$BG$15*IFERROR(BV37/MAX($BV$9:$BV$55),0)+$BG$16*IFERROR(BW37/MAX($BW$9:$BW$55),0)+$BG$17*IFERROR(AC37/$S$11,0)*MAX(0,1+$BG$21*CF37),AR37)</f>
        <v>0.79691031529415046</v>
      </c>
      <c r="CD37" s="218">
        <f>IF(OR('King Node Model'!$A$8="Neg",N($BG$72)=1),IF(AND(AG37&lt;&gt;"",ABS(AA37-$B$4)&lt;=$BG$7,OR(AX37=0,$D$5&lt;&gt;"UP"),AY37=0,BK37&lt;&gt;1,CI37=0,AM37&gt;=$BG$20,AC37&gt;$BG$19),1,0),IF(AND(BS37=1,(COUNTIF($W$9:$W$14,AA37)+COUNTIF($W$18:$W$23,AA37))&gt;0,CI37=0,AM37&gt;=$BG$20,AC37&gt;$BG$19),1,0))</f>
        <v>0</v>
      </c>
      <c r="CE37" s="322" t="str">
        <f t="shared" si="39"/>
        <v/>
      </c>
      <c r="CF37" s="218">
        <f t="shared" si="40"/>
        <v>0</v>
      </c>
      <c r="CG37" t="str">
        <f t="shared" si="41"/>
        <v/>
      </c>
      <c r="CH37" t="str">
        <f t="shared" si="42"/>
        <v>Dormant</v>
      </c>
      <c r="CI37" s="218">
        <f t="shared" si="43"/>
        <v>0</v>
      </c>
      <c r="CJ37" s="218">
        <f t="shared" si="44"/>
        <v>387420489</v>
      </c>
      <c r="CK37" s="218">
        <f t="shared" si="45"/>
        <v>0</v>
      </c>
      <c r="CL37" s="218">
        <f t="shared" si="46"/>
        <v>0</v>
      </c>
      <c r="CU37" s="218">
        <f>IF(AND(AND('King Node Model'!$A$8&lt;&gt;"Neg",N($BG$72)&lt;&gt;1),SUMPRODUCT(($AG$9:$AG$55="S")*ISNUMBER($AT$9:$AT$55)*ISNUMBER($AU$9:$AU$55)*($AT$9:$AT$55&lt;&gt;$AU$9:$AU$55)*($AT$9:$AT$55&lt;=$AA37)*($AU$9:$AU$55&gt;=$AA37))&gt;0),0,IF(AND(OR($AA37='King Node Model'!$T$22,$AA37='King Node Model'!$F$24),$AG37="R",COUNTIF($W$9:$W$14,$AA37)&gt;0),1,IF(AND($FN37=1,$EU37&lt;&gt;1,$EM37&lt;&gt;1,$BK37&lt;&gt;1,$DH37&lt;&gt;1,$AG37="R",COUNTIF($W$9:$W$14,$AA37)&gt;0),1,IF($EU37=1,0,IF($EM37=1,0,IF(AND(OR($EE37=1,$GV37=1,AND($EL$7=1,$AA37='King Node Model'!$D$26,$EI37=1),AND(OR($AA37='King Node Model'!$T$22,$AA37='King Node Model'!$T$23),$AN37=1,OR($AX37=0,$D$5&lt;&gt;"UP"))),OR(NOT(OR('King Node Model'!$A$8="Neg",N($BG$72)=1)),$GV37=1,AND(OR($AA37='King Node Model'!$T$22,$AA37='King Node Model'!$T$23),$AN37=1,OR($AX37=0,$D$5&lt;&gt;"UP")),AND($AM37&gt;=$BG$20,$AC37&gt;IF($CZ37=1,$BG$48,$BG$19)))),1,IF($DH37=1,0,IF(AND($DC37=1,$GS37&lt;&gt;1,AND('King Node Model'!$A$8&lt;&gt;"Neg",N($BG$72)&lt;&gt;1)),0,IF(AND($EY37=1,NOT(OR('King Node Model'!$A$8="Neg",$BG$72=1)),$AA37&lt;&gt;'King Node Model'!$B$23),0,IF(AND($GS37=1,$AG37="R",OR($CI37=0,$EE37=1,$EX37=1,$GV37=1),COUNTIF($W$9:$W$14,$AA37)&gt;0,ABS($AA37-$B$4)&lt;=$BG$7,$BK37&lt;&gt;1,$AM37&gt;=$BG$20,$AC37&gt;IF($CZ37=1,$BG$48,$BG$19)),1,IF(OR('King Node Model'!$A$8="Neg",N($BG$72)=1),IF(AND(OR($AM37&gt;=$BG$20,$AA37='King Node Model'!$D$26,$GV37=1),$AG37="R",COUNTIF($W$9:$W$14,$AA37)&gt;0,ABS($AA37-$B$4)&lt;=$BG$7,OR($AX37=0,$D$5&lt;&gt;"UP"),$BK37&lt;&gt;1,OR(OR($CI37=0,$AJ37=1),AND($EI37=1,$LA37=1,COUNTIF($W$9:$W$11,$AA37)&gt;0,$AN37=1,OR($AX37=0,$D$5&lt;&gt;"UP"))),$AM37&gt;=$BG$20,$AC37&gt;IF($CZ37=1,$BG$48,$BG$19),OR($AN37=1,N($LR37)=1,$AA37='King Node Model'!$D$26,AND($BY37=1,$AA37&gt;$B$4),$BX37=1,$CF37=1,$CF37=1,AND(OR($AA37=$CP$4,$AA37=$CP$5,$AA37=$CP$6,$AA37=$CP$7),ABS($AA37-$B$4)&lt;=30),AND($AX37=1,$D$5="DOWN"))),1,0),IF(AND(OR($AM37&gt;=3,$AA37='King Node Model'!$D$26,$GV37=1),$AG37="R",COUNTIF($W$9:$W$14,$AA37)&gt;0,ABS($AA37-$B$4)&lt;=$BG$7,OR($AX37=0,$D$5&lt;&gt;"UP"),$BK37&lt;&gt;1,OR($CI37=0,$AJ37=1),$AM37&gt;=$BG$20,$AC37&gt;IF($CZ37=1,$BG$48,$BG$19),OR($AC37&gt;=MAX($AC$9:$AC$55),$BC37&gt;0,$AA37='King Node Model'!$D$26,AND(OR($AA37=$CP$4,$AA37=$CP$5,$AA37=$CP$6,$AA37=$CP$7),ABS($AA37-$B$4)&lt;=30),$CF37=1,$AN37=1,AND($AX37=1,$D$5="DOWN"))),1,0))))))))))))</f>
        <v>0</v>
      </c>
      <c r="CV37" s="218">
        <f>IF(AND(OR('King Node Model'!$A$8="Neg",N($BG$72)=1),$AG37="S",N($LR37)=1,N($MB37)=1),1,IF(AND(AND('King Node Model'!$A$8&lt;&gt;"Neg",N($BG$72)&lt;&gt;1),SUMPRODUCT(($AG$9:$AG$55="R")*ISNUMBER($AT$9:$AT$55)*ISNUMBER($AU$9:$AU$55)*($AT$9:$AT$55&lt;&gt;$AU$9:$AU$55)*($AT$9:$AT$55&lt;=$AA37)*($AU$9:$AU$55&gt;=$AA37))&gt;0,NOT(AND(N($LC37)=1,$AA37='King Node Model'!$B$23))),0,IF(AND($AA37='King Node Model'!$F$24,$AG37="S",COUNTIF($W$18:$W$23,$AA37)&gt;0),1,IF(AND($FN37=1,$EU37&lt;&gt;1,$EM37&lt;&gt;1,$DH37&lt;&gt;1,$AG37="S",COUNTIF($W$18:$W$23,$AA37)&gt;0),1,IF($EU37=1,0,IF(AND(OR($EF37=1,$GV37=1,AND(OR($AA37='King Node Model'!$T$22,$AA37='King Node Model'!$T$23,AND($AG37="S",COUNTIF('Master Dashboard'!$AN$16:$AN$18,$AA37)&gt;0)),$AN37=1,OR($AX37=0,$D$5&lt;&gt;"UP"))),OR(NOT(OR('King Node Model'!$A$8="Neg",N($BG$72)=1)),$GV37=1,AND(OR($AA37='King Node Model'!$T$22,$AA37='King Node Model'!$T$23,AND($AG37="S",COUNTIF('Master Dashboard'!$AN$16:$AN$18,$AA37)&gt;0)),$AN37=1,OR($AX37=0,$D$5&lt;&gt;"UP")),AND($AM37&gt;=$BG$20,$AC37&gt;IF($CZ37=1,$BG$48,$BG$19)))),1,IF($DH37=1,0,IF(AND($DC37=1,$GS37&lt;&gt;1,AND('King Node Model'!$A$8&lt;&gt;"Neg",N($BG$72)&lt;&gt;1)),0,IF(AND($EY37=1,NOT(OR('King Node Model'!$A$8="Neg",$BG$72=1)),$AA37&lt;&gt;'King Node Model'!$B$23,COUNTIF('Master Dashboard'!$AN$16:$AN$18,$AA37)=0),0,IF(AND($GS37=1,$AG37="S",OR($CI37=0,$EF37=1,$EX37=1,$GV37=1),COUNTIF($W$18:$W$23,$AA37)&gt;0,ABS($AA37-$B$4)&lt;=$BG$7,$BK37&lt;&gt;1,$AM37&gt;=$BG$20,$AC37&gt;IF($CZ37=1,$BG$48,$BG$19)),1,IF(OR('King Node Model'!$A$8="Neg",N($BG$72)=1),IF(AND(OR(OR($AM37&gt;=$BG$20,N($LR37)=1),$AA37='King Node Model'!$D$26,$GV37=1),$AG37="S",COUNTIF($W$18:$W$23,$AA37)&gt;0,ABS($AA37-$B$4)&lt;=$BG$7,OR($AX37=0,$D$5&lt;&gt;"UP"),$BK37&lt;&gt;1,OR($CI37=0,$AJ37=1,AND(N($LR37)=1,N($MB37)=1),N($MT37)=1),OR($AM37&gt;=$BG$20,N($LR37)=1),$AC37&gt;IF($CZ37=1,$BG$48,$BG$19),OR($AB37&gt;0,$AN37=1,N($MT37)=1,N($LR37)=1,$AA37='King Node Model'!$D$26,AND($BY37=1,$AA37&lt;$B$4),$BX37=1,$CF37=1,$CF37=1,AND(OR($AA37=$CP$4,$AA37=$CP$5,$AA37=$CP$6,$AA37=$CP$7),ABS($AA37-$B$4)&lt;=30),AND($AX37=1,$D$5="DOWN"))),1,0),IF(AND(OR($AM37&gt;=3,$AA37='King Node Model'!$D$26,$GV37=1),$AG37="S",COUNTIF($W$18:$W$23,$AA37)&gt;0,ABS($AA37-$B$4)&lt;=$BG$7,OR($AX37=0,$D$5&lt;&gt;"UP"),$BK37&lt;&gt;1,OR($CI37=0,$AJ37=1,AND(N($LR37)=1,N($MB37)=1),N($MT37)=1),$AM37&gt;=$BG$20,$AC37&gt;IF($CZ37=1,$BG$48,$BG$19),OR($AC37&gt;=MAX($AC$9:$AC$55),$BC37&gt;0,N($MT37)=1,$AA37='King Node Model'!$D$26,AND(OR($AA37=$CP$4,$AA37=$CP$5,$AA37=$CP$6,$AA37=$CP$7),ABS($AA37-$B$4)&lt;=30),$CF37=1,$AN37=1,AND($AX37=1,$D$5="DOWN"))),1,0))))))))))))</f>
        <v>0</v>
      </c>
      <c r="CX37" s="218">
        <f t="shared" si="48"/>
        <v>0</v>
      </c>
      <c r="CY37" t="str">
        <f t="shared" si="49"/>
        <v/>
      </c>
      <c r="CZ37" s="218">
        <f t="shared" si="50"/>
        <v>0</v>
      </c>
      <c r="DA37" t="str">
        <f t="shared" si="51"/>
        <v/>
      </c>
      <c r="DB37">
        <f t="shared" si="52"/>
        <v>1233853</v>
      </c>
      <c r="DC37" s="218">
        <f t="shared" si="53"/>
        <v>1</v>
      </c>
      <c r="DD37" s="218">
        <f t="shared" si="54"/>
        <v>1</v>
      </c>
      <c r="DE37" s="218">
        <f t="shared" si="55"/>
        <v>2</v>
      </c>
      <c r="DF37">
        <f t="shared" si="56"/>
        <v>7740</v>
      </c>
      <c r="DG37">
        <f t="shared" si="57"/>
        <v>7745</v>
      </c>
      <c r="DH37" s="218">
        <f t="shared" si="58"/>
        <v>0</v>
      </c>
      <c r="DI37">
        <v>1</v>
      </c>
      <c r="DJ37">
        <v>1</v>
      </c>
      <c r="DK37">
        <v>482934</v>
      </c>
      <c r="DL37">
        <v>0</v>
      </c>
      <c r="DM37" t="str">
        <f>IF(AND($CV37=1,$AG37="S"),IF(AND(OR('King Node Model'!$A$8="Neg",N($BG$72)=1),'King Node Model'!$S$52=""),IF(OR(N($AN37)=1,N($LR37)=1,$AB37&gt;0,$AJ37=1,N($JO37)=1,AND(NOT($AE37&gt;0),NOT(IFERROR(AND(ISNUMBER($BC37),ISNUMBER($BC36),($BC37&gt;=0)&lt;&gt;($BC36&gt;=0)),FALSE())),OR(AND($BM37&lt;=6,$BN37&lt;=6),ABS($AA37-'King Node Model'!$T$23)&lt;=5,$LA37=1))),1,0),1),"")</f>
        <v/>
      </c>
      <c r="DN37" t="str">
        <f t="shared" si="59"/>
        <v/>
      </c>
      <c r="DO37" t="str">
        <f t="shared" si="60"/>
        <v>W-list</v>
      </c>
      <c r="DP37" t="str">
        <f>IF(AND(OR('King Node Model'!$A$8="Neg",N($BG$72)=1),$AG37="S",ISNUMBER($AT37),ISNUMBER($AU37),$AT37&lt;&gt;$AU37,$AA37=$AT37),IF(AND(SUMPRODUCT(($AA$9:$AA$55&gt;=$AT37)*($AA$9:$AA$55&lt;=$AU37)*($AB$9:$AB$55&gt;0))&gt;0,SUMPRODUCT(($AA$9:$AA$55&gt;=$AT37)*($AA$9:$AA$55&lt;=$AU37)*($DM$9:$DM$55=1))&gt;0,SUMPRODUCT(($AA$9:$AA$55&gt;=$AT37)*($AA$9:$AA$55&lt;=$AU37)*(COUNTIF($W$18:$W$20,$AA$9:$AA$55)&gt;0))&gt;0),1,0),"")</f>
        <v/>
      </c>
      <c r="DS37">
        <v>0</v>
      </c>
      <c r="DT37">
        <v>0</v>
      </c>
      <c r="DU37" t="str">
        <f>IF('King Node Model'!$A$8&lt;&gt;"Pos","",IF(OR($AA37="",NOT(ISNUMBER($AA37)),ABS($AA37-$B$4)&gt;$BG$7),"",TEXT($AA37,"0")&amp;" | "&amp;IF($AG37="","unclassified",IF($AG37&lt;&gt;IF($AA37&gt;$B$4,"R","S"),"orphan: in "&amp;$AG37&amp;"-list, "&amp;IF($AA37&lt;$B$4,"below","above")&amp;" spot",IF(IF($AG37="R",COUNTIF($W$9:$W$14,$AA37),COUNTIF($W$18:$W$23,$AA37))=0,"not in "&amp;$AG37&amp;"-list",IF($DH37=1,"absorbed into shelf box",IF($BK37=1,"absorbed: adjacent reversal",IF($CI37=1,"accel-accelerant",IF($AC37&lt;=$BG$19,"below gamma-floor",IF($AM37&lt;$BG$20,"confluence "&amp;TEXT($AM37,"0")&amp;" &lt; "&amp;TEXT($BG$20,"0"),IF(AND($AX37=1,$D$5="UP"),"accelerant in up-move",IF(NOT(OR($AC37&gt;=MAX($AC$9:$AC$55),$BC37&gt;0,$AA37='King Node Model'!$D$26,AND(OR($AA37=$CP$4,$AA37=$CP$5,$AA37=$CP$6,$AA37=$CP$7),ABS($AA37-$B$4)&lt;=30),ISNUMBER(SEARCH("STRENGTHENING",$CG37)),$AN37=1,AND($AX37=1,$D$5="DOWN"))),"no surface flag","-&gt; qualifies"))))))))))))</f>
        <v/>
      </c>
      <c r="DV37" s="218">
        <f t="shared" si="61"/>
        <v>99999</v>
      </c>
      <c r="DW37" s="218">
        <f t="shared" si="62"/>
        <v>99999</v>
      </c>
      <c r="DX37" t="str">
        <f>IF('King Node Model'!$A$8&lt;&gt;"Pos","",IF(AND($DV37&lt;99999,$DV37=MIN($DV$9:$DV$55),$DG37&gt;$AA37),"R-box: "&amp;TEXT($AA37,"0")&amp;"-"&amp;TEXT($DG37,"0"),IF(AND($DW37&lt;99999,$DW37=MIN($DW$9:$DW$55),$DF37&lt;$AA37),"S-box: "&amp;TEXT($DF37,"0")&amp;"-"&amp;TEXT($AA37,"0"),"")))</f>
        <v/>
      </c>
      <c r="EB37">
        <f t="shared" si="63"/>
        <v>30.390000000000327</v>
      </c>
      <c r="EC37">
        <f t="shared" si="64"/>
        <v>538591</v>
      </c>
      <c r="ED37">
        <f t="shared" si="65"/>
        <v>0</v>
      </c>
      <c r="EE37">
        <f>IF(AND(OR('King Node Model'!$A$8="Neg",N($BG$72)=1),$AG37="R",ISNUMBER($EB37),$EB37&lt;=$BG$7,$AB37&gt;0,$EC37&gt;0,$AB37=$EC37),1,0)</f>
        <v>0</v>
      </c>
      <c r="EF37">
        <f>IF(AND(OR('King Node Model'!$A$8="Neg",N($BG$72)=1),$AG37="S",ISNUMBER($EB37),$EB37&lt;=$BG$7,$AB37&gt;0,$ED37&gt;0,$AB37=$ED37),1,0)</f>
        <v>0</v>
      </c>
      <c r="EI37">
        <v>1</v>
      </c>
      <c r="EJ37">
        <f>IF($AA37="",0,IF(SUMPRODUCT(($AA$9:$AA$55&gt;=$AT37)*($AA$9:$AA$55&lt;=$AU37)*($DT$9:$DT$55=1))+SUMPRODUCT(($DT$9:$DT$55=1)*($AT$9:$AT$55&lt;=$AA37)*($AU$9:$AU$55&gt;=$AA37))+($DT37=1)+AND(OR('King Node Model'!$A$8="Neg",N($BG$72)=1),ISNUMBER(SEARCH("LOW",'Master Dashboard'!$M$5)),ISNUMBER(SEARCH("BUY",'Master Dashboard'!$G$8)),'King Node Model'!$T$23='King Node Model'!$B$23,$AA37&gt;='King Node Model'!$T$23,$AA37&lt;='King Node Model'!$T$23+5)*1&gt;0,1,0))</f>
        <v>0</v>
      </c>
      <c r="EM37">
        <f t="shared" si="66"/>
        <v>0</v>
      </c>
      <c r="EN37">
        <v>0</v>
      </c>
      <c r="EO37">
        <f t="shared" si="67"/>
        <v>0</v>
      </c>
      <c r="EP37">
        <f t="shared" si="68"/>
        <v>0</v>
      </c>
      <c r="EQ37" t="str">
        <f t="shared" si="69"/>
        <v>ACCEL building · Neg gamma ↑ (weaker support) (sub-threshold)</v>
      </c>
      <c r="ES37">
        <f>IF(AND(ISNUMBER(AA37),ISNUMBER(AF37),ABS(AA37-'King Node Model'!$B$4)&lt;=$BG$7),ABS(AF37),"")</f>
        <v>4964885</v>
      </c>
      <c r="ET37">
        <v>0</v>
      </c>
      <c r="EU37" s="218">
        <f>IF(AND(OR('King Node Model'!$A$8="Neg",N($BG$72)=1),ISNUMBER($AA36),ISNUMBER($AA37),ISNUMBER($AA38),ISNUMBER($AB36),ISNUMBER($AB37),ISNUMBER($AB38),ISNUMBER($AF37),$AB37&gt;0,$AB36&lt;0,$AB38&lt;0,$AF37&lt;0),1,0)</f>
        <v>0</v>
      </c>
      <c r="EW37">
        <f>IF(OR(N($MY37)=1,N($JM37)=1),0,N($NE37))</f>
        <v>0</v>
      </c>
      <c r="EX37">
        <f>IF(AND(OR('King Node Model'!$A$8="Neg",N($BG$72)=1),ISNUMBER($AA37),OR(AND($AA37='King Node Model'!$F$24,OR(AND($AG37="S",$F$4="High",IF($BG$80&lt;&gt;"",UPPER($BG$80),$D$5)="DOWN"),AND($AG37="R",$F$4="Low",IF($BG$80&lt;&gt;"",UPPER($BG$80),$D$5)="UP"))),$GV37=1)),1,0)</f>
        <v>0</v>
      </c>
      <c r="EY37">
        <f>IFERROR(IF(AND($DC37=1,$AB37&lt;0,$AC37&gt;=(1+$FA$6)*INDEX($AC$9:$AC$55,29-1),$AC37&gt;=(1+$FA$6)*INDEX($AC$9:$AC$55,29+1),$AC37&gt;=IFERROR(INDEX($AC$9:$AC$55,29-2),0),$AC37&gt;=IFERROR(INDEX($AC$9:$AC$55,29+2),0)),1,0),0)</f>
        <v>0</v>
      </c>
      <c r="FA37" t="str">
        <f>IF(NOT(ISNUMBER($AA37)),"",IFERROR(IF(AND($AC37=MAX($AC$9:$AC$55),$AB37=MIN($AB$9:$AB$55)),"DOM",IF(AND($DC36=1,$DC37=1,$DC38=1,INDEX($AC$9:$AC$55,29-1)&lt;=(1-$FA$6)*$AC37,INDEX($AC$9:$AC$55,29-1)&lt;=(1-$FA$6)*INDEX($AC$9:$AC$55,29-2)),"GAP↑",IF(AND($DC38=1,$DC37=1,INDEX($AC$9:$AC$55,29+1)&lt;=(1-$FA$6)*$AC37,INDEX($AC$9:$AC$55,29+1)&lt;=(1-$FA$6)*INDEX($AC$9:$AC$55,29+2)),"GAP↓",IF($CZ37=1,"dEdge Cliff",IF($GY37=1,"γWall",IF(AND($DC37=1,$AB37&lt;0,$AC37&gt;=(1+$FA$6)*INDEX($AC$9:$AC$55,29-1),$AC37&gt;=(1+$FA$6)*INDEX($AC$9:$AC$55,29+1)),"PEAK-",IF($GZ37=1,"γSh Edge",IF($HL37=1,"Trough",IF($HN37=1,"PEAK+",IF($GF37=1,"Cluster","")))))))))),""))</f>
        <v/>
      </c>
      <c r="FB37" t="str">
        <f t="shared" si="70"/>
        <v/>
      </c>
      <c r="FC37" t="str">
        <f t="shared" si="71"/>
        <v/>
      </c>
      <c r="FD37">
        <f>IF(AND(ISNUMBER($AA37),ISNUMBER('King Node Model'!$AP$17),ISNUMBER('King Node Model'!$AQ$17),$AA37&gt;=MIN('King Node Model'!$AP$17,'King Node Model'!$AQ$17),$AA37&lt;=MAX('King Node Model'!$AP$17,'King Node Model'!$AQ$17),IFERROR(INDEX($AC$9:$AC$55,MATCH('King Node Model'!$AL$42,$AA$9:$AA$55,0)),0)&gt;0,$AC37&gt;=(1-$FA$6)*IFERROR(INDEX($AC$9:$AC$55,MATCH('King Node Model'!$AL$42,$AA$9:$AA$55,0)),0),$AC37&lt;=(1+$FA$6)*IFERROR(INDEX($AC$9:$AC$55,MATCH('King Node Model'!$AL$42,$AA$9:$AA$55,0)),0)),1,0)</f>
        <v>0</v>
      </c>
      <c r="FE37">
        <f>IF($AA37='King Node Model'!$AL$42,1,IF(AND($FD37=1,$FE36=1),1,0))</f>
        <v>0</v>
      </c>
      <c r="FF37">
        <f>IF($AA37='King Node Model'!$AL$42,1,IF(AND($FD37=1,$FF38=1),1,0))</f>
        <v>0</v>
      </c>
      <c r="FG37" t="str">
        <f>IF(OR($FE37=1,$FF37=1),29,"")</f>
        <v/>
      </c>
      <c r="FJ37">
        <f>IF(AND($CW$2=1,ISNUMBER($AA37),ISNUMBER($CW$3),ISNUMBER($CW$4),$AA37&gt;=MIN($CW$3,$CW$4),$AA37&lt;=MAX($CW$3,$CW$4),IFERROR(INDEX($AC$9:$AC$55,MATCH('King Node Model'!$AP$67,$AA$9:$AA$55,0)),0)&gt;0,$AC37&gt;=(1-$FA$6)*IFERROR(INDEX($AC$9:$AC$55,MATCH('King Node Model'!$AP$67,$AA$9:$AA$55,0)),0),$AC37&lt;=(1+$FA$6)*IFERROR(INDEX($AC$9:$AC$55,MATCH('King Node Model'!$AP$67,$AA$9:$AA$55,0)),0)),1,0)</f>
        <v>0</v>
      </c>
      <c r="FK37">
        <f>IF(AND($CW$2=1,$AA37='King Node Model'!$AP$67),1,IF(AND($FJ37=1,$FK36=1),1,0))</f>
        <v>0</v>
      </c>
      <c r="FL37">
        <f>IF(AND($CW$2=1,$AA37='King Node Model'!$AP$67),1,IF(AND($FJ37=1,$FL38=1),1,0))</f>
        <v>0</v>
      </c>
      <c r="FM37" t="str">
        <f>IF(OR($FK37=1,$FL37=1),29,"")</f>
        <v/>
      </c>
      <c r="FN37">
        <v>0</v>
      </c>
      <c r="FR37" t="str">
        <f t="shared" si="72"/>
        <v/>
      </c>
      <c r="FS37">
        <f t="shared" si="188"/>
        <v>0</v>
      </c>
      <c r="FT37">
        <f t="shared" si="73"/>
        <v>-0.81806017410501897</v>
      </c>
      <c r="FU37">
        <f t="shared" si="74"/>
        <v>1233853</v>
      </c>
      <c r="FV37">
        <f>IF($FW37=0,"",IF(OR($FW36=0,SIGN(IFERROR($BC37*1,0))&lt;&gt;SIGN(IFERROR($BC36*1,0)),$GH37=1,$GH36=1),MAX($FV$9:$FV36)+1,$FV36))</f>
        <v>10</v>
      </c>
      <c r="FW37">
        <f t="shared" si="75"/>
        <v>1</v>
      </c>
      <c r="FX37">
        <f t="shared" si="76"/>
        <v>1233853</v>
      </c>
      <c r="FY37">
        <f t="shared" si="77"/>
        <v>1</v>
      </c>
      <c r="FZ37">
        <f t="shared" si="189"/>
        <v>1</v>
      </c>
      <c r="GA37">
        <f t="shared" si="78"/>
        <v>1</v>
      </c>
      <c r="GB37">
        <f t="shared" si="79"/>
        <v>1</v>
      </c>
      <c r="GC37">
        <f t="shared" si="80"/>
        <v>1233853</v>
      </c>
      <c r="GD37">
        <f t="shared" si="81"/>
        <v>7745</v>
      </c>
      <c r="GE37">
        <f t="shared" si="82"/>
        <v>7745</v>
      </c>
      <c r="GF37">
        <f t="shared" si="83"/>
        <v>0</v>
      </c>
      <c r="GH37">
        <f>IFERROR(IF(AND($AC37&gt;=(1+$FA$6)*INDEX($AC$9:$AC$55,29-1),$AC37&gt;=(1+$FA$6)*INDEX($AC$9:$AC$55,29+1)),1,0),0)</f>
        <v>0</v>
      </c>
      <c r="GK37">
        <v>0</v>
      </c>
      <c r="GO37">
        <v>0</v>
      </c>
      <c r="GP37">
        <v>0</v>
      </c>
      <c r="GQ37">
        <f t="shared" si="84"/>
        <v>0</v>
      </c>
      <c r="GR37">
        <f t="shared" si="85"/>
        <v>0</v>
      </c>
      <c r="GS37">
        <f>IF(AND($EY37=1,$AA37&lt;&gt;'King Node Model'!$B$23),0,IF(OR($GQ37=1,$GR37=1),1,IF($DC37=1,IF(OR('King Node Model'!$A$8="Neg",N($BG$72)=1),IF(OR(AND($AC37=MAX($AC$9:$AC$55),$AB37=MIN($AB$9:$AB$55)),$AN37=1,$EE37=1,$EF37=1,$EX37=1,$GV37=1),1,0),1),0)))</f>
        <v>0</v>
      </c>
      <c r="GT37">
        <f>IFERROR(IF(AND(OR('King Node Model'!$A$8="Neg",N($BG$72)=1),$EU36=1,$AG37="R",ISNUMBER($AA37),ISNUMBER($AF37),$AF37&lt;&gt;0,$AA37&gt;$B$4-$BG$9,$AA37-$B$4&lt;=$BG$47,IF($KC37="UP",SIGN($AF37),IF($KC37="DOWN",-SIGN($AF37),0))&lt;&gt;1),1,0),0)</f>
        <v>0</v>
      </c>
      <c r="GU37" t="str">
        <f t="shared" si="86"/>
        <v/>
      </c>
      <c r="GV37">
        <f t="shared" si="87"/>
        <v>0</v>
      </c>
      <c r="GW37" t="str">
        <f t="shared" si="88"/>
        <v/>
      </c>
      <c r="GX37">
        <f t="shared" si="89"/>
        <v>30.390000000000327</v>
      </c>
      <c r="GY37">
        <f t="shared" si="90"/>
        <v>0</v>
      </c>
      <c r="GZ37">
        <f t="shared" si="91"/>
        <v>0</v>
      </c>
      <c r="HA37">
        <v>1</v>
      </c>
      <c r="HF37">
        <f>IFERROR(IF(AND($GZ37=1,'King Node Model'!$A$8="Pos",$D$5="UP",$CF37=-1,$AJ37&lt;&gt;1),1,0),0)</f>
        <v>0</v>
      </c>
      <c r="HG37">
        <f t="shared" si="92"/>
        <v>1</v>
      </c>
      <c r="HH37">
        <f>IF($GZ37=1,"",IFERROR(IF(NOT(ISNUMBER($AA37)),"",IF($EY37=1,"",IF($GF37=1,IF($GD37=$GE37,"",$GD37),IF(OR(AND($DC36=1,$DC37=1,$DC38=1,INDEX($AC$9:$AC$55,29-1)&lt;=(1-$FA$6)*$AC37,INDEX($AC$9:$AC$55,29-1)&lt;=(1-$FA$6)*INDEX($AC$9:$AC$55,29-2)),AND($DC38=1,$DC37=1,INDEX($AC$9:$AC$55,29+1)&lt;=(1-$FA$6)*$AC37,INDEX($AC$9:$AC$55,29+1)&lt;=(1-$FA$6)*INDEX($AC$9:$AC$55,29+2)),AND($DC37=1,OR(INDEX($DC$9:$DC$55,29-1)=0,INDEX($DC$9:$DC$55,29+1)=0))),IF(MIN($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MAX($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MIN($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f>
        <v>7740</v>
      </c>
      <c r="HI37">
        <f>IF($GZ37=1,"",IFERROR(IF(NOT(ISNUMBER($AA37)),"",IF($EY37=1,"",IF($GF37=1,IF($GD37=$GE37,"",$GE37),IF(OR(AND($DC36=1,$DC37=1,$DC38=1,INDEX($AC$9:$AC$55,29-1)&lt;=(1-$FA$6)*$AC37,INDEX($AC$9:$AC$55,29-1)&lt;=(1-$FA$6)*INDEX($AC$9:$AC$55,29-2)),AND($DC38=1,$DC37=1,INDEX($AC$9:$AC$55,29+1)&lt;=(1-$FA$6)*$AC37,INDEX($AC$9:$AC$55,29+1)&lt;=(1-$FA$6)*INDEX($AC$9:$AC$55,29+2)),AND($DC37=1,OR(INDEX($DC$9:$DC$55,29-1)=0,INDEX($DC$9:$DC$55,29+1)=0))),IF(MIN($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MAX($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MAX($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f>
        <v>7745</v>
      </c>
      <c r="HL37">
        <f t="shared" si="93"/>
        <v>0</v>
      </c>
      <c r="HM37">
        <f>IFERROR(IF(AND($HL37=1,NOT(OR($AA37='King Node Model'!$T$22,$AA37='King Node Model'!$T$23,$AA37='King Node Model'!$F$24,AND($AG37="S",COUNTIF('Master Dashboard'!$AN$16:$AN$18,$AA37)&gt;0),AND($AG37="R",COUNTIF('Master Dashboard'!$AN$13:$AN$15,$AA37)&gt;0)))),1,0),0)</f>
        <v>0</v>
      </c>
      <c r="HN37">
        <f t="shared" si="94"/>
        <v>0</v>
      </c>
      <c r="HO37">
        <f t="shared" si="95"/>
        <v>0</v>
      </c>
      <c r="HP37">
        <f t="shared" si="96"/>
        <v>1</v>
      </c>
      <c r="HQ37" t="str">
        <f>IF(NOT(ISNUMBER($AA37)),"",IFERROR(TRIM(IF(N($MY37)=1,"DEXLEAN ","")&amp;IF(N($IZ37)=1,"DEXCAP ","")&amp;IF(AND($AG37="S",UPPER('King Node Model'!$L$5)="HIGH",$KC37="DOWN",N($AF37)&gt;0,$AA37='King Node Model'!$AN$70,$IY37="SELL"),"CHOPEDGEIV ","")&amp;IF(N($IS37)=1,"NOREV ","")&amp;IF(N($JY37)=1,"VFLAT ","")&amp;IF(N($KR37)=1,"GDEXVANNA ","")&amp;IF(N($LD37)=1,"KGSUPFAIL ","")&amp;IF(N($LE37)=1,"KGRESLEAK ","")&amp;IF(N($MH37)=1,"ZIGZAG ","")&amp;IF(N($KK37)=1,"DATAGAP ","")&amp;IF(N($KA37)&lt;&gt;0,"ACCUNDERCW ","")&amp;IF(AND($AG37="S",$HF37=1),"EDGE ","")&amp;IF(AND($HM37=1,'King Node Model'!$A$8="Pos",N($BG$72)&lt;&gt;1),"TROUGH ","")&amp;IF(AND($EU37=1,N($JZ37)&lt;&gt;1),"BUMP ","")&amp;IF(AND($GT37=1,N($JZ37)&lt;&gt;1),"SANDWICH ","")&amp;IF(AND($EX37&lt;&gt;1,OR('King Node Model'!$A$8="Neg",N($BG$72)=1),OR(AND(ISNUMBER($AC37),$AC37=MAX($AC$9:$AC$55)),AND(ISNUMBER($AB37),$AB37=MIN($AB$9:$AB$55))),NOT(AND(AND(ISNUMBER($AC37),$AC37=MAX($AC$9:$AC$55)),AND(ISNUMBER($AB37),$AB37=MIN($AB$9:$AB$55)))),$AG37="S",N($AB37)&lt;0,NOT(COUNTIF('Master Dashboard'!$AN$16:$AN$18,$AA37)&gt;0),NOT(AND(OR('King Node Model'!$A$8="Neg",N($BG$72)=1),ISNUMBER($AB37),$AB37=MIN($AB$9:$AB$55),$AA37=$BG$105))),"ACCEL ","")&amp;IF(AND($EX37&lt;&gt;1,ISNUMBER($AA37),OR('King Node Model'!$A$8="Neg",N($BG$72)=1),$EY37=1,NOT(AND($AG37="S",COUNTIF('Master Dashboard'!$AN$16:$AN$18,$AA37)&gt;0)),NOT(AND($AA37='King Node Model'!$B$23,IF($AG37="S",OR($AA37='King Node Model'!$C$24,COUNTIF('Master Dashboard'!$AN$16:$AN$18,$AA37)&gt;0),OR($AA37='King Node Model'!$C$23,COUNTIF('Master Dashboard'!$AN$13:$AN$15,$AA37)&gt;0)))),NOT(AND($EX37&lt;&gt;1,OR('King Node Model'!$A$8="Neg",N($BG$72)=1),OR(AND(ISNUMBER($AC37),$AC37=MAX($AC$9:$AC$55)),AND(ISNUMBER($AB37),$AB37=MIN($AB$9:$AB$55))),NOT(AND(AND(ISNUMBER($AC37),$AC37=MAX($AC$9:$AC$55)),AND(ISNUMBER($AB37),$AB37=MIN($AB$9:$AB$55)))),$AG37="S",N($AB37)&lt;0,NOT(COUNTIF('Master Dashboard'!$AN$16:$AN$18,$AA37)&gt;0)))),"AMPLIFY ","")&amp;IF(AND($AG37="S",OR('King Node Model'!$A$8="Neg",N($BG$72)=1),$AJ37&lt;&gt;1,N($MT37)&lt;&gt;1,NOT(AND(N($LR37)=1,N($MB37)=1)),ISNUMBER(SEARCH("ACCEL building",$CG37))),"ZACCEL ","")&amp;IF(AND($AG37="S",OR('King Node Model'!$A$8="Neg",N($BG$72)=1),$AA37='King Node Model'!$B$23,NOT(AND(AND(ISNUMBER($AC37),$AC37=MAX($AC$9:$AC$55)),AND(ISNUMBER($AB37),$AB37=MIN($AB$9:$AB$55)))),$EJ37&lt;&gt;1),"KINGACC ","")&amp;IF(AND($AG37="S",OR('King Node Model'!$A$8="Neg",N($BG$72)=1),ABS(N($AA37)-N('King Node Model'!$B$23))&lt;=$BG$107,NOT(AND(SUMPRODUCT((ABS($AF$9:$AF$55)&lt;=ABS(N($AF37)))*1)/COUNT($AF$9:$AF$55)&gt;=0.66,OR(ISNUMBER(SEARCH("firmer resistance",$CG37)),ISNUMBER(SEARCH("STRENGTHENING",$CG37)),ISNUMBER(SEARCH("firmer support",$CG37))))),NOT(AND(N($AB37)&gt;0,SUMPRODUCT((ABS($AB$9:$AB$55)&lt;=ABS(N($AB37)))*1)/COUNT($AB$9:$AB$55)&gt;=0.66)),$EJ37&lt;&gt;1,$AJ37&lt;&gt;1,COUNTIF('Master Dashboard'!$AN$16:$AN$18,$AA37)=0,NOT(AND($AG37="S",OR('King Node Model'!$A$8="Neg",N($BG$72)=1),$AA37='King Node Model'!$B$23,NOT(AND(AND(ISNUMBER($AC37),$AC37=MAX($AC$9:$AC$55)),AND(ISNUMBER($AB37),$AB37=MIN($AB$9:$AB$55)))),$EJ37&lt;&gt;1))),"KINGNODE ","")&amp;IF(AND($AG37="R",NOT(AND(AND(ISNUMBER($AC37),$AC37=MAX($AC$9:$AC$55)),AND(ISNUMBER($AB37),$AB37=MIN($AB$9:$AB$55)))),UPPER('King Node Model'!$L$5)="LOW",$KC37="DOWN",N($AF37)&gt;0),"LOWIVFALL ","")&amp;IF(AND($AG37="R",NOT(AND(AND(ISNUMBER($AC37),$AC37=MAX($AC$9:$AC$55)),AND(ISNUMBER($AB37),$AB37=MIN($AB$9:$AB$55)))),UPPER('King Node Model'!$L$5)="HIGH",$KC37="DOWN",N($AF37)&gt;0,IFERROR(MATCH($AA37,$W$9:$W$14,0)&gt;=4,FALSE)),"HIGHIVFALL ","")&amp;IF(AND($AG37="R",N($BG$99)=1),"SPOTUPVOLUP ","")&amp;IF(AND($AG37="R",ISNUMBER(SEARCH("5/5",'Master Dashboard'!$E$29)),OR(ISNUMBER(SEARCH("WEAKENING",$EQ37)),ISNUMBER(SEARCH("Pos gamma ↓",$EQ37)),ISNUMBER(SEARCH("thinning the ceiling",$EQ37)))),"SQUEEZE ","")&amp;IF(N($JU37)=1,"DEDGECLIFF ","")&amp;IF(N($KT37)=1,"DEXDRAIN ","")&amp;IF(N($HW37)&lt;&gt;0,"DEXDROP ","")&amp;IF(N($HX37)&lt;&gt;0,"PEAK+ ","")&amp;IF(N($IF37)=1,"CHOP ","")&amp;IF(N($IQ37)=1,"CONTESTED ","")&amp;IF(N($IW37)=1,"VSELL ","")&amp;IF(N($JK37)=1,"VBUYRES ","")&amp;IF(N($JL37)=1,"DOMFLAT ","")&amp;IF(N($JM37)=1,"DOMPULL ","")&amp;IF(N($JP37)=1,"OIZOMMA ","")&amp;IF(AND(N($JQ37)=1,N($JZ37)&lt;&gt;1),"OIDEX ","")),""))</f>
        <v>NOREV VSELL</v>
      </c>
      <c r="HS37">
        <f>IFERROR(IF(AND($DC37=1,OR(AND($AG37="R",INDEX($DC$9:$DC$55,28)=0,INDEX($DC$9:$DC$55,30)=1,INDEX($DC$9:$DC$55,31)=1),AND($AG37="S",INDEX($DC$9:$DC$55,30)=0,INDEX($DC$9:$DC$55,28)=1,INDEX($DC$9:$DC$55,27)=1))),1,0),0)</f>
        <v>0</v>
      </c>
      <c r="HT37">
        <f t="shared" si="97"/>
        <v>0</v>
      </c>
      <c r="HU37">
        <v>0</v>
      </c>
      <c r="HV37">
        <v>0</v>
      </c>
      <c r="HW37">
        <f>IFERROR(IF(OR(NOT(ISNUMBER($AA37)),'King Node Model'!$A$8&lt;&gt;"Pos",N($BG$72)=1,ABS(N($AE37))&lt;$BG$113,N($AV37)=1,$FA37="DOM",$AA37='King Node Model'!$T$23,AND(N($BG$116)=1,$AA37='King Node Model'!$F$24),NOT(ISNUMBER($KU37)),NOT(ISNUMBER($KV37))),0,IF(AND($AG37="S",COUNTIF('Master Dashboard'!$AN$16:$AN$18,$AA37)=0,$KU37&gt;=$BG$114,$KU37&gt;=$KV37+$BG$115,NOT(AND(N($AN38)=1,N($KV37)&lt;0)),N($AE37)&lt;=0),1,IF(AND($AG37="R",COUNTIF('Master Dashboard'!$AN$13:$AN$15,$AA37)=0,$KV37&gt;=$BG$114,$KV37&gt;=$KU37+$BG$115,NOT(AND(N($AN36)=1,N($KU37)&lt;0))),-1,0))),0)</f>
        <v>0</v>
      </c>
      <c r="HX37">
        <f>IFERROR(IF(AND(ISNUMBER($AA37),$FA37="PEAK+",N($AN37)&lt;&gt;1,NOT(AND('King Node Model'!$A$8="Pos",OR($AA37='King Node Model'!$T$22,$AA37='King Node Model'!$T$23,$AA37='King Node Model'!$F$24))),IF($AG37="S",COUNTIF('Master Dashboard'!$AN$16:$AN$18,$AA37)=0,IF($AG37="R",COUNTIF('Master Dashboard'!$AN$13:$AN$15,$AA37)=0,FALSE))),1,0),0)</f>
        <v>0</v>
      </c>
      <c r="HY37">
        <f t="shared" si="98"/>
        <v>0.99897607216747053</v>
      </c>
      <c r="HZ37">
        <v>1</v>
      </c>
      <c r="IA37">
        <f>IFERROR(IF(AND(IF($BG$44=1,OR(ISNUMBER(SEARCH("Choppy",'King Node Model'!$S$38)),'King Node Model'!$S$52&lt;&gt;"",'King Node Model'!$A$8="Pos"),TRUE()),OR($DC37=1,$DC36=1,$DC38=1),ABS($AA37-$B$4)&lt;=$BG$7,ABS($AA37-$BG$28)&gt;=$BG$45,OR(AND($AA37&gt;$BG$28,$AG37="R"),AND($AA37&lt;$BG$28,$AG37="S",N($BG$154)=1)),ABS(IF($AA37&gt;$BG$28,$AE38,$AE36))&gt;=$BG$43,ABS(N(IF($AA37&gt;$BG$28,$AE36,$AE38)))&lt;=$BG$153*ABS(IF($AA37&gt;$BG$28,$AE38,$AE36)),IF(ISNUMBER($HZ37),$HZ37=1,AND(ISNUMBER($HY37),$HY37&gt;=$BG$42))),1,0),0)</f>
        <v>1</v>
      </c>
      <c r="IB37">
        <f t="shared" si="99"/>
        <v>0</v>
      </c>
      <c r="IC37" t="str">
        <f>IF(NOT(ISNUMBER($AA37)),"",IFERROR(MID(IF(AND($AC37=MAX($AC$9:$AC$55),$AB37=MIN($AB$9:$AB$55))," · DOM","")&amp;IF(AND($DC36=1,$DC37=1,$DC38=1,INDEX($AC$9:$AC$55,29-1)&lt;=(1-$FA$6)*$AC37,INDEX($AC$9:$AC$55,29-1)&lt;=(1-$FA$6)*INDEX($AC$9:$AC$55,29-2))," · GAP↑ → "&amp;INDEX($AA$9:$AA$55,29-2),"")&amp;IF(AND($DC38=1,$DC37=1,INDEX($AC$9:$AC$55,29+1)&lt;=(1-$FA$6)*$AC37,INDEX($AC$9:$AC$55,29+1)&lt;=(1-$FA$6)*INDEX($AC$9:$AC$55,29+2))," · GAP↓ → "&amp;INDEX($AA$9:$AA$55,29+2),"")&amp;IF($CZ37=1," · dEdge Cliff","")&amp;IF($GY37=1," · γWall","")&amp;IF(AND($DC37=1,$AB37&lt;0,$AC37&gt;=(1+$FA$6)*INDEX($AC$9:$AC$55,29-1),$AC37&gt;=(1+$FA$6)*INDEX($AC$9:$AC$55,29+1))," · PEAK-","")&amp;IF($GZ37=1," · γSh Edge","")&amp;IF($HL37=1," · Trough","")&amp;IF($HN37=1," · PEAK+","")&amp;IF($GF37=1," · Cluster",""),FIND(" · ",IF(AND($AC37=MAX($AC$9:$AC$55),$AB37=MIN($AB$9:$AB$55))," · DOM","")&amp;IF(AND($DC36=1,$DC37=1,$DC38=1,INDEX($AC$9:$AC$55,29-1)&lt;=(1-$FA$6)*$AC37,INDEX($AC$9:$AC$55,29-1)&lt;=(1-$FA$6)*INDEX($AC$9:$AC$55,29-2))," · GAP↑ → "&amp;INDEX($AA$9:$AA$55,29-2),"")&amp;IF(AND($DC38=1,$DC37=1,INDEX($AC$9:$AC$55,29+1)&lt;=(1-$FA$6)*$AC37,INDEX($AC$9:$AC$55,29+1)&lt;=(1-$FA$6)*INDEX($AC$9:$AC$55,29+2))," · GAP↓ → "&amp;INDEX($AA$9:$AA$55,29+2),"")&amp;IF($CZ37=1," · dEdge Cliff","")&amp;IF($GY37=1," · γWall","")&amp;IF(AND($DC37=1,$AB37&lt;0,$AC37&gt;=(1+$FA$6)*INDEX($AC$9:$AC$55,29-1),$AC37&gt;=(1+$FA$6)*INDEX($AC$9:$AC$55,29+1))," · PEAK-","")&amp;IF($GZ37=1," · γSh Edge","")&amp;IF($HL37=1," · Trough","")&amp;IF($HN37=1," · PEAK+","")&amp;IF($GF37=1," · Cluster",""),2),999),""))</f>
        <v/>
      </c>
      <c r="ID37" t="str">
        <f>IF(NOT(ISNUMBER($AA37)),"",IFERROR(MID(IF(AND($AC37=MAX($AC$9:$AC$55),$AB37=MIN($AB$9:$AB$55))," · DOM","")&amp;IF(AND($DC36=1,$DC37=1,$DC38=1,INDEX($AC$9:$AC$55,29-1)&lt;=(1-$FA$6)*$AC37,INDEX($AC$9:$AC$55,29-1)&lt;=(1-$FA$6)*INDEX($AC$9:$AC$55,29-2))," · GAP↑ → "&amp;INDEX($AA$9:$AA$55,29-2),"")&amp;IF(AND($DC38=1,$DC37=1,INDEX($AC$9:$AC$55,29+1)&lt;=(1-$FA$6)*$AC37,INDEX($AC$9:$AC$55,29+1)&lt;=(1-$FA$6)*INDEX($AC$9:$AC$55,29+2))," · GAP↓ → "&amp;INDEX($AA$9:$AA$55,29+2),"")&amp;IF($CZ37=1," · dEdge Cliff","")&amp;IF($GY37=1," · γWall","")&amp;IF(AND($DC37=1,$AB37&lt;0,$AC37&gt;=(1+$FA$6)*INDEX($AC$9:$AC$55,29-1),$AC37&gt;=(1+$FA$6)*INDEX($AC$9:$AC$55,29+1))," · PEAK-","")&amp;IF($GZ37=1," · γSh Edge","")&amp;IF($HL37=1," · Trough","")&amp;IF($HN37=1," · PEAK+","")&amp;IF(AND(NOT($HN37=1),NOT(AND($DC37=1,$AB37&lt;0)),N($GY37)&lt;&gt;1,N($GF37)&lt;&gt;1,N($GZ37)&lt;&gt;1,N($HL37)&lt;&gt;1,N($CZ37)&lt;&gt;1,NOT(AND($AC37=MAX($AC$9:$AC$55),$AB37=MIN($AB$9:$AB$55))),$AC37&gt;=(1+$FA$6)*INDEX($AC$9:$AC$55,29-1),$AC37&gt;=(1+$FA$6)*INDEX($AC$9:$AC$55,29+1))," · Knoll","")&amp;IF($GF37=1," · Cluster",""),4,999),""))</f>
        <v/>
      </c>
      <c r="IF37">
        <f t="shared" si="100"/>
        <v>0</v>
      </c>
      <c r="IG37">
        <f>IFERROR(IF(AND(ISNUMBER($AA37),'King Node Model'!$A$8="Pos",OR($AG37="S",$AG37="R"),$IN37="interior",COUNTIF(IF($AG37="S",'Master Dashboard'!$AN$16:$AN$18,'Master Dashboard'!$AN$13:$AN$15),$AA37)=0,$AA37&lt;&gt;'King Node Model'!$T$22,$AA37&lt;&gt;'King Node Model'!$T$23,$AA37&lt;&gt;'King Node Model'!$F$24),1,0),0)</f>
        <v>0</v>
      </c>
      <c r="IH37">
        <f t="shared" si="101"/>
        <v>0</v>
      </c>
      <c r="II37">
        <f t="shared" si="190"/>
        <v>0</v>
      </c>
      <c r="IJ37">
        <f t="shared" si="102"/>
        <v>0</v>
      </c>
      <c r="IK37">
        <f t="shared" si="103"/>
        <v>0</v>
      </c>
      <c r="IL37">
        <f t="shared" si="191"/>
        <v>0</v>
      </c>
      <c r="IM37">
        <f t="shared" si="104"/>
        <v>0</v>
      </c>
      <c r="IN37" t="str">
        <f t="shared" si="105"/>
        <v/>
      </c>
      <c r="IO37">
        <v>0</v>
      </c>
      <c r="IP37">
        <v>0</v>
      </c>
      <c r="IQ37">
        <f>IFERROR(IF($AG37="S",IF(OR(COUNTIF($W$9:$W$14,$AA37)&gt;0,COUNTIF('King Node Model'!$AL$42:'King Node Model'!$AL$43,$AA37)&gt;0),1,0),IF($AG37="R",IF(OR(COUNTIF($W$18:$W$23,$AA37)&gt;0,COUNTIF('King Node Model'!$AL$49:'King Node Model'!$AL$50,$AA37)&gt;0),1,0),0)),0)</f>
        <v>0</v>
      </c>
      <c r="IS37">
        <f>IF(AND(ISNUMBER($AA37),N($AN37)&lt;&gt;1,N($LR37)&lt;&gt;1,OR(N($EN37)&lt;&gt;1,AND('King Node Model'!$A$8&lt;&gt;"Neg",N($BG$72)&lt;&gt;1)),$AA37&lt;&gt;'King Node Model'!$T$22,$AA37&lt;&gt;'King Node Model'!$T$23,$AA37&lt;&gt;'King Node Model'!$F$24,NOT(AND($AG37="S",COUNTIF('Master Dashboard'!$AN$16:$AN$18,$AA37)&gt;0)),NOT(AND($AG37="R",COUNTIF('Master Dashboard'!$AN$13:$AN$15,$AA37)&gt;0)),NOT(AND('King Node Model'!$A$8&lt;&gt;"Neg",N($BG$72)&lt;&gt;1,COUNTIF('Master Dashboard'!$AN$13:$AN$18,$AA37)&gt;0))),1,0)</f>
        <v>1</v>
      </c>
      <c r="IT37">
        <v>0</v>
      </c>
      <c r="IU37">
        <f>IF(AND(ISNUMBER($AA37),$AA37='King Node Model'!$F$24,$AA37&gt;$GJ$3,N($AD37)&lt;0,$F$4="High"),1,0)</f>
        <v>0</v>
      </c>
      <c r="IV37" t="str">
        <f>""</f>
        <v/>
      </c>
      <c r="IW37">
        <f>IFERROR(IF(AND(ISNUMBER($AA37),NOT(AND(N($LR37)=1,N($MB37)=1)),$AG37="S",OR('King Node Model'!$A$8="Neg",N($BG$72)=1),$JV37="SELL",ABS(N($AD37))&gt;=$BG$94,NOT(AND(N($AD37)&gt;0,N($BG$78)=1,MEDIAN($AA37-$BG$82,$B$4,$AA37+$BG$83)=$B$4))),1,0),0)</f>
        <v>1</v>
      </c>
      <c r="IX37">
        <f>IFERROR(IF(AND(ISNUMBER($AA37),$AG37="S",OR('King Node Model'!$A$8="Neg",N($BG$72)=1),N($AD37)&gt;0,N($BG$78)=1,MEDIAN($AA37-$BG$82,$B$4,$AA37+$BG$83)=$B$4),1,0),0)</f>
        <v>0</v>
      </c>
      <c r="IY37" t="str">
        <f t="shared" si="106"/>
        <v>SELL</v>
      </c>
      <c r="IZ37">
        <f>IFERROR(IF(AND(ISNUMBER($AA37),$FA37&lt;&gt;"DOM",$AA37&lt;&gt;'King Node Model'!$F$24,OR(AND($AG37="S",COUNTIF('Master Dashboard'!$AN$16:$AN$18,$AA37)=0,N(INDEX($AE$9:$AE$55,MATCH($AA37+$BG$84,$AA$9:$AA$55,0)))&lt;=-$BG$85),AND($AG37="R",COUNTIF('Master Dashboard'!$AN$13:$AN$15,$AA37)=0,N(INDEX($AE$9:$AE$55,MATCH($AA37-$BG$84,$AA$9:$AA$55,0)))&gt;=$BG$85))),1,0),0)</f>
        <v>0</v>
      </c>
      <c r="JC37">
        <f t="shared" si="108"/>
        <v>0</v>
      </c>
      <c r="JD37" t="str">
        <f t="shared" si="193"/>
        <v>P</v>
      </c>
      <c r="JE37">
        <f>IF(ISNUMBER($AA37),N(IFERROR(INDEX('King Node Model'!$L$29:$L$75,MATCH($AA37,'King Node Model'!$A$29:$A$75,0)),0)),"")</f>
        <v>2708</v>
      </c>
      <c r="JF37">
        <f>IF(ISNUMBER($AA37),N(IFERROR(INDEX('King Node Model'!$K$29:$K$75,MATCH($AA37,'King Node Model'!$A$29:$A$75,0)),0)),"")</f>
        <v>271</v>
      </c>
      <c r="JG37">
        <f t="shared" si="109"/>
        <v>9.9926199261992625</v>
      </c>
      <c r="JH37">
        <f t="shared" si="110"/>
        <v>0.10007385524372231</v>
      </c>
      <c r="JI37">
        <f t="shared" si="111"/>
        <v>0</v>
      </c>
      <c r="JJ37" t="str">
        <f t="shared" si="112"/>
        <v>Ramp</v>
      </c>
      <c r="JK37">
        <f t="shared" si="113"/>
        <v>0</v>
      </c>
      <c r="JL37">
        <f t="shared" si="114"/>
        <v>0</v>
      </c>
      <c r="JM37">
        <f t="shared" si="115"/>
        <v>0</v>
      </c>
      <c r="JN37">
        <f t="shared" si="116"/>
        <v>0</v>
      </c>
      <c r="JO37">
        <f t="shared" si="117"/>
        <v>0</v>
      </c>
      <c r="JP37">
        <f t="shared" si="118"/>
        <v>0</v>
      </c>
      <c r="JQ37">
        <f t="shared" si="119"/>
        <v>0</v>
      </c>
      <c r="JR37">
        <v>0</v>
      </c>
      <c r="JS37">
        <f>IFERROR(IF(AND(ISNUMBER($AA37),'King Node Model'!$A$8="Pos",OR($AG37="S",$AG37="R"),N($AB37)&gt;0,N($HP37)&lt;&gt;1,OR(AND($KC37="DOWN",N($AF37)&lt;0,N($AF37)=MIN($AF$9:$AF$55),-N($AF37)&gt;=MAX($AF$9:$AF$55)),AND($KC37="UP",N($AF37)&gt;0,N($AF37)=MAX($AF$9:$AF$55),N($AF37)&gt;=-MIN($AF$9:$AF$55)))),1,0),0)</f>
        <v>0</v>
      </c>
      <c r="JT37">
        <v>0</v>
      </c>
      <c r="JU37">
        <f>IFERROR(IF(AND(N($BG$109)=1,ISNUMBER($AA37),'King Node Model'!$A$8="Pos",N($CZ37)=1,N($AB37)&gt;0),1,0),0)</f>
        <v>0</v>
      </c>
      <c r="JV37" t="str">
        <f t="shared" si="120"/>
        <v>SELL</v>
      </c>
      <c r="JW37">
        <f t="shared" si="121"/>
        <v>0</v>
      </c>
      <c r="JX37">
        <f t="shared" si="122"/>
        <v>0</v>
      </c>
      <c r="JY37">
        <f t="shared" si="123"/>
        <v>0</v>
      </c>
      <c r="JZ37">
        <f t="shared" si="124"/>
        <v>0</v>
      </c>
      <c r="KA37">
        <f t="shared" si="125"/>
        <v>0</v>
      </c>
      <c r="KB37">
        <f t="shared" si="126"/>
        <v>0</v>
      </c>
      <c r="KC37" t="str">
        <f t="shared" si="127"/>
        <v>UP</v>
      </c>
      <c r="KE37" t="str">
        <f t="shared" si="128"/>
        <v>Now: weakening the floor (IV rising) · if IV falls: strengthens the floor · expected on arrival: WEAKENS ✗</v>
      </c>
      <c r="KF37" t="str">
        <f t="shared" si="129"/>
        <v>SELL</v>
      </c>
      <c r="KG37">
        <f t="shared" si="192"/>
        <v>0</v>
      </c>
      <c r="KH37" t="str">
        <f t="shared" si="130"/>
        <v/>
      </c>
      <c r="KI37" t="str">
        <f t="shared" si="131"/>
        <v/>
      </c>
      <c r="KJ37">
        <f t="shared" si="132"/>
        <v>0</v>
      </c>
      <c r="KK37">
        <f t="shared" si="133"/>
        <v>0</v>
      </c>
      <c r="KL37">
        <f t="shared" si="134"/>
        <v>0</v>
      </c>
      <c r="KM37">
        <f t="shared" si="135"/>
        <v>0</v>
      </c>
      <c r="KN37">
        <f t="shared" si="136"/>
        <v>0</v>
      </c>
      <c r="KO37">
        <v>0</v>
      </c>
      <c r="KP37">
        <f t="shared" si="137"/>
        <v>0</v>
      </c>
      <c r="KQ37">
        <f t="shared" si="138"/>
        <v>0</v>
      </c>
      <c r="KR37">
        <f t="shared" si="139"/>
        <v>0</v>
      </c>
      <c r="KS37">
        <f t="shared" si="140"/>
        <v>0</v>
      </c>
      <c r="KT37">
        <f t="shared" si="141"/>
        <v>0</v>
      </c>
      <c r="KU37">
        <f>IF(AND(ISNUMBER($AA37),ISNUMBER($AE37),ISNUMBER($AE36),N($AE37)&lt;&gt;0),($AE37-$AE36)/$AE37,"")</f>
      </c>
      <c r="KV37">
        <f>IF(AND(ISNUMBER($AA37),ISNUMBER($AE37),ISNUMBER($AE38),N($AE37)&lt;&gt;0),($AE37-$AE38)/$AE37,"")</f>
      </c>
      <c r="KW37">
        <f>IFERROR(IF(OR(NOT(ISNUMBER($AA37)),'King Node Model'!$A$8&lt;&gt;"Pos",N($BG$72)=1,ABS(N($AE37))&lt;$BG$113,$FA37="DOM",$AA37='King Node Model'!$T$23,AND(N($BG$116)=1,$AA37='King Node Model'!$F$24),NOT(ISNUMBER($KU37)),NOT(ISNUMBER($KV37))),0,IF(AND($AG37="S",COUNTIF('Master Dashboard'!$AN$16:$AN$18,$AA37)=0,$KU37&gt;=$BG$114,$KU37&gt;=$KV37+$BG$115),1,IF(AND($AG37="R",COUNTIF('Master Dashboard'!$AN$13:$AN$15,$AA37)=0,$KV37&gt;=$BG$114,$KV37&gt;=$KU37+$BG$115),-1,0))),0)</f>
        <v>0</v>
      </c>
      <c r="KX37">
        <f t="shared" si="144"/>
        <v>0</v>
      </c>
      <c r="KY37">
        <f t="shared" si="145"/>
        <v>0</v>
      </c>
      <c r="KZ37">
        <f t="shared" si="146"/>
        <v>0</v>
      </c>
      <c r="LA37">
        <f t="shared" si="147"/>
        <v>0</v>
      </c>
      <c r="LB37">
        <f t="shared" si="148"/>
        <v>0</v>
      </c>
      <c r="LC37">
        <f t="shared" si="149"/>
        <v>0</v>
      </c>
      <c r="LD37">
        <f t="shared" si="150"/>
        <v>0</v>
      </c>
      <c r="LE37">
        <f t="shared" si="151"/>
        <v>0</v>
      </c>
      <c r="LF37">
        <f t="shared" si="152"/>
        <v>0</v>
      </c>
      <c r="LG37" t="str">
        <f t="shared" si="153"/>
        <v/>
      </c>
      <c r="LH37" t="str">
        <f t="shared" si="154"/>
        <v/>
      </c>
      <c r="LI37" t="str">
        <f t="shared" si="155"/>
        <v/>
      </c>
      <c r="LJ37" t="str">
        <f t="shared" si="156"/>
        <v/>
      </c>
      <c r="LK37" t="str">
        <f t="shared" si="157"/>
        <v/>
      </c>
      <c r="LL37">
        <f t="shared" si="158"/>
        <v>0</v>
      </c>
      <c r="LM37">
        <f t="shared" si="159"/>
        <v>0</v>
      </c>
      <c r="LN37">
        <f t="shared" si="160"/>
        <v>0</v>
      </c>
      <c r="LO37">
        <v>0</v>
      </c>
      <c r="LP37">
        <f t="shared" si="161"/>
        <v>0</v>
      </c>
      <c r="LQ37" t="str">
        <f t="shared" si="162"/>
        <v/>
      </c>
      <c r="LR37">
        <f t="shared" si="163"/>
        <v>0</v>
      </c>
      <c r="LS37">
        <f t="shared" si="164"/>
        <v>0</v>
      </c>
      <c r="LT37">
        <f t="shared" si="165"/>
        <v>0</v>
      </c>
      <c r="LU37">
        <f t="shared" si="166"/>
        <v>0</v>
      </c>
      <c r="LV37">
        <f t="shared" si="167"/>
        <v>0</v>
      </c>
      <c r="LW37">
        <f t="shared" si="168"/>
        <v>0</v>
      </c>
      <c r="LX37">
        <f t="shared" si="169"/>
        <v>0</v>
      </c>
      <c r="LY37">
        <f t="shared" si="170"/>
        <v>0</v>
      </c>
      <c r="LZ37">
        <f t="shared" si="171"/>
        <v>0</v>
      </c>
      <c r="MA37">
        <f t="shared" si="172"/>
        <v>0</v>
      </c>
      <c r="MB37">
        <v>0</v>
      </c>
      <c r="MC37">
        <f t="shared" si="173"/>
        <v>1</v>
      </c>
      <c r="MD37">
        <f t="shared" si="174"/>
        <v>1</v>
      </c>
      <c r="ME37">
        <f t="shared" si="175"/>
        <v>0</v>
      </c>
      <c r="MF37">
        <f t="shared" si="176"/>
        <v>0</v>
      </c>
      <c r="MG37">
        <f t="shared" si="177"/>
        <v>0</v>
      </c>
      <c r="MH37">
        <f t="shared" si="178"/>
        <v>0</v>
      </c>
      <c r="MI37" t="str">
        <f t="shared" si="179"/>
        <v/>
      </c>
      <c r="MJ37">
        <f t="shared" si="180"/>
        <v>0</v>
      </c>
      <c r="MK37">
        <f t="shared" si="181"/>
        <v>0</v>
      </c>
      <c r="ML37">
        <f>IF(AND(OR('King Node Model'!$A$8="Neg",N($BG$72)=1),ISNUMBER($AA37),$AG37="R",N($AB37)&lt;0),IF(AND($AA36=$AA37+5,N($AB36)&gt;0,$AA35=$AA37+10,N($AB35)&lt;0),1,IF(AND($AA36=$AA37+5,N($AB36)&gt;0,$AA35=$AA37+10,N($AB35)&gt;0,$AA34=$AA37+15,N($AB34)&lt;0),2,IF(AND($AA36=$AA37+5,N($AB36)&gt;0,$AA35=$AA37+10,N($AB35)&gt;0,$AA34=$AA37+15,N($AB34)&gt;0,$AA33=$AA37+20,N($AB33)&lt;0),3,IF(AND($AA36=$AA37+5,N($AB36)&gt;0,$AA35=$AA37+10,N($AB35)&gt;0,$AA34=$AA37+15,N($AB34)&gt;0,$AA33=$AA37+20,N($AB33)&gt;0,$AA32=$AA37+25,N($AB32)&lt;0),4,0)))),0)</f>
      </c>
      <c r="MM37">
        <f>IF(AND(OR('King Node Model'!$A$8="Neg",N($BG$72)=1),ISNUMBER($AA37),$AG37="S",N($AB37)&lt;0),IF(AND($AA38=$AA37-5,N($AB38)&gt;0,$AA39=$AA37-10,N($AB39)&lt;0),1,IF(AND($AA38=$AA37-5,N($AB38)&gt;0,$AA39=$AA37-10,N($AB39)&gt;0,$AA40=$AA37-15,N($AB40)&lt;0),2,IF(AND($AA38=$AA37-5,N($AB38)&gt;0,$AA39=$AA37-10,N($AB39)&gt;0,$AA40=$AA37-15,N($AB40)&gt;0,$AA41=$AA37-20,N($AB41)&lt;0),3,IF(AND($AA38=$AA37-5,N($AB38)&gt;0,$AA39=$AA37-10,N($AB39)&gt;0,$AA40=$AA37-15,N($AB40)&gt;0,$AA41=$AA37-20,N($AB41)&gt;0,$AA42=$AA37-25,N($AB42)&lt;0),4,0)))),0)</f>
      </c>
      <c r="MN37">
        <f>IF(N($ML37)&gt;0,$AA37,0)</f>
      </c>
      <c r="MO37">
        <f>IF(N($MM37)&gt;0,$AA37,0)</f>
      </c>
      <c r="MP37">
        <f>IF(AND(OR('King Node Model'!$A$8="Neg",N($BG$72)=1),ISNUMBER($BG$155),$AA37=$BG$155,N($NC37)=1),2,IF(AND(OR('King Node Model'!$A$8="Neg",N($BG$72)=1),ISNUMBER($BG$156),$AA37=$BG$156,N($ND37)=1),1,0))</f>
      </c>
      <c r="MQ37">
        <f>IF(ABS(AE37)&lt;=0,0,IF($AG37="R",IF(ISNUMBER(AE36),IF((ABS(AE36)-ABS(AE37))/ABS(AE37)&lt;-0.4,1,0),0),IF(ISNUMBER(AE38),IF((ABS(AE38)-ABS(AE37))/ABS(AE37)&lt;-0.4,1,0),0)))</f>
      </c>
      <c r="MR37">
        <f>IF(OR(N($MQ37)&lt;&gt;1,N($BG$157)&lt;&gt;1,NOT(ISNUMBER($KU37)),NOT(ISNUMBER($KV37))),0,IF(OR(AND($AG37="S",OR(AND($KU37&gt;=$BG$114,$KU37&gt;=$KV37+$BG$115),AND($KU37&gt;1,$KV37&lt;=1,$KV37&gt;=$BG$114))),AND($AG37="R",OR(AND($KV37&gt;=$BG$114,$KV37&gt;=$KU37+$BG$115),AND($KV37&gt;1,$KU37&lt;=1,$KU37&gt;=$BG$114)))),1,0))</f>
      </c>
      <c r="MS37" t="str">
        <f>IF(AND(N($MR37)=1,N($NA37)&lt;&gt;1),"• DEX falls off more sharply "&amp;IF($AG37="S","above (","below (")&amp;TEXT(IF($AG37="S",$KU37,$KV37),"0%")&amp;") than "&amp;IF($AG37="S","below (","above (")&amp;TEXT(IF($AG37="S",$KV37,$KU37),"0%")&amp;") — Dex↓ not counted",IF(N($MW37)=1,"• Shoulder of the "&amp;IF($AG37="R",$AA38,$AA36)&amp;" wall — own DEX "&amp;TEXT($AE37/1000,"+#,##0;-#,##0")&amp;"K is "&amp;TEXT(ABS($AE37)/ABS(IF($AG37="R",$AE38,$AE36)),"0%")&amp;" of "&amp;TEXT(IF($AG37="R",$AE38,$AE36)/1000,"+#,##0;-#,##0")&amp;"K, Dex↓ not counted",""))</f>
      </c>
      <c r="MT37">
        <f>IF(AND(ISNUMBER($AA37),$AG37="S",ISNUMBER($AB37),$AB37=MIN($AB$9:$AB$55),$AA37=$BG$105,$JV37="BUY",ABS(N($AD37))&gt;=$BG$158),1,0)</f>
      </c>
      <c r="MU37" t="str">
        <f>IF(N($MY37)=1,"",IF(OR(N($MT37)=1,AND(OR('King Node Model'!$A$8="Neg",N($BG$72)=1),$AG37="S",ISNUMBER($AB37),$AB37=MIN($AB$9:$AB$55),$AA37=$BG$105)),"• Min GEX + Max Zomma (no reversal flag required) — accelerant warning not applied; zomma acceleration warning only within "&amp;$BG$98&amp;" pts of the level, and not when vanna buying is "&amp;TEXT($BG$158/1000,"0")&amp;"K or more"&amp;CHAR(10)&amp;IF(N($MT37)=1,"• Max Zomma and vanna buying ("&amp;TEXT(N($AD37)/1000,"+#,##0;-#,##0")&amp;"K) make this level safe","• Max Zomma is what makes this level safe"),"")&amp;$NB37&amp;$NI37)</f>
      </c>
      <c r="MV37" t="str">
        <f>IF(AND(ISNUMBER($AA37),OR($AA37=$BG$118,$AA37=$BG$119)),IF(N($AZ37)*IF($AG37="R",1,-1)&gt;0,"✓",IF(N($AZ37)*IF($AG37="R",1,-1)&lt;0,"✗","")),"")</f>
      </c>
      <c r="MW37">
        <f>IF(AND(N($MQ37)=1,N($BG$159)&gt;0,ISNUMBER(IF($AG37="R",$AE38,$AE36)),N(IF($AG37="R",$AE38,$AE36))&lt;&gt;0),IF(ABS(N($AE37))&lt;$BG$159*ABS(IF($AG37="R",$AE38,$AE36)),1,0),0)</f>
      </c>
      <c r="MX37">
        <f>IF(AND(ISNUMBER($AA37),$AA37=$BG$121,$AG37="R",N($AE37)&lt;0,OR(COUNTIF('King Node Model'!$AL$42:$AL$44,$AA37)=0,N($HP37)=1),N($NC37)=1),2,IF(AND(ISNUMBER($AA37),$AA37=$BG$120,$AG37="S",N($AE37)&gt;0,OR(COUNTIF('King Node Model'!$AL$49:$AL$51,$AA37)=0,N($HP37)=1),N($ND37)=1),1,0))</f>
      </c>
      <c r="MY37">
        <f>IF(AND(N($NA37)=1,NOT(AND(AND($AG37="S",ISNUMBER($AB37),$AB37=MIN($AB$9:$AB$55),$AA37=$BG$105),IFERROR(INDEX($AG$9:$AG$55,MATCH('King Node Model'!$B$23,$AA$9:$AA$55,0)),"")="R")),N($AV37)&lt;&gt;1),1,0)</f>
      </c>
      <c r="MZ37" t="str">
        <f>IF(N($MY37)&lt;&gt;1,"","• DEX falls off more sharply "&amp;IF($AG37="S","above (","below (")&amp;TEXT(IF($AG37="S",$KU37,$KV37),"0%")&amp;") than "&amp;IF($AG37="S","below (","above (")&amp;TEXT(IF($AG37="S",$KV37,$KU37),"0%")&amp;") — path of least resistance "&amp;IF($AG37="S","down","up")&amp;IF(N($AZ37)*IF($AG37="R",1,-1)&lt;0,CHAR(10)&amp;"• Speed against — GEX gets more negative as price "&amp;IF($AG37="R","rises","falls")&amp;" into it (speed "&amp;TEXT(N($AZ37),"#,##0;−#,##0")&amp;")","")&amp;IF(OR(N($NG37)=1,N($JC37)=1),CHAR(10)&amp;"• "&amp;IF(N($JC37)=1,"DOM with vanna BUY "&amp;TEXT(N($AD37)/1000,"+#,##0;−#,##0")&amp;"K","Put wall + Max Zomma + DOM")&amp;" backs the level, but it does not outweigh DEX"&amp;IF(N($AZ37)*IF($AG37="R",1,-1)&lt;0," and speed",""),IF(AND($AG37="S",ISNUMBER($AB37),$AB37=MIN($AB$9:$AB$55),$AA37=$BG$105),CHAR(10)&amp;"• Min GEX + Max Zomma backs the level, but it does not outweigh DEX"&amp;IF(N($AZ37)*IF($AG37="R",1,-1)&lt;0," and speed",""),IF(OR(N($JI37)=1,AND(N($GV37)=1,N($JK37)&lt;&gt;1,N($IW37)&lt;&gt;1),N($JC37)=1,AND($AA37='King Node Model'!$F$24,N($JN37)&lt;&gt;1,OR($AG37="R",AND($AG37="S",$F$4="High",IF($BG$80&lt;&gt;"",UPPER($BG$80),$D$5)="UP")))),CHAR(10)&amp;"• Vanna "&amp;IF($AG37="S","BUY ","SELL ")&amp;TEXT(N($AD37)/1000,"+#,##0;−#,##0")&amp;"K backs the level, but it does not outweigh DEX"&amp;IF(N($AZ37)*IF($AG37="R",1,-1)&lt;0," and speed",""),"")))&amp;IF(N($NE37)=1,CHAR(10)&amp;"• Buy-lean max-node exemption not applied — DEX leans against the level",""))</f>
      </c>
      <c r="NA37">
        <f>IF(AND(OR('King Node Model'!$A$8="Neg",N($BG$72)=1),ISNUMBER($AA37),ABS(N($AE37))&gt;=$BG$152,ISNUMBER($KU37),ISNUMBER($KV37)),IF(OR(AND($AG37="S",OR(AND($KU37&gt;=$BG$114,$KU37&gt;=$KV37+$BG$115),AND($KU37&gt;1,$KV37&lt;=1,$KV37&gt;=$BG$114))),AND($AG37="R",OR(AND($KV37&gt;=$BG$114,$KV37&gt;=$KU37+$BG$115),AND($KV37&gt;1,$KU37&lt;=1,$KU37&gt;=$BG$114)))),1,0),0)</f>
      </c>
      <c r="NB37" t="str">
        <f>IF(AND(N($NA37)=1,AND(AND($AG37="S",ISNUMBER($AB37),$AB37=MIN($AB$9:$AB$55),$AA37=$BG$105),IFERROR(INDEX($AG$9:$AG$55,MATCH('King Node Model'!$B$23,$AA$9:$AA$55,0)),"")="R")),CHAR(10)&amp;"• DEX falls off more sharply above ("&amp;TEXT($KU37,"0%")&amp;") than below ("&amp;TEXT($KV37,"0%")&amp;") — DEX-lean warning not applied: Min GEX + Max Zomma support with Max Gamma "&amp;'King Node Model'!$B$23&amp;" above (Dex↓ not counted)",IF(AND(OR(N($NA37)=1,N($NF37)=1),N($AV37)=1),IF(AND(OR('King Node Model'!$A$8="Neg",N($BG$72)=1),$AG37="S",ISNUMBER($AB37),$AB37=MIN($AB$9:$AB$55),$AA37=$BG$105),CHAR(10),"")&amp;"• DEX falls off more sharply "&amp;IF($AG37="S","above (","below (")&amp;TEXT(IF($AG37="S",$KU37,$KV37),"0%")&amp;") than "&amp;IF($AG37="S","below (","above (")&amp;TEXT(IF($AG37="S",$KV37,$KU37),"0%")&amp;") — DEX lean does not apply to iDex (isolated DEX)",""))</f>
      </c>
      <c r="NC37">
        <f>IF(OR($BG$163=1,AND($BG$161&gt;0,$BG$162&lt;99999,ISNUMBER($AA37),$AA37&lt;$BG$162)),1,0)</f>
      </c>
      <c r="ND37">
        <f>IF(OR($BG$163=-1,AND($BG$161&gt;0,$BG$162&lt;99999,ISNUMBER($AA37),$AA37&gt;$BG$161)),1,0)</f>
      </c>
      <c r="NE37">
        <f>IF(AND(OR('King Node Model'!$A$8="Neg",N($BG$72)=1),ISNUMBER(SEARCH("LOW",'Master Dashboard'!$M$5)),ISNUMBER(SEARCH("BUY",'Master Dashboard'!$G$8)),'King Node Model'!$T$23='King Node Model'!$B$23,OR($AA37='King Node Model'!$T$23,AND($AG37="R",$AA37='King Node Model'!$T$23+5)),OR(AND($AG37="S",$JV37="BUY"),AND($AG37="R",$JV37="SELL"))),1,0)</f>
      </c>
      <c r="NF37">
        <f>IFERROR(IF(OR(NOT(ISNUMBER($AA37)),'King Node Model'!$A$8&lt;&gt;"Pos",N($BG$72)=1,ABS(N($AE37))&lt;$BG$113,$FA37="DOM",$AA37='King Node Model'!$T$23,AND(N($BG$116)=1,$AA37='King Node Model'!$F$24),NOT(ISNUMBER($KU37)),NOT(ISNUMBER($KV37))),0,IF(AND($AG37="S",COUNTIF('Master Dashboard'!$AN$16:$AN$18,$AA37)=0,$KU37&gt;=$BG$114,$KU37&gt;=$KV37+$BG$115,NOT(AND(N($AN38)=1,N($KV37)&lt;0)),N($AE37)&lt;=0),1,IF(AND($AG37="R",COUNTIF('Master Dashboard'!$AN$13:$AN$15,$AA37)=0,$KV37&gt;=$BG$114,$KV37&gt;=$KU37+$BG$115,NOT(AND(N($AN36)=1,N($KU37)&lt;0))),-1,0))),0)</f>
      </c>
      <c r="NG37">
        <f t="shared" si="202"/>
      </c>
      <c r="NI37" t="str">
        <f>IF(AND(ISNUMBER($BG$165),ISNUMBER($AA37)),IF(OR(AND($AG37="S",$AA37&gt;$BG$165,$AA37-$BG$165&lt;=5),AND($AG37="R",$AA37&lt;$BG$165,$BG$165-$AA37&lt;=5)),IF(OR(AND(OR('King Node Model'!$A$8="Neg",N($BG$72)=1),$AG37="S",ISNUMBER($AB37),$AB37=MIN($AB$9:$AB$55),$AA37=$BG$105),$NB37&lt;&gt;""),CHAR(10),"")&amp;"• DOM forming at "&amp;$BG$165&amp;" (gamma "&amp;TEXT($BG$166,"0%")&amp;" of max) — price may be pulled to the node",""),"")</f>
      </c>
      <c r="NJ37">
        <f>IF(LEN($NI37)&gt;0,1,0)</f>
      </c>
    </row>
    <row r="38" spans="27:349" ht="15" customHeight="1" x14ac:dyDescent="0.25">
      <c r="AA38" s="181">
        <f>'King Node Model'!A58</f>
        <v>7740</v>
      </c>
      <c r="AB38" s="276">
        <f>'King Node Model'!C58</f>
        <v>-252679</v>
      </c>
      <c r="AC38" s="181">
        <f>ABS('King Node Model'!B58)</f>
        <v>619804</v>
      </c>
      <c r="AD38" s="276">
        <f>'King Node Model'!F58</f>
        <v>732398</v>
      </c>
      <c r="AE38" s="276">
        <f>'King Node Model'!E58</f>
        <v>341275</v>
      </c>
      <c r="AF38" s="276">
        <f>'King Node Model'!D58</f>
        <v>-1864682</v>
      </c>
      <c r="AG38" s="181" t="str">
        <f t="shared" si="6"/>
        <v>S</v>
      </c>
      <c r="AH38" s="181">
        <f t="shared" si="7"/>
        <v>10</v>
      </c>
      <c r="AI38" s="181" t="str">
        <f t="shared" si="8"/>
        <v>SELL</v>
      </c>
      <c r="AJ38" s="181">
        <f t="shared" si="9"/>
        <v>1</v>
      </c>
      <c r="AK38" s="181">
        <f>IF(ABS(N($AE38))&gt;=$BG$85,1,0)</f>
      </c>
      <c r="AL38" s="181">
        <f t="shared" si="10"/>
        <v>0</v>
      </c>
      <c r="AM38" s="181">
        <f t="shared" si="11"/>
        <v>2</v>
      </c>
      <c r="AN38" s="181">
        <f t="shared" si="12"/>
        <v>1</v>
      </c>
      <c r="AO38" s="1" t="str">
        <f t="shared" si="13"/>
        <v/>
      </c>
      <c r="AP38" s="1">
        <f t="shared" si="14"/>
        <v>341275</v>
      </c>
      <c r="AQ38" s="1">
        <f t="shared" si="15"/>
        <v>1864682</v>
      </c>
      <c r="AR38" s="181">
        <f t="shared" si="16"/>
        <v>0.71089121665110877</v>
      </c>
      <c r="AS38" s="181">
        <f t="shared" si="17"/>
        <v>5</v>
      </c>
      <c r="AT38" s="181">
        <f t="shared" si="18"/>
        <v>7740</v>
      </c>
      <c r="AU38" s="181">
        <f t="shared" si="19"/>
        <v>7745</v>
      </c>
      <c r="AV38" s="218">
        <f t="shared" si="183"/>
        <v>0</v>
      </c>
      <c r="AW38" s="181">
        <f>ABS('King Node Model'!G58)</f>
        <v>523</v>
      </c>
      <c r="AX38" s="181">
        <f t="shared" si="20"/>
        <v>0</v>
      </c>
      <c r="AY38" s="181">
        <f t="shared" si="21"/>
        <v>0</v>
      </c>
      <c r="AZ38" s="276">
        <f>'King Node Model'!I58</f>
        <v>3788</v>
      </c>
      <c r="BA38" s="181">
        <f t="shared" si="22"/>
        <v>0</v>
      </c>
      <c r="BB38" s="181" t="str">
        <f t="shared" si="23"/>
        <v>S5</v>
      </c>
      <c r="BC38" s="10">
        <f>'King Node Model'!C58</f>
        <v>-252679</v>
      </c>
      <c r="BD38" s="218">
        <f t="shared" si="184"/>
        <v>0</v>
      </c>
      <c r="BE38" s="218">
        <f t="shared" si="185"/>
        <v>0</v>
      </c>
      <c r="BF38" s="218" t="s">
        <v>1247</v>
      </c>
      <c r="BG38">
        <v>6</v>
      </c>
      <c r="BI38" s="218">
        <f t="shared" si="186"/>
        <v>0</v>
      </c>
      <c r="BJ38" s="218">
        <f t="shared" si="187"/>
        <v>0</v>
      </c>
      <c r="BK38" s="218">
        <f t="shared" si="24"/>
        <v>0</v>
      </c>
      <c r="BL38" s="10">
        <f>'King Node Model'!H58</f>
        <v>39</v>
      </c>
      <c r="BM38" s="218">
        <f t="shared" si="25"/>
        <v>18</v>
      </c>
      <c r="BN38" s="218">
        <f t="shared" si="26"/>
        <v>18</v>
      </c>
      <c r="BO38" s="218">
        <f t="shared" si="27"/>
        <v>0</v>
      </c>
      <c r="BP38" s="218">
        <f t="shared" si="28"/>
        <v>0</v>
      </c>
      <c r="BQ38" t="str">
        <f t="shared" si="29"/>
        <v/>
      </c>
      <c r="BR38" t="str">
        <f t="shared" si="30"/>
        <v/>
      </c>
      <c r="BS38" s="218">
        <f t="shared" si="31"/>
        <v>1</v>
      </c>
      <c r="BT38" t="str">
        <f t="shared" si="32"/>
        <v/>
      </c>
      <c r="BU38">
        <f t="shared" si="33"/>
        <v>3</v>
      </c>
      <c r="BV38" s="218">
        <f t="shared" si="34"/>
        <v>732398</v>
      </c>
      <c r="BW38" s="218">
        <f t="shared" si="35"/>
        <v>341275</v>
      </c>
      <c r="BX38" s="218">
        <f>IF(AND(ISNUMBER(BC38),BC38&gt;=$BG$160,OR('King Node Model'!$A$8="Neg",N($BG$72)=1)),1,0)</f>
        <v>0</v>
      </c>
      <c r="BY38" s="218">
        <f t="shared" si="36"/>
        <v>0</v>
      </c>
      <c r="BZ38" s="218">
        <f t="shared" si="37"/>
        <v>0</v>
      </c>
      <c r="CA38" t="str">
        <f t="shared" si="38"/>
        <v/>
      </c>
      <c r="CB38" s="218">
        <f>IF(AND(ISNUMBER('King Node Model'!$D$27),AG38&lt;&gt;"",AA38='King Node Model'!$D$27),1,0)</f>
        <v>0</v>
      </c>
      <c r="CC38" s="218">
        <f>IF(OR('King Node Model'!$A$8="Neg",N($BG$72)=1),$BG$14*IF(ISNUMBER('King Node Model'!$D$26),MAX(0,1-ABS(AA38-'King Node Model'!$D$26)/$BG$18),0)+$BG$15*IFERROR(BV38/MAX($BV$9:$BV$55),0)+$BG$16*IFERROR(BW38/MAX($BW$9:$BW$55),0)+$BG$17*IFERROR(AC38/$S$11,0)*MAX(0,1+$BG$21*CF38),AR38)</f>
        <v>0.35748623949040259</v>
      </c>
      <c r="CD38" s="218">
        <f>IF(OR('King Node Model'!$A$8="Neg",N($BG$72)=1),IF(AND(AG38&lt;&gt;"",ABS(AA38-$B$4)&lt;=$BG$7,OR(AX38=0,$D$5&lt;&gt;"UP"),AY38=0,BK38&lt;&gt;1,CI38=0,AM38&gt;=$BG$20,AC38&gt;$BG$19),1,0),IF(AND(BS38=1,(COUNTIF($W$9:$W$14,AA38)+COUNTIF($W$18:$W$23,AA38))&gt;0,CI38=0,AM38&gt;=$BG$20,AC38&gt;$BG$19),1,0))</f>
        <v>1</v>
      </c>
      <c r="CE38" s="322" t="str">
        <f t="shared" si="39"/>
        <v/>
      </c>
      <c r="CF38" s="218">
        <f t="shared" si="40"/>
        <v>0</v>
      </c>
      <c r="CG38" t="str">
        <f t="shared" si="41"/>
        <v/>
      </c>
      <c r="CH38" t="str">
        <f t="shared" si="42"/>
        <v>Dormant</v>
      </c>
      <c r="CI38" s="218">
        <f t="shared" si="43"/>
        <v>0</v>
      </c>
      <c r="CJ38" s="218">
        <f t="shared" si="44"/>
        <v>35.390000000000327</v>
      </c>
      <c r="CK38" s="218">
        <f t="shared" si="45"/>
        <v>0</v>
      </c>
      <c r="CL38" s="218">
        <f t="shared" si="46"/>
        <v>0</v>
      </c>
      <c r="CR38" t="s">
        <v>1497</v>
      </c>
      <c r="CU38" s="218">
        <f>IF(AND(AND('King Node Model'!$A$8&lt;&gt;"Neg",N($BG$72)&lt;&gt;1),SUMPRODUCT(($AG$9:$AG$55="S")*ISNUMBER($AT$9:$AT$55)*ISNUMBER($AU$9:$AU$55)*($AT$9:$AT$55&lt;&gt;$AU$9:$AU$55)*($AT$9:$AT$55&lt;=$AA38)*($AU$9:$AU$55&gt;=$AA38))&gt;0),0,IF(AND(OR($AA38='King Node Model'!$T$22,$AA38='King Node Model'!$F$24),$AG38="R",COUNTIF($W$9:$W$14,$AA38)&gt;0),1,IF(AND($FN38=1,$EU38&lt;&gt;1,$EM38&lt;&gt;1,$BK38&lt;&gt;1,$DH38&lt;&gt;1,$AG38="R",COUNTIF($W$9:$W$14,$AA38)&gt;0),1,IF($EU38=1,0,IF($EM38=1,0,IF(AND(OR($EE38=1,$GV38=1,AND($EL$7=1,$AA38='King Node Model'!$D$26,$EI38=1),AND(OR($AA38='King Node Model'!$T$22,$AA38='King Node Model'!$T$23),$AN38=1,OR($AX38=0,$D$5&lt;&gt;"UP"))),OR(NOT(OR('King Node Model'!$A$8="Neg",N($BG$72)=1)),$GV38=1,AND(OR($AA38='King Node Model'!$T$22,$AA38='King Node Model'!$T$23),$AN38=1,OR($AX38=0,$D$5&lt;&gt;"UP")),AND($AM38&gt;=$BG$20,$AC38&gt;IF($CZ38=1,$BG$48,$BG$19)))),1,IF($DH38=1,0,IF(AND($DC38=1,$GS38&lt;&gt;1,AND('King Node Model'!$A$8&lt;&gt;"Neg",N($BG$72)&lt;&gt;1)),0,IF(AND($EY38=1,NOT(OR('King Node Model'!$A$8="Neg",$BG$72=1)),$AA38&lt;&gt;'King Node Model'!$B$23),0,IF(AND($GS38=1,$AG38="R",OR($CI38=0,$EE38=1,$EX38=1,$GV38=1),COUNTIF($W$9:$W$14,$AA38)&gt;0,ABS($AA38-$B$4)&lt;=$BG$7,$BK38&lt;&gt;1,$AM38&gt;=$BG$20,$AC38&gt;IF($CZ38=1,$BG$48,$BG$19)),1,IF(OR('King Node Model'!$A$8="Neg",N($BG$72)=1),IF(AND(OR($AM38&gt;=$BG$20,$AA38='King Node Model'!$D$26,$GV38=1),$AG38="R",COUNTIF($W$9:$W$14,$AA38)&gt;0,ABS($AA38-$B$4)&lt;=$BG$7,OR($AX38=0,$D$5&lt;&gt;"UP"),$BK38&lt;&gt;1,OR(OR($CI38=0,$AJ38=1),AND($EI38=1,$LA38=1,COUNTIF($W$9:$W$11,$AA38)&gt;0,$AN38=1,OR($AX38=0,$D$5&lt;&gt;"UP"))),$AM38&gt;=$BG$20,$AC38&gt;IF($CZ38=1,$BG$48,$BG$19),OR($AN38=1,N($LR38)=1,$AA38='King Node Model'!$D$26,AND($BY38=1,$AA38&gt;$B$4),$BX38=1,$CF38=1,$CF38=1,AND(OR($AA38=$CP$4,$AA38=$CP$5,$AA38=$CP$6,$AA38=$CP$7),ABS($AA38-$B$4)&lt;=30),AND($AX38=1,$D$5="DOWN"))),1,0),IF(AND(OR($AM38&gt;=3,$AA38='King Node Model'!$D$26,$GV38=1),$AG38="R",COUNTIF($W$9:$W$14,$AA38)&gt;0,ABS($AA38-$B$4)&lt;=$BG$7,OR($AX38=0,$D$5&lt;&gt;"UP"),$BK38&lt;&gt;1,OR($CI38=0,$AJ38=1),$AM38&gt;=$BG$20,$AC38&gt;IF($CZ38=1,$BG$48,$BG$19),OR($AC38&gt;=MAX($AC$9:$AC$55),$BC38&gt;0,$AA38='King Node Model'!$D$26,AND(OR($AA38=$CP$4,$AA38=$CP$5,$AA38=$CP$6,$AA38=$CP$7),ABS($AA38-$B$4)&lt;=30),$CF38=1,$AN38=1,AND($AX38=1,$D$5="DOWN"))),1,0))))))))))))</f>
        <v>0</v>
      </c>
      <c r="CV38" s="218">
        <f>IF(AND(OR('King Node Model'!$A$8="Neg",N($BG$72)=1),$AG38="S",N($LR38)=1,N($MB38)=1),1,IF(AND(AND('King Node Model'!$A$8&lt;&gt;"Neg",N($BG$72)&lt;&gt;1),SUMPRODUCT(($AG$9:$AG$55="R")*ISNUMBER($AT$9:$AT$55)*ISNUMBER($AU$9:$AU$55)*($AT$9:$AT$55&lt;&gt;$AU$9:$AU$55)*($AT$9:$AT$55&lt;=$AA38)*($AU$9:$AU$55&gt;=$AA38))&gt;0,NOT(AND(N($LC38)=1,$AA38='King Node Model'!$B$23))),0,IF(AND($AA38='King Node Model'!$F$24,$AG38="S",COUNTIF($W$18:$W$23,$AA38)&gt;0),1,IF(AND($FN38=1,$EU38&lt;&gt;1,$EM38&lt;&gt;1,$DH38&lt;&gt;1,$AG38="S",COUNTIF($W$18:$W$23,$AA38)&gt;0),1,IF($EU38=1,0,IF(AND(OR($EF38=1,$GV38=1,AND(OR($AA38='King Node Model'!$T$22,$AA38='King Node Model'!$T$23,AND($AG38="S",COUNTIF('Master Dashboard'!$AN$16:$AN$18,$AA38)&gt;0)),$AN38=1,OR($AX38=0,$D$5&lt;&gt;"UP"))),OR(NOT(OR('King Node Model'!$A$8="Neg",N($BG$72)=1)),$GV38=1,AND(OR($AA38='King Node Model'!$T$22,$AA38='King Node Model'!$T$23,AND($AG38="S",COUNTIF('Master Dashboard'!$AN$16:$AN$18,$AA38)&gt;0)),$AN38=1,OR($AX38=0,$D$5&lt;&gt;"UP")),AND($AM38&gt;=$BG$20,$AC38&gt;IF($CZ38=1,$BG$48,$BG$19)))),1,IF($DH38=1,0,IF(AND($DC38=1,$GS38&lt;&gt;1,AND('King Node Model'!$A$8&lt;&gt;"Neg",N($BG$72)&lt;&gt;1)),0,IF(AND($EY38=1,NOT(OR('King Node Model'!$A$8="Neg",$BG$72=1)),$AA38&lt;&gt;'King Node Model'!$B$23,COUNTIF('Master Dashboard'!$AN$16:$AN$18,$AA38)=0),0,IF(AND($GS38=1,$AG38="S",OR($CI38=0,$EF38=1,$EX38=1,$GV38=1),COUNTIF($W$18:$W$23,$AA38)&gt;0,ABS($AA38-$B$4)&lt;=$BG$7,$BK38&lt;&gt;1,$AM38&gt;=$BG$20,$AC38&gt;IF($CZ38=1,$BG$48,$BG$19)),1,IF(OR('King Node Model'!$A$8="Neg",N($BG$72)=1),IF(AND(OR(OR($AM38&gt;=$BG$20,N($LR38)=1),$AA38='King Node Model'!$D$26,$GV38=1),$AG38="S",COUNTIF($W$18:$W$23,$AA38)&gt;0,ABS($AA38-$B$4)&lt;=$BG$7,OR($AX38=0,$D$5&lt;&gt;"UP"),$BK38&lt;&gt;1,OR($CI38=0,$AJ38=1,AND(N($LR38)=1,N($MB38)=1),N($MT38)=1),OR($AM38&gt;=$BG$20,N($LR38)=1),$AC38&gt;IF($CZ38=1,$BG$48,$BG$19),OR($AB38&gt;0,$AN38=1,N($MT38)=1,N($LR38)=1,$AA38='King Node Model'!$D$26,AND($BY38=1,$AA38&lt;$B$4),$BX38=1,$CF38=1,$CF38=1,AND(OR($AA38=$CP$4,$AA38=$CP$5,$AA38=$CP$6,$AA38=$CP$7),ABS($AA38-$B$4)&lt;=30),AND($AX38=1,$D$5="DOWN"))),1,0),IF(AND(OR($AM38&gt;=3,$AA38='King Node Model'!$D$26,$GV38=1),$AG38="S",COUNTIF($W$18:$W$23,$AA38)&gt;0,ABS($AA38-$B$4)&lt;=$BG$7,OR($AX38=0,$D$5&lt;&gt;"UP"),$BK38&lt;&gt;1,OR($CI38=0,$AJ38=1,AND(N($LR38)=1,N($MB38)=1),N($MT38)=1),$AM38&gt;=$BG$20,$AC38&gt;IF($CZ38=1,$BG$48,$BG$19),OR($AC38&gt;=MAX($AC$9:$AC$55),$BC38&gt;0,N($MT38)=1,$AA38='King Node Model'!$D$26,AND(OR($AA38=$CP$4,$AA38=$CP$5,$AA38=$CP$6,$AA38=$CP$7),ABS($AA38-$B$4)&lt;=30),$CF38=1,$AN38=1,AND($AX38=1,$D$5="DOWN"))),1,0))))))))))))</f>
        <v>1</v>
      </c>
      <c r="CX38" s="218">
        <f t="shared" si="48"/>
        <v>0</v>
      </c>
      <c r="CY38" t="str">
        <f t="shared" si="49"/>
        <v/>
      </c>
      <c r="CZ38" s="218">
        <f t="shared" si="50"/>
        <v>0</v>
      </c>
      <c r="DA38" t="str">
        <f t="shared" si="51"/>
        <v/>
      </c>
      <c r="DB38">
        <f t="shared" si="52"/>
        <v>619804</v>
      </c>
      <c r="DC38" s="218">
        <f t="shared" si="53"/>
        <v>1</v>
      </c>
      <c r="DD38" s="218">
        <f t="shared" si="54"/>
        <v>2</v>
      </c>
      <c r="DE38" s="218">
        <f t="shared" si="55"/>
        <v>1</v>
      </c>
      <c r="DF38">
        <f t="shared" si="56"/>
        <v>7740</v>
      </c>
      <c r="DG38">
        <f t="shared" si="57"/>
        <v>7745</v>
      </c>
      <c r="DH38" s="218">
        <f t="shared" si="58"/>
        <v>0</v>
      </c>
      <c r="DI38">
        <v>1</v>
      </c>
      <c r="DJ38">
        <v>1</v>
      </c>
      <c r="DK38">
        <v>797743</v>
      </c>
      <c r="DL38">
        <v>0</v>
      </c>
      <c r="DM38">
        <f>IF(AND($CV38=1,$AG38="S"),IF(AND(OR('King Node Model'!$A$8="Neg",N($BG$72)=1),'King Node Model'!$S$52=""),IF(OR(N($AN38)=1,N($LR38)=1,$AB38&gt;0,$AJ38=1,N($JO38)=1,AND(NOT($AE38&gt;0),NOT(IFERROR(AND(ISNUMBER($BC38),ISNUMBER($BC37),($BC38&gt;=0)&lt;&gt;($BC37&gt;=0)),FALSE())),OR(AND($BM38&lt;=6,$BN38&lt;=6),ABS($AA38-'King Node Model'!$T$23)&lt;=5,$LA38=1))),1,0),1),"")</f>
        <v>1</v>
      </c>
      <c r="DN38" t="str">
        <f t="shared" si="59"/>
        <v/>
      </c>
      <c r="DO38" t="str">
        <f t="shared" si="60"/>
        <v/>
      </c>
      <c r="DP38">
        <f>IF(AND(OR('King Node Model'!$A$8="Neg",N($BG$72)=1),$AG38="S",ISNUMBER($AT38),ISNUMBER($AU38),$AT38&lt;&gt;$AU38,$AA38=$AT38),IF(AND(SUMPRODUCT(($AA$9:$AA$55&gt;=$AT38)*($AA$9:$AA$55&lt;=$AU38)*($AB$9:$AB$55&gt;0))&gt;0,SUMPRODUCT(($AA$9:$AA$55&gt;=$AT38)*($AA$9:$AA$55&lt;=$AU38)*($DM$9:$DM$55=1))&gt;0,SUMPRODUCT(($AA$9:$AA$55&gt;=$AT38)*($AA$9:$AA$55&lt;=$AU38)*(COUNTIF($W$18:$W$20,$AA$9:$AA$55)&gt;0))&gt;0),1,0),"")</f>
        <v>0</v>
      </c>
      <c r="DS38">
        <v>1</v>
      </c>
      <c r="DT38">
        <v>0</v>
      </c>
      <c r="DU38" t="str">
        <f>IF('King Node Model'!$A$8&lt;&gt;"Pos","",IF(OR($AA38="",NOT(ISNUMBER($AA38)),ABS($AA38-$B$4)&gt;$BG$7),"",TEXT($AA38,"0")&amp;" | "&amp;IF($AG38="","unclassified",IF($AG38&lt;&gt;IF($AA38&gt;$B$4,"R","S"),"orphan: in "&amp;$AG38&amp;"-list, "&amp;IF($AA38&lt;$B$4,"below","above")&amp;" spot",IF(IF($AG38="R",COUNTIF($W$9:$W$14,$AA38),COUNTIF($W$18:$W$23,$AA38))=0,"not in "&amp;$AG38&amp;"-list",IF($DH38=1,"absorbed into shelf box",IF($BK38=1,"absorbed: adjacent reversal",IF($CI38=1,"accel-accelerant",IF($AC38&lt;=$BG$19,"below gamma-floor",IF($AM38&lt;$BG$20,"confluence "&amp;TEXT($AM38,"0")&amp;" &lt; "&amp;TEXT($BG$20,"0"),IF(AND($AX38=1,$D$5="UP"),"accelerant in up-move",IF(NOT(OR($AC38&gt;=MAX($AC$9:$AC$55),$BC38&gt;0,$AA38='King Node Model'!$D$26,AND(OR($AA38=$CP$4,$AA38=$CP$5,$AA38=$CP$6,$AA38=$CP$7),ABS($AA38-$B$4)&lt;=30),ISNUMBER(SEARCH("STRENGTHENING",$CG38)),$AN38=1,AND($AX38=1,$D$5="DOWN"))),"no surface flag","-&gt; qualifies"))))))))))))</f>
        <v/>
      </c>
      <c r="DV38" s="218">
        <f t="shared" si="61"/>
        <v>99999</v>
      </c>
      <c r="DW38" s="218">
        <f t="shared" si="62"/>
        <v>35.390000000000327</v>
      </c>
      <c r="DX38" t="str">
        <f>IF('King Node Model'!$A$8&lt;&gt;"Pos","",IF(AND($DV38&lt;99999,$DV38=MIN($DV$9:$DV$55),$DG38&gt;$AA38),"R-box: "&amp;TEXT($AA38,"0")&amp;"-"&amp;TEXT($DG38,"0"),IF(AND($DW38&lt;99999,$DW38=MIN($DW$9:$DW$55),$DF38&lt;$AA38),"S-box: "&amp;TEXT($DF38,"0")&amp;"-"&amp;TEXT($AA38,"0"),"")))</f>
        <v/>
      </c>
      <c r="EB38">
        <f t="shared" si="63"/>
        <v>35.390000000000327</v>
      </c>
      <c r="EC38">
        <f t="shared" si="64"/>
        <v>538591</v>
      </c>
      <c r="ED38">
        <f t="shared" si="65"/>
        <v>0</v>
      </c>
      <c r="EE38">
        <f>IF(AND(OR('King Node Model'!$A$8="Neg",N($BG$72)=1),$AG38="R",ISNUMBER($EB38),$EB38&lt;=$BG$7,$AB38&gt;0,$EC38&gt;0,$AB38=$EC38),1,0)</f>
        <v>0</v>
      </c>
      <c r="EF38">
        <f>IF(AND(OR('King Node Model'!$A$8="Neg",N($BG$72)=1),$AG38="S",ISNUMBER($EB38),$EB38&lt;=$BG$7,$AB38&gt;0,$ED38&gt;0,$AB38=$ED38),1,0)</f>
        <v>0</v>
      </c>
      <c r="EI38">
        <v>1</v>
      </c>
      <c r="EJ38">
        <f>IF($AA38="",0,IF(SUMPRODUCT(($AA$9:$AA$55&gt;=$AT38)*($AA$9:$AA$55&lt;=$AU38)*($DT$9:$DT$55=1))+SUMPRODUCT(($DT$9:$DT$55=1)*($AT$9:$AT$55&lt;=$AA38)*($AU$9:$AU$55&gt;=$AA38))+($DT38=1)+AND(OR('King Node Model'!$A$8="Neg",N($BG$72)=1),ISNUMBER(SEARCH("LOW",'Master Dashboard'!$M$5)),ISNUMBER(SEARCH("BUY",'Master Dashboard'!$G$8)),'King Node Model'!$T$23='King Node Model'!$B$23,$AA38&gt;='King Node Model'!$T$23,$AA38&lt;='King Node Model'!$T$23+5)*1&gt;0,1,0))</f>
        <v>0</v>
      </c>
      <c r="EM38">
        <f t="shared" si="66"/>
        <v>0</v>
      </c>
      <c r="EN38">
        <v>0</v>
      </c>
      <c r="EO38">
        <f t="shared" si="67"/>
        <v>0</v>
      </c>
      <c r="EP38">
        <f t="shared" si="68"/>
        <v>0</v>
      </c>
      <c r="EQ38" t="str">
        <f t="shared" si="69"/>
        <v>thinning the floor (magnitude weak)</v>
      </c>
      <c r="ES38">
        <f>IF(AND(ISNUMBER(AA38),ISNUMBER(AF38),ABS(AA38-'King Node Model'!$B$4)&lt;=$BG$7),ABS(AF38),"")</f>
        <v>1864682</v>
      </c>
      <c r="ET38">
        <v>0</v>
      </c>
      <c r="EU38" s="218">
        <f>IF(AND(OR('King Node Model'!$A$8="Neg",N($BG$72)=1),ISNUMBER($AA37),ISNUMBER($AA38),ISNUMBER($AA39),ISNUMBER($AB37),ISNUMBER($AB38),ISNUMBER($AB39),ISNUMBER($AF38),$AB38&gt;0,$AB37&lt;0,$AB39&lt;0,$AF38&lt;0),1,0)</f>
        <v>0</v>
      </c>
      <c r="EW38">
        <f>IF(OR(N($MY38)=1,N($JM38)=1),0,N($NE38))</f>
        <v>0</v>
      </c>
      <c r="EX38">
        <f>IF(AND(OR('King Node Model'!$A$8="Neg",N($BG$72)=1),ISNUMBER($AA38),OR(AND($AA38='King Node Model'!$F$24,OR(AND($AG38="S",$F$4="High",IF($BG$80&lt;&gt;"",UPPER($BG$80),$D$5)="DOWN"),AND($AG38="R",$F$4="Low",IF($BG$80&lt;&gt;"",UPPER($BG$80),$D$5)="UP"))),$GV38=1)),1,0)</f>
        <v>0</v>
      </c>
      <c r="EY38">
        <f>IFERROR(IF(AND($DC38=1,$AB38&lt;0,$AC38&gt;=(1+$FA$6)*INDEX($AC$9:$AC$55,30-1),$AC38&gt;=(1+$FA$6)*INDEX($AC$9:$AC$55,30+1),$AC38&gt;=IFERROR(INDEX($AC$9:$AC$55,30-2),0),$AC38&gt;=IFERROR(INDEX($AC$9:$AC$55,30+2),0)),1,0),0)</f>
        <v>0</v>
      </c>
      <c r="FA38" t="str">
        <f>IF(NOT(ISNUMBER($AA38)),"",IFERROR(IF(AND($AC38=MAX($AC$9:$AC$55),$AB38=MIN($AB$9:$AB$55)),"DOM",IF(AND($DC37=1,$DC38=1,$DC39=1,INDEX($AC$9:$AC$55,30-1)&lt;=(1-$FA$6)*$AC38,INDEX($AC$9:$AC$55,30-1)&lt;=(1-$FA$6)*INDEX($AC$9:$AC$55,30-2)),"GAP↑",IF(AND($DC39=1,$DC38=1,INDEX($AC$9:$AC$55,30+1)&lt;=(1-$FA$6)*$AC38,INDEX($AC$9:$AC$55,30+1)&lt;=(1-$FA$6)*INDEX($AC$9:$AC$55,30+2)),"GAP↓",IF($CZ38=1,"dEdge Cliff",IF($GY38=1,"γWall",IF(AND($DC38=1,$AB38&lt;0,$AC38&gt;=(1+$FA$6)*INDEX($AC$9:$AC$55,30-1),$AC38&gt;=(1+$FA$6)*INDEX($AC$9:$AC$55,30+1)),"PEAK-",IF($GZ38=1,"γSh Edge",IF($HL38=1,"Trough",IF($HN38=1,"PEAK+",IF($GF38=1,"Cluster","")))))))))),""))</f>
        <v/>
      </c>
      <c r="FB38" t="str">
        <f t="shared" si="70"/>
        <v/>
      </c>
      <c r="FC38" t="str">
        <f t="shared" si="71"/>
        <v/>
      </c>
      <c r="FD38">
        <f>IF(AND(ISNUMBER($AA38),ISNUMBER('King Node Model'!$AP$17),ISNUMBER('King Node Model'!$AQ$17),$AA38&gt;=MIN('King Node Model'!$AP$17,'King Node Model'!$AQ$17),$AA38&lt;=MAX('King Node Model'!$AP$17,'King Node Model'!$AQ$17),IFERROR(INDEX($AC$9:$AC$55,MATCH('King Node Model'!$AL$42,$AA$9:$AA$55,0)),0)&gt;0,$AC38&gt;=(1-$FA$6)*IFERROR(INDEX($AC$9:$AC$55,MATCH('King Node Model'!$AL$42,$AA$9:$AA$55,0)),0),$AC38&lt;=(1+$FA$6)*IFERROR(INDEX($AC$9:$AC$55,MATCH('King Node Model'!$AL$42,$AA$9:$AA$55,0)),0)),1,0)</f>
        <v>0</v>
      </c>
      <c r="FE38">
        <f>IF($AA38='King Node Model'!$AL$42,1,IF(AND($FD38=1,$FE37=1),1,0))</f>
        <v>0</v>
      </c>
      <c r="FF38">
        <f>IF($AA38='King Node Model'!$AL$42,1,IF(AND($FD38=1,$FF39=1),1,0))</f>
        <v>0</v>
      </c>
      <c r="FG38" t="str">
        <f>IF(OR($FE38=1,$FF38=1),30,"")</f>
        <v/>
      </c>
      <c r="FJ38">
        <f>IF(AND($CW$2=1,ISNUMBER($AA38),ISNUMBER($CW$3),ISNUMBER($CW$4),$AA38&gt;=MIN($CW$3,$CW$4),$AA38&lt;=MAX($CW$3,$CW$4),IFERROR(INDEX($AC$9:$AC$55,MATCH('King Node Model'!$AP$67,$AA$9:$AA$55,0)),0)&gt;0,$AC38&gt;=(1-$FA$6)*IFERROR(INDEX($AC$9:$AC$55,MATCH('King Node Model'!$AP$67,$AA$9:$AA$55,0)),0),$AC38&lt;=(1+$FA$6)*IFERROR(INDEX($AC$9:$AC$55,MATCH('King Node Model'!$AP$67,$AA$9:$AA$55,0)),0)),1,0)</f>
        <v>0</v>
      </c>
      <c r="FK38">
        <f>IF(AND($CW$2=1,$AA38='King Node Model'!$AP$67),1,IF(AND($FJ38=1,$FK37=1),1,0))</f>
        <v>0</v>
      </c>
      <c r="FL38">
        <f>IF(AND($CW$2=1,$AA38='King Node Model'!$AP$67),1,IF(AND($FJ38=1,$FL39=1),1,0))</f>
        <v>0</v>
      </c>
      <c r="FM38" t="str">
        <f>IF(OR($FK38=1,$FL38=1),30,"")</f>
        <v/>
      </c>
      <c r="FN38">
        <v>0</v>
      </c>
      <c r="FR38" t="str">
        <f t="shared" si="72"/>
        <v/>
      </c>
      <c r="FS38">
        <f t="shared" si="188"/>
        <v>0</v>
      </c>
      <c r="FT38">
        <f t="shared" si="73"/>
        <v>-0.40767565230298608</v>
      </c>
      <c r="FU38">
        <f t="shared" si="74"/>
        <v>619804</v>
      </c>
      <c r="FV38">
        <f>IF($FW38=0,"",IF(OR($FW37=0,SIGN(IFERROR($BC38*1,0))&lt;&gt;SIGN(IFERROR($BC37*1,0)),$GH38=1,$GH37=1),MAX($FV$9:$FV37)+1,$FV37))</f>
        <v>10</v>
      </c>
      <c r="FW38">
        <f t="shared" si="75"/>
        <v>1</v>
      </c>
      <c r="FX38">
        <f t="shared" si="76"/>
        <v>1233853</v>
      </c>
      <c r="FY38">
        <f t="shared" si="77"/>
        <v>0</v>
      </c>
      <c r="FZ38">
        <f t="shared" si="189"/>
        <v>0</v>
      </c>
      <c r="GA38">
        <f t="shared" si="78"/>
        <v>0</v>
      </c>
      <c r="GB38">
        <f t="shared" si="79"/>
        <v>1</v>
      </c>
      <c r="GC38">
        <f t="shared" si="80"/>
        <v>1233853</v>
      </c>
      <c r="GD38" t="str">
        <f t="shared" si="81"/>
        <v/>
      </c>
      <c r="GE38" t="str">
        <f t="shared" si="82"/>
        <v/>
      </c>
      <c r="GF38">
        <f t="shared" si="83"/>
        <v>0</v>
      </c>
      <c r="GH38">
        <f>IFERROR(IF(AND($AC38&gt;=(1+$FA$6)*INDEX($AC$9:$AC$55,30-1),$AC38&gt;=(1+$FA$6)*INDEX($AC$9:$AC$55,30+1)),1,0),0)</f>
        <v>0</v>
      </c>
      <c r="GK38">
        <v>0</v>
      </c>
      <c r="GO38">
        <v>1</v>
      </c>
      <c r="GP38">
        <v>1</v>
      </c>
      <c r="GQ38">
        <f t="shared" si="84"/>
        <v>0</v>
      </c>
      <c r="GR38">
        <f t="shared" si="85"/>
        <v>1</v>
      </c>
      <c r="GS38">
        <f>IF(AND($EY38=1,$AA38&lt;&gt;'King Node Model'!$B$23),0,IF(OR($GQ38=1,$GR38=1),1,IF($DC38=1,IF(OR('King Node Model'!$A$8="Neg",N($BG$72)=1),IF(OR(AND($AC38=MAX($AC$9:$AC$55),$AB38=MIN($AB$9:$AB$55)),$AN38=1,$EE38=1,$EF38=1,$EX38=1,$GV38=1),1,0),1),0)))</f>
        <v>1</v>
      </c>
      <c r="GT38">
        <f>IFERROR(IF(AND(OR('King Node Model'!$A$8="Neg",N($BG$72)=1),$EU37=1,$AG38="R",ISNUMBER($AA38),ISNUMBER($AF38),$AF38&lt;&gt;0,$AA38&gt;$B$4-$BG$9,$AA38-$B$4&lt;=$BG$47,IF($KC38="UP",SIGN($AF38),IF($KC38="DOWN",-SIGN($AF38),0))&lt;&gt;1),1,0),0)</f>
        <v>0</v>
      </c>
      <c r="GU38" t="str">
        <f t="shared" si="86"/>
        <v/>
      </c>
      <c r="GV38">
        <f t="shared" si="87"/>
        <v>0</v>
      </c>
      <c r="GW38" t="str">
        <f t="shared" si="88"/>
        <v/>
      </c>
      <c r="GX38">
        <f t="shared" si="89"/>
        <v>35.390000000000327</v>
      </c>
      <c r="GY38">
        <f t="shared" si="90"/>
        <v>0</v>
      </c>
      <c r="GZ38">
        <f t="shared" si="91"/>
        <v>0</v>
      </c>
      <c r="HA38">
        <v>1</v>
      </c>
      <c r="HF38">
        <f>IFERROR(IF(AND($GZ38=1,'King Node Model'!$A$8="Pos",$D$5="UP",$CF38=-1,$AJ38&lt;&gt;1),1,0),0)</f>
        <v>0</v>
      </c>
      <c r="HG38">
        <f t="shared" si="92"/>
        <v>1</v>
      </c>
      <c r="HH38">
        <f>IF($GZ38=1,"",IFERROR(IF(NOT(ISNUMBER($AA38)),"",IF($EY38=1,"",IF($GF38=1,IF($GD38=$GE38,"",$GD38),IF(OR(AND($DC37=1,$DC38=1,$DC39=1,INDEX($AC$9:$AC$55,30-1)&lt;=(1-$FA$6)*$AC38,INDEX($AC$9:$AC$55,30-1)&lt;=(1-$FA$6)*INDEX($AC$9:$AC$55,30-2)),AND($DC39=1,$DC38=1,INDEX($AC$9:$AC$55,30+1)&lt;=(1-$FA$6)*$AC38,INDEX($AC$9:$AC$55,30+1)&lt;=(1-$FA$6)*INDEX($AC$9:$AC$55,30+2)),AND($DC38=1,OR(INDEX($DC$9:$DC$55,30-1)=0,INDEX($DC$9:$DC$55,30+1)=0))),IF(MIN($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MAX($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MIN($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f>
        <v>7740</v>
      </c>
      <c r="HI38">
        <f>IF($GZ38=1,"",IFERROR(IF(NOT(ISNUMBER($AA38)),"",IF($EY38=1,"",IF($GF38=1,IF($GD38=$GE38,"",$GE38),IF(OR(AND($DC37=1,$DC38=1,$DC39=1,INDEX($AC$9:$AC$55,30-1)&lt;=(1-$FA$6)*$AC38,INDEX($AC$9:$AC$55,30-1)&lt;=(1-$FA$6)*INDEX($AC$9:$AC$55,30-2)),AND($DC39=1,$DC38=1,INDEX($AC$9:$AC$55,30+1)&lt;=(1-$FA$6)*$AC38,INDEX($AC$9:$AC$55,30+1)&lt;=(1-$FA$6)*INDEX($AC$9:$AC$55,30+2)),AND($DC38=1,OR(INDEX($DC$9:$DC$55,30-1)=0,INDEX($DC$9:$DC$55,30+1)=0))),IF(MIN($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MAX($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MAX($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f>
        <v>7745</v>
      </c>
      <c r="HL38">
        <f t="shared" si="93"/>
        <v>0</v>
      </c>
      <c r="HM38">
        <f>IFERROR(IF(AND($HL38=1,NOT(OR($AA38='King Node Model'!$T$22,$AA38='King Node Model'!$T$23,$AA38='King Node Model'!$F$24,AND($AG38="S",COUNTIF('Master Dashboard'!$AN$16:$AN$18,$AA38)&gt;0),AND($AG38="R",COUNTIF('Master Dashboard'!$AN$13:$AN$15,$AA38)&gt;0)))),1,0),0)</f>
        <v>0</v>
      </c>
      <c r="HN38">
        <f t="shared" si="94"/>
        <v>0</v>
      </c>
      <c r="HO38">
        <f t="shared" si="95"/>
        <v>0</v>
      </c>
      <c r="HP38">
        <f t="shared" si="96"/>
        <v>1</v>
      </c>
      <c r="HQ38" t="str">
        <f>IF(NOT(ISNUMBER($AA38)),"",IFERROR(TRIM(IF(N($MY38)=1,"DEXLEAN ","")&amp;IF(N($IZ38)=1,"DEXCAP ","")&amp;IF(AND($AG38="S",UPPER('King Node Model'!$L$5)="HIGH",$KC38="DOWN",N($AF38)&gt;0,$AA38='King Node Model'!$AN$70,$IY38="SELL"),"CHOPEDGEIV ","")&amp;IF(N($IS38)=1,"NOREV ","")&amp;IF(N($JY38)=1,"VFLAT ","")&amp;IF(N($KR38)=1,"GDEXVANNA ","")&amp;IF(N($LD38)=1,"KGSUPFAIL ","")&amp;IF(N($LE38)=1,"KGRESLEAK ","")&amp;IF(N($MH38)=1,"ZIGZAG ","")&amp;IF(N($KK38)=1,"DATAGAP ","")&amp;IF(N($KA38)&lt;&gt;0,"ACCUNDERCW ","")&amp;IF(AND($AG38="S",$HF38=1),"EDGE ","")&amp;IF(AND($HM38=1,'King Node Model'!$A$8="Pos",N($BG$72)&lt;&gt;1),"TROUGH ","")&amp;IF(AND($EU38=1,N($JZ38)&lt;&gt;1),"BUMP ","")&amp;IF(AND($GT38=1,N($JZ38)&lt;&gt;1),"SANDWICH ","")&amp;IF(AND($EX38&lt;&gt;1,OR('King Node Model'!$A$8="Neg",N($BG$72)=1),OR(AND(ISNUMBER($AC38),$AC38=MAX($AC$9:$AC$55)),AND(ISNUMBER($AB38),$AB38=MIN($AB$9:$AB$55))),NOT(AND(AND(ISNUMBER($AC38),$AC38=MAX($AC$9:$AC$55)),AND(ISNUMBER($AB38),$AB38=MIN($AB$9:$AB$55)))),$AG38="S",N($AB38)&lt;0,NOT(COUNTIF('Master Dashboard'!$AN$16:$AN$18,$AA38)&gt;0),NOT(AND(OR('King Node Model'!$A$8="Neg",N($BG$72)=1),ISNUMBER($AB38),$AB38=MIN($AB$9:$AB$55),$AA38=$BG$105))),"ACCEL ","")&amp;IF(AND($EX38&lt;&gt;1,ISNUMBER($AA38),OR('King Node Model'!$A$8="Neg",N($BG$72)=1),$EY38=1,NOT(AND($AG38="S",COUNTIF('Master Dashboard'!$AN$16:$AN$18,$AA38)&gt;0)),NOT(AND($AA38='King Node Model'!$B$23,IF($AG38="S",OR($AA38='King Node Model'!$C$24,COUNTIF('Master Dashboard'!$AN$16:$AN$18,$AA38)&gt;0),OR($AA38='King Node Model'!$C$23,COUNTIF('Master Dashboard'!$AN$13:$AN$15,$AA38)&gt;0)))),NOT(AND($EX38&lt;&gt;1,OR('King Node Model'!$A$8="Neg",N($BG$72)=1),OR(AND(ISNUMBER($AC38),$AC38=MAX($AC$9:$AC$55)),AND(ISNUMBER($AB38),$AB38=MIN($AB$9:$AB$55))),NOT(AND(AND(ISNUMBER($AC38),$AC38=MAX($AC$9:$AC$55)),AND(ISNUMBER($AB38),$AB38=MIN($AB$9:$AB$55)))),$AG38="S",N($AB38)&lt;0,NOT(COUNTIF('Master Dashboard'!$AN$16:$AN$18,$AA38)&gt;0)))),"AMPLIFY ","")&amp;IF(AND($AG38="S",OR('King Node Model'!$A$8="Neg",N($BG$72)=1),$AJ38&lt;&gt;1,N($MT38)&lt;&gt;1,NOT(AND(N($LR38)=1,N($MB38)=1)),ISNUMBER(SEARCH("ACCEL building",$CG38))),"ZACCEL ","")&amp;IF(AND($AG38="S",OR('King Node Model'!$A$8="Neg",N($BG$72)=1),$AA38='King Node Model'!$B$23,NOT(AND(AND(ISNUMBER($AC38),$AC38=MAX($AC$9:$AC$55)),AND(ISNUMBER($AB38),$AB38=MIN($AB$9:$AB$55)))),$EJ38&lt;&gt;1),"KINGACC ","")&amp;IF(AND($AG38="S",OR('King Node Model'!$A$8="Neg",N($BG$72)=1),ABS(N($AA38)-N('King Node Model'!$B$23))&lt;=$BG$107,NOT(AND(SUMPRODUCT((ABS($AF$9:$AF$55)&lt;=ABS(N($AF38)))*1)/COUNT($AF$9:$AF$55)&gt;=0.66,OR(ISNUMBER(SEARCH("firmer resistance",$CG38)),ISNUMBER(SEARCH("STRENGTHENING",$CG38)),ISNUMBER(SEARCH("firmer support",$CG38))))),NOT(AND(N($AB38)&gt;0,SUMPRODUCT((ABS($AB$9:$AB$55)&lt;=ABS(N($AB38)))*1)/COUNT($AB$9:$AB$55)&gt;=0.66)),$EJ38&lt;&gt;1,$AJ38&lt;&gt;1,COUNTIF('Master Dashboard'!$AN$16:$AN$18,$AA38)=0,NOT(AND($AG38="S",OR('King Node Model'!$A$8="Neg",N($BG$72)=1),$AA38='King Node Model'!$B$23,NOT(AND(AND(ISNUMBER($AC38),$AC38=MAX($AC$9:$AC$55)),AND(ISNUMBER($AB38),$AB38=MIN($AB$9:$AB$55)))),$EJ38&lt;&gt;1))),"KINGNODE ","")&amp;IF(AND($AG38="R",NOT(AND(AND(ISNUMBER($AC38),$AC38=MAX($AC$9:$AC$55)),AND(ISNUMBER($AB38),$AB38=MIN($AB$9:$AB$55)))),UPPER('King Node Model'!$L$5)="LOW",$KC38="DOWN",N($AF38)&gt;0),"LOWIVFALL ","")&amp;IF(AND($AG38="R",NOT(AND(AND(ISNUMBER($AC38),$AC38=MAX($AC$9:$AC$55)),AND(ISNUMBER($AB38),$AB38=MIN($AB$9:$AB$55)))),UPPER('King Node Model'!$L$5)="HIGH",$KC38="DOWN",N($AF38)&gt;0,IFERROR(MATCH($AA38,$W$9:$W$14,0)&gt;=4,FALSE)),"HIGHIVFALL ","")&amp;IF(AND($AG38="R",N($BG$99)=1),"SPOTUPVOLUP ","")&amp;IF(AND($AG38="R",ISNUMBER(SEARCH("5/5",'Master Dashboard'!$E$29)),OR(ISNUMBER(SEARCH("WEAKENING",$EQ38)),ISNUMBER(SEARCH("Pos gamma ↓",$EQ38)),ISNUMBER(SEARCH("thinning the ceiling",$EQ38)))),"SQUEEZE ","")&amp;IF(N($JU38)=1,"DEDGECLIFF ","")&amp;IF(N($KT38)=1,"DEXDRAIN ","")&amp;IF(N($HW38)&lt;&gt;0,"DEXDROP ","")&amp;IF(N($HX38)&lt;&gt;0,"PEAK+ ","")&amp;IF(N($IF38)=1,"CHOP ","")&amp;IF(N($IQ38)=1,"CONTESTED ","")&amp;IF(N($IW38)=1,"VSELL ","")&amp;IF(N($JK38)=1,"VBUYRES ","")&amp;IF(N($JL38)=1,"DOMFLAT ","")&amp;IF(N($JM38)=1,"DOMPULL ","")&amp;IF(N($JP38)=1,"OIZOMMA ","")&amp;IF(AND(N($JQ38)=1,N($JZ38)&lt;&gt;1),"OIDEX ","")),""))</f>
        <v>VSELL</v>
      </c>
      <c r="HS38">
        <f>IFERROR(IF(AND($DC38=1,OR(AND($AG38="R",INDEX($DC$9:$DC$55,29)=0,INDEX($DC$9:$DC$55,31)=1,INDEX($DC$9:$DC$55,32)=1),AND($AG38="S",INDEX($DC$9:$DC$55,31)=0,INDEX($DC$9:$DC$55,29)=1,INDEX($DC$9:$DC$55,28)=1))),1,0),0)</f>
        <v>0</v>
      </c>
      <c r="HT38">
        <f t="shared" si="97"/>
        <v>0</v>
      </c>
      <c r="HU38">
        <v>0</v>
      </c>
      <c r="HV38">
        <v>0</v>
      </c>
      <c r="HW38">
        <f>IFERROR(IF(OR(NOT(ISNUMBER($AA38)),'King Node Model'!$A$8&lt;&gt;"Pos",N($BG$72)=1,ABS(N($AE38))&lt;$BG$113,N($AV38)=1,$FA38="DOM",$AA38='King Node Model'!$T$23,AND(N($BG$116)=1,$AA38='King Node Model'!$F$24),NOT(ISNUMBER($KU38)),NOT(ISNUMBER($KV38))),0,IF(AND($AG38="S",COUNTIF('Master Dashboard'!$AN$16:$AN$18,$AA38)=0,$KU38&gt;=$BG$114,$KU38&gt;=$KV38+$BG$115,NOT(AND(N($AN39)=1,N($KV38)&lt;0)),N($AE38)&lt;=0),1,IF(AND($AG38="R",COUNTIF('Master Dashboard'!$AN$13:$AN$15,$AA38)=0,$KV38&gt;=$BG$114,$KV38&gt;=$KU38+$BG$115,NOT(AND(N($AN37)=1,N($KU38)&lt;0))),-1,0))),0)</f>
        <v>0</v>
      </c>
      <c r="HX38">
        <f>IFERROR(IF(AND(ISNUMBER($AA38),$FA38="PEAK+",N($AN38)&lt;&gt;1,NOT(AND('King Node Model'!$A$8="Pos",OR($AA38='King Node Model'!$T$22,$AA38='King Node Model'!$T$23,$AA38='King Node Model'!$F$24))),IF($AG38="S",COUNTIF('Master Dashboard'!$AN$16:$AN$18,$AA38)=0,IF($AG38="R",COUNTIF('Master Dashboard'!$AN$13:$AN$15,$AA38)=0,FALSE))),1,0),0)</f>
        <v>0</v>
      </c>
      <c r="HY38">
        <f t="shared" si="98"/>
        <v>-538.99208860759495</v>
      </c>
      <c r="HZ38">
        <v>0</v>
      </c>
      <c r="IA38">
        <f>IFERROR(IF(AND(IF($BG$44=1,OR(ISNUMBER(SEARCH("Choppy",'King Node Model'!$S$38)),'King Node Model'!$S$52&lt;&gt;"",'King Node Model'!$A$8="Pos"),TRUE()),OR($DC38=1,$DC37=1,$DC39=1),ABS($AA38-$B$4)&lt;=$BG$7,ABS($AA38-$BG$28)&gt;=$BG$45,OR(AND($AA38&gt;$BG$28,$AG38="R"),AND($AA38&lt;$BG$28,$AG38="S",N($BG$154)=1)),ABS(IF($AA38&gt;$BG$28,$AE39,$AE37))&gt;=$BG$43,ABS(N(IF($AA38&gt;$BG$28,$AE37,$AE39)))&lt;=$BG$153*ABS(IF($AA38&gt;$BG$28,$AE39,$AE37)),IF(ISNUMBER($HZ38),$HZ38=1,AND(ISNUMBER($HY38),$HY38&gt;=$BG$42))),1,0),0)</f>
        <v>0</v>
      </c>
      <c r="IB38">
        <f t="shared" si="99"/>
        <v>1</v>
      </c>
      <c r="IC38" t="str">
        <f>IF(NOT(ISNUMBER($AA38)),"",IFERROR(MID(IF(AND($AC38=MAX($AC$9:$AC$55),$AB38=MIN($AB$9:$AB$55))," · DOM","")&amp;IF(AND($DC37=1,$DC38=1,$DC39=1,INDEX($AC$9:$AC$55,30-1)&lt;=(1-$FA$6)*$AC38,INDEX($AC$9:$AC$55,30-1)&lt;=(1-$FA$6)*INDEX($AC$9:$AC$55,30-2))," · GAP↑ → "&amp;INDEX($AA$9:$AA$55,30-2),"")&amp;IF(AND($DC39=1,$DC38=1,INDEX($AC$9:$AC$55,30+1)&lt;=(1-$FA$6)*$AC38,INDEX($AC$9:$AC$55,30+1)&lt;=(1-$FA$6)*INDEX($AC$9:$AC$55,30+2))," · GAP↓ → "&amp;INDEX($AA$9:$AA$55,30+2),"")&amp;IF($CZ38=1," · dEdge Cliff","")&amp;IF($GY38=1," · γWall","")&amp;IF(AND($DC38=1,$AB38&lt;0,$AC38&gt;=(1+$FA$6)*INDEX($AC$9:$AC$55,30-1),$AC38&gt;=(1+$FA$6)*INDEX($AC$9:$AC$55,30+1))," · PEAK-","")&amp;IF($GZ38=1," · γSh Edge","")&amp;IF($HL38=1," · Trough","")&amp;IF($HN38=1," · PEAK+","")&amp;IF($GF38=1," · Cluster",""),FIND(" · ",IF(AND($AC38=MAX($AC$9:$AC$55),$AB38=MIN($AB$9:$AB$55))," · DOM","")&amp;IF(AND($DC37=1,$DC38=1,$DC39=1,INDEX($AC$9:$AC$55,30-1)&lt;=(1-$FA$6)*$AC38,INDEX($AC$9:$AC$55,30-1)&lt;=(1-$FA$6)*INDEX($AC$9:$AC$55,30-2))," · GAP↑ → "&amp;INDEX($AA$9:$AA$55,30-2),"")&amp;IF(AND($DC39=1,$DC38=1,INDEX($AC$9:$AC$55,30+1)&lt;=(1-$FA$6)*$AC38,INDEX($AC$9:$AC$55,30+1)&lt;=(1-$FA$6)*INDEX($AC$9:$AC$55,30+2))," · GAP↓ → "&amp;INDEX($AA$9:$AA$55,30+2),"")&amp;IF($CZ38=1," · dEdge Cliff","")&amp;IF($GY38=1," · γWall","")&amp;IF(AND($DC38=1,$AB38&lt;0,$AC38&gt;=(1+$FA$6)*INDEX($AC$9:$AC$55,30-1),$AC38&gt;=(1+$FA$6)*INDEX($AC$9:$AC$55,30+1))," · PEAK-","")&amp;IF($GZ38=1," · γSh Edge","")&amp;IF($HL38=1," · Trough","")&amp;IF($HN38=1," · PEAK+","")&amp;IF($GF38=1," · Cluster",""),2),999),""))</f>
        <v/>
      </c>
      <c r="ID38" t="str">
        <f>IF(NOT(ISNUMBER($AA38)),"",IFERROR(MID(IF(AND($AC38=MAX($AC$9:$AC$55),$AB38=MIN($AB$9:$AB$55))," · DOM","")&amp;IF(AND($DC37=1,$DC38=1,$DC39=1,INDEX($AC$9:$AC$55,30-1)&lt;=(1-$FA$6)*$AC38,INDEX($AC$9:$AC$55,30-1)&lt;=(1-$FA$6)*INDEX($AC$9:$AC$55,30-2))," · GAP↑ → "&amp;INDEX($AA$9:$AA$55,30-2),"")&amp;IF(AND($DC39=1,$DC38=1,INDEX($AC$9:$AC$55,30+1)&lt;=(1-$FA$6)*$AC38,INDEX($AC$9:$AC$55,30+1)&lt;=(1-$FA$6)*INDEX($AC$9:$AC$55,30+2))," · GAP↓ → "&amp;INDEX($AA$9:$AA$55,30+2),"")&amp;IF($CZ38=1," · dEdge Cliff","")&amp;IF($GY38=1," · γWall","")&amp;IF(AND($DC38=1,$AB38&lt;0,$AC38&gt;=(1+$FA$6)*INDEX($AC$9:$AC$55,30-1),$AC38&gt;=(1+$FA$6)*INDEX($AC$9:$AC$55,30+1))," · PEAK-","")&amp;IF($GZ38=1," · γSh Edge","")&amp;IF($HL38=1," · Trough","")&amp;IF($HN38=1," · PEAK+","")&amp;IF(AND(NOT($HN38=1),NOT(AND($DC38=1,$AB38&lt;0)),N($GY38)&lt;&gt;1,N($GF38)&lt;&gt;1,N($GZ38)&lt;&gt;1,N($HL38)&lt;&gt;1,N($CZ38)&lt;&gt;1,NOT(AND($AC38=MAX($AC$9:$AC$55),$AB38=MIN($AB$9:$AB$55))),$AC38&gt;=(1+$FA$6)*INDEX($AC$9:$AC$55,30-1),$AC38&gt;=(1+$FA$6)*INDEX($AC$9:$AC$55,30+1))," · Knoll","")&amp;IF($GF38=1," · Cluster",""),4,999),""))</f>
        <v/>
      </c>
      <c r="IF38">
        <f t="shared" si="100"/>
        <v>0</v>
      </c>
      <c r="IG38">
        <f>IFERROR(IF(AND(ISNUMBER($AA38),'King Node Model'!$A$8="Pos",OR($AG38="S",$AG38="R"),$IN38="interior",COUNTIF(IF($AG38="S",'Master Dashboard'!$AN$16:$AN$18,'Master Dashboard'!$AN$13:$AN$15),$AA38)=0,$AA38&lt;&gt;'King Node Model'!$T$22,$AA38&lt;&gt;'King Node Model'!$T$23,$AA38&lt;&gt;'King Node Model'!$F$24),1,0),0)</f>
        <v>0</v>
      </c>
      <c r="IH38">
        <f t="shared" si="101"/>
        <v>0</v>
      </c>
      <c r="II38">
        <f t="shared" si="190"/>
        <v>0</v>
      </c>
      <c r="IJ38">
        <f t="shared" si="102"/>
        <v>0</v>
      </c>
      <c r="IK38">
        <f t="shared" si="103"/>
        <v>0</v>
      </c>
      <c r="IL38">
        <f t="shared" si="191"/>
        <v>0</v>
      </c>
      <c r="IM38">
        <f t="shared" si="104"/>
        <v>0</v>
      </c>
      <c r="IN38" t="str">
        <f t="shared" si="105"/>
        <v/>
      </c>
      <c r="IO38">
        <v>0</v>
      </c>
      <c r="IP38">
        <v>0</v>
      </c>
      <c r="IQ38">
        <f>IFERROR(IF($AG38="S",IF(OR(COUNTIF($W$9:$W$14,$AA38)&gt;0,COUNTIF('King Node Model'!$AL$42:'King Node Model'!$AL$43,$AA38)&gt;0),1,0),IF($AG38="R",IF(OR(COUNTIF($W$18:$W$23,$AA38)&gt;0,COUNTIF('King Node Model'!$AL$49:'King Node Model'!$AL$50,$AA38)&gt;0),1,0),0)),0)</f>
        <v>0</v>
      </c>
      <c r="IS38">
        <f>IF(AND(ISNUMBER($AA38),N($AN38)&lt;&gt;1,N($LR38)&lt;&gt;1,OR(N($EN38)&lt;&gt;1,AND('King Node Model'!$A$8&lt;&gt;"Neg",N($BG$72)&lt;&gt;1)),$AA38&lt;&gt;'King Node Model'!$T$22,$AA38&lt;&gt;'King Node Model'!$T$23,$AA38&lt;&gt;'King Node Model'!$F$24,NOT(AND($AG38="S",COUNTIF('Master Dashboard'!$AN$16:$AN$18,$AA38)&gt;0)),NOT(AND($AG38="R",COUNTIF('Master Dashboard'!$AN$13:$AN$15,$AA38)&gt;0)),NOT(AND('King Node Model'!$A$8&lt;&gt;"Neg",N($BG$72)&lt;&gt;1,COUNTIF('Master Dashboard'!$AN$13:$AN$18,$AA38)&gt;0))),1,0)</f>
        <v>0</v>
      </c>
      <c r="IT38">
        <v>0</v>
      </c>
      <c r="IU38">
        <f>IF(AND(ISNUMBER($AA38),$AA38='King Node Model'!$F$24,$AA38&gt;$GJ$3,N($AD38)&lt;0,$F$4="High"),1,0)</f>
        <v>0</v>
      </c>
      <c r="IV38" t="str">
        <f>""</f>
        <v/>
      </c>
      <c r="IW38">
        <f>IFERROR(IF(AND(ISNUMBER($AA38),NOT(AND(N($LR38)=1,N($MB38)=1)),$AG38="S",OR('King Node Model'!$A$8="Neg",N($BG$72)=1),$JV38="SELL",ABS(N($AD38))&gt;=$BG$94,NOT(AND(N($AD38)&gt;0,N($BG$78)=1,MEDIAN($AA38-$BG$82,$B$4,$AA38+$BG$83)=$B$4))),1,0),0)</f>
        <v>1</v>
      </c>
      <c r="IX38">
        <f>IFERROR(IF(AND(ISNUMBER($AA38),$AG38="S",OR('King Node Model'!$A$8="Neg",N($BG$72)=1),N($AD38)&gt;0,N($BG$78)=1,MEDIAN($AA38-$BG$82,$B$4,$AA38+$BG$83)=$B$4),1,0),0)</f>
        <v>0</v>
      </c>
      <c r="IY38" t="str">
        <f t="shared" si="106"/>
        <v>SELL</v>
      </c>
      <c r="IZ38">
        <f>IFERROR(IF(AND(ISNUMBER($AA38),$FA38&lt;&gt;"DOM",$AA38&lt;&gt;'King Node Model'!$F$24,OR(AND($AG38="S",COUNTIF('Master Dashboard'!$AN$16:$AN$18,$AA38)=0,N(INDEX($AE$9:$AE$55,MATCH($AA38+$BG$84,$AA$9:$AA$55,0)))&lt;=-$BG$85),AND($AG38="R",COUNTIF('Master Dashboard'!$AN$13:$AN$15,$AA38)=0,N(INDEX($AE$9:$AE$55,MATCH($AA38-$BG$84,$AA$9:$AA$55,0)))&gt;=$BG$85))),1,0),0)</f>
        <v>0</v>
      </c>
      <c r="JC38">
        <f t="shared" si="108"/>
        <v>0</v>
      </c>
      <c r="JD38" t="str">
        <f t="shared" si="193"/>
        <v/>
      </c>
      <c r="JE38">
        <f>IF(ISNUMBER($AA38),N(IFERROR(INDEX('King Node Model'!$L$29:$L$75,MATCH($AA38,'King Node Model'!$A$29:$A$75,0)),0)),"")</f>
        <v>1357</v>
      </c>
      <c r="JF38">
        <f>IF(ISNUMBER($AA38),N(IFERROR(INDEX('King Node Model'!$K$29:$K$75,MATCH($AA38,'King Node Model'!$A$29:$A$75,0)),0)),"")</f>
        <v>571</v>
      </c>
      <c r="JG38">
        <f t="shared" si="109"/>
        <v>2.3765323992994745</v>
      </c>
      <c r="JH38">
        <f t="shared" si="110"/>
        <v>0.42078113485630064</v>
      </c>
      <c r="JI38">
        <f t="shared" si="111"/>
        <v>0</v>
      </c>
      <c r="JJ38" t="str">
        <f t="shared" si="112"/>
        <v>Ramp</v>
      </c>
      <c r="JK38">
        <f t="shared" si="113"/>
        <v>0</v>
      </c>
      <c r="JL38">
        <f t="shared" si="114"/>
        <v>0</v>
      </c>
      <c r="JM38">
        <f t="shared" si="115"/>
        <v>0</v>
      </c>
      <c r="JN38">
        <f t="shared" si="116"/>
        <v>0</v>
      </c>
      <c r="JO38">
        <f t="shared" si="117"/>
        <v>0</v>
      </c>
      <c r="JP38">
        <f t="shared" si="118"/>
        <v>0</v>
      </c>
      <c r="JQ38">
        <f t="shared" si="119"/>
        <v>0</v>
      </c>
      <c r="JR38">
        <v>0</v>
      </c>
      <c r="JS38">
        <f>IFERROR(IF(AND(ISNUMBER($AA38),'King Node Model'!$A$8="Pos",OR($AG38="S",$AG38="R"),N($AB38)&gt;0,N($HP38)&lt;&gt;1,OR(AND($KC38="DOWN",N($AF38)&lt;0,N($AF38)=MIN($AF$9:$AF$55),-N($AF38)&gt;=MAX($AF$9:$AF$55)),AND($KC38="UP",N($AF38)&gt;0,N($AF38)=MAX($AF$9:$AF$55),N($AF38)&gt;=-MIN($AF$9:$AF$55)))),1,0),0)</f>
        <v>0</v>
      </c>
      <c r="JT38">
        <v>0</v>
      </c>
      <c r="JU38">
        <f>IFERROR(IF(AND(N($BG$109)=1,ISNUMBER($AA38),'King Node Model'!$A$8="Pos",N($CZ38)=1,N($AB38)&gt;0),1,0),0)</f>
        <v>0</v>
      </c>
      <c r="JV38" t="str">
        <f t="shared" si="120"/>
        <v>SELL</v>
      </c>
      <c r="JW38">
        <f t="shared" si="121"/>
        <v>0</v>
      </c>
      <c r="JX38">
        <f t="shared" si="122"/>
        <v>0</v>
      </c>
      <c r="JY38">
        <f t="shared" si="123"/>
        <v>0</v>
      </c>
      <c r="JZ38">
        <f t="shared" si="124"/>
        <v>0</v>
      </c>
      <c r="KA38">
        <f t="shared" si="125"/>
        <v>0</v>
      </c>
      <c r="KB38">
        <f t="shared" si="126"/>
        <v>0</v>
      </c>
      <c r="KC38" t="str">
        <f t="shared" si="127"/>
        <v>UP</v>
      </c>
      <c r="KE38" t="str">
        <f t="shared" si="128"/>
        <v>Now: weakening the floor (IV rising) · if IV falls: strengthens the floor · expected on arrival: WEAKENS ✗</v>
      </c>
      <c r="KF38" t="str">
        <f t="shared" si="129"/>
        <v>SELL</v>
      </c>
      <c r="KG38">
        <f t="shared" si="192"/>
        <v>0</v>
      </c>
      <c r="KH38" t="str">
        <f t="shared" si="130"/>
        <v/>
      </c>
      <c r="KI38" t="str">
        <f t="shared" si="131"/>
        <v/>
      </c>
      <c r="KJ38">
        <f t="shared" si="132"/>
        <v>0</v>
      </c>
      <c r="KK38">
        <f t="shared" si="133"/>
        <v>0</v>
      </c>
      <c r="KL38">
        <f t="shared" si="134"/>
        <v>0</v>
      </c>
      <c r="KM38">
        <f t="shared" si="135"/>
        <v>0</v>
      </c>
      <c r="KN38">
        <f t="shared" si="136"/>
        <v>0</v>
      </c>
      <c r="KO38">
        <v>0</v>
      </c>
      <c r="KP38">
        <f t="shared" si="137"/>
        <v>0</v>
      </c>
      <c r="KQ38">
        <f t="shared" si="138"/>
        <v>0</v>
      </c>
      <c r="KR38">
        <f t="shared" si="139"/>
        <v>0</v>
      </c>
      <c r="KS38">
        <f t="shared" si="140"/>
        <v>0</v>
      </c>
      <c r="KT38">
        <f t="shared" si="141"/>
        <v>0</v>
      </c>
      <c r="KU38">
        <f>IF(AND(ISNUMBER($AA38),ISNUMBER($AE38),ISNUMBER($AE37),N($AE38)&lt;&gt;0),($AE38-$AE37)/$AE38,"")</f>
      </c>
      <c r="KV38">
        <f>IF(AND(ISNUMBER($AA38),ISNUMBER($AE38),ISNUMBER($AE39),N($AE38)&lt;&gt;0),($AE38-$AE39)/$AE38,"")</f>
      </c>
      <c r="KW38">
        <f>IFERROR(IF(OR(NOT(ISNUMBER($AA38)),'King Node Model'!$A$8&lt;&gt;"Pos",N($BG$72)=1,ABS(N($AE38))&lt;$BG$113,$FA38="DOM",$AA38='King Node Model'!$T$23,AND(N($BG$116)=1,$AA38='King Node Model'!$F$24),NOT(ISNUMBER($KU38)),NOT(ISNUMBER($KV38))),0,IF(AND($AG38="S",COUNTIF('Master Dashboard'!$AN$16:$AN$18,$AA38)=0,$KU38&gt;=$BG$114,$KU38&gt;=$KV38+$BG$115),1,IF(AND($AG38="R",COUNTIF('Master Dashboard'!$AN$13:$AN$15,$AA38)=0,$KV38&gt;=$BG$114,$KV38&gt;=$KU38+$BG$115),-1,0))),0)</f>
        <v>0</v>
      </c>
      <c r="KX38">
        <f t="shared" si="144"/>
        <v>0</v>
      </c>
      <c r="KY38">
        <f t="shared" si="145"/>
        <v>0</v>
      </c>
      <c r="KZ38">
        <f t="shared" si="146"/>
        <v>0</v>
      </c>
      <c r="LA38">
        <f t="shared" si="147"/>
        <v>0</v>
      </c>
      <c r="LB38">
        <f t="shared" si="148"/>
        <v>0</v>
      </c>
      <c r="LC38">
        <f t="shared" si="149"/>
        <v>0</v>
      </c>
      <c r="LD38">
        <f t="shared" si="150"/>
        <v>0</v>
      </c>
      <c r="LE38">
        <f t="shared" si="151"/>
        <v>0</v>
      </c>
      <c r="LF38">
        <f t="shared" si="152"/>
        <v>0</v>
      </c>
      <c r="LG38" t="str">
        <f t="shared" si="153"/>
        <v/>
      </c>
      <c r="LH38" t="str">
        <f t="shared" si="154"/>
        <v/>
      </c>
      <c r="LI38" t="str">
        <f t="shared" si="155"/>
        <v/>
      </c>
      <c r="LJ38" t="str">
        <f t="shared" si="156"/>
        <v/>
      </c>
      <c r="LK38" t="str">
        <f t="shared" si="157"/>
        <v/>
      </c>
      <c r="LL38">
        <f t="shared" si="158"/>
        <v>0</v>
      </c>
      <c r="LM38">
        <f t="shared" si="159"/>
        <v>0</v>
      </c>
      <c r="LN38">
        <f t="shared" si="160"/>
        <v>0</v>
      </c>
      <c r="LO38">
        <v>0</v>
      </c>
      <c r="LP38">
        <f t="shared" si="161"/>
        <v>0</v>
      </c>
      <c r="LQ38" t="str">
        <f t="shared" si="162"/>
        <v/>
      </c>
      <c r="LR38">
        <f t="shared" si="163"/>
        <v>0</v>
      </c>
      <c r="LS38">
        <f t="shared" si="164"/>
        <v>0</v>
      </c>
      <c r="LT38">
        <f t="shared" si="165"/>
        <v>0</v>
      </c>
      <c r="LU38">
        <f t="shared" si="166"/>
        <v>0</v>
      </c>
      <c r="LV38">
        <f t="shared" si="167"/>
        <v>1</v>
      </c>
      <c r="LW38">
        <f t="shared" si="168"/>
        <v>341275</v>
      </c>
      <c r="LX38">
        <f t="shared" si="169"/>
        <v>0</v>
      </c>
      <c r="LY38">
        <f t="shared" si="170"/>
        <v>0</v>
      </c>
      <c r="LZ38">
        <f t="shared" si="171"/>
        <v>0</v>
      </c>
      <c r="MA38">
        <f t="shared" si="172"/>
        <v>0</v>
      </c>
      <c r="MB38">
        <v>0</v>
      </c>
      <c r="MC38">
        <f t="shared" si="173"/>
        <v>1</v>
      </c>
      <c r="MD38">
        <f t="shared" si="174"/>
        <v>1</v>
      </c>
      <c r="ME38">
        <f t="shared" si="175"/>
        <v>0</v>
      </c>
      <c r="MF38">
        <f t="shared" si="176"/>
        <v>0</v>
      </c>
      <c r="MG38">
        <f t="shared" si="177"/>
        <v>0</v>
      </c>
      <c r="MH38">
        <f t="shared" si="178"/>
        <v>0</v>
      </c>
      <c r="MI38" t="str">
        <f t="shared" si="179"/>
        <v/>
      </c>
      <c r="MJ38">
        <f t="shared" si="180"/>
        <v>0</v>
      </c>
      <c r="MK38">
        <f t="shared" si="181"/>
        <v>0</v>
      </c>
      <c r="ML38">
        <f>IF(AND(OR('King Node Model'!$A$8="Neg",N($BG$72)=1),ISNUMBER($AA38),$AG38="R",N($AB38)&lt;0),IF(AND($AA37=$AA38+5,N($AB37)&gt;0,$AA36=$AA38+10,N($AB36)&lt;0),1,IF(AND($AA37=$AA38+5,N($AB37)&gt;0,$AA36=$AA38+10,N($AB36)&gt;0,$AA35=$AA38+15,N($AB35)&lt;0),2,IF(AND($AA37=$AA38+5,N($AB37)&gt;0,$AA36=$AA38+10,N($AB36)&gt;0,$AA35=$AA38+15,N($AB35)&gt;0,$AA34=$AA38+20,N($AB34)&lt;0),3,IF(AND($AA37=$AA38+5,N($AB37)&gt;0,$AA36=$AA38+10,N($AB36)&gt;0,$AA35=$AA38+15,N($AB35)&gt;0,$AA34=$AA38+20,N($AB34)&gt;0,$AA33=$AA38+25,N($AB33)&lt;0),4,0)))),0)</f>
      </c>
      <c r="MM38">
        <f>IF(AND(OR('King Node Model'!$A$8="Neg",N($BG$72)=1),ISNUMBER($AA38),$AG38="S",N($AB38)&lt;0),IF(AND($AA39=$AA38-5,N($AB39)&gt;0,$AA40=$AA38-10,N($AB40)&lt;0),1,IF(AND($AA39=$AA38-5,N($AB39)&gt;0,$AA40=$AA38-10,N($AB40)&gt;0,$AA41=$AA38-15,N($AB41)&lt;0),2,IF(AND($AA39=$AA38-5,N($AB39)&gt;0,$AA40=$AA38-10,N($AB40)&gt;0,$AA41=$AA38-15,N($AB41)&gt;0,$AA42=$AA38-20,N($AB42)&lt;0),3,IF(AND($AA39=$AA38-5,N($AB39)&gt;0,$AA40=$AA38-10,N($AB40)&gt;0,$AA41=$AA38-15,N($AB41)&gt;0,$AA42=$AA38-20,N($AB42)&gt;0,$AA43=$AA38-25,N($AB43)&lt;0),4,0)))),0)</f>
      </c>
      <c r="MN38">
        <f>IF(N($ML38)&gt;0,$AA38,0)</f>
      </c>
      <c r="MO38">
        <f>IF(N($MM38)&gt;0,$AA38,0)</f>
      </c>
      <c r="MP38">
        <f>IF(AND(OR('King Node Model'!$A$8="Neg",N($BG$72)=1),ISNUMBER($BG$155),$AA38=$BG$155,N($NC38)=1),2,IF(AND(OR('King Node Model'!$A$8="Neg",N($BG$72)=1),ISNUMBER($BG$156),$AA38=$BG$156,N($ND38)=1),1,0))</f>
      </c>
      <c r="MQ38">
        <f>IF(ABS(AE38)&lt;=0,0,IF($AG38="R",IF(ISNUMBER(AE37),IF((ABS(AE37)-ABS(AE38))/ABS(AE38)&lt;-0.4,1,0),0),IF(ISNUMBER(AE39),IF((ABS(AE39)-ABS(AE38))/ABS(AE38)&lt;-0.4,1,0),0)))</f>
      </c>
      <c r="MR38">
        <f>IF(OR(N($MQ38)&lt;&gt;1,N($BG$157)&lt;&gt;1,NOT(ISNUMBER($KU38)),NOT(ISNUMBER($KV38))),0,IF(OR(AND($AG38="S",OR(AND($KU38&gt;=$BG$114,$KU38&gt;=$KV38+$BG$115),AND($KU38&gt;1,$KV38&lt;=1,$KV38&gt;=$BG$114))),AND($AG38="R",OR(AND($KV38&gt;=$BG$114,$KV38&gt;=$KU38+$BG$115),AND($KV38&gt;1,$KU38&lt;=1,$KU38&gt;=$BG$114)))),1,0))</f>
      </c>
      <c r="MS38" t="str">
        <f>IF(AND(N($MR38)=1,N($NA38)&lt;&gt;1),"• DEX falls off more sharply "&amp;IF($AG38="S","above (","below (")&amp;TEXT(IF($AG38="S",$KU38,$KV38),"0%")&amp;") than "&amp;IF($AG38="S","below (","above (")&amp;TEXT(IF($AG38="S",$KV38,$KU38),"0%")&amp;") — Dex↓ not counted",IF(N($MW38)=1,"• Shoulder of the "&amp;IF($AG38="R",$AA39,$AA37)&amp;" wall — own DEX "&amp;TEXT($AE38/1000,"+#,##0;-#,##0")&amp;"K is "&amp;TEXT(ABS($AE38)/ABS(IF($AG38="R",$AE39,$AE37)),"0%")&amp;" of "&amp;TEXT(IF($AG38="R",$AE39,$AE37)/1000,"+#,##0;-#,##0")&amp;"K, Dex↓ not counted",""))</f>
      </c>
      <c r="MT38">
        <f>IF(AND(ISNUMBER($AA38),$AG38="S",ISNUMBER($AB38),$AB38=MIN($AB$9:$AB$55),$AA38=$BG$105,$JV38="BUY",ABS(N($AD38))&gt;=$BG$158),1,0)</f>
      </c>
      <c r="MU38" t="str">
        <f>IF(N($MY38)=1,"",IF(OR(N($MT38)=1,AND(OR('King Node Model'!$A$8="Neg",N($BG$72)=1),$AG38="S",ISNUMBER($AB38),$AB38=MIN($AB$9:$AB$55),$AA38=$BG$105)),"• Min GEX + Max Zomma (no reversal flag required) — accelerant warning not applied; zomma acceleration warning only within "&amp;$BG$98&amp;" pts of the level, and not when vanna buying is "&amp;TEXT($BG$158/1000,"0")&amp;"K or more"&amp;CHAR(10)&amp;IF(N($MT38)=1,"• Max Zomma and vanna buying ("&amp;TEXT(N($AD38)/1000,"+#,##0;-#,##0")&amp;"K) make this level safe","• Max Zomma is what makes this level safe"),"")&amp;$NB38&amp;$NI38)</f>
      </c>
      <c r="MV38" t="str">
        <f>IF(AND(ISNUMBER($AA38),OR($AA38=$BG$118,$AA38=$BG$119)),IF(N($AZ38)*IF($AG38="R",1,-1)&gt;0,"✓",IF(N($AZ38)*IF($AG38="R",1,-1)&lt;0,"✗","")),"")</f>
      </c>
      <c r="MW38">
        <f>IF(AND(N($MQ38)=1,N($BG$159)&gt;0,ISNUMBER(IF($AG38="R",$AE39,$AE37)),N(IF($AG38="R",$AE39,$AE37))&lt;&gt;0),IF(ABS(N($AE38))&lt;$BG$159*ABS(IF($AG38="R",$AE39,$AE37)),1,0),0)</f>
      </c>
      <c r="MX38">
        <f>IF(AND(ISNUMBER($AA38),$AA38=$BG$121,$AG38="R",N($AE38)&lt;0,OR(COUNTIF('King Node Model'!$AL$42:$AL$44,$AA38)=0,N($HP38)=1),N($NC38)=1),2,IF(AND(ISNUMBER($AA38),$AA38=$BG$120,$AG38="S",N($AE38)&gt;0,OR(COUNTIF('King Node Model'!$AL$49:$AL$51,$AA38)=0,N($HP38)=1),N($ND38)=1),1,0))</f>
      </c>
      <c r="MY38">
        <f>IF(AND(N($NA38)=1,NOT(AND(AND($AG38="S",ISNUMBER($AB38),$AB38=MIN($AB$9:$AB$55),$AA38=$BG$105),IFERROR(INDEX($AG$9:$AG$55,MATCH('King Node Model'!$B$23,$AA$9:$AA$55,0)),"")="R")),N($AV38)&lt;&gt;1),1,0)</f>
      </c>
      <c r="MZ38" t="str">
        <f>IF(N($MY38)&lt;&gt;1,"","• DEX falls off more sharply "&amp;IF($AG38="S","above (","below (")&amp;TEXT(IF($AG38="S",$KU38,$KV38),"0%")&amp;") than "&amp;IF($AG38="S","below (","above (")&amp;TEXT(IF($AG38="S",$KV38,$KU38),"0%")&amp;") — path of least resistance "&amp;IF($AG38="S","down","up")&amp;IF(N($AZ38)*IF($AG38="R",1,-1)&lt;0,CHAR(10)&amp;"• Speed against — GEX gets more negative as price "&amp;IF($AG38="R","rises","falls")&amp;" into it (speed "&amp;TEXT(N($AZ38),"#,##0;−#,##0")&amp;")","")&amp;IF(OR(N($NG38)=1,N($JC38)=1),CHAR(10)&amp;"• "&amp;IF(N($JC38)=1,"DOM with vanna BUY "&amp;TEXT(N($AD38)/1000,"+#,##0;−#,##0")&amp;"K","Put wall + Max Zomma + DOM")&amp;" backs the level, but it does not outweigh DEX"&amp;IF(N($AZ38)*IF($AG38="R",1,-1)&lt;0," and speed",""),IF(AND($AG38="S",ISNUMBER($AB38),$AB38=MIN($AB$9:$AB$55),$AA38=$BG$105),CHAR(10)&amp;"• Min GEX + Max Zomma backs the level, but it does not outweigh DEX"&amp;IF(N($AZ38)*IF($AG38="R",1,-1)&lt;0," and speed",""),IF(OR(N($JI38)=1,AND(N($GV38)=1,N($JK38)&lt;&gt;1,N($IW38)&lt;&gt;1),N($JC38)=1,AND($AA38='King Node Model'!$F$24,N($JN38)&lt;&gt;1,OR($AG38="R",AND($AG38="S",$F$4="High",IF($BG$80&lt;&gt;"",UPPER($BG$80),$D$5)="UP")))),CHAR(10)&amp;"• Vanna "&amp;IF($AG38="S","BUY ","SELL ")&amp;TEXT(N($AD38)/1000,"+#,##0;−#,##0")&amp;"K backs the level, but it does not outweigh DEX"&amp;IF(N($AZ38)*IF($AG38="R",1,-1)&lt;0," and speed",""),"")))&amp;IF(N($NE38)=1,CHAR(10)&amp;"• Buy-lean max-node exemption not applied — DEX leans against the level",""))</f>
      </c>
      <c r="NA38">
        <f>IF(AND(OR('King Node Model'!$A$8="Neg",N($BG$72)=1),ISNUMBER($AA38),ABS(N($AE38))&gt;=$BG$152,ISNUMBER($KU38),ISNUMBER($KV38)),IF(OR(AND($AG38="S",OR(AND($KU38&gt;=$BG$114,$KU38&gt;=$KV38+$BG$115),AND($KU38&gt;1,$KV38&lt;=1,$KV38&gt;=$BG$114))),AND($AG38="R",OR(AND($KV38&gt;=$BG$114,$KV38&gt;=$KU38+$BG$115),AND($KV38&gt;1,$KU38&lt;=1,$KU38&gt;=$BG$114)))),1,0),0)</f>
      </c>
      <c r="NB38" t="str">
        <f>IF(AND(N($NA38)=1,AND(AND($AG38="S",ISNUMBER($AB38),$AB38=MIN($AB$9:$AB$55),$AA38=$BG$105),IFERROR(INDEX($AG$9:$AG$55,MATCH('King Node Model'!$B$23,$AA$9:$AA$55,0)),"")="R")),CHAR(10)&amp;"• DEX falls off more sharply above ("&amp;TEXT($KU38,"0%")&amp;") than below ("&amp;TEXT($KV38,"0%")&amp;") — DEX-lean warning not applied: Min GEX + Max Zomma support with Max Gamma "&amp;'King Node Model'!$B$23&amp;" above (Dex↓ not counted)",IF(AND(OR(N($NA38)=1,N($NF38)=1),N($AV38)=1),IF(AND(OR('King Node Model'!$A$8="Neg",N($BG$72)=1),$AG38="S",ISNUMBER($AB38),$AB38=MIN($AB$9:$AB$55),$AA38=$BG$105),CHAR(10),"")&amp;"• DEX falls off more sharply "&amp;IF($AG38="S","above (","below (")&amp;TEXT(IF($AG38="S",$KU38,$KV38),"0%")&amp;") than "&amp;IF($AG38="S","below (","above (")&amp;TEXT(IF($AG38="S",$KV38,$KU38),"0%")&amp;") — DEX lean does not apply to iDex (isolated DEX)",""))</f>
      </c>
      <c r="NC38">
        <f>IF(OR($BG$163=1,AND($BG$161&gt;0,$BG$162&lt;99999,ISNUMBER($AA38),$AA38&lt;$BG$162)),1,0)</f>
      </c>
      <c r="ND38">
        <f>IF(OR($BG$163=-1,AND($BG$161&gt;0,$BG$162&lt;99999,ISNUMBER($AA38),$AA38&gt;$BG$161)),1,0)</f>
      </c>
      <c r="NE38">
        <f>IF(AND(OR('King Node Model'!$A$8="Neg",N($BG$72)=1),ISNUMBER(SEARCH("LOW",'Master Dashboard'!$M$5)),ISNUMBER(SEARCH("BUY",'Master Dashboard'!$G$8)),'King Node Model'!$T$23='King Node Model'!$B$23,OR($AA38='King Node Model'!$T$23,AND($AG38="R",$AA38='King Node Model'!$T$23+5)),OR(AND($AG38="S",$JV38="BUY"),AND($AG38="R",$JV38="SELL"))),1,0)</f>
      </c>
      <c r="NF38">
        <f>IFERROR(IF(OR(NOT(ISNUMBER($AA38)),'King Node Model'!$A$8&lt;&gt;"Pos",N($BG$72)=1,ABS(N($AE38))&lt;$BG$113,$FA38="DOM",$AA38='King Node Model'!$T$23,AND(N($BG$116)=1,$AA38='King Node Model'!$F$24),NOT(ISNUMBER($KU38)),NOT(ISNUMBER($KV38))),0,IF(AND($AG38="S",COUNTIF('Master Dashboard'!$AN$16:$AN$18,$AA38)=0,$KU38&gt;=$BG$114,$KU38&gt;=$KV38+$BG$115,NOT(AND(N($AN39)=1,N($KV38)&lt;0)),N($AE38)&lt;=0),1,IF(AND($AG38="R",COUNTIF('Master Dashboard'!$AN$13:$AN$15,$AA38)=0,$KV38&gt;=$BG$114,$KV38&gt;=$KU38+$BG$115,NOT(AND(N($AN37)=1,N($KU38)&lt;0))),-1,0))),0)</f>
      </c>
      <c r="NG38">
        <f t="shared" si="202"/>
      </c>
      <c r="NI38" t="str">
        <f>IF(AND(ISNUMBER($BG$165),ISNUMBER($AA38)),IF(OR(AND($AG38="S",$AA38&gt;$BG$165,$AA38-$BG$165&lt;=5),AND($AG38="R",$AA38&lt;$BG$165,$BG$165-$AA38&lt;=5)),IF(OR(AND(OR('King Node Model'!$A$8="Neg",N($BG$72)=1),$AG38="S",ISNUMBER($AB38),$AB38=MIN($AB$9:$AB$55),$AA38=$BG$105),$NB38&lt;&gt;""),CHAR(10),"")&amp;"• DOM forming at "&amp;$BG$165&amp;" (gamma "&amp;TEXT($BG$166,"0%")&amp;" of max) — price may be pulled to the node",""),"")</f>
      </c>
      <c r="NJ38">
        <f>IF(LEN($NI38)&gt;0,1,0)</f>
      </c>
    </row>
    <row r="39" spans="27:349" ht="15" customHeight="1" x14ac:dyDescent="0.25">
      <c r="AA39" s="181">
        <f>'King Node Model'!A59</f>
        <v>7735</v>
      </c>
      <c r="AB39" s="276">
        <f>'King Node Model'!C59</f>
        <v>-277071</v>
      </c>
      <c r="AC39" s="181">
        <f>ABS('King Node Model'!B59)</f>
        <v>379726</v>
      </c>
      <c r="AD39" s="276">
        <f>'King Node Model'!F59</f>
        <v>878831</v>
      </c>
      <c r="AE39" s="276">
        <f>'King Node Model'!E59</f>
        <v>98643</v>
      </c>
      <c r="AF39" s="276">
        <f>'King Node Model'!D59</f>
        <v>-2676576</v>
      </c>
      <c r="AG39" s="181" t="str">
        <f t="shared" si="6"/>
        <v>S</v>
      </c>
      <c r="AH39" s="181">
        <f t="shared" si="7"/>
        <v>14</v>
      </c>
      <c r="AI39" s="181" t="str">
        <f t="shared" si="8"/>
        <v>SELL</v>
      </c>
      <c r="AJ39" s="181">
        <f t="shared" si="9"/>
        <v>0</v>
      </c>
      <c r="AK39" s="181">
        <f>IF(ABS(N($AE39))&gt;=$BG$85,1,0)</f>
      </c>
      <c r="AL39" s="181">
        <f t="shared" si="10"/>
        <v>0</v>
      </c>
      <c r="AM39" s="181">
        <f t="shared" si="11"/>
        <v>2</v>
      </c>
      <c r="AN39" s="181">
        <f t="shared" si="12"/>
        <v>0</v>
      </c>
      <c r="AO39" s="1" t="str">
        <f t="shared" si="13"/>
        <v/>
      </c>
      <c r="AP39" s="1">
        <f t="shared" si="14"/>
        <v>98643</v>
      </c>
      <c r="AQ39" s="1">
        <f t="shared" si="15"/>
        <v>2676576</v>
      </c>
      <c r="AR39" s="181">
        <f t="shared" si="16"/>
        <v>0.26793805482710487</v>
      </c>
      <c r="AS39" s="181" t="str">
        <f t="shared" si="17"/>
        <v/>
      </c>
      <c r="AT39" s="181" t="str">
        <f t="shared" si="18"/>
        <v/>
      </c>
      <c r="AU39" s="181" t="str">
        <f t="shared" si="19"/>
        <v/>
      </c>
      <c r="AV39" s="218">
        <f t="shared" si="183"/>
        <v>0</v>
      </c>
      <c r="AW39" s="181">
        <f>ABS('King Node Model'!G59)</f>
        <v>383</v>
      </c>
      <c r="AX39" s="181">
        <f t="shared" si="20"/>
        <v>0</v>
      </c>
      <c r="AY39" s="181">
        <f t="shared" si="21"/>
        <v>0</v>
      </c>
      <c r="AZ39" s="276">
        <f>'King Node Model'!I59</f>
        <v>4375</v>
      </c>
      <c r="BA39" s="181">
        <f t="shared" si="22"/>
        <v>0</v>
      </c>
      <c r="BB39" s="181" t="str">
        <f t="shared" si="23"/>
        <v/>
      </c>
      <c r="BC39" s="10">
        <f>'King Node Model'!C59</f>
        <v>-277071</v>
      </c>
      <c r="BD39" s="218">
        <f t="shared" si="184"/>
        <v>0</v>
      </c>
      <c r="BE39" s="218">
        <f t="shared" si="185"/>
        <v>1</v>
      </c>
      <c r="BF39" s="336" t="s">
        <v>1248</v>
      </c>
      <c r="BG39" s="409">
        <v>100</v>
      </c>
      <c r="BI39" s="218">
        <f t="shared" si="186"/>
        <v>0</v>
      </c>
      <c r="BJ39" s="218">
        <f t="shared" si="187"/>
        <v>0</v>
      </c>
      <c r="BK39" s="218">
        <f t="shared" si="24"/>
        <v>1</v>
      </c>
      <c r="BL39" s="10">
        <f>'King Node Model'!H59</f>
        <v>25</v>
      </c>
      <c r="BM39" s="218">
        <f t="shared" si="25"/>
        <v>25</v>
      </c>
      <c r="BN39" s="218">
        <f t="shared" si="26"/>
        <v>13</v>
      </c>
      <c r="BO39" s="218">
        <f t="shared" si="27"/>
        <v>0</v>
      </c>
      <c r="BP39" s="218">
        <f t="shared" si="28"/>
        <v>0</v>
      </c>
      <c r="BQ39" t="str">
        <f t="shared" si="29"/>
        <v/>
      </c>
      <c r="BR39" t="str">
        <f t="shared" si="30"/>
        <v/>
      </c>
      <c r="BS39" s="218">
        <f t="shared" si="31"/>
        <v>0</v>
      </c>
      <c r="BT39" t="str">
        <f t="shared" si="32"/>
        <v/>
      </c>
      <c r="BU39" t="str">
        <f t="shared" si="33"/>
        <v/>
      </c>
      <c r="BV39" s="218">
        <f t="shared" si="34"/>
        <v>878831</v>
      </c>
      <c r="BW39" s="218">
        <f t="shared" si="35"/>
        <v>98643</v>
      </c>
      <c r="BX39" s="218">
        <f>IF(AND(ISNUMBER(BC39),BC39&gt;=$BG$160,OR('King Node Model'!$A$8="Neg",N($BG$72)=1)),1,0)</f>
        <v>0</v>
      </c>
      <c r="BY39" s="218">
        <f t="shared" si="36"/>
        <v>0</v>
      </c>
      <c r="BZ39" s="218">
        <f t="shared" si="37"/>
        <v>0</v>
      </c>
      <c r="CA39" t="str">
        <f t="shared" si="38"/>
        <v/>
      </c>
      <c r="CB39" s="218">
        <f>IF(AND(ISNUMBER('King Node Model'!$D$27),AG39&lt;&gt;"",AA39='King Node Model'!$D$27),1,0)</f>
        <v>0</v>
      </c>
      <c r="CC39" s="218">
        <f>IF(OR('King Node Model'!$A$8="Neg",N($BG$72)=1),$BG$14*IF(ISNUMBER('King Node Model'!$D$26),MAX(0,1-ABS(AA39-'King Node Model'!$D$26)/$BG$18),0)+$BG$15*IFERROR(BV39/MAX($BV$9:$BV$55),0)+$BG$16*IFERROR(BW39/MAX($BW$9:$BW$55),0)+$BG$17*IFERROR(AC39/$S$11,0)*MAX(0,1+$BG$21*CF39),AR39)</f>
        <v>0.29838564761790887</v>
      </c>
      <c r="CD39" s="218">
        <f>IF(OR('King Node Model'!$A$8="Neg",N($BG$72)=1),IF(AND(AG39&lt;&gt;"",ABS(AA39-$B$4)&lt;=$BG$7,OR(AX39=0,$D$5&lt;&gt;"UP"),AY39=0,BK39&lt;&gt;1,CI39=0,AM39&gt;=$BG$20,AC39&gt;$BG$19),1,0),IF(AND(BS39=1,(COUNTIF($W$9:$W$14,AA39)+COUNTIF($W$18:$W$23,AA39))&gt;0,CI39=0,AM39&gt;=$BG$20,AC39&gt;$BG$19),1,0))</f>
        <v>0</v>
      </c>
      <c r="CE39" s="322" t="str">
        <f t="shared" si="39"/>
        <v/>
      </c>
      <c r="CF39" s="218">
        <f t="shared" si="40"/>
        <v>0</v>
      </c>
      <c r="CG39" t="str">
        <f t="shared" si="41"/>
        <v/>
      </c>
      <c r="CH39" t="str">
        <f t="shared" si="42"/>
        <v>Dormant</v>
      </c>
      <c r="CI39" s="218">
        <f t="shared" si="43"/>
        <v>0</v>
      </c>
      <c r="CJ39" s="218">
        <f t="shared" si="44"/>
        <v>387420489</v>
      </c>
      <c r="CK39" s="218">
        <f t="shared" si="45"/>
        <v>0</v>
      </c>
      <c r="CL39" s="218">
        <f t="shared" si="46"/>
        <v>0</v>
      </c>
      <c r="CR39" t="s">
        <v>1498</v>
      </c>
      <c r="CU39" s="218">
        <f>IF(AND(AND('King Node Model'!$A$8&lt;&gt;"Neg",N($BG$72)&lt;&gt;1),SUMPRODUCT(($AG$9:$AG$55="S")*ISNUMBER($AT$9:$AT$55)*ISNUMBER($AU$9:$AU$55)*($AT$9:$AT$55&lt;&gt;$AU$9:$AU$55)*($AT$9:$AT$55&lt;=$AA39)*($AU$9:$AU$55&gt;=$AA39))&gt;0),0,IF(AND(OR($AA39='King Node Model'!$T$22,$AA39='King Node Model'!$F$24),$AG39="R",COUNTIF($W$9:$W$14,$AA39)&gt;0),1,IF(AND($FN39=1,$EU39&lt;&gt;1,$EM39&lt;&gt;1,$BK39&lt;&gt;1,$DH39&lt;&gt;1,$AG39="R",COUNTIF($W$9:$W$14,$AA39)&gt;0),1,IF($EU39=1,0,IF($EM39=1,0,IF(AND(OR($EE39=1,$GV39=1,AND($EL$7=1,$AA39='King Node Model'!$D$26,$EI39=1),AND(OR($AA39='King Node Model'!$T$22,$AA39='King Node Model'!$T$23),$AN39=1,OR($AX39=0,$D$5&lt;&gt;"UP"))),OR(NOT(OR('King Node Model'!$A$8="Neg",N($BG$72)=1)),$GV39=1,AND(OR($AA39='King Node Model'!$T$22,$AA39='King Node Model'!$T$23),$AN39=1,OR($AX39=0,$D$5&lt;&gt;"UP")),AND($AM39&gt;=$BG$20,$AC39&gt;IF($CZ39=1,$BG$48,$BG$19)))),1,IF($DH39=1,0,IF(AND($DC39=1,$GS39&lt;&gt;1,AND('King Node Model'!$A$8&lt;&gt;"Neg",N($BG$72)&lt;&gt;1)),0,IF(AND($EY39=1,NOT(OR('King Node Model'!$A$8="Neg",$BG$72=1)),$AA39&lt;&gt;'King Node Model'!$B$23),0,IF(AND($GS39=1,$AG39="R",OR($CI39=0,$EE39=1,$EX39=1,$GV39=1),COUNTIF($W$9:$W$14,$AA39)&gt;0,ABS($AA39-$B$4)&lt;=$BG$7,$BK39&lt;&gt;1,$AM39&gt;=$BG$20,$AC39&gt;IF($CZ39=1,$BG$48,$BG$19)),1,IF(OR('King Node Model'!$A$8="Neg",N($BG$72)=1),IF(AND(OR($AM39&gt;=$BG$20,$AA39='King Node Model'!$D$26,$GV39=1),$AG39="R",COUNTIF($W$9:$W$14,$AA39)&gt;0,ABS($AA39-$B$4)&lt;=$BG$7,OR($AX39=0,$D$5&lt;&gt;"UP"),$BK39&lt;&gt;1,OR(OR($CI39=0,$AJ39=1),AND($EI39=1,$LA39=1,COUNTIF($W$9:$W$11,$AA39)&gt;0,$AN39=1,OR($AX39=0,$D$5&lt;&gt;"UP"))),$AM39&gt;=$BG$20,$AC39&gt;IF($CZ39=1,$BG$48,$BG$19),OR($AN39=1,N($LR39)=1,$AA39='King Node Model'!$D$26,AND($BY39=1,$AA39&gt;$B$4),$BX39=1,$CF39=1,$CF39=1,AND(OR($AA39=$CP$4,$AA39=$CP$5,$AA39=$CP$6,$AA39=$CP$7),ABS($AA39-$B$4)&lt;=30),AND($AX39=1,$D$5="DOWN"))),1,0),IF(AND(OR($AM39&gt;=3,$AA39='King Node Model'!$D$26,$GV39=1),$AG39="R",COUNTIF($W$9:$W$14,$AA39)&gt;0,ABS($AA39-$B$4)&lt;=$BG$7,OR($AX39=0,$D$5&lt;&gt;"UP"),$BK39&lt;&gt;1,OR($CI39=0,$AJ39=1),$AM39&gt;=$BG$20,$AC39&gt;IF($CZ39=1,$BG$48,$BG$19),OR($AC39&gt;=MAX($AC$9:$AC$55),$BC39&gt;0,$AA39='King Node Model'!$D$26,AND(OR($AA39=$CP$4,$AA39=$CP$5,$AA39=$CP$6,$AA39=$CP$7),ABS($AA39-$B$4)&lt;=30),$CF39=1,$AN39=1,AND($AX39=1,$D$5="DOWN"))),1,0))))))))))))</f>
        <v>0</v>
      </c>
      <c r="CV39" s="218">
        <f>IF(AND(OR('King Node Model'!$A$8="Neg",N($BG$72)=1),$AG39="S",N($LR39)=1,N($MB39)=1),1,IF(AND(AND('King Node Model'!$A$8&lt;&gt;"Neg",N($BG$72)&lt;&gt;1),SUMPRODUCT(($AG$9:$AG$55="R")*ISNUMBER($AT$9:$AT$55)*ISNUMBER($AU$9:$AU$55)*($AT$9:$AT$55&lt;&gt;$AU$9:$AU$55)*($AT$9:$AT$55&lt;=$AA39)*($AU$9:$AU$55&gt;=$AA39))&gt;0,NOT(AND(N($LC39)=1,$AA39='King Node Model'!$B$23))),0,IF(AND($AA39='King Node Model'!$F$24,$AG39="S",COUNTIF($W$18:$W$23,$AA39)&gt;0),1,IF(AND($FN39=1,$EU39&lt;&gt;1,$EM39&lt;&gt;1,$DH39&lt;&gt;1,$AG39="S",COUNTIF($W$18:$W$23,$AA39)&gt;0),1,IF($EU39=1,0,IF(AND(OR($EF39=1,$GV39=1,AND(OR($AA39='King Node Model'!$T$22,$AA39='King Node Model'!$T$23,AND($AG39="S",COUNTIF('Master Dashboard'!$AN$16:$AN$18,$AA39)&gt;0)),$AN39=1,OR($AX39=0,$D$5&lt;&gt;"UP"))),OR(NOT(OR('King Node Model'!$A$8="Neg",N($BG$72)=1)),$GV39=1,AND(OR($AA39='King Node Model'!$T$22,$AA39='King Node Model'!$T$23,AND($AG39="S",COUNTIF('Master Dashboard'!$AN$16:$AN$18,$AA39)&gt;0)),$AN39=1,OR($AX39=0,$D$5&lt;&gt;"UP")),AND($AM39&gt;=$BG$20,$AC39&gt;IF($CZ39=1,$BG$48,$BG$19)))),1,IF($DH39=1,0,IF(AND($DC39=1,$GS39&lt;&gt;1,AND('King Node Model'!$A$8&lt;&gt;"Neg",N($BG$72)&lt;&gt;1)),0,IF(AND($EY39=1,NOT(OR('King Node Model'!$A$8="Neg",$BG$72=1)),$AA39&lt;&gt;'King Node Model'!$B$23,COUNTIF('Master Dashboard'!$AN$16:$AN$18,$AA39)=0),0,IF(AND($GS39=1,$AG39="S",OR($CI39=0,$EF39=1,$EX39=1,$GV39=1),COUNTIF($W$18:$W$23,$AA39)&gt;0,ABS($AA39-$B$4)&lt;=$BG$7,$BK39&lt;&gt;1,$AM39&gt;=$BG$20,$AC39&gt;IF($CZ39=1,$BG$48,$BG$19)),1,IF(OR('King Node Model'!$A$8="Neg",N($BG$72)=1),IF(AND(OR(OR($AM39&gt;=$BG$20,N($LR39)=1),$AA39='King Node Model'!$D$26,$GV39=1),$AG39="S",COUNTIF($W$18:$W$23,$AA39)&gt;0,ABS($AA39-$B$4)&lt;=$BG$7,OR($AX39=0,$D$5&lt;&gt;"UP"),$BK39&lt;&gt;1,OR($CI39=0,$AJ39=1,AND(N($LR39)=1,N($MB39)=1),N($MT39)=1),OR($AM39&gt;=$BG$20,N($LR39)=1),$AC39&gt;IF($CZ39=1,$BG$48,$BG$19),OR($AB39&gt;0,$AN39=1,N($MT39)=1,N($LR39)=1,$AA39='King Node Model'!$D$26,AND($BY39=1,$AA39&lt;$B$4),$BX39=1,$CF39=1,$CF39=1,AND(OR($AA39=$CP$4,$AA39=$CP$5,$AA39=$CP$6,$AA39=$CP$7),ABS($AA39-$B$4)&lt;=30),AND($AX39=1,$D$5="DOWN"))),1,0),IF(AND(OR($AM39&gt;=3,$AA39='King Node Model'!$D$26,$GV39=1),$AG39="S",COUNTIF($W$18:$W$23,$AA39)&gt;0,ABS($AA39-$B$4)&lt;=$BG$7,OR($AX39=0,$D$5&lt;&gt;"UP"),$BK39&lt;&gt;1,OR($CI39=0,$AJ39=1,AND(N($LR39)=1,N($MB39)=1),N($MT39)=1),$AM39&gt;=$BG$20,$AC39&gt;IF($CZ39=1,$BG$48,$BG$19),OR($AC39&gt;=MAX($AC$9:$AC$55),$BC39&gt;0,N($MT39)=1,$AA39='King Node Model'!$D$26,AND(OR($AA39=$CP$4,$AA39=$CP$5,$AA39=$CP$6,$AA39=$CP$7),ABS($AA39-$B$4)&lt;=30),$CF39=1,$AN39=1,AND($AX39=1,$D$5="DOWN"))),1,0))))))))))))</f>
        <v>0</v>
      </c>
      <c r="CX39" s="218">
        <f t="shared" si="48"/>
        <v>0</v>
      </c>
      <c r="CY39" t="str">
        <f t="shared" si="49"/>
        <v/>
      </c>
      <c r="CZ39" s="218">
        <f t="shared" si="50"/>
        <v>0</v>
      </c>
      <c r="DA39" t="str">
        <f t="shared" si="51"/>
        <v/>
      </c>
      <c r="DB39" t="str">
        <f t="shared" si="52"/>
        <v/>
      </c>
      <c r="DC39" s="218">
        <f t="shared" si="53"/>
        <v>0</v>
      </c>
      <c r="DD39" s="218">
        <f t="shared" si="54"/>
        <v>0</v>
      </c>
      <c r="DE39" s="218">
        <f t="shared" si="55"/>
        <v>0</v>
      </c>
      <c r="DF39" t="str">
        <f t="shared" si="56"/>
        <v/>
      </c>
      <c r="DG39" t="str">
        <f t="shared" si="57"/>
        <v/>
      </c>
      <c r="DH39" s="218">
        <f t="shared" si="58"/>
        <v>0</v>
      </c>
      <c r="DI39">
        <v>1</v>
      </c>
      <c r="DJ39">
        <v>1</v>
      </c>
      <c r="DK39">
        <v>681763</v>
      </c>
      <c r="DL39">
        <v>0</v>
      </c>
      <c r="DM39" t="str">
        <f>IF(AND($CV39=1,$AG39="S"),IF(AND(OR('King Node Model'!$A$8="Neg",N($BG$72)=1),'King Node Model'!$S$52=""),IF(OR(N($AN39)=1,N($LR39)=1,$AB39&gt;0,$AJ39=1,N($JO39)=1,AND(NOT($AE39&gt;0),NOT(IFERROR(AND(ISNUMBER($BC39),ISNUMBER($BC38),($BC39&gt;=0)&lt;&gt;($BC38&gt;=0)),FALSE())),OR(AND($BM39&lt;=6,$BN39&lt;=6),ABS($AA39-'King Node Model'!$T$23)&lt;=5,$LA39=1))),1,0),1),"")</f>
        <v/>
      </c>
      <c r="DN39" t="str">
        <f t="shared" si="59"/>
        <v/>
      </c>
      <c r="DO39" t="str">
        <f t="shared" si="60"/>
        <v>W-list</v>
      </c>
      <c r="DP39" t="str">
        <f>IF(AND(OR('King Node Model'!$A$8="Neg",N($BG$72)=1),$AG39="S",ISNUMBER($AT39),ISNUMBER($AU39),$AT39&lt;&gt;$AU39,$AA39=$AT39),IF(AND(SUMPRODUCT(($AA$9:$AA$55&gt;=$AT39)*($AA$9:$AA$55&lt;=$AU39)*($AB$9:$AB$55&gt;0))&gt;0,SUMPRODUCT(($AA$9:$AA$55&gt;=$AT39)*($AA$9:$AA$55&lt;=$AU39)*($DM$9:$DM$55=1))&gt;0,SUMPRODUCT(($AA$9:$AA$55&gt;=$AT39)*($AA$9:$AA$55&lt;=$AU39)*(COUNTIF($W$18:$W$20,$AA$9:$AA$55)&gt;0))&gt;0),1,0),"")</f>
        <v/>
      </c>
      <c r="DS39">
        <v>0</v>
      </c>
      <c r="DT39">
        <v>0</v>
      </c>
      <c r="DU39" t="str">
        <f>IF('King Node Model'!$A$8&lt;&gt;"Pos","",IF(OR($AA39="",NOT(ISNUMBER($AA39)),ABS($AA39-$B$4)&gt;$BG$7),"",TEXT($AA39,"0")&amp;" | "&amp;IF($AG39="","unclassified",IF($AG39&lt;&gt;IF($AA39&gt;$B$4,"R","S"),"orphan: in "&amp;$AG39&amp;"-list, "&amp;IF($AA39&lt;$B$4,"below","above")&amp;" spot",IF(IF($AG39="R",COUNTIF($W$9:$W$14,$AA39),COUNTIF($W$18:$W$23,$AA39))=0,"not in "&amp;$AG39&amp;"-list",IF($DH39=1,"absorbed into shelf box",IF($BK39=1,"absorbed: adjacent reversal",IF($CI39=1,"accel-accelerant",IF($AC39&lt;=$BG$19,"below gamma-floor",IF($AM39&lt;$BG$20,"confluence "&amp;TEXT($AM39,"0")&amp;" &lt; "&amp;TEXT($BG$20,"0"),IF(AND($AX39=1,$D$5="UP"),"accelerant in up-move",IF(NOT(OR($AC39&gt;=MAX($AC$9:$AC$55),$BC39&gt;0,$AA39='King Node Model'!$D$26,AND(OR($AA39=$CP$4,$AA39=$CP$5,$AA39=$CP$6,$AA39=$CP$7),ABS($AA39-$B$4)&lt;=30),ISNUMBER(SEARCH("STRENGTHENING",$CG39)),$AN39=1,AND($AX39=1,$D$5="DOWN"))),"no surface flag","-&gt; qualifies"))))))))))))</f>
        <v/>
      </c>
      <c r="DV39" s="218">
        <f t="shared" si="61"/>
        <v>99999</v>
      </c>
      <c r="DW39" s="218">
        <f t="shared" si="62"/>
        <v>99999</v>
      </c>
      <c r="DX39" t="str">
        <f>IF('King Node Model'!$A$8&lt;&gt;"Pos","",IF(AND($DV39&lt;99999,$DV39=MIN($DV$9:$DV$55),$DG39&gt;$AA39),"R-box: "&amp;TEXT($AA39,"0")&amp;"-"&amp;TEXT($DG39,"0"),IF(AND($DW39&lt;99999,$DW39=MIN($DW$9:$DW$55),$DF39&lt;$AA39),"S-box: "&amp;TEXT($DF39,"0")&amp;"-"&amp;TEXT($AA39,"0"),"")))</f>
        <v/>
      </c>
      <c r="EB39">
        <f t="shared" si="63"/>
        <v>40.390000000000327</v>
      </c>
      <c r="EC39">
        <f t="shared" si="64"/>
        <v>538591</v>
      </c>
      <c r="ED39">
        <f t="shared" si="65"/>
        <v>0</v>
      </c>
      <c r="EE39">
        <f>IF(AND(OR('King Node Model'!$A$8="Neg",N($BG$72)=1),$AG39="R",ISNUMBER($EB39),$EB39&lt;=$BG$7,$AB39&gt;0,$EC39&gt;0,$AB39=$EC39),1,0)</f>
        <v>0</v>
      </c>
      <c r="EF39">
        <f>IF(AND(OR('King Node Model'!$A$8="Neg",N($BG$72)=1),$AG39="S",ISNUMBER($EB39),$EB39&lt;=$BG$7,$AB39&gt;0,$ED39&gt;0,$AB39=$ED39),1,0)</f>
        <v>0</v>
      </c>
      <c r="EI39">
        <v>1</v>
      </c>
      <c r="EJ39">
        <f>IF($AA39="",0,IF(SUMPRODUCT(($AA$9:$AA$55&gt;=$AT39)*($AA$9:$AA$55&lt;=$AU39)*($DT$9:$DT$55=1))+SUMPRODUCT(($DT$9:$DT$55=1)*($AT$9:$AT$55&lt;=$AA39)*($AU$9:$AU$55&gt;=$AA39))+($DT39=1)+AND(OR('King Node Model'!$A$8="Neg",N($BG$72)=1),ISNUMBER(SEARCH("LOW",'Master Dashboard'!$M$5)),ISNUMBER(SEARCH("BUY",'Master Dashboard'!$G$8)),'King Node Model'!$T$23='King Node Model'!$B$23,$AA39&gt;='King Node Model'!$T$23,$AA39&lt;='King Node Model'!$T$23+5)*1&gt;0,1,0))</f>
        <v>0</v>
      </c>
      <c r="EM39">
        <f t="shared" si="66"/>
        <v>0</v>
      </c>
      <c r="EN39">
        <v>0</v>
      </c>
      <c r="EO39">
        <f t="shared" si="67"/>
        <v>0</v>
      </c>
      <c r="EP39">
        <f t="shared" si="68"/>
        <v>0</v>
      </c>
      <c r="EQ39" t="str">
        <f t="shared" si="69"/>
        <v>thinning the floor (magnitude weak)</v>
      </c>
      <c r="ES39">
        <f>IF(AND(ISNUMBER(AA39),ISNUMBER(AF39),ABS(AA39-'King Node Model'!$B$4)&lt;=$BG$7),ABS(AF39),"")</f>
        <v>2676576</v>
      </c>
      <c r="ET39">
        <v>0</v>
      </c>
      <c r="EU39" s="218">
        <f>IF(AND(OR('King Node Model'!$A$8="Neg",N($BG$72)=1),ISNUMBER($AA38),ISNUMBER($AA39),ISNUMBER($AA40),ISNUMBER($AB38),ISNUMBER($AB39),ISNUMBER($AB40),ISNUMBER($AF39),$AB39&gt;0,$AB38&lt;0,$AB40&lt;0,$AF39&lt;0),1,0)</f>
        <v>0</v>
      </c>
      <c r="EW39">
        <f>IF(OR(N($MY39)=1,N($JM39)=1),0,N($NE39))</f>
        <v>0</v>
      </c>
      <c r="EX39">
        <f>IF(AND(OR('King Node Model'!$A$8="Neg",N($BG$72)=1),ISNUMBER($AA39),OR(AND($AA39='King Node Model'!$F$24,OR(AND($AG39="S",$F$4="High",IF($BG$80&lt;&gt;"",UPPER($BG$80),$D$5)="DOWN"),AND($AG39="R",$F$4="Low",IF($BG$80&lt;&gt;"",UPPER($BG$80),$D$5)="UP"))),$GV39=1)),1,0)</f>
        <v>0</v>
      </c>
      <c r="EY39">
        <f>IFERROR(IF(AND($DC39=1,$AB39&lt;0,$AC39&gt;=(1+$FA$6)*INDEX($AC$9:$AC$55,31-1),$AC39&gt;=(1+$FA$6)*INDEX($AC$9:$AC$55,31+1),$AC39&gt;=IFERROR(INDEX($AC$9:$AC$55,31-2),0),$AC39&gt;=IFERROR(INDEX($AC$9:$AC$55,31+2),0)),1,0),0)</f>
        <v>0</v>
      </c>
      <c r="FA39" t="str">
        <f>IF(NOT(ISNUMBER($AA39)),"",IFERROR(IF(AND($AC39=MAX($AC$9:$AC$55),$AB39=MIN($AB$9:$AB$55)),"DOM",IF(AND($DC38=1,$DC39=1,$DC40=1,INDEX($AC$9:$AC$55,31-1)&lt;=(1-$FA$6)*$AC39,INDEX($AC$9:$AC$55,31-1)&lt;=(1-$FA$6)*INDEX($AC$9:$AC$55,31-2)),"GAP↑",IF(AND($DC40=1,$DC39=1,INDEX($AC$9:$AC$55,31+1)&lt;=(1-$FA$6)*$AC39,INDEX($AC$9:$AC$55,31+1)&lt;=(1-$FA$6)*INDEX($AC$9:$AC$55,31+2)),"GAP↓",IF($CZ39=1,"dEdge Cliff",IF($GY39=1,"γWall",IF(AND($DC39=1,$AB39&lt;0,$AC39&gt;=(1+$FA$6)*INDEX($AC$9:$AC$55,31-1),$AC39&gt;=(1+$FA$6)*INDEX($AC$9:$AC$55,31+1)),"PEAK-",IF($GZ39=1,"γSh Edge",IF($HL39=1,"Trough",IF($HN39=1,"PEAK+",IF($GF39=1,"Cluster","")))))))))),""))</f>
        <v/>
      </c>
      <c r="FB39" t="str">
        <f t="shared" si="70"/>
        <v/>
      </c>
      <c r="FC39" t="str">
        <f t="shared" si="71"/>
        <v/>
      </c>
      <c r="FD39">
        <f>IF(AND(ISNUMBER($AA39),ISNUMBER('King Node Model'!$AP$17),ISNUMBER('King Node Model'!$AQ$17),$AA39&gt;=MIN('King Node Model'!$AP$17,'King Node Model'!$AQ$17),$AA39&lt;=MAX('King Node Model'!$AP$17,'King Node Model'!$AQ$17),IFERROR(INDEX($AC$9:$AC$55,MATCH('King Node Model'!$AL$42,$AA$9:$AA$55,0)),0)&gt;0,$AC39&gt;=(1-$FA$6)*IFERROR(INDEX($AC$9:$AC$55,MATCH('King Node Model'!$AL$42,$AA$9:$AA$55,0)),0),$AC39&lt;=(1+$FA$6)*IFERROR(INDEX($AC$9:$AC$55,MATCH('King Node Model'!$AL$42,$AA$9:$AA$55,0)),0)),1,0)</f>
        <v>0</v>
      </c>
      <c r="FE39">
        <f>IF($AA39='King Node Model'!$AL$42,1,IF(AND($FD39=1,$FE38=1),1,0))</f>
        <v>0</v>
      </c>
      <c r="FF39">
        <f>IF($AA39='King Node Model'!$AL$42,1,IF(AND($FD39=1,$FF40=1),1,0))</f>
        <v>0</v>
      </c>
      <c r="FG39" t="str">
        <f>IF(OR($FE39=1,$FF39=1),31,"")</f>
        <v/>
      </c>
      <c r="FJ39">
        <f>IF(AND($CW$2=1,ISNUMBER($AA39),ISNUMBER($CW$3),ISNUMBER($CW$4),$AA39&gt;=MIN($CW$3,$CW$4),$AA39&lt;=MAX($CW$3,$CW$4),IFERROR(INDEX($AC$9:$AC$55,MATCH('King Node Model'!$AP$67,$AA$9:$AA$55,0)),0)&gt;0,$AC39&gt;=(1-$FA$6)*IFERROR(INDEX($AC$9:$AC$55,MATCH('King Node Model'!$AP$67,$AA$9:$AA$55,0)),0),$AC39&lt;=(1+$FA$6)*IFERROR(INDEX($AC$9:$AC$55,MATCH('King Node Model'!$AP$67,$AA$9:$AA$55,0)),0)),1,0)</f>
        <v>0</v>
      </c>
      <c r="FK39">
        <f>IF(AND($CW$2=1,$AA39='King Node Model'!$AP$67),1,IF(AND($FJ39=1,$FK38=1),1,0))</f>
        <v>0</v>
      </c>
      <c r="FL39">
        <f>IF(AND($CW$2=1,$AA39='King Node Model'!$AP$67),1,IF(AND($FJ39=1,$FL40=1),1,0))</f>
        <v>0</v>
      </c>
      <c r="FM39" t="str">
        <f>IF(OR($FK39=1,$FL39=1),31,"")</f>
        <v/>
      </c>
      <c r="FN39">
        <v>0</v>
      </c>
      <c r="FR39" t="str">
        <f t="shared" si="72"/>
        <v/>
      </c>
      <c r="FS39">
        <f t="shared" si="188"/>
        <v>0</v>
      </c>
      <c r="FT39">
        <f t="shared" si="73"/>
        <v>-0.72966033403032715</v>
      </c>
      <c r="FU39">
        <f t="shared" si="74"/>
        <v>379726</v>
      </c>
      <c r="FV39">
        <f>IF($FW39=0,"",IF(OR($FW38=0,SIGN(IFERROR($BC39*1,0))&lt;&gt;SIGN(IFERROR($BC38*1,0)),$GH39=1,$GH38=1),MAX($FV$9:$FV38)+1,$FV38))</f>
        <v>10</v>
      </c>
      <c r="FW39">
        <f t="shared" si="75"/>
        <v>1</v>
      </c>
      <c r="FX39">
        <f t="shared" si="76"/>
        <v>1233853</v>
      </c>
      <c r="FY39">
        <f t="shared" si="77"/>
        <v>0</v>
      </c>
      <c r="FZ39">
        <f t="shared" si="189"/>
        <v>0</v>
      </c>
      <c r="GA39">
        <f t="shared" si="78"/>
        <v>0</v>
      </c>
      <c r="GB39">
        <f t="shared" si="79"/>
        <v>1</v>
      </c>
      <c r="GC39">
        <f t="shared" si="80"/>
        <v>1233853</v>
      </c>
      <c r="GD39" t="str">
        <f t="shared" si="81"/>
        <v/>
      </c>
      <c r="GE39" t="str">
        <f t="shared" si="82"/>
        <v/>
      </c>
      <c r="GF39">
        <f t="shared" si="83"/>
        <v>0</v>
      </c>
      <c r="GH39">
        <f>IFERROR(IF(AND($AC39&gt;=(1+$FA$6)*INDEX($AC$9:$AC$55,31-1),$AC39&gt;=(1+$FA$6)*INDEX($AC$9:$AC$55,31+1)),1,0),0)</f>
        <v>0</v>
      </c>
      <c r="GK39">
        <v>1</v>
      </c>
      <c r="GO39">
        <v>0</v>
      </c>
      <c r="GP39">
        <v>0</v>
      </c>
      <c r="GQ39">
        <f t="shared" si="84"/>
        <v>0</v>
      </c>
      <c r="GR39">
        <f t="shared" si="85"/>
        <v>0</v>
      </c>
      <c r="GS39">
        <f>IF(AND($EY39=1,$AA39&lt;&gt;'King Node Model'!$B$23),0,IF(OR($GQ39=1,$GR39=1),1,IF($DC39=1,IF(OR('King Node Model'!$A$8="Neg",N($BG$72)=1),IF(OR(AND($AC39=MAX($AC$9:$AC$55),$AB39=MIN($AB$9:$AB$55)),$AN39=1,$EE39=1,$EF39=1,$EX39=1,$GV39=1),1,0),1),0)))</f>
        <v>0</v>
      </c>
      <c r="GT39">
        <f>IFERROR(IF(AND(OR('King Node Model'!$A$8="Neg",N($BG$72)=1),$EU38=1,$AG39="R",ISNUMBER($AA39),ISNUMBER($AF39),$AF39&lt;&gt;0,$AA39&gt;$B$4-$BG$9,$AA39-$B$4&lt;=$BG$47,IF($KC39="UP",SIGN($AF39),IF($KC39="DOWN",-SIGN($AF39),0))&lt;&gt;1),1,0),0)</f>
        <v>0</v>
      </c>
      <c r="GU39" t="str">
        <f t="shared" si="86"/>
        <v/>
      </c>
      <c r="GV39">
        <f t="shared" si="87"/>
        <v>0</v>
      </c>
      <c r="GW39" t="str">
        <f t="shared" si="88"/>
        <v/>
      </c>
      <c r="GX39">
        <f t="shared" si="89"/>
        <v>40.390000000000327</v>
      </c>
      <c r="GY39">
        <f t="shared" si="90"/>
        <v>0</v>
      </c>
      <c r="GZ39">
        <f t="shared" si="91"/>
        <v>0</v>
      </c>
      <c r="HA39">
        <v>1</v>
      </c>
      <c r="HF39">
        <f>IFERROR(IF(AND($GZ39=1,'King Node Model'!$A$8="Pos",$D$5="UP",$CF39=-1,$AJ39&lt;&gt;1),1,0),0)</f>
        <v>0</v>
      </c>
      <c r="HG39">
        <f t="shared" si="92"/>
        <v>0</v>
      </c>
      <c r="HH39" t="str">
        <f>IF($GZ39=1,"",IFERROR(IF(NOT(ISNUMBER($AA39)),"",IF($EY39=1,"",IF($GF39=1,IF($GD39=$GE39,"",$GD39),IF(OR(AND($DC38=1,$DC39=1,$DC40=1,INDEX($AC$9:$AC$55,31-1)&lt;=(1-$FA$6)*$AC39,INDEX($AC$9:$AC$55,31-1)&lt;=(1-$FA$6)*INDEX($AC$9:$AC$55,31-2)),AND($DC40=1,$DC39=1,INDEX($AC$9:$AC$55,31+1)&lt;=(1-$FA$6)*$AC39,INDEX($AC$9:$AC$55,31+1)&lt;=(1-$FA$6)*INDEX($AC$9:$AC$55,31+2)),AND($DC39=1,OR(INDEX($DC$9:$DC$55,31-1)=0,INDEX($DC$9:$DC$55,31+1)=0))),IF(MIN($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MAX($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MIN($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f>
        <v/>
      </c>
      <c r="HI39" t="str">
        <f>IF($GZ39=1,"",IFERROR(IF(NOT(ISNUMBER($AA39)),"",IF($EY39=1,"",IF($GF39=1,IF($GD39=$GE39,"",$GE39),IF(OR(AND($DC38=1,$DC39=1,$DC40=1,INDEX($AC$9:$AC$55,31-1)&lt;=(1-$FA$6)*$AC39,INDEX($AC$9:$AC$55,31-1)&lt;=(1-$FA$6)*INDEX($AC$9:$AC$55,31-2)),AND($DC40=1,$DC39=1,INDEX($AC$9:$AC$55,31+1)&lt;=(1-$FA$6)*$AC39,INDEX($AC$9:$AC$55,31+1)&lt;=(1-$FA$6)*INDEX($AC$9:$AC$55,31+2)),AND($DC39=1,OR(INDEX($DC$9:$DC$55,31-1)=0,INDEX($DC$9:$DC$55,31+1)=0))),IF(MIN($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MAX($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MAX($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f>
        <v/>
      </c>
      <c r="HL39">
        <f t="shared" si="93"/>
        <v>0</v>
      </c>
      <c r="HM39">
        <f>IFERROR(IF(AND($HL39=1,NOT(OR($AA39='King Node Model'!$T$22,$AA39='King Node Model'!$T$23,$AA39='King Node Model'!$F$24,AND($AG39="S",COUNTIF('Master Dashboard'!$AN$16:$AN$18,$AA39)&gt;0),AND($AG39="R",COUNTIF('Master Dashboard'!$AN$13:$AN$15,$AA39)&gt;0)))),1,0),0)</f>
        <v>0</v>
      </c>
      <c r="HN39">
        <f t="shared" si="94"/>
        <v>0</v>
      </c>
      <c r="HO39">
        <f t="shared" si="95"/>
        <v>0</v>
      </c>
      <c r="HP39">
        <f t="shared" si="96"/>
        <v>1</v>
      </c>
      <c r="HQ39" t="str">
        <f>IF(NOT(ISNUMBER($AA39)),"",IFERROR(TRIM(IF(N($MY39)=1,"DEXLEAN ","")&amp;IF(N($IZ39)=1,"DEXCAP ","")&amp;IF(AND($AG39="S",UPPER('King Node Model'!$L$5)="HIGH",$KC39="DOWN",N($AF39)&gt;0,$AA39='King Node Model'!$AN$70,$IY39="SELL"),"CHOPEDGEIV ","")&amp;IF(N($IS39)=1,"NOREV ","")&amp;IF(N($JY39)=1,"VFLAT ","")&amp;IF(N($KR39)=1,"GDEXVANNA ","")&amp;IF(N($LD39)=1,"KGSUPFAIL ","")&amp;IF(N($LE39)=1,"KGRESLEAK ","")&amp;IF(N($MH39)=1,"ZIGZAG ","")&amp;IF(N($KK39)=1,"DATAGAP ","")&amp;IF(N($KA39)&lt;&gt;0,"ACCUNDERCW ","")&amp;IF(AND($AG39="S",$HF39=1),"EDGE ","")&amp;IF(AND($HM39=1,'King Node Model'!$A$8="Pos",N($BG$72)&lt;&gt;1),"TROUGH ","")&amp;IF(AND($EU39=1,N($JZ39)&lt;&gt;1),"BUMP ","")&amp;IF(AND($GT39=1,N($JZ39)&lt;&gt;1),"SANDWICH ","")&amp;IF(AND($EX39&lt;&gt;1,OR('King Node Model'!$A$8="Neg",N($BG$72)=1),OR(AND(ISNUMBER($AC39),$AC39=MAX($AC$9:$AC$55)),AND(ISNUMBER($AB39),$AB39=MIN($AB$9:$AB$55))),NOT(AND(AND(ISNUMBER($AC39),$AC39=MAX($AC$9:$AC$55)),AND(ISNUMBER($AB39),$AB39=MIN($AB$9:$AB$55)))),$AG39="S",N($AB39)&lt;0,NOT(COUNTIF('Master Dashboard'!$AN$16:$AN$18,$AA39)&gt;0),NOT(AND(OR('King Node Model'!$A$8="Neg",N($BG$72)=1),ISNUMBER($AB39),$AB39=MIN($AB$9:$AB$55),$AA39=$BG$105))),"ACCEL ","")&amp;IF(AND($EX39&lt;&gt;1,ISNUMBER($AA39),OR('King Node Model'!$A$8="Neg",N($BG$72)=1),$EY39=1,NOT(AND($AG39="S",COUNTIF('Master Dashboard'!$AN$16:$AN$18,$AA39)&gt;0)),NOT(AND($AA39='King Node Model'!$B$23,IF($AG39="S",OR($AA39='King Node Model'!$C$24,COUNTIF('Master Dashboard'!$AN$16:$AN$18,$AA39)&gt;0),OR($AA39='King Node Model'!$C$23,COUNTIF('Master Dashboard'!$AN$13:$AN$15,$AA39)&gt;0)))),NOT(AND($EX39&lt;&gt;1,OR('King Node Model'!$A$8="Neg",N($BG$72)=1),OR(AND(ISNUMBER($AC39),$AC39=MAX($AC$9:$AC$55)),AND(ISNUMBER($AB39),$AB39=MIN($AB$9:$AB$55))),NOT(AND(AND(ISNUMBER($AC39),$AC39=MAX($AC$9:$AC$55)),AND(ISNUMBER($AB39),$AB39=MIN($AB$9:$AB$55)))),$AG39="S",N($AB39)&lt;0,NOT(COUNTIF('Master Dashboard'!$AN$16:$AN$18,$AA39)&gt;0)))),"AMPLIFY ","")&amp;IF(AND($AG39="S",OR('King Node Model'!$A$8="Neg",N($BG$72)=1),$AJ39&lt;&gt;1,N($MT39)&lt;&gt;1,NOT(AND(N($LR39)=1,N($MB39)=1)),ISNUMBER(SEARCH("ACCEL building",$CG39))),"ZACCEL ","")&amp;IF(AND($AG39="S",OR('King Node Model'!$A$8="Neg",N($BG$72)=1),$AA39='King Node Model'!$B$23,NOT(AND(AND(ISNUMBER($AC39),$AC39=MAX($AC$9:$AC$55)),AND(ISNUMBER($AB39),$AB39=MIN($AB$9:$AB$55)))),$EJ39&lt;&gt;1),"KINGACC ","")&amp;IF(AND($AG39="S",OR('King Node Model'!$A$8="Neg",N($BG$72)=1),ABS(N($AA39)-N('King Node Model'!$B$23))&lt;=$BG$107,NOT(AND(SUMPRODUCT((ABS($AF$9:$AF$55)&lt;=ABS(N($AF39)))*1)/COUNT($AF$9:$AF$55)&gt;=0.66,OR(ISNUMBER(SEARCH("firmer resistance",$CG39)),ISNUMBER(SEARCH("STRENGTHENING",$CG39)),ISNUMBER(SEARCH("firmer support",$CG39))))),NOT(AND(N($AB39)&gt;0,SUMPRODUCT((ABS($AB$9:$AB$55)&lt;=ABS(N($AB39)))*1)/COUNT($AB$9:$AB$55)&gt;=0.66)),$EJ39&lt;&gt;1,$AJ39&lt;&gt;1,COUNTIF('Master Dashboard'!$AN$16:$AN$18,$AA39)=0,NOT(AND($AG39="S",OR('King Node Model'!$A$8="Neg",N($BG$72)=1),$AA39='King Node Model'!$B$23,NOT(AND(AND(ISNUMBER($AC39),$AC39=MAX($AC$9:$AC$55)),AND(ISNUMBER($AB39),$AB39=MIN($AB$9:$AB$55)))),$EJ39&lt;&gt;1))),"KINGNODE ","")&amp;IF(AND($AG39="R",NOT(AND(AND(ISNUMBER($AC39),$AC39=MAX($AC$9:$AC$55)),AND(ISNUMBER($AB39),$AB39=MIN($AB$9:$AB$55)))),UPPER('King Node Model'!$L$5)="LOW",$KC39="DOWN",N($AF39)&gt;0),"LOWIVFALL ","")&amp;IF(AND($AG39="R",NOT(AND(AND(ISNUMBER($AC39),$AC39=MAX($AC$9:$AC$55)),AND(ISNUMBER($AB39),$AB39=MIN($AB$9:$AB$55)))),UPPER('King Node Model'!$L$5)="HIGH",$KC39="DOWN",N($AF39)&gt;0,IFERROR(MATCH($AA39,$W$9:$W$14,0)&gt;=4,FALSE)),"HIGHIVFALL ","")&amp;IF(AND($AG39="R",N($BG$99)=1),"SPOTUPVOLUP ","")&amp;IF(AND($AG39="R",ISNUMBER(SEARCH("5/5",'Master Dashboard'!$E$29)),OR(ISNUMBER(SEARCH("WEAKENING",$EQ39)),ISNUMBER(SEARCH("Pos gamma ↓",$EQ39)),ISNUMBER(SEARCH("thinning the ceiling",$EQ39)))),"SQUEEZE ","")&amp;IF(N($JU39)=1,"DEDGECLIFF ","")&amp;IF(N($KT39)=1,"DEXDRAIN ","")&amp;IF(N($HW39)&lt;&gt;0,"DEXDROP ","")&amp;IF(N($HX39)&lt;&gt;0,"PEAK+ ","")&amp;IF(N($IF39)=1,"CHOP ","")&amp;IF(N($IQ39)=1,"CONTESTED ","")&amp;IF(N($IW39)=1,"VSELL ","")&amp;IF(N($JK39)=1,"VBUYRES ","")&amp;IF(N($JL39)=1,"DOMFLAT ","")&amp;IF(N($JM39)=1,"DOMPULL ","")&amp;IF(N($JP39)=1,"OIZOMMA ","")&amp;IF(AND(N($JQ39)=1,N($JZ39)&lt;&gt;1),"OIDEX ","")),""))</f>
        <v>NOREV VSELL</v>
      </c>
      <c r="HS39">
        <f>IFERROR(IF(AND($DC39=1,OR(AND($AG39="R",INDEX($DC$9:$DC$55,30)=0,INDEX($DC$9:$DC$55,32)=1,INDEX($DC$9:$DC$55,33)=1),AND($AG39="S",INDEX($DC$9:$DC$55,32)=0,INDEX($DC$9:$DC$55,30)=1,INDEX($DC$9:$DC$55,29)=1))),1,0),0)</f>
        <v>0</v>
      </c>
      <c r="HT39">
        <f t="shared" si="97"/>
        <v>0</v>
      </c>
      <c r="HU39">
        <v>0</v>
      </c>
      <c r="HV39">
        <v>0</v>
      </c>
      <c r="HW39">
        <f>IFERROR(IF(OR(NOT(ISNUMBER($AA39)),'King Node Model'!$A$8&lt;&gt;"Pos",N($BG$72)=1,ABS(N($AE39))&lt;$BG$113,N($AV39)=1,$FA39="DOM",$AA39='King Node Model'!$T$23,AND(N($BG$116)=1,$AA39='King Node Model'!$F$24),NOT(ISNUMBER($KU39)),NOT(ISNUMBER($KV39))),0,IF(AND($AG39="S",COUNTIF('Master Dashboard'!$AN$16:$AN$18,$AA39)=0,$KU39&gt;=$BG$114,$KU39&gt;=$KV39+$BG$115,NOT(AND(N($AN40)=1,N($KV39)&lt;0)),N($AE39)&lt;=0),1,IF(AND($AG39="R",COUNTIF('Master Dashboard'!$AN$13:$AN$15,$AA39)=0,$KV39&gt;=$BG$114,$KV39&gt;=$KU39+$BG$115,NOT(AND(N($AN38)=1,N($KU39)&lt;0))),-1,0))),0)</f>
        <v>0</v>
      </c>
      <c r="HX39">
        <f>IFERROR(IF(AND(ISNUMBER($AA39),$FA39="PEAK+",N($AN39)&lt;&gt;1,NOT(AND('King Node Model'!$A$8="Pos",OR($AA39='King Node Model'!$T$22,$AA39='King Node Model'!$T$23,$AA39='King Node Model'!$F$24))),IF($AG39="S",COUNTIF('Master Dashboard'!$AN$16:$AN$18,$AA39)=0,IF($AG39="R",COUNTIF('Master Dashboard'!$AN$13:$AN$15,$AA39)=0,FALSE))),1,0),0)</f>
        <v>0</v>
      </c>
      <c r="HY39">
        <f t="shared" si="98"/>
        <v>0.71095743901545672</v>
      </c>
      <c r="HZ39">
        <v>1</v>
      </c>
      <c r="IA39">
        <f>IFERROR(IF(AND(IF($BG$44=1,OR(ISNUMBER(SEARCH("Choppy",'King Node Model'!$S$38)),'King Node Model'!$S$52&lt;&gt;"",'King Node Model'!$A$8="Pos"),TRUE()),OR($DC39=1,$DC38=1,$DC40=1),ABS($AA39-$B$4)&lt;=$BG$7,ABS($AA39-$BG$28)&gt;=$BG$45,OR(AND($AA39&gt;$BG$28,$AG39="R"),AND($AA39&lt;$BG$28,$AG39="S",N($BG$154)=1)),ABS(IF($AA39&gt;$BG$28,$AE40,$AE38))&gt;=$BG$43,ABS(N(IF($AA39&gt;$BG$28,$AE38,$AE40)))&lt;=$BG$153*ABS(IF($AA39&gt;$BG$28,$AE40,$AE38)),IF(ISNUMBER($HZ39),$HZ39=1,AND(ISNUMBER($HY39),$HY39&gt;=$BG$42))),1,0),0)</f>
        <v>1</v>
      </c>
      <c r="IB39">
        <f t="shared" si="99"/>
        <v>0</v>
      </c>
      <c r="IC39" t="str">
        <f>IF(NOT(ISNUMBER($AA39)),"",IFERROR(MID(IF(AND($AC39=MAX($AC$9:$AC$55),$AB39=MIN($AB$9:$AB$55))," · DOM","")&amp;IF(AND($DC38=1,$DC39=1,$DC40=1,INDEX($AC$9:$AC$55,31-1)&lt;=(1-$FA$6)*$AC39,INDEX($AC$9:$AC$55,31-1)&lt;=(1-$FA$6)*INDEX($AC$9:$AC$55,31-2))," · GAP↑ → "&amp;INDEX($AA$9:$AA$55,31-2),"")&amp;IF(AND($DC40=1,$DC39=1,INDEX($AC$9:$AC$55,31+1)&lt;=(1-$FA$6)*$AC39,INDEX($AC$9:$AC$55,31+1)&lt;=(1-$FA$6)*INDEX($AC$9:$AC$55,31+2))," · GAP↓ → "&amp;INDEX($AA$9:$AA$55,31+2),"")&amp;IF($CZ39=1," · dEdge Cliff","")&amp;IF($GY39=1," · γWall","")&amp;IF(AND($DC39=1,$AB39&lt;0,$AC39&gt;=(1+$FA$6)*INDEX($AC$9:$AC$55,31-1),$AC39&gt;=(1+$FA$6)*INDEX($AC$9:$AC$55,31+1))," · PEAK-","")&amp;IF($GZ39=1," · γSh Edge","")&amp;IF($HL39=1," · Trough","")&amp;IF($HN39=1," · PEAK+","")&amp;IF($GF39=1," · Cluster",""),FIND(" · ",IF(AND($AC39=MAX($AC$9:$AC$55),$AB39=MIN($AB$9:$AB$55))," · DOM","")&amp;IF(AND($DC38=1,$DC39=1,$DC40=1,INDEX($AC$9:$AC$55,31-1)&lt;=(1-$FA$6)*$AC39,INDEX($AC$9:$AC$55,31-1)&lt;=(1-$FA$6)*INDEX($AC$9:$AC$55,31-2))," · GAP↑ → "&amp;INDEX($AA$9:$AA$55,31-2),"")&amp;IF(AND($DC40=1,$DC39=1,INDEX($AC$9:$AC$55,31+1)&lt;=(1-$FA$6)*$AC39,INDEX($AC$9:$AC$55,31+1)&lt;=(1-$FA$6)*INDEX($AC$9:$AC$55,31+2))," · GAP↓ → "&amp;INDEX($AA$9:$AA$55,31+2),"")&amp;IF($CZ39=1," · dEdge Cliff","")&amp;IF($GY39=1," · γWall","")&amp;IF(AND($DC39=1,$AB39&lt;0,$AC39&gt;=(1+$FA$6)*INDEX($AC$9:$AC$55,31-1),$AC39&gt;=(1+$FA$6)*INDEX($AC$9:$AC$55,31+1))," · PEAK-","")&amp;IF($GZ39=1," · γSh Edge","")&amp;IF($HL39=1," · Trough","")&amp;IF($HN39=1," · PEAK+","")&amp;IF($GF39=1," · Cluster",""),2),999),""))</f>
        <v/>
      </c>
      <c r="ID39" t="str">
        <f>IF(NOT(ISNUMBER($AA39)),"",IFERROR(MID(IF(AND($AC39=MAX($AC$9:$AC$55),$AB39=MIN($AB$9:$AB$55))," · DOM","")&amp;IF(AND($DC38=1,$DC39=1,$DC40=1,INDEX($AC$9:$AC$55,31-1)&lt;=(1-$FA$6)*$AC39,INDEX($AC$9:$AC$55,31-1)&lt;=(1-$FA$6)*INDEX($AC$9:$AC$55,31-2))," · GAP↑ → "&amp;INDEX($AA$9:$AA$55,31-2),"")&amp;IF(AND($DC40=1,$DC39=1,INDEX($AC$9:$AC$55,31+1)&lt;=(1-$FA$6)*$AC39,INDEX($AC$9:$AC$55,31+1)&lt;=(1-$FA$6)*INDEX($AC$9:$AC$55,31+2))," · GAP↓ → "&amp;INDEX($AA$9:$AA$55,31+2),"")&amp;IF($CZ39=1," · dEdge Cliff","")&amp;IF($GY39=1," · γWall","")&amp;IF(AND($DC39=1,$AB39&lt;0,$AC39&gt;=(1+$FA$6)*INDEX($AC$9:$AC$55,31-1),$AC39&gt;=(1+$FA$6)*INDEX($AC$9:$AC$55,31+1))," · PEAK-","")&amp;IF($GZ39=1," · γSh Edge","")&amp;IF($HL39=1," · Trough","")&amp;IF($HN39=1," · PEAK+","")&amp;IF(AND(NOT($HN39=1),NOT(AND($DC39=1,$AB39&lt;0)),N($GY39)&lt;&gt;1,N($GF39)&lt;&gt;1,N($GZ39)&lt;&gt;1,N($HL39)&lt;&gt;1,N($CZ39)&lt;&gt;1,NOT(AND($AC39=MAX($AC$9:$AC$55),$AB39=MIN($AB$9:$AB$55))),$AC39&gt;=(1+$FA$6)*INDEX($AC$9:$AC$55,31-1),$AC39&gt;=(1+$FA$6)*INDEX($AC$9:$AC$55,31+1))," · Knoll","")&amp;IF($GF39=1," · Cluster",""),4,999),""))</f>
        <v/>
      </c>
      <c r="IF39">
        <f t="shared" si="100"/>
        <v>0</v>
      </c>
      <c r="IG39">
        <f>IFERROR(IF(AND(ISNUMBER($AA39),'King Node Model'!$A$8="Pos",OR($AG39="S",$AG39="R"),$IN39="interior",COUNTIF(IF($AG39="S",'Master Dashboard'!$AN$16:$AN$18,'Master Dashboard'!$AN$13:$AN$15),$AA39)=0,$AA39&lt;&gt;'King Node Model'!$T$22,$AA39&lt;&gt;'King Node Model'!$T$23,$AA39&lt;&gt;'King Node Model'!$F$24),1,0),0)</f>
        <v>0</v>
      </c>
      <c r="IH39">
        <f t="shared" si="101"/>
        <v>0</v>
      </c>
      <c r="II39">
        <f t="shared" si="190"/>
        <v>0</v>
      </c>
      <c r="IJ39">
        <f t="shared" si="102"/>
        <v>0</v>
      </c>
      <c r="IK39">
        <f t="shared" si="103"/>
        <v>0</v>
      </c>
      <c r="IL39">
        <f t="shared" si="191"/>
        <v>0</v>
      </c>
      <c r="IM39">
        <f t="shared" si="104"/>
        <v>0</v>
      </c>
      <c r="IN39" t="str">
        <f t="shared" si="105"/>
        <v/>
      </c>
      <c r="IO39">
        <v>0</v>
      </c>
      <c r="IP39">
        <v>0</v>
      </c>
      <c r="IQ39">
        <f>IFERROR(IF($AG39="S",IF(OR(COUNTIF($W$9:$W$14,$AA39)&gt;0,COUNTIF('King Node Model'!$AL$42:'King Node Model'!$AL$43,$AA39)&gt;0),1,0),IF($AG39="R",IF(OR(COUNTIF($W$18:$W$23,$AA39)&gt;0,COUNTIF('King Node Model'!$AL$49:'King Node Model'!$AL$50,$AA39)&gt;0),1,0),0)),0)</f>
        <v>0</v>
      </c>
      <c r="IS39">
        <f>IF(AND(ISNUMBER($AA39),N($AN39)&lt;&gt;1,N($LR39)&lt;&gt;1,OR(N($EN39)&lt;&gt;1,AND('King Node Model'!$A$8&lt;&gt;"Neg",N($BG$72)&lt;&gt;1)),$AA39&lt;&gt;'King Node Model'!$T$22,$AA39&lt;&gt;'King Node Model'!$T$23,$AA39&lt;&gt;'King Node Model'!$F$24,NOT(AND($AG39="S",COUNTIF('Master Dashboard'!$AN$16:$AN$18,$AA39)&gt;0)),NOT(AND($AG39="R",COUNTIF('Master Dashboard'!$AN$13:$AN$15,$AA39)&gt;0)),NOT(AND('King Node Model'!$A$8&lt;&gt;"Neg",N($BG$72)&lt;&gt;1,COUNTIF('Master Dashboard'!$AN$13:$AN$18,$AA39)&gt;0))),1,0)</f>
        <v>1</v>
      </c>
      <c r="IT39">
        <v>0</v>
      </c>
      <c r="IU39">
        <f>IF(AND(ISNUMBER($AA39),$AA39='King Node Model'!$F$24,$AA39&gt;$GJ$3,N($AD39)&lt;0,$F$4="High"),1,0)</f>
        <v>0</v>
      </c>
      <c r="IV39" t="str">
        <f>""</f>
        <v/>
      </c>
      <c r="IW39">
        <f>IFERROR(IF(AND(ISNUMBER($AA39),NOT(AND(N($LR39)=1,N($MB39)=1)),$AG39="S",OR('King Node Model'!$A$8="Neg",N($BG$72)=1),$JV39="SELL",ABS(N($AD39))&gt;=$BG$94,NOT(AND(N($AD39)&gt;0,N($BG$78)=1,MEDIAN($AA39-$BG$82,$B$4,$AA39+$BG$83)=$B$4))),1,0),0)</f>
        <v>1</v>
      </c>
      <c r="IX39">
        <f>IFERROR(IF(AND(ISNUMBER($AA39),$AG39="S",OR('King Node Model'!$A$8="Neg",N($BG$72)=1),N($AD39)&gt;0,N($BG$78)=1,MEDIAN($AA39-$BG$82,$B$4,$AA39+$BG$83)=$B$4),1,0),0)</f>
        <v>0</v>
      </c>
      <c r="IY39" t="str">
        <f t="shared" si="106"/>
        <v>SELL</v>
      </c>
      <c r="IZ39">
        <f>IFERROR(IF(AND(ISNUMBER($AA39),$FA39&lt;&gt;"DOM",$AA39&lt;&gt;'King Node Model'!$F$24,OR(AND($AG39="S",COUNTIF('Master Dashboard'!$AN$16:$AN$18,$AA39)=0,N(INDEX($AE$9:$AE$55,MATCH($AA39+$BG$84,$AA$9:$AA$55,0)))&lt;=-$BG$85),AND($AG39="R",COUNTIF('Master Dashboard'!$AN$13:$AN$15,$AA39)=0,N(INDEX($AE$9:$AE$55,MATCH($AA39-$BG$84,$AA$9:$AA$55,0)))&gt;=$BG$85))),1,0),0)</f>
        <v>0</v>
      </c>
      <c r="JC39">
        <f t="shared" si="108"/>
        <v>0</v>
      </c>
      <c r="JD39" t="str">
        <f t="shared" si="193"/>
        <v>P</v>
      </c>
      <c r="JE39">
        <f>IF(ISNUMBER($AA39),N(IFERROR(INDEX('King Node Model'!$L$29:$L$75,MATCH($AA39,'King Node Model'!$A$29:$A$75,0)),0)),"")</f>
        <v>1318</v>
      </c>
      <c r="JF39">
        <f>IF(ISNUMBER($AA39),N(IFERROR(INDEX('King Node Model'!$K$29:$K$75,MATCH($AA39,'King Node Model'!$A$29:$A$75,0)),0)),"")</f>
        <v>206</v>
      </c>
      <c r="JG39">
        <f t="shared" si="109"/>
        <v>6.3980582524271847</v>
      </c>
      <c r="JH39">
        <f t="shared" si="110"/>
        <v>0.15629742033383914</v>
      </c>
      <c r="JI39">
        <f t="shared" si="111"/>
        <v>0</v>
      </c>
      <c r="JJ39" t="str">
        <f t="shared" si="112"/>
        <v>Hollow</v>
      </c>
      <c r="JK39">
        <f t="shared" si="113"/>
        <v>0</v>
      </c>
      <c r="JL39">
        <f t="shared" si="114"/>
        <v>0</v>
      </c>
      <c r="JM39">
        <f t="shared" si="115"/>
        <v>0</v>
      </c>
      <c r="JN39">
        <f t="shared" si="116"/>
        <v>0</v>
      </c>
      <c r="JO39">
        <f t="shared" si="117"/>
        <v>0</v>
      </c>
      <c r="JP39">
        <f t="shared" si="118"/>
        <v>0</v>
      </c>
      <c r="JQ39">
        <f t="shared" si="119"/>
        <v>0</v>
      </c>
      <c r="JR39">
        <v>0</v>
      </c>
      <c r="JS39">
        <f>IFERROR(IF(AND(ISNUMBER($AA39),'King Node Model'!$A$8="Pos",OR($AG39="S",$AG39="R"),N($AB39)&gt;0,N($HP39)&lt;&gt;1,OR(AND($KC39="DOWN",N($AF39)&lt;0,N($AF39)=MIN($AF$9:$AF$55),-N($AF39)&gt;=MAX($AF$9:$AF$55)),AND($KC39="UP",N($AF39)&gt;0,N($AF39)=MAX($AF$9:$AF$55),N($AF39)&gt;=-MIN($AF$9:$AF$55)))),1,0),0)</f>
        <v>0</v>
      </c>
      <c r="JT39">
        <v>0</v>
      </c>
      <c r="JU39">
        <f>IFERROR(IF(AND(N($BG$109)=1,ISNUMBER($AA39),'King Node Model'!$A$8="Pos",N($CZ39)=1,N($AB39)&gt;0),1,0),0)</f>
        <v>0</v>
      </c>
      <c r="JV39" t="str">
        <f t="shared" si="120"/>
        <v>SELL</v>
      </c>
      <c r="JW39">
        <f t="shared" si="121"/>
        <v>0</v>
      </c>
      <c r="JX39">
        <f t="shared" si="122"/>
        <v>0</v>
      </c>
      <c r="JY39">
        <f t="shared" si="123"/>
        <v>0</v>
      </c>
      <c r="JZ39">
        <f t="shared" si="124"/>
        <v>0</v>
      </c>
      <c r="KA39">
        <f t="shared" si="125"/>
        <v>0</v>
      </c>
      <c r="KB39">
        <f t="shared" si="126"/>
        <v>0</v>
      </c>
      <c r="KC39" t="str">
        <f t="shared" si="127"/>
        <v>UP</v>
      </c>
      <c r="KE39" t="str">
        <f t="shared" si="128"/>
        <v>Now: weakening the floor (IV rising) · if IV falls: strengthens the floor · expected on arrival: WEAKENS ✗</v>
      </c>
      <c r="KF39" t="str">
        <f t="shared" si="129"/>
        <v>SELL</v>
      </c>
      <c r="KG39">
        <f t="shared" si="192"/>
        <v>0</v>
      </c>
      <c r="KH39" t="str">
        <f t="shared" si="130"/>
        <v/>
      </c>
      <c r="KI39" t="str">
        <f t="shared" si="131"/>
        <v/>
      </c>
      <c r="KJ39">
        <f t="shared" si="132"/>
        <v>0</v>
      </c>
      <c r="KK39">
        <f t="shared" si="133"/>
        <v>0</v>
      </c>
      <c r="KL39">
        <f t="shared" si="134"/>
        <v>0</v>
      </c>
      <c r="KM39">
        <f t="shared" si="135"/>
        <v>0</v>
      </c>
      <c r="KN39">
        <f t="shared" si="136"/>
        <v>0</v>
      </c>
      <c r="KO39">
        <v>0</v>
      </c>
      <c r="KP39">
        <f t="shared" si="137"/>
        <v>0</v>
      </c>
      <c r="KQ39">
        <f t="shared" si="138"/>
        <v>0</v>
      </c>
      <c r="KR39">
        <f t="shared" si="139"/>
        <v>0</v>
      </c>
      <c r="KS39">
        <f t="shared" si="140"/>
        <v>0</v>
      </c>
      <c r="KT39">
        <f t="shared" si="141"/>
        <v>0</v>
      </c>
      <c r="KU39">
        <f>IF(AND(ISNUMBER($AA39),ISNUMBER($AE39),ISNUMBER($AE38),N($AE39)&lt;&gt;0),($AE39-$AE38)/$AE39,"")</f>
      </c>
      <c r="KV39">
        <f>IF(AND(ISNUMBER($AA39),ISNUMBER($AE39),ISNUMBER($AE40),N($AE39)&lt;&gt;0),($AE39-$AE40)/$AE39,"")</f>
      </c>
      <c r="KW39">
        <f>IFERROR(IF(OR(NOT(ISNUMBER($AA39)),'King Node Model'!$A$8&lt;&gt;"Pos",N($BG$72)=1,ABS(N($AE39))&lt;$BG$113,$FA39="DOM",$AA39='King Node Model'!$T$23,AND(N($BG$116)=1,$AA39='King Node Model'!$F$24),NOT(ISNUMBER($KU39)),NOT(ISNUMBER($KV39))),0,IF(AND($AG39="S",COUNTIF('Master Dashboard'!$AN$16:$AN$18,$AA39)=0,$KU39&gt;=$BG$114,$KU39&gt;=$KV39+$BG$115),1,IF(AND($AG39="R",COUNTIF('Master Dashboard'!$AN$13:$AN$15,$AA39)=0,$KV39&gt;=$BG$114,$KV39&gt;=$KU39+$BG$115),-1,0))),0)</f>
        <v>0</v>
      </c>
      <c r="KX39">
        <f t="shared" si="144"/>
        <v>0</v>
      </c>
      <c r="KY39">
        <f t="shared" si="145"/>
        <v>0</v>
      </c>
      <c r="KZ39">
        <f t="shared" si="146"/>
        <v>0</v>
      </c>
      <c r="LA39">
        <f t="shared" si="147"/>
        <v>0</v>
      </c>
      <c r="LB39">
        <f t="shared" si="148"/>
        <v>0</v>
      </c>
      <c r="LC39">
        <f t="shared" si="149"/>
        <v>0</v>
      </c>
      <c r="LD39">
        <f t="shared" si="150"/>
        <v>0</v>
      </c>
      <c r="LE39">
        <f t="shared" si="151"/>
        <v>0</v>
      </c>
      <c r="LF39">
        <f t="shared" si="152"/>
        <v>0</v>
      </c>
      <c r="LG39" t="str">
        <f t="shared" si="153"/>
        <v/>
      </c>
      <c r="LH39" t="str">
        <f t="shared" si="154"/>
        <v/>
      </c>
      <c r="LI39" t="str">
        <f t="shared" si="155"/>
        <v/>
      </c>
      <c r="LJ39" t="str">
        <f t="shared" si="156"/>
        <v/>
      </c>
      <c r="LK39" t="str">
        <f t="shared" si="157"/>
        <v/>
      </c>
      <c r="LL39">
        <f t="shared" si="158"/>
        <v>0</v>
      </c>
      <c r="LM39">
        <f t="shared" si="159"/>
        <v>0</v>
      </c>
      <c r="LN39">
        <f t="shared" si="160"/>
        <v>0</v>
      </c>
      <c r="LO39">
        <v>0</v>
      </c>
      <c r="LP39">
        <f t="shared" si="161"/>
        <v>0</v>
      </c>
      <c r="LQ39" t="str">
        <f t="shared" si="162"/>
        <v/>
      </c>
      <c r="LR39">
        <f t="shared" si="163"/>
        <v>0</v>
      </c>
      <c r="LS39">
        <f t="shared" si="164"/>
        <v>0</v>
      </c>
      <c r="LT39">
        <f t="shared" si="165"/>
        <v>0</v>
      </c>
      <c r="LU39">
        <f t="shared" si="166"/>
        <v>0</v>
      </c>
      <c r="LV39">
        <f t="shared" si="167"/>
        <v>0</v>
      </c>
      <c r="LW39">
        <f t="shared" si="168"/>
        <v>0</v>
      </c>
      <c r="LX39">
        <f t="shared" si="169"/>
        <v>0</v>
      </c>
      <c r="LY39">
        <f t="shared" si="170"/>
        <v>0</v>
      </c>
      <c r="LZ39">
        <f t="shared" si="171"/>
        <v>0</v>
      </c>
      <c r="MA39">
        <f t="shared" si="172"/>
        <v>0</v>
      </c>
      <c r="MB39">
        <v>0</v>
      </c>
      <c r="MC39">
        <f t="shared" si="173"/>
        <v>1</v>
      </c>
      <c r="MD39">
        <f t="shared" si="174"/>
        <v>1</v>
      </c>
      <c r="ME39">
        <f t="shared" si="175"/>
        <v>0</v>
      </c>
      <c r="MF39">
        <f t="shared" si="176"/>
        <v>0</v>
      </c>
      <c r="MG39">
        <f t="shared" si="177"/>
        <v>0</v>
      </c>
      <c r="MH39">
        <f t="shared" si="178"/>
        <v>0</v>
      </c>
      <c r="MI39" t="str">
        <f t="shared" si="179"/>
        <v/>
      </c>
      <c r="MJ39">
        <f t="shared" si="180"/>
        <v>0</v>
      </c>
      <c r="MK39">
        <f t="shared" si="181"/>
        <v>0</v>
      </c>
      <c r="ML39">
        <f>IF(AND(OR('King Node Model'!$A$8="Neg",N($BG$72)=1),ISNUMBER($AA39),$AG39="R",N($AB39)&lt;0),IF(AND($AA38=$AA39+5,N($AB38)&gt;0,$AA37=$AA39+10,N($AB37)&lt;0),1,IF(AND($AA38=$AA39+5,N($AB38)&gt;0,$AA37=$AA39+10,N($AB37)&gt;0,$AA36=$AA39+15,N($AB36)&lt;0),2,IF(AND($AA38=$AA39+5,N($AB38)&gt;0,$AA37=$AA39+10,N($AB37)&gt;0,$AA36=$AA39+15,N($AB36)&gt;0,$AA35=$AA39+20,N($AB35)&lt;0),3,IF(AND($AA38=$AA39+5,N($AB38)&gt;0,$AA37=$AA39+10,N($AB37)&gt;0,$AA36=$AA39+15,N($AB36)&gt;0,$AA35=$AA39+20,N($AB35)&gt;0,$AA34=$AA39+25,N($AB34)&lt;0),4,0)))),0)</f>
      </c>
      <c r="MM39">
        <f>IF(AND(OR('King Node Model'!$A$8="Neg",N($BG$72)=1),ISNUMBER($AA39),$AG39="S",N($AB39)&lt;0),IF(AND($AA40=$AA39-5,N($AB40)&gt;0,$AA41=$AA39-10,N($AB41)&lt;0),1,IF(AND($AA40=$AA39-5,N($AB40)&gt;0,$AA41=$AA39-10,N($AB41)&gt;0,$AA42=$AA39-15,N($AB42)&lt;0),2,IF(AND($AA40=$AA39-5,N($AB40)&gt;0,$AA41=$AA39-10,N($AB41)&gt;0,$AA42=$AA39-15,N($AB42)&gt;0,$AA43=$AA39-20,N($AB43)&lt;0),3,IF(AND($AA40=$AA39-5,N($AB40)&gt;0,$AA41=$AA39-10,N($AB41)&gt;0,$AA42=$AA39-15,N($AB42)&gt;0,$AA43=$AA39-20,N($AB43)&gt;0,$AA44=$AA39-25,N($AB44)&lt;0),4,0)))),0)</f>
      </c>
      <c r="MN39">
        <f>IF(N($ML39)&gt;0,$AA39,0)</f>
      </c>
      <c r="MO39">
        <f>IF(N($MM39)&gt;0,$AA39,0)</f>
      </c>
      <c r="MP39">
        <f>IF(AND(OR('King Node Model'!$A$8="Neg",N($BG$72)=1),ISNUMBER($BG$155),$AA39=$BG$155,N($NC39)=1),2,IF(AND(OR('King Node Model'!$A$8="Neg",N($BG$72)=1),ISNUMBER($BG$156),$AA39=$BG$156,N($ND39)=1),1,0))</f>
      </c>
      <c r="MQ39">
        <f>IF(ABS(AE39)&lt;=0,0,IF($AG39="R",IF(ISNUMBER(AE38),IF((ABS(AE38)-ABS(AE39))/ABS(AE39)&lt;-0.4,1,0),0),IF(ISNUMBER(AE40),IF((ABS(AE40)-ABS(AE39))/ABS(AE39)&lt;-0.4,1,0),0)))</f>
      </c>
      <c r="MR39">
        <f>IF(OR(N($MQ39)&lt;&gt;1,N($BG$157)&lt;&gt;1,NOT(ISNUMBER($KU39)),NOT(ISNUMBER($KV39))),0,IF(OR(AND($AG39="S",OR(AND($KU39&gt;=$BG$114,$KU39&gt;=$KV39+$BG$115),AND($KU39&gt;1,$KV39&lt;=1,$KV39&gt;=$BG$114))),AND($AG39="R",OR(AND($KV39&gt;=$BG$114,$KV39&gt;=$KU39+$BG$115),AND($KV39&gt;1,$KU39&lt;=1,$KU39&gt;=$BG$114)))),1,0))</f>
      </c>
      <c r="MS39" t="str">
        <f>IF(AND(N($MR39)=1,N($NA39)&lt;&gt;1),"• DEX falls off more sharply "&amp;IF($AG39="S","above (","below (")&amp;TEXT(IF($AG39="S",$KU39,$KV39),"0%")&amp;") than "&amp;IF($AG39="S","below (","above (")&amp;TEXT(IF($AG39="S",$KV39,$KU39),"0%")&amp;") — Dex↓ not counted",IF(N($MW39)=1,"• Shoulder of the "&amp;IF($AG39="R",$AA40,$AA38)&amp;" wall — own DEX "&amp;TEXT($AE39/1000,"+#,##0;-#,##0")&amp;"K is "&amp;TEXT(ABS($AE39)/ABS(IF($AG39="R",$AE40,$AE38)),"0%")&amp;" of "&amp;TEXT(IF($AG39="R",$AE40,$AE38)/1000,"+#,##0;-#,##0")&amp;"K, Dex↓ not counted",""))</f>
      </c>
      <c r="MT39">
        <f>IF(AND(ISNUMBER($AA39),$AG39="S",ISNUMBER($AB39),$AB39=MIN($AB$9:$AB$55),$AA39=$BG$105,$JV39="BUY",ABS(N($AD39))&gt;=$BG$158),1,0)</f>
      </c>
      <c r="MU39" t="str">
        <f>IF(N($MY39)=1,"",IF(OR(N($MT39)=1,AND(OR('King Node Model'!$A$8="Neg",N($BG$72)=1),$AG39="S",ISNUMBER($AB39),$AB39=MIN($AB$9:$AB$55),$AA39=$BG$105)),"• Min GEX + Max Zomma (no reversal flag required) — accelerant warning not applied; zomma acceleration warning only within "&amp;$BG$98&amp;" pts of the level, and not when vanna buying is "&amp;TEXT($BG$158/1000,"0")&amp;"K or more"&amp;CHAR(10)&amp;IF(N($MT39)=1,"• Max Zomma and vanna buying ("&amp;TEXT(N($AD39)/1000,"+#,##0;-#,##0")&amp;"K) make this level safe","• Max Zomma is what makes this level safe"),"")&amp;$NB39&amp;$NI39)</f>
      </c>
      <c r="MV39" t="str">
        <f>IF(AND(ISNUMBER($AA39),OR($AA39=$BG$118,$AA39=$BG$119)),IF(N($AZ39)*IF($AG39="R",1,-1)&gt;0,"✓",IF(N($AZ39)*IF($AG39="R",1,-1)&lt;0,"✗","")),"")</f>
      </c>
      <c r="MW39">
        <f>IF(AND(N($MQ39)=1,N($BG$159)&gt;0,ISNUMBER(IF($AG39="R",$AE40,$AE38)),N(IF($AG39="R",$AE40,$AE38))&lt;&gt;0),IF(ABS(N($AE39))&lt;$BG$159*ABS(IF($AG39="R",$AE40,$AE38)),1,0),0)</f>
      </c>
      <c r="MX39">
        <f>IF(AND(ISNUMBER($AA39),$AA39=$BG$121,$AG39="R",N($AE39)&lt;0,OR(COUNTIF('King Node Model'!$AL$42:$AL$44,$AA39)=0,N($HP39)=1),N($NC39)=1),2,IF(AND(ISNUMBER($AA39),$AA39=$BG$120,$AG39="S",N($AE39)&gt;0,OR(COUNTIF('King Node Model'!$AL$49:$AL$51,$AA39)=0,N($HP39)=1),N($ND39)=1),1,0))</f>
      </c>
      <c r="MY39">
        <f>IF(AND(N($NA39)=1,NOT(AND(AND($AG39="S",ISNUMBER($AB39),$AB39=MIN($AB$9:$AB$55),$AA39=$BG$105),IFERROR(INDEX($AG$9:$AG$55,MATCH('King Node Model'!$B$23,$AA$9:$AA$55,0)),"")="R")),N($AV39)&lt;&gt;1),1,0)</f>
      </c>
      <c r="MZ39" t="str">
        <f>IF(N($MY39)&lt;&gt;1,"","• DEX falls off more sharply "&amp;IF($AG39="S","above (","below (")&amp;TEXT(IF($AG39="S",$KU39,$KV39),"0%")&amp;") than "&amp;IF($AG39="S","below (","above (")&amp;TEXT(IF($AG39="S",$KV39,$KU39),"0%")&amp;") — path of least resistance "&amp;IF($AG39="S","down","up")&amp;IF(N($AZ39)*IF($AG39="R",1,-1)&lt;0,CHAR(10)&amp;"• Speed against — GEX gets more negative as price "&amp;IF($AG39="R","rises","falls")&amp;" into it (speed "&amp;TEXT(N($AZ39),"#,##0;−#,##0")&amp;")","")&amp;IF(OR(N($NG39)=1,N($JC39)=1),CHAR(10)&amp;"• "&amp;IF(N($JC39)=1,"DOM with vanna BUY "&amp;TEXT(N($AD39)/1000,"+#,##0;−#,##0")&amp;"K","Put wall + Max Zomma + DOM")&amp;" backs the level, but it does not outweigh DEX"&amp;IF(N($AZ39)*IF($AG39="R",1,-1)&lt;0," and speed",""),IF(AND($AG39="S",ISNUMBER($AB39),$AB39=MIN($AB$9:$AB$55),$AA39=$BG$105),CHAR(10)&amp;"• Min GEX + Max Zomma backs the level, but it does not outweigh DEX"&amp;IF(N($AZ39)*IF($AG39="R",1,-1)&lt;0," and speed",""),IF(OR(N($JI39)=1,AND(N($GV39)=1,N($JK39)&lt;&gt;1,N($IW39)&lt;&gt;1),N($JC39)=1,AND($AA39='King Node Model'!$F$24,N($JN39)&lt;&gt;1,OR($AG39="R",AND($AG39="S",$F$4="High",IF($BG$80&lt;&gt;"",UPPER($BG$80),$D$5)="UP")))),CHAR(10)&amp;"• Vanna "&amp;IF($AG39="S","BUY ","SELL ")&amp;TEXT(N($AD39)/1000,"+#,##0;−#,##0")&amp;"K backs the level, but it does not outweigh DEX"&amp;IF(N($AZ39)*IF($AG39="R",1,-1)&lt;0," and speed",""),"")))&amp;IF(N($NE39)=1,CHAR(10)&amp;"• Buy-lean max-node exemption not applied — DEX leans against the level",""))</f>
      </c>
      <c r="NA39">
        <f>IF(AND(OR('King Node Model'!$A$8="Neg",N($BG$72)=1),ISNUMBER($AA39),ABS(N($AE39))&gt;=$BG$152,ISNUMBER($KU39),ISNUMBER($KV39)),IF(OR(AND($AG39="S",OR(AND($KU39&gt;=$BG$114,$KU39&gt;=$KV39+$BG$115),AND($KU39&gt;1,$KV39&lt;=1,$KV39&gt;=$BG$114))),AND($AG39="R",OR(AND($KV39&gt;=$BG$114,$KV39&gt;=$KU39+$BG$115),AND($KV39&gt;1,$KU39&lt;=1,$KU39&gt;=$BG$114)))),1,0),0)</f>
      </c>
      <c r="NB39" t="str">
        <f>IF(AND(N($NA39)=1,AND(AND($AG39="S",ISNUMBER($AB39),$AB39=MIN($AB$9:$AB$55),$AA39=$BG$105),IFERROR(INDEX($AG$9:$AG$55,MATCH('King Node Model'!$B$23,$AA$9:$AA$55,0)),"")="R")),CHAR(10)&amp;"• DEX falls off more sharply above ("&amp;TEXT($KU39,"0%")&amp;") than below ("&amp;TEXT($KV39,"0%")&amp;") — DEX-lean warning not applied: Min GEX + Max Zomma support with Max Gamma "&amp;'King Node Model'!$B$23&amp;" above (Dex↓ not counted)",IF(AND(OR(N($NA39)=1,N($NF39)=1),N($AV39)=1),IF(AND(OR('King Node Model'!$A$8="Neg",N($BG$72)=1),$AG39="S",ISNUMBER($AB39),$AB39=MIN($AB$9:$AB$55),$AA39=$BG$105),CHAR(10),"")&amp;"• DEX falls off more sharply "&amp;IF($AG39="S","above (","below (")&amp;TEXT(IF($AG39="S",$KU39,$KV39),"0%")&amp;") than "&amp;IF($AG39="S","below (","above (")&amp;TEXT(IF($AG39="S",$KV39,$KU39),"0%")&amp;") — DEX lean does not apply to iDex (isolated DEX)",""))</f>
      </c>
      <c r="NC39">
        <f>IF(OR($BG$163=1,AND($BG$161&gt;0,$BG$162&lt;99999,ISNUMBER($AA39),$AA39&lt;$BG$162)),1,0)</f>
      </c>
      <c r="ND39">
        <f>IF(OR($BG$163=-1,AND($BG$161&gt;0,$BG$162&lt;99999,ISNUMBER($AA39),$AA39&gt;$BG$161)),1,0)</f>
      </c>
      <c r="NE39">
        <f>IF(AND(OR('King Node Model'!$A$8="Neg",N($BG$72)=1),ISNUMBER(SEARCH("LOW",'Master Dashboard'!$M$5)),ISNUMBER(SEARCH("BUY",'Master Dashboard'!$G$8)),'King Node Model'!$T$23='King Node Model'!$B$23,OR($AA39='King Node Model'!$T$23,AND($AG39="R",$AA39='King Node Model'!$T$23+5)),OR(AND($AG39="S",$JV39="BUY"),AND($AG39="R",$JV39="SELL"))),1,0)</f>
      </c>
      <c r="NF39">
        <f>IFERROR(IF(OR(NOT(ISNUMBER($AA39)),'King Node Model'!$A$8&lt;&gt;"Pos",N($BG$72)=1,ABS(N($AE39))&lt;$BG$113,$FA39="DOM",$AA39='King Node Model'!$T$23,AND(N($BG$116)=1,$AA39='King Node Model'!$F$24),NOT(ISNUMBER($KU39)),NOT(ISNUMBER($KV39))),0,IF(AND($AG39="S",COUNTIF('Master Dashboard'!$AN$16:$AN$18,$AA39)=0,$KU39&gt;=$BG$114,$KU39&gt;=$KV39+$BG$115,NOT(AND(N($AN40)=1,N($KV39)&lt;0)),N($AE39)&lt;=0),1,IF(AND($AG39="R",COUNTIF('Master Dashboard'!$AN$13:$AN$15,$AA39)=0,$KV39&gt;=$BG$114,$KV39&gt;=$KU39+$BG$115,NOT(AND(N($AN38)=1,N($KU39)&lt;0))),-1,0))),0)</f>
      </c>
      <c r="NG39">
        <f t="shared" si="202"/>
      </c>
      <c r="NI39" t="str">
        <f>IF(AND(ISNUMBER($BG$165),ISNUMBER($AA39)),IF(OR(AND($AG39="S",$AA39&gt;$BG$165,$AA39-$BG$165&lt;=5),AND($AG39="R",$AA39&lt;$BG$165,$BG$165-$AA39&lt;=5)),IF(OR(AND(OR('King Node Model'!$A$8="Neg",N($BG$72)=1),$AG39="S",ISNUMBER($AB39),$AB39=MIN($AB$9:$AB$55),$AA39=$BG$105),$NB39&lt;&gt;""),CHAR(10),"")&amp;"• DOM forming at "&amp;$BG$165&amp;" (gamma "&amp;TEXT($BG$166,"0%")&amp;" of max) — price may be pulled to the node",""),"")</f>
      </c>
      <c r="NJ39">
        <f>IF(LEN($NI39)&gt;0,1,0)</f>
      </c>
    </row>
    <row r="40" spans="27:349" ht="15" customHeight="1" x14ac:dyDescent="0.25">
      <c r="AA40" s="181">
        <f>'King Node Model'!A60</f>
        <v>7730</v>
      </c>
      <c r="AB40" s="276">
        <f>'King Node Model'!C60</f>
        <v>-9171</v>
      </c>
      <c r="AC40" s="181">
        <f>ABS('King Node Model'!B60)</f>
        <v>900491</v>
      </c>
      <c r="AD40" s="276">
        <f>'King Node Model'!F60</f>
        <v>31252</v>
      </c>
      <c r="AE40" s="276">
        <f>'King Node Model'!E60</f>
        <v>1631395</v>
      </c>
      <c r="AF40" s="276">
        <f>'King Node Model'!D60</f>
        <v>-105977</v>
      </c>
      <c r="AG40" s="181" t="str">
        <f t="shared" si="6"/>
        <v>S</v>
      </c>
      <c r="AH40" s="181">
        <f t="shared" si="7"/>
        <v>9</v>
      </c>
      <c r="AI40" s="181" t="str">
        <f t="shared" si="8"/>
        <v>SELL</v>
      </c>
      <c r="AJ40" s="181">
        <f t="shared" si="9"/>
        <v>1</v>
      </c>
      <c r="AK40" s="181">
        <f>IF(ABS(N($AE40))&gt;=$BG$85,1,0)</f>
      </c>
      <c r="AL40" s="181">
        <f t="shared" si="10"/>
        <v>0</v>
      </c>
      <c r="AM40" s="181">
        <f t="shared" si="11"/>
        <v>3</v>
      </c>
      <c r="AN40" s="181">
        <f t="shared" si="12"/>
        <v>1</v>
      </c>
      <c r="AO40" s="1" t="str">
        <f t="shared" si="13"/>
        <v/>
      </c>
      <c r="AP40" s="1">
        <f t="shared" si="14"/>
        <v>1631395</v>
      </c>
      <c r="AQ40" s="1">
        <f t="shared" si="15"/>
        <v>105977</v>
      </c>
      <c r="AR40" s="181">
        <f t="shared" si="16"/>
        <v>0.86110987114212478</v>
      </c>
      <c r="AS40" s="181">
        <f t="shared" si="17"/>
        <v>4</v>
      </c>
      <c r="AT40" s="181" t="str">
        <f t="shared" si="18"/>
        <v/>
      </c>
      <c r="AU40" s="181" t="str">
        <f t="shared" si="19"/>
        <v/>
      </c>
      <c r="AV40" s="218">
        <f t="shared" si="183"/>
        <v>0</v>
      </c>
      <c r="AW40" s="181">
        <f>ABS('King Node Model'!G60)</f>
        <v>1049</v>
      </c>
      <c r="AX40" s="181">
        <f t="shared" si="20"/>
        <v>1</v>
      </c>
      <c r="AY40" s="181">
        <f t="shared" si="21"/>
        <v>1</v>
      </c>
      <c r="AZ40" s="276">
        <f>'King Node Model'!I60</f>
        <v>149</v>
      </c>
      <c r="BA40" s="181">
        <f t="shared" si="22"/>
        <v>0</v>
      </c>
      <c r="BB40" s="181" t="str">
        <f t="shared" si="23"/>
        <v>S4</v>
      </c>
      <c r="BC40" s="10">
        <f>'King Node Model'!C60</f>
        <v>-9171</v>
      </c>
      <c r="BD40" s="218">
        <f t="shared" si="184"/>
        <v>0</v>
      </c>
      <c r="BE40" s="218">
        <f t="shared" si="185"/>
        <v>0</v>
      </c>
      <c r="BF40" s="218" t="s">
        <v>1249</v>
      </c>
      <c r="BG40">
        <v>1000000</v>
      </c>
      <c r="BI40" s="218">
        <f t="shared" si="186"/>
        <v>0</v>
      </c>
      <c r="BJ40" s="218">
        <f t="shared" si="187"/>
        <v>0</v>
      </c>
      <c r="BK40" s="218">
        <f t="shared" si="24"/>
        <v>0</v>
      </c>
      <c r="BL40" s="10">
        <f>'King Node Model'!H60</f>
        <v>61</v>
      </c>
      <c r="BM40" s="218">
        <f t="shared" si="25"/>
        <v>14</v>
      </c>
      <c r="BN40" s="218">
        <f t="shared" si="26"/>
        <v>46</v>
      </c>
      <c r="BO40" s="218">
        <f t="shared" si="27"/>
        <v>0</v>
      </c>
      <c r="BP40" s="218">
        <f t="shared" si="28"/>
        <v>0</v>
      </c>
      <c r="BQ40" t="str">
        <f t="shared" si="29"/>
        <v/>
      </c>
      <c r="BR40" t="str">
        <f t="shared" si="30"/>
        <v/>
      </c>
      <c r="BS40" s="218">
        <f t="shared" si="31"/>
        <v>0</v>
      </c>
      <c r="BT40" t="str">
        <f t="shared" si="32"/>
        <v/>
      </c>
      <c r="BU40" t="str">
        <f t="shared" si="33"/>
        <v/>
      </c>
      <c r="BV40" s="218">
        <f t="shared" si="34"/>
        <v>31252</v>
      </c>
      <c r="BW40" s="218">
        <f t="shared" si="35"/>
        <v>1631395</v>
      </c>
      <c r="BX40" s="218">
        <f>IF(AND(ISNUMBER(BC40),BC40&gt;=$BG$160,OR('King Node Model'!$A$8="Neg",N($BG$72)=1)),1,0)</f>
        <v>0</v>
      </c>
      <c r="BY40" s="218">
        <f t="shared" si="36"/>
        <v>0</v>
      </c>
      <c r="BZ40" s="218">
        <f t="shared" si="37"/>
        <v>1</v>
      </c>
      <c r="CA40">
        <f t="shared" si="38"/>
        <v>3</v>
      </c>
      <c r="CB40" s="218">
        <f>IF(AND(ISNUMBER('King Node Model'!$D$27),AG40&lt;&gt;"",AA40='King Node Model'!$D$27),1,0)</f>
        <v>0</v>
      </c>
      <c r="CC40" s="218">
        <f>IF(OR('King Node Model'!$A$8="Neg",N($BG$72)=1),$BG$14*IF(ISNUMBER('King Node Model'!$D$26),MAX(0,1-ABS(AA40-'King Node Model'!$D$26)/$BG$18),0)+$BG$15*IFERROR(BV40/MAX($BV$9:$BV$55),0)+$BG$16*IFERROR(BW40/MAX($BW$9:$BW$55),0)+$BG$17*IFERROR(AC40/$S$11,0)*MAX(0,1+$BG$21*CF40),AR40)</f>
        <v>0.62600772415411399</v>
      </c>
      <c r="CD40" s="218">
        <f>IF(OR('King Node Model'!$A$8="Neg",N($BG$72)=1),IF(AND(AG40&lt;&gt;"",ABS(AA40-$B$4)&lt;=$BG$7,OR(AX40=0,$D$5&lt;&gt;"UP"),AY40=0,BK40&lt;&gt;1,CI40=0,AM40&gt;=$BG$20,AC40&gt;$BG$19),1,0),IF(AND(BS40=1,(COUNTIF($W$9:$W$14,AA40)+COUNTIF($W$18:$W$23,AA40))&gt;0,CI40=0,AM40&gt;=$BG$20,AC40&gt;$BG$19),1,0))</f>
        <v>0</v>
      </c>
      <c r="CE40" s="322" t="str">
        <f t="shared" si="39"/>
        <v/>
      </c>
      <c r="CF40" s="218">
        <f t="shared" si="40"/>
        <v>0</v>
      </c>
      <c r="CG40" t="str">
        <f t="shared" si="41"/>
        <v/>
      </c>
      <c r="CH40" t="str">
        <f t="shared" si="42"/>
        <v>Dormant</v>
      </c>
      <c r="CI40" s="218">
        <f t="shared" si="43"/>
        <v>0</v>
      </c>
      <c r="CJ40" s="218">
        <f t="shared" si="44"/>
        <v>387420489</v>
      </c>
      <c r="CK40" s="218">
        <f t="shared" si="45"/>
        <v>0</v>
      </c>
      <c r="CL40" s="218">
        <f t="shared" si="46"/>
        <v>0</v>
      </c>
      <c r="CR40" t="s">
        <v>1499</v>
      </c>
      <c r="CS40">
        <f>IF($CS$39&lt;&gt;"",$CS$39,'King Node Model'!$B$23)</f>
        <v>7770</v>
      </c>
      <c r="CU40" s="218">
        <f>IF(AND(AND('King Node Model'!$A$8&lt;&gt;"Neg",N($BG$72)&lt;&gt;1),SUMPRODUCT(($AG$9:$AG$55="S")*ISNUMBER($AT$9:$AT$55)*ISNUMBER($AU$9:$AU$55)*($AT$9:$AT$55&lt;&gt;$AU$9:$AU$55)*($AT$9:$AT$55&lt;=$AA40)*($AU$9:$AU$55&gt;=$AA40))&gt;0),0,IF(AND(OR($AA40='King Node Model'!$T$22,$AA40='King Node Model'!$F$24),$AG40="R",COUNTIF($W$9:$W$14,$AA40)&gt;0),1,IF(AND($FN40=1,$EU40&lt;&gt;1,$EM40&lt;&gt;1,$BK40&lt;&gt;1,$DH40&lt;&gt;1,$AG40="R",COUNTIF($W$9:$W$14,$AA40)&gt;0),1,IF($EU40=1,0,IF($EM40=1,0,IF(AND(OR($EE40=1,$GV40=1,AND($EL$7=1,$AA40='King Node Model'!$D$26,$EI40=1),AND(OR($AA40='King Node Model'!$T$22,$AA40='King Node Model'!$T$23),$AN40=1,OR($AX40=0,$D$5&lt;&gt;"UP"))),OR(NOT(OR('King Node Model'!$A$8="Neg",N($BG$72)=1)),$GV40=1,AND(OR($AA40='King Node Model'!$T$22,$AA40='King Node Model'!$T$23),$AN40=1,OR($AX40=0,$D$5&lt;&gt;"UP")),AND($AM40&gt;=$BG$20,$AC40&gt;IF($CZ40=1,$BG$48,$BG$19)))),1,IF($DH40=1,0,IF(AND($DC40=1,$GS40&lt;&gt;1,AND('King Node Model'!$A$8&lt;&gt;"Neg",N($BG$72)&lt;&gt;1)),0,IF(AND($EY40=1,NOT(OR('King Node Model'!$A$8="Neg",$BG$72=1)),$AA40&lt;&gt;'King Node Model'!$B$23),0,IF(AND($GS40=1,$AG40="R",OR($CI40=0,$EE40=1,$EX40=1,$GV40=1),COUNTIF($W$9:$W$14,$AA40)&gt;0,ABS($AA40-$B$4)&lt;=$BG$7,$BK40&lt;&gt;1,$AM40&gt;=$BG$20,$AC40&gt;IF($CZ40=1,$BG$48,$BG$19)),1,IF(OR('King Node Model'!$A$8="Neg",N($BG$72)=1),IF(AND(OR($AM40&gt;=$BG$20,$AA40='King Node Model'!$D$26,$GV40=1),$AG40="R",COUNTIF($W$9:$W$14,$AA40)&gt;0,ABS($AA40-$B$4)&lt;=$BG$7,OR($AX40=0,$D$5&lt;&gt;"UP"),$BK40&lt;&gt;1,OR(OR($CI40=0,$AJ40=1),AND($EI40=1,$LA40=1,COUNTIF($W$9:$W$11,$AA40)&gt;0,$AN40=1,OR($AX40=0,$D$5&lt;&gt;"UP"))),$AM40&gt;=$BG$20,$AC40&gt;IF($CZ40=1,$BG$48,$BG$19),OR($AN40=1,N($LR40)=1,$AA40='King Node Model'!$D$26,AND($BY40=1,$AA40&gt;$B$4),$BX40=1,$CF40=1,$CF40=1,AND(OR($AA40=$CP$4,$AA40=$CP$5,$AA40=$CP$6,$AA40=$CP$7),ABS($AA40-$B$4)&lt;=30),AND($AX40=1,$D$5="DOWN"))),1,0),IF(AND(OR($AM40&gt;=3,$AA40='King Node Model'!$D$26,$GV40=1),$AG40="R",COUNTIF($W$9:$W$14,$AA40)&gt;0,ABS($AA40-$B$4)&lt;=$BG$7,OR($AX40=0,$D$5&lt;&gt;"UP"),$BK40&lt;&gt;1,OR($CI40=0,$AJ40=1),$AM40&gt;=$BG$20,$AC40&gt;IF($CZ40=1,$BG$48,$BG$19),OR($AC40&gt;=MAX($AC$9:$AC$55),$BC40&gt;0,$AA40='King Node Model'!$D$26,AND(OR($AA40=$CP$4,$AA40=$CP$5,$AA40=$CP$6,$AA40=$CP$7),ABS($AA40-$B$4)&lt;=30),$CF40=1,$AN40=1,AND($AX40=1,$D$5="DOWN"))),1,0))))))))))))</f>
        <v>0</v>
      </c>
      <c r="CV40" s="218">
        <f>IF(AND(OR('King Node Model'!$A$8="Neg",N($BG$72)=1),$AG40="S",N($LR40)=1,N($MB40)=1),1,IF(AND(AND('King Node Model'!$A$8&lt;&gt;"Neg",N($BG$72)&lt;&gt;1),SUMPRODUCT(($AG$9:$AG$55="R")*ISNUMBER($AT$9:$AT$55)*ISNUMBER($AU$9:$AU$55)*($AT$9:$AT$55&lt;&gt;$AU$9:$AU$55)*($AT$9:$AT$55&lt;=$AA40)*($AU$9:$AU$55&gt;=$AA40))&gt;0,NOT(AND(N($LC40)=1,$AA40='King Node Model'!$B$23))),0,IF(AND($AA40='King Node Model'!$F$24,$AG40="S",COUNTIF($W$18:$W$23,$AA40)&gt;0),1,IF(AND($FN40=1,$EU40&lt;&gt;1,$EM40&lt;&gt;1,$DH40&lt;&gt;1,$AG40="S",COUNTIF($W$18:$W$23,$AA40)&gt;0),1,IF($EU40=1,0,IF(AND(OR($EF40=1,$GV40=1,AND(OR($AA40='King Node Model'!$T$22,$AA40='King Node Model'!$T$23,AND($AG40="S",COUNTIF('Master Dashboard'!$AN$16:$AN$18,$AA40)&gt;0)),$AN40=1,OR($AX40=0,$D$5&lt;&gt;"UP"))),OR(NOT(OR('King Node Model'!$A$8="Neg",N($BG$72)=1)),$GV40=1,AND(OR($AA40='King Node Model'!$T$22,$AA40='King Node Model'!$T$23,AND($AG40="S",COUNTIF('Master Dashboard'!$AN$16:$AN$18,$AA40)&gt;0)),$AN40=1,OR($AX40=0,$D$5&lt;&gt;"UP")),AND($AM40&gt;=$BG$20,$AC40&gt;IF($CZ40=1,$BG$48,$BG$19)))),1,IF($DH40=1,0,IF(AND($DC40=1,$GS40&lt;&gt;1,AND('King Node Model'!$A$8&lt;&gt;"Neg",N($BG$72)&lt;&gt;1)),0,IF(AND($EY40=1,NOT(OR('King Node Model'!$A$8="Neg",$BG$72=1)),$AA40&lt;&gt;'King Node Model'!$B$23,COUNTIF('Master Dashboard'!$AN$16:$AN$18,$AA40)=0),0,IF(AND($GS40=1,$AG40="S",OR($CI40=0,$EF40=1,$EX40=1,$GV40=1),COUNTIF($W$18:$W$23,$AA40)&gt;0,ABS($AA40-$B$4)&lt;=$BG$7,$BK40&lt;&gt;1,$AM40&gt;=$BG$20,$AC40&gt;IF($CZ40=1,$BG$48,$BG$19)),1,IF(OR('King Node Model'!$A$8="Neg",N($BG$72)=1),IF(AND(OR(OR($AM40&gt;=$BG$20,N($LR40)=1),$AA40='King Node Model'!$D$26,$GV40=1),$AG40="S",COUNTIF($W$18:$W$23,$AA40)&gt;0,ABS($AA40-$B$4)&lt;=$BG$7,OR($AX40=0,$D$5&lt;&gt;"UP"),$BK40&lt;&gt;1,OR($CI40=0,$AJ40=1,AND(N($LR40)=1,N($MB40)=1),N($MT40)=1),OR($AM40&gt;=$BG$20,N($LR40)=1),$AC40&gt;IF($CZ40=1,$BG$48,$BG$19),OR($AB40&gt;0,$AN40=1,N($MT40)=1,N($LR40)=1,$AA40='King Node Model'!$D$26,AND($BY40=1,$AA40&lt;$B$4),$BX40=1,$CF40=1,$CF40=1,AND(OR($AA40=$CP$4,$AA40=$CP$5,$AA40=$CP$6,$AA40=$CP$7),ABS($AA40-$B$4)&lt;=30),AND($AX40=1,$D$5="DOWN"))),1,0),IF(AND(OR($AM40&gt;=3,$AA40='King Node Model'!$D$26,$GV40=1),$AG40="S",COUNTIF($W$18:$W$23,$AA40)&gt;0,ABS($AA40-$B$4)&lt;=$BG$7,OR($AX40=0,$D$5&lt;&gt;"UP"),$BK40&lt;&gt;1,OR($CI40=0,$AJ40=1,AND(N($LR40)=1,N($MB40)=1),N($MT40)=1),$AM40&gt;=$BG$20,$AC40&gt;IF($CZ40=1,$BG$48,$BG$19),OR($AC40&gt;=MAX($AC$9:$AC$55),$BC40&gt;0,N($MT40)=1,$AA40='King Node Model'!$D$26,AND(OR($AA40=$CP$4,$AA40=$CP$5,$AA40=$CP$6,$AA40=$CP$7),ABS($AA40-$B$4)&lt;=30),$CF40=1,$AN40=1,AND($AX40=1,$D$5="DOWN"))),1,0))))))))))))</f>
        <v>0</v>
      </c>
      <c r="CX40" s="218">
        <f t="shared" si="48"/>
        <v>0</v>
      </c>
      <c r="CY40" t="str">
        <f t="shared" si="49"/>
        <v/>
      </c>
      <c r="CZ40" s="218">
        <f t="shared" si="50"/>
        <v>0</v>
      </c>
      <c r="DA40" t="str">
        <f t="shared" si="51"/>
        <v/>
      </c>
      <c r="DB40" t="str">
        <f t="shared" si="52"/>
        <v/>
      </c>
      <c r="DC40" s="218">
        <f t="shared" si="53"/>
        <v>0</v>
      </c>
      <c r="DD40" s="218">
        <f t="shared" si="54"/>
        <v>0</v>
      </c>
      <c r="DE40" s="218">
        <f t="shared" si="55"/>
        <v>0</v>
      </c>
      <c r="DF40" t="str">
        <f t="shared" si="56"/>
        <v/>
      </c>
      <c r="DG40" t="str">
        <f t="shared" si="57"/>
        <v/>
      </c>
      <c r="DH40" s="218">
        <f t="shared" si="58"/>
        <v>0</v>
      </c>
      <c r="DI40">
        <v>1</v>
      </c>
      <c r="DJ40">
        <v>1</v>
      </c>
      <c r="DK40">
        <v>994307</v>
      </c>
      <c r="DL40">
        <v>0</v>
      </c>
      <c r="DM40" t="str">
        <f>IF(AND($CV40=1,$AG40="S"),IF(AND(OR('King Node Model'!$A$8="Neg",N($BG$72)=1),'King Node Model'!$S$52=""),IF(OR(N($AN40)=1,N($LR40)=1,$AB40&gt;0,$AJ40=1,N($JO40)=1,AND(NOT($AE40&gt;0),NOT(IFERROR(AND(ISNUMBER($BC40),ISNUMBER($BC39),($BC40&gt;=0)&lt;&gt;($BC39&gt;=0)),FALSE())),OR(AND($BM40&lt;=6,$BN40&lt;=6),ABS($AA40-'King Node Model'!$T$23)&lt;=5,$LA40=1))),1,0),1),"")</f>
        <v/>
      </c>
      <c r="DN40" t="str">
        <f t="shared" si="59"/>
        <v/>
      </c>
      <c r="DO40" t="str">
        <f t="shared" si="60"/>
        <v>vommaIVup</v>
      </c>
      <c r="DP40" t="str">
        <f>IF(AND(OR('King Node Model'!$A$8="Neg",N($BG$72)=1),$AG40="S",ISNUMBER($AT40),ISNUMBER($AU40),$AT40&lt;&gt;$AU40,$AA40=$AT40),IF(AND(SUMPRODUCT(($AA$9:$AA$55&gt;=$AT40)*($AA$9:$AA$55&lt;=$AU40)*($AB$9:$AB$55&gt;0))&gt;0,SUMPRODUCT(($AA$9:$AA$55&gt;=$AT40)*($AA$9:$AA$55&lt;=$AU40)*($DM$9:$DM$55=1))&gt;0,SUMPRODUCT(($AA$9:$AA$55&gt;=$AT40)*($AA$9:$AA$55&lt;=$AU40)*(COUNTIF($W$18:$W$20,$AA$9:$AA$55)&gt;0))&gt;0),1,0),"")</f>
        <v/>
      </c>
      <c r="DS40">
        <v>0</v>
      </c>
      <c r="DT40">
        <v>0</v>
      </c>
      <c r="DU40" t="str">
        <f>IF('King Node Model'!$A$8&lt;&gt;"Pos","",IF(OR($AA40="",NOT(ISNUMBER($AA40)),ABS($AA40-$B$4)&gt;$BG$7),"",TEXT($AA40,"0")&amp;" | "&amp;IF($AG40="","unclassified",IF($AG40&lt;&gt;IF($AA40&gt;$B$4,"R","S"),"orphan: in "&amp;$AG40&amp;"-list, "&amp;IF($AA40&lt;$B$4,"below","above")&amp;" spot",IF(IF($AG40="R",COUNTIF($W$9:$W$14,$AA40),COUNTIF($W$18:$W$23,$AA40))=0,"not in "&amp;$AG40&amp;"-list",IF($DH40=1,"absorbed into shelf box",IF($BK40=1,"absorbed: adjacent reversal",IF($CI40=1,"accel-accelerant",IF($AC40&lt;=$BG$19,"below gamma-floor",IF($AM40&lt;$BG$20,"confluence "&amp;TEXT($AM40,"0")&amp;" &lt; "&amp;TEXT($BG$20,"0"),IF(AND($AX40=1,$D$5="UP"),"accelerant in up-move",IF(NOT(OR($AC40&gt;=MAX($AC$9:$AC$55),$BC40&gt;0,$AA40='King Node Model'!$D$26,AND(OR($AA40=$CP$4,$AA40=$CP$5,$AA40=$CP$6,$AA40=$CP$7),ABS($AA40-$B$4)&lt;=30),ISNUMBER(SEARCH("STRENGTHENING",$CG40)),$AN40=1,AND($AX40=1,$D$5="DOWN"))),"no surface flag","-&gt; qualifies"))))))))))))</f>
        <v/>
      </c>
      <c r="DV40" s="218">
        <f t="shared" si="61"/>
        <v>99999</v>
      </c>
      <c r="DW40" s="218">
        <f t="shared" si="62"/>
        <v>99999</v>
      </c>
      <c r="DX40" t="str">
        <f>IF('King Node Model'!$A$8&lt;&gt;"Pos","",IF(AND($DV40&lt;99999,$DV40=MIN($DV$9:$DV$55),$DG40&gt;$AA40),"R-box: "&amp;TEXT($AA40,"0")&amp;"-"&amp;TEXT($DG40,"0"),IF(AND($DW40&lt;99999,$DW40=MIN($DW$9:$DW$55),$DF40&lt;$AA40),"S-box: "&amp;TEXT($DF40,"0")&amp;"-"&amp;TEXT($AA40,"0"),"")))</f>
        <v/>
      </c>
      <c r="EB40">
        <f t="shared" si="63"/>
        <v>45.390000000000327</v>
      </c>
      <c r="EC40">
        <f t="shared" si="64"/>
        <v>538591</v>
      </c>
      <c r="ED40">
        <f t="shared" si="65"/>
        <v>0</v>
      </c>
      <c r="EE40">
        <f>IF(AND(OR('King Node Model'!$A$8="Neg",N($BG$72)=1),$AG40="R",ISNUMBER($EB40),$EB40&lt;=$BG$7,$AB40&gt;0,$EC40&gt;0,$AB40=$EC40),1,0)</f>
        <v>0</v>
      </c>
      <c r="EF40">
        <f>IF(AND(OR('King Node Model'!$A$8="Neg",N($BG$72)=1),$AG40="S",ISNUMBER($EB40),$EB40&lt;=$BG$7,$AB40&gt;0,$ED40&gt;0,$AB40=$ED40),1,0)</f>
        <v>0</v>
      </c>
      <c r="EI40">
        <v>1</v>
      </c>
      <c r="EJ40">
        <f>IF($AA40="",0,IF(SUMPRODUCT(($AA$9:$AA$55&gt;=$AT40)*($AA$9:$AA$55&lt;=$AU40)*($DT$9:$DT$55=1))+SUMPRODUCT(($DT$9:$DT$55=1)*($AT$9:$AT$55&lt;=$AA40)*($AU$9:$AU$55&gt;=$AA40))+($DT40=1)+AND(OR('King Node Model'!$A$8="Neg",N($BG$72)=1),ISNUMBER(SEARCH("LOW",'Master Dashboard'!$M$5)),ISNUMBER(SEARCH("BUY",'Master Dashboard'!$G$8)),'King Node Model'!$T$23='King Node Model'!$B$23,$AA40&gt;='King Node Model'!$T$23,$AA40&lt;='King Node Model'!$T$23+5)*1&gt;0,1,0))</f>
        <v>0</v>
      </c>
      <c r="EM40">
        <f t="shared" si="66"/>
        <v>0</v>
      </c>
      <c r="EN40">
        <v>0</v>
      </c>
      <c r="EO40">
        <f t="shared" si="67"/>
        <v>0</v>
      </c>
      <c r="EP40">
        <f t="shared" si="68"/>
        <v>0</v>
      </c>
      <c r="EQ40" t="str">
        <f t="shared" si="69"/>
        <v>thinning the floor (magnitude weak)</v>
      </c>
      <c r="ES40">
        <f>IF(AND(ISNUMBER(AA40),ISNUMBER(AF40),ABS(AA40-'King Node Model'!$B$4)&lt;=$BG$7),ABS(AF40),"")</f>
        <v>105977</v>
      </c>
      <c r="ET40">
        <v>0</v>
      </c>
      <c r="EU40" s="218">
        <f>IF(AND(OR('King Node Model'!$A$8="Neg",N($BG$72)=1),ISNUMBER($AA39),ISNUMBER($AA40),ISNUMBER($AA41),ISNUMBER($AB39),ISNUMBER($AB40),ISNUMBER($AB41),ISNUMBER($AF40),$AB40&gt;0,$AB39&lt;0,$AB41&lt;0,$AF40&lt;0),1,0)</f>
        <v>0</v>
      </c>
      <c r="EW40">
        <f>IF(OR(N($MY40)=1,N($JM40)=1),0,N($NE40))</f>
        <v>0</v>
      </c>
      <c r="EX40">
        <f>IF(AND(OR('King Node Model'!$A$8="Neg",N($BG$72)=1),ISNUMBER($AA40),OR(AND($AA40='King Node Model'!$F$24,OR(AND($AG40="S",$F$4="High",IF($BG$80&lt;&gt;"",UPPER($BG$80),$D$5)="DOWN"),AND($AG40="R",$F$4="Low",IF($BG$80&lt;&gt;"",UPPER($BG$80),$D$5)="UP"))),$GV40=1)),1,0)</f>
        <v>0</v>
      </c>
      <c r="EY40">
        <f>IFERROR(IF(AND($DC40=1,$AB40&lt;0,$AC40&gt;=(1+$FA$6)*INDEX($AC$9:$AC$55,32-1),$AC40&gt;=(1+$FA$6)*INDEX($AC$9:$AC$55,32+1),$AC40&gt;=IFERROR(INDEX($AC$9:$AC$55,32-2),0),$AC40&gt;=IFERROR(INDEX($AC$9:$AC$55,32+2),0)),1,0),0)</f>
        <v>0</v>
      </c>
      <c r="FA40" t="str">
        <f>IF(NOT(ISNUMBER($AA40)),"",IFERROR(IF(AND($AC40=MAX($AC$9:$AC$55),$AB40=MIN($AB$9:$AB$55)),"DOM",IF(AND($DC39=1,$DC40=1,$DC41=1,INDEX($AC$9:$AC$55,32-1)&lt;=(1-$FA$6)*$AC40,INDEX($AC$9:$AC$55,32-1)&lt;=(1-$FA$6)*INDEX($AC$9:$AC$55,32-2)),"GAP↑",IF(AND($DC41=1,$DC40=1,INDEX($AC$9:$AC$55,32+1)&lt;=(1-$FA$6)*$AC40,INDEX($AC$9:$AC$55,32+1)&lt;=(1-$FA$6)*INDEX($AC$9:$AC$55,32+2)),"GAP↓",IF($CZ40=1,"dEdge Cliff",IF($GY40=1,"γWall",IF(AND($DC40=1,$AB40&lt;0,$AC40&gt;=(1+$FA$6)*INDEX($AC$9:$AC$55,32-1),$AC40&gt;=(1+$FA$6)*INDEX($AC$9:$AC$55,32+1)),"PEAK-",IF($GZ40=1,"γSh Edge",IF($HL40=1,"Trough",IF($HN40=1,"PEAK+",IF($GF40=1,"Cluster","")))))))))),""))</f>
        <v>γWall</v>
      </c>
      <c r="FB40" t="str">
        <f t="shared" si="70"/>
        <v/>
      </c>
      <c r="FC40" t="str">
        <f t="shared" si="71"/>
        <v/>
      </c>
      <c r="FD40">
        <f>IF(AND(ISNUMBER($AA40),ISNUMBER('King Node Model'!$AP$17),ISNUMBER('King Node Model'!$AQ$17),$AA40&gt;=MIN('King Node Model'!$AP$17,'King Node Model'!$AQ$17),$AA40&lt;=MAX('King Node Model'!$AP$17,'King Node Model'!$AQ$17),IFERROR(INDEX($AC$9:$AC$55,MATCH('King Node Model'!$AL$42,$AA$9:$AA$55,0)),0)&gt;0,$AC40&gt;=(1-$FA$6)*IFERROR(INDEX($AC$9:$AC$55,MATCH('King Node Model'!$AL$42,$AA$9:$AA$55,0)),0),$AC40&lt;=(1+$FA$6)*IFERROR(INDEX($AC$9:$AC$55,MATCH('King Node Model'!$AL$42,$AA$9:$AA$55,0)),0)),1,0)</f>
        <v>0</v>
      </c>
      <c r="FE40">
        <f>IF($AA40='King Node Model'!$AL$42,1,IF(AND($FD40=1,$FE39=1),1,0))</f>
        <v>0</v>
      </c>
      <c r="FF40">
        <f>IF($AA40='King Node Model'!$AL$42,1,IF(AND($FD40=1,$FF41=1),1,0))</f>
        <v>0</v>
      </c>
      <c r="FG40" t="str">
        <f>IF(OR($FE40=1,$FF40=1),32,"")</f>
        <v/>
      </c>
      <c r="FJ40">
        <f>IF(AND($CW$2=1,ISNUMBER($AA40),ISNUMBER($CW$3),ISNUMBER($CW$4),$AA40&gt;=MIN($CW$3,$CW$4),$AA40&lt;=MAX($CW$3,$CW$4),IFERROR(INDEX($AC$9:$AC$55,MATCH('King Node Model'!$AP$67,$AA$9:$AA$55,0)),0)&gt;0,$AC40&gt;=(1-$FA$6)*IFERROR(INDEX($AC$9:$AC$55,MATCH('King Node Model'!$AP$67,$AA$9:$AA$55,0)),0),$AC40&lt;=(1+$FA$6)*IFERROR(INDEX($AC$9:$AC$55,MATCH('King Node Model'!$AP$67,$AA$9:$AA$55,0)),0)),1,0)</f>
        <v>0</v>
      </c>
      <c r="FK40">
        <f>IF(AND($CW$2=1,$AA40='King Node Model'!$AP$67),1,IF(AND($FJ40=1,$FK39=1),1,0))</f>
        <v>0</v>
      </c>
      <c r="FL40">
        <f>IF(AND($CW$2=1,$AA40='King Node Model'!$AP$67),1,IF(AND($FJ40=1,$FL41=1),1,0))</f>
        <v>0</v>
      </c>
      <c r="FM40" t="str">
        <f>IF(OR($FK40=1,$FL40=1),32,"")</f>
        <v/>
      </c>
      <c r="FN40">
        <v>0</v>
      </c>
      <c r="FR40" t="str">
        <f t="shared" si="72"/>
        <v/>
      </c>
      <c r="FS40">
        <f t="shared" si="188"/>
        <v>0</v>
      </c>
      <c r="FT40">
        <f t="shared" si="73"/>
        <v>-1.0184443820093704E-2</v>
      </c>
      <c r="FU40">
        <f t="shared" si="74"/>
        <v>900491</v>
      </c>
      <c r="FV40">
        <f>IF($FW40=0,"",IF(OR($FW39=0,SIGN(IFERROR($BC40*1,0))&lt;&gt;SIGN(IFERROR($BC39*1,0)),$GH40=1,$GH39=1),MAX($FV$9:$FV39)+1,$FV39))</f>
        <v>11</v>
      </c>
      <c r="FW40">
        <f t="shared" si="75"/>
        <v>1</v>
      </c>
      <c r="FX40">
        <f t="shared" si="76"/>
        <v>900491</v>
      </c>
      <c r="FY40">
        <f t="shared" si="77"/>
        <v>1</v>
      </c>
      <c r="FZ40">
        <f t="shared" si="189"/>
        <v>1</v>
      </c>
      <c r="GA40">
        <f t="shared" si="78"/>
        <v>1</v>
      </c>
      <c r="GB40">
        <f t="shared" si="79"/>
        <v>1</v>
      </c>
      <c r="GC40">
        <f t="shared" si="80"/>
        <v>900491</v>
      </c>
      <c r="GD40">
        <f t="shared" si="81"/>
        <v>7730</v>
      </c>
      <c r="GE40">
        <f t="shared" si="82"/>
        <v>7730</v>
      </c>
      <c r="GF40">
        <f t="shared" si="83"/>
        <v>0</v>
      </c>
      <c r="GH40">
        <f>IFERROR(IF(AND($AC40&gt;=(1+$FA$6)*INDEX($AC$9:$AC$55,32-1),$AC40&gt;=(1+$FA$6)*INDEX($AC$9:$AC$55,32+1)),1,0),0)</f>
        <v>1</v>
      </c>
      <c r="GK40">
        <v>0</v>
      </c>
      <c r="GO40">
        <v>1</v>
      </c>
      <c r="GP40">
        <v>1</v>
      </c>
      <c r="GQ40">
        <f t="shared" si="84"/>
        <v>0</v>
      </c>
      <c r="GR40">
        <f t="shared" si="85"/>
        <v>0</v>
      </c>
      <c r="GS40">
        <f>IF(AND($EY40=1,$AA40&lt;&gt;'King Node Model'!$B$23),0,IF(OR($GQ40=1,$GR40=1),1,IF($DC40=1,IF(OR('King Node Model'!$A$8="Neg",N($BG$72)=1),IF(OR(AND($AC40=MAX($AC$9:$AC$55),$AB40=MIN($AB$9:$AB$55)),$AN40=1,$EE40=1,$EF40=1,$EX40=1,$GV40=1),1,0),1),0)))</f>
        <v>0</v>
      </c>
      <c r="GT40">
        <f>IFERROR(IF(AND(OR('King Node Model'!$A$8="Neg",N($BG$72)=1),$EU39=1,$AG40="R",ISNUMBER($AA40),ISNUMBER($AF40),$AF40&lt;&gt;0,$AA40&gt;$B$4-$BG$9,$AA40-$B$4&lt;=$BG$47,IF($KC40="UP",SIGN($AF40),IF($KC40="DOWN",-SIGN($AF40),0))&lt;&gt;1),1,0),0)</f>
        <v>0</v>
      </c>
      <c r="GU40" t="str">
        <f t="shared" si="86"/>
        <v/>
      </c>
      <c r="GV40">
        <f t="shared" si="87"/>
        <v>0</v>
      </c>
      <c r="GW40" t="str">
        <f t="shared" si="88"/>
        <v/>
      </c>
      <c r="GX40">
        <f t="shared" si="89"/>
        <v>45.390000000000327</v>
      </c>
      <c r="GY40">
        <f t="shared" si="90"/>
        <v>1</v>
      </c>
      <c r="GZ40">
        <f t="shared" si="91"/>
        <v>0</v>
      </c>
      <c r="HA40">
        <v>1</v>
      </c>
      <c r="HF40">
        <f>IFERROR(IF(AND($GZ40=1,'King Node Model'!$A$8="Pos",$D$5="UP",$CF40=-1,$AJ40&lt;&gt;1),1,0),0)</f>
        <v>0</v>
      </c>
      <c r="HG40">
        <f t="shared" si="92"/>
        <v>0</v>
      </c>
      <c r="HH40" t="str">
        <f>IF($GZ40=1,"",IFERROR(IF(NOT(ISNUMBER($AA40)),"",IF($EY40=1,"",IF($GF40=1,IF($GD40=$GE40,"",$GD40),IF(OR(AND($DC39=1,$DC40=1,$DC41=1,INDEX($AC$9:$AC$55,32-1)&lt;=(1-$FA$6)*$AC40,INDEX($AC$9:$AC$55,32-1)&lt;=(1-$FA$6)*INDEX($AC$9:$AC$55,32-2)),AND($DC41=1,$DC40=1,INDEX($AC$9:$AC$55,32+1)&lt;=(1-$FA$6)*$AC40,INDEX($AC$9:$AC$55,32+1)&lt;=(1-$FA$6)*INDEX($AC$9:$AC$55,32+2)),AND($DC40=1,OR(INDEX($DC$9:$DC$55,32-1)=0,INDEX($DC$9:$DC$55,32+1)=0))),IF(MIN($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MAX($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MIN($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f>
        <v/>
      </c>
      <c r="HI40" t="str">
        <f>IF($GZ40=1,"",IFERROR(IF(NOT(ISNUMBER($AA40)),"",IF($EY40=1,"",IF($GF40=1,IF($GD40=$GE40,"",$GE40),IF(OR(AND($DC39=1,$DC40=1,$DC41=1,INDEX($AC$9:$AC$55,32-1)&lt;=(1-$FA$6)*$AC40,INDEX($AC$9:$AC$55,32-1)&lt;=(1-$FA$6)*INDEX($AC$9:$AC$55,32-2)),AND($DC41=1,$DC40=1,INDEX($AC$9:$AC$55,32+1)&lt;=(1-$FA$6)*$AC40,INDEX($AC$9:$AC$55,32+1)&lt;=(1-$FA$6)*INDEX($AC$9:$AC$55,32+2)),AND($DC40=1,OR(INDEX($DC$9:$DC$55,32-1)=0,INDEX($DC$9:$DC$55,32+1)=0))),IF(MIN($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MAX($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MAX($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f>
        <v/>
      </c>
      <c r="HL40">
        <f t="shared" si="93"/>
        <v>0</v>
      </c>
      <c r="HM40">
        <f>IFERROR(IF(AND($HL40=1,NOT(OR($AA40='King Node Model'!$T$22,$AA40='King Node Model'!$T$23,$AA40='King Node Model'!$F$24,AND($AG40="S",COUNTIF('Master Dashboard'!$AN$16:$AN$18,$AA40)&gt;0),AND($AG40="R",COUNTIF('Master Dashboard'!$AN$13:$AN$15,$AA40)&gt;0)))),1,0),0)</f>
        <v>0</v>
      </c>
      <c r="HN40">
        <f t="shared" si="94"/>
        <v>0</v>
      </c>
      <c r="HO40">
        <f t="shared" si="95"/>
        <v>0</v>
      </c>
      <c r="HP40">
        <f t="shared" si="96"/>
        <v>1</v>
      </c>
      <c r="HQ40" t="str">
        <f>IF(NOT(ISNUMBER($AA40)),"",IFERROR(TRIM(IF(N($MY40)=1,"DEXLEAN ","")&amp;IF(N($IZ40)=1,"DEXCAP ","")&amp;IF(AND($AG40="S",UPPER('King Node Model'!$L$5)="HIGH",$KC40="DOWN",N($AF40)&gt;0,$AA40='King Node Model'!$AN$70,$IY40="SELL"),"CHOPEDGEIV ","")&amp;IF(N($IS40)=1,"NOREV ","")&amp;IF(N($JY40)=1,"VFLAT ","")&amp;IF(N($KR40)=1,"GDEXVANNA ","")&amp;IF(N($LD40)=1,"KGSUPFAIL ","")&amp;IF(N($LE40)=1,"KGRESLEAK ","")&amp;IF(N($MH40)=1,"ZIGZAG ","")&amp;IF(N($KK40)=1,"DATAGAP ","")&amp;IF(N($KA40)&lt;&gt;0,"ACCUNDERCW ","")&amp;IF(AND($AG40="S",$HF40=1),"EDGE ","")&amp;IF(AND($HM40=1,'King Node Model'!$A$8="Pos",N($BG$72)&lt;&gt;1),"TROUGH ","")&amp;IF(AND($EU40=1,N($JZ40)&lt;&gt;1),"BUMP ","")&amp;IF(AND($GT40=1,N($JZ40)&lt;&gt;1),"SANDWICH ","")&amp;IF(AND($EX40&lt;&gt;1,OR('King Node Model'!$A$8="Neg",N($BG$72)=1),OR(AND(ISNUMBER($AC40),$AC40=MAX($AC$9:$AC$55)),AND(ISNUMBER($AB40),$AB40=MIN($AB$9:$AB$55))),NOT(AND(AND(ISNUMBER($AC40),$AC40=MAX($AC$9:$AC$55)),AND(ISNUMBER($AB40),$AB40=MIN($AB$9:$AB$55)))),$AG40="S",N($AB40)&lt;0,NOT(COUNTIF('Master Dashboard'!$AN$16:$AN$18,$AA40)&gt;0),NOT(AND(OR('King Node Model'!$A$8="Neg",N($BG$72)=1),ISNUMBER($AB40),$AB40=MIN($AB$9:$AB$55),$AA40=$BG$105))),"ACCEL ","")&amp;IF(AND($EX40&lt;&gt;1,ISNUMBER($AA40),OR('King Node Model'!$A$8="Neg",N($BG$72)=1),$EY40=1,NOT(AND($AG40="S",COUNTIF('Master Dashboard'!$AN$16:$AN$18,$AA40)&gt;0)),NOT(AND($AA40='King Node Model'!$B$23,IF($AG40="S",OR($AA40='King Node Model'!$C$24,COUNTIF('Master Dashboard'!$AN$16:$AN$18,$AA40)&gt;0),OR($AA40='King Node Model'!$C$23,COUNTIF('Master Dashboard'!$AN$13:$AN$15,$AA40)&gt;0)))),NOT(AND($EX40&lt;&gt;1,OR('King Node Model'!$A$8="Neg",N($BG$72)=1),OR(AND(ISNUMBER($AC40),$AC40=MAX($AC$9:$AC$55)),AND(ISNUMBER($AB40),$AB40=MIN($AB$9:$AB$55))),NOT(AND(AND(ISNUMBER($AC40),$AC40=MAX($AC$9:$AC$55)),AND(ISNUMBER($AB40),$AB40=MIN($AB$9:$AB$55)))),$AG40="S",N($AB40)&lt;0,NOT(COUNTIF('Master Dashboard'!$AN$16:$AN$18,$AA40)&gt;0)))),"AMPLIFY ","")&amp;IF(AND($AG40="S",OR('King Node Model'!$A$8="Neg",N($BG$72)=1),$AJ40&lt;&gt;1,N($MT40)&lt;&gt;1,NOT(AND(N($LR40)=1,N($MB40)=1)),ISNUMBER(SEARCH("ACCEL building",$CG40))),"ZACCEL ","")&amp;IF(AND($AG40="S",OR('King Node Model'!$A$8="Neg",N($BG$72)=1),$AA40='King Node Model'!$B$23,NOT(AND(AND(ISNUMBER($AC40),$AC40=MAX($AC$9:$AC$55)),AND(ISNUMBER($AB40),$AB40=MIN($AB$9:$AB$55)))),$EJ40&lt;&gt;1),"KINGACC ","")&amp;IF(AND($AG40="S",OR('King Node Model'!$A$8="Neg",N($BG$72)=1),ABS(N($AA40)-N('King Node Model'!$B$23))&lt;=$BG$107,NOT(AND(SUMPRODUCT((ABS($AF$9:$AF$55)&lt;=ABS(N($AF40)))*1)/COUNT($AF$9:$AF$55)&gt;=0.66,OR(ISNUMBER(SEARCH("firmer resistance",$CG40)),ISNUMBER(SEARCH("STRENGTHENING",$CG40)),ISNUMBER(SEARCH("firmer support",$CG40))))),NOT(AND(N($AB40)&gt;0,SUMPRODUCT((ABS($AB$9:$AB$55)&lt;=ABS(N($AB40)))*1)/COUNT($AB$9:$AB$55)&gt;=0.66)),$EJ40&lt;&gt;1,$AJ40&lt;&gt;1,COUNTIF('Master Dashboard'!$AN$16:$AN$18,$AA40)=0,NOT(AND($AG40="S",OR('King Node Model'!$A$8="Neg",N($BG$72)=1),$AA40='King Node Model'!$B$23,NOT(AND(AND(ISNUMBER($AC40),$AC40=MAX($AC$9:$AC$55)),AND(ISNUMBER($AB40),$AB40=MIN($AB$9:$AB$55)))),$EJ40&lt;&gt;1))),"KINGNODE ","")&amp;IF(AND($AG40="R",NOT(AND(AND(ISNUMBER($AC40),$AC40=MAX($AC$9:$AC$55)),AND(ISNUMBER($AB40),$AB40=MIN($AB$9:$AB$55)))),UPPER('King Node Model'!$L$5)="LOW",$KC40="DOWN",N($AF40)&gt;0),"LOWIVFALL ","")&amp;IF(AND($AG40="R",NOT(AND(AND(ISNUMBER($AC40),$AC40=MAX($AC$9:$AC$55)),AND(ISNUMBER($AB40),$AB40=MIN($AB$9:$AB$55)))),UPPER('King Node Model'!$L$5)="HIGH",$KC40="DOWN",N($AF40)&gt;0,IFERROR(MATCH($AA40,$W$9:$W$14,0)&gt;=4,FALSE)),"HIGHIVFALL ","")&amp;IF(AND($AG40="R",N($BG$99)=1),"SPOTUPVOLUP ","")&amp;IF(AND($AG40="R",ISNUMBER(SEARCH("5/5",'Master Dashboard'!$E$29)),OR(ISNUMBER(SEARCH("WEAKENING",$EQ40)),ISNUMBER(SEARCH("Pos gamma ↓",$EQ40)),ISNUMBER(SEARCH("thinning the ceiling",$EQ40)))),"SQUEEZE ","")&amp;IF(N($JU40)=1,"DEDGECLIFF ","")&amp;IF(N($KT40)=1,"DEXDRAIN ","")&amp;IF(N($HW40)&lt;&gt;0,"DEXDROP ","")&amp;IF(N($HX40)&lt;&gt;0,"PEAK+ ","")&amp;IF(N($IF40)=1,"CHOP ","")&amp;IF(N($IQ40)=1,"CONTESTED ","")&amp;IF(N($IW40)=1,"VSELL ","")&amp;IF(N($JK40)=1,"VBUYRES ","")&amp;IF(N($JL40)=1,"DOMFLAT ","")&amp;IF(N($JM40)=1,"DOMPULL ","")&amp;IF(N($JP40)=1,"OIZOMMA ","")&amp;IF(AND(N($JQ40)=1,N($JZ40)&lt;&gt;1),"OIDEX ","")),""))</f>
        <v>OIZOMMA</v>
      </c>
      <c r="HS40">
        <f>IFERROR(IF(AND($DC40=1,OR(AND($AG40="R",INDEX($DC$9:$DC$55,31)=0,INDEX($DC$9:$DC$55,33)=1,INDEX($DC$9:$DC$55,34)=1),AND($AG40="S",INDEX($DC$9:$DC$55,33)=0,INDEX($DC$9:$DC$55,31)=1,INDEX($DC$9:$DC$55,30)=1))),1,0),0)</f>
        <v>0</v>
      </c>
      <c r="HT40">
        <f t="shared" si="97"/>
        <v>0</v>
      </c>
      <c r="HU40">
        <v>0</v>
      </c>
      <c r="HV40">
        <v>0</v>
      </c>
      <c r="HW40">
        <f>IFERROR(IF(OR(NOT(ISNUMBER($AA40)),'King Node Model'!$A$8&lt;&gt;"Pos",N($BG$72)=1,ABS(N($AE40))&lt;$BG$113,N($AV40)=1,$FA40="DOM",$AA40='King Node Model'!$T$23,AND(N($BG$116)=1,$AA40='King Node Model'!$F$24),NOT(ISNUMBER($KU40)),NOT(ISNUMBER($KV40))),0,IF(AND($AG40="S",COUNTIF('Master Dashboard'!$AN$16:$AN$18,$AA40)=0,$KU40&gt;=$BG$114,$KU40&gt;=$KV40+$BG$115,NOT(AND(N($AN41)=1,N($KV40)&lt;0)),N($AE40)&lt;=0),1,IF(AND($AG40="R",COUNTIF('Master Dashboard'!$AN$13:$AN$15,$AA40)=0,$KV40&gt;=$BG$114,$KV40&gt;=$KU40+$BG$115,NOT(AND(N($AN39)=1,N($KU40)&lt;0))),-1,0))),0)</f>
        <v>0</v>
      </c>
      <c r="HX40">
        <f>IFERROR(IF(AND(ISNUMBER($AA40),$FA40="PEAK+",N($AN40)&lt;&gt;1,NOT(AND('King Node Model'!$A$8="Pos",OR($AA40='King Node Model'!$T$22,$AA40='King Node Model'!$T$23,$AA40='King Node Model'!$F$24))),IF($AG40="S",COUNTIF('Master Dashboard'!$AN$16:$AN$18,$AA40)=0,IF($AG40="R",COUNTIF('Master Dashboard'!$AN$13:$AN$15,$AA40)=0,FALSE))),1,0),0)</f>
        <v>0</v>
      </c>
      <c r="HY40">
        <f t="shared" si="98"/>
        <v>-15.538375759050313</v>
      </c>
      <c r="HZ40">
        <v>0</v>
      </c>
      <c r="IA40">
        <f>IFERROR(IF(AND(IF($BG$44=1,OR(ISNUMBER(SEARCH("Choppy",'King Node Model'!$S$38)),'King Node Model'!$S$52&lt;&gt;"",'King Node Model'!$A$8="Pos"),TRUE()),OR($DC40=1,$DC39=1,$DC41=1),ABS($AA40-$B$4)&lt;=$BG$7,ABS($AA40-$BG$28)&gt;=$BG$45,OR(AND($AA40&gt;$BG$28,$AG40="R"),AND($AA40&lt;$BG$28,$AG40="S",N($BG$154)=1)),ABS(IF($AA40&gt;$BG$28,$AE41,$AE39))&gt;=$BG$43,ABS(N(IF($AA40&gt;$BG$28,$AE39,$AE41)))&lt;=$BG$153*ABS(IF($AA40&gt;$BG$28,$AE41,$AE39)),IF(ISNUMBER($HZ40),$HZ40=1,AND(ISNUMBER($HY40),$HY40&gt;=$BG$42))),1,0),0)</f>
        <v>0</v>
      </c>
      <c r="IB40">
        <f t="shared" si="99"/>
        <v>1</v>
      </c>
      <c r="IC40" t="str">
        <f>IF(NOT(ISNUMBER($AA40)),"",IFERROR(MID(IF(AND($AC40=MAX($AC$9:$AC$55),$AB40=MIN($AB$9:$AB$55))," · DOM","")&amp;IF(AND($DC39=1,$DC40=1,$DC41=1,INDEX($AC$9:$AC$55,32-1)&lt;=(1-$FA$6)*$AC40,INDEX($AC$9:$AC$55,32-1)&lt;=(1-$FA$6)*INDEX($AC$9:$AC$55,32-2))," · GAP↑ → "&amp;INDEX($AA$9:$AA$55,32-2),"")&amp;IF(AND($DC41=1,$DC40=1,INDEX($AC$9:$AC$55,32+1)&lt;=(1-$FA$6)*$AC40,INDEX($AC$9:$AC$55,32+1)&lt;=(1-$FA$6)*INDEX($AC$9:$AC$55,32+2))," · GAP↓ → "&amp;INDEX($AA$9:$AA$55,32+2),"")&amp;IF($CZ40=1," · dEdge Cliff","")&amp;IF($GY40=1," · γWall","")&amp;IF(AND($DC40=1,$AB40&lt;0,$AC40&gt;=(1+$FA$6)*INDEX($AC$9:$AC$55,32-1),$AC40&gt;=(1+$FA$6)*INDEX($AC$9:$AC$55,32+1))," · PEAK-","")&amp;IF($GZ40=1," · γSh Edge","")&amp;IF($HL40=1," · Trough","")&amp;IF($HN40=1," · PEAK+","")&amp;IF($GF40=1," · Cluster",""),FIND(" · ",IF(AND($AC40=MAX($AC$9:$AC$55),$AB40=MIN($AB$9:$AB$55))," · DOM","")&amp;IF(AND($DC39=1,$DC40=1,$DC41=1,INDEX($AC$9:$AC$55,32-1)&lt;=(1-$FA$6)*$AC40,INDEX($AC$9:$AC$55,32-1)&lt;=(1-$FA$6)*INDEX($AC$9:$AC$55,32-2))," · GAP↑ → "&amp;INDEX($AA$9:$AA$55,32-2),"")&amp;IF(AND($DC41=1,$DC40=1,INDEX($AC$9:$AC$55,32+1)&lt;=(1-$FA$6)*$AC40,INDEX($AC$9:$AC$55,32+1)&lt;=(1-$FA$6)*INDEX($AC$9:$AC$55,32+2))," · GAP↓ → "&amp;INDEX($AA$9:$AA$55,32+2),"")&amp;IF($CZ40=1," · dEdge Cliff","")&amp;IF($GY40=1," · γWall","")&amp;IF(AND($DC40=1,$AB40&lt;0,$AC40&gt;=(1+$FA$6)*INDEX($AC$9:$AC$55,32-1),$AC40&gt;=(1+$FA$6)*INDEX($AC$9:$AC$55,32+1))," · PEAK-","")&amp;IF($GZ40=1," · γSh Edge","")&amp;IF($HL40=1," · Trough","")&amp;IF($HN40=1," · PEAK+","")&amp;IF($GF40=1," · Cluster",""),2),999),""))</f>
        <v/>
      </c>
      <c r="ID40" t="str">
        <f>IF(NOT(ISNUMBER($AA40)),"",IFERROR(MID(IF(AND($AC40=MAX($AC$9:$AC$55),$AB40=MIN($AB$9:$AB$55))," · DOM","")&amp;IF(AND($DC39=1,$DC40=1,$DC41=1,INDEX($AC$9:$AC$55,32-1)&lt;=(1-$FA$6)*$AC40,INDEX($AC$9:$AC$55,32-1)&lt;=(1-$FA$6)*INDEX($AC$9:$AC$55,32-2))," · GAP↑ → "&amp;INDEX($AA$9:$AA$55,32-2),"")&amp;IF(AND($DC41=1,$DC40=1,INDEX($AC$9:$AC$55,32+1)&lt;=(1-$FA$6)*$AC40,INDEX($AC$9:$AC$55,32+1)&lt;=(1-$FA$6)*INDEX($AC$9:$AC$55,32+2))," · GAP↓ → "&amp;INDEX($AA$9:$AA$55,32+2),"")&amp;IF($CZ40=1," · dEdge Cliff","")&amp;IF($GY40=1," · γWall","")&amp;IF(AND($DC40=1,$AB40&lt;0,$AC40&gt;=(1+$FA$6)*INDEX($AC$9:$AC$55,32-1),$AC40&gt;=(1+$FA$6)*INDEX($AC$9:$AC$55,32+1))," · PEAK-","")&amp;IF($GZ40=1," · γSh Edge","")&amp;IF($HL40=1," · Trough","")&amp;IF($HN40=1," · PEAK+","")&amp;IF(AND(NOT($HN40=1),NOT(AND($DC40=1,$AB40&lt;0)),N($GY40)&lt;&gt;1,N($GF40)&lt;&gt;1,N($GZ40)&lt;&gt;1,N($HL40)&lt;&gt;1,N($CZ40)&lt;&gt;1,NOT(AND($AC40=MAX($AC$9:$AC$55),$AB40=MIN($AB$9:$AB$55))),$AC40&gt;=(1+$FA$6)*INDEX($AC$9:$AC$55,32-1),$AC40&gt;=(1+$FA$6)*INDEX($AC$9:$AC$55,32+1))," · Knoll","")&amp;IF($GF40=1," · Cluster",""),4,999),""))</f>
        <v>γWall</v>
      </c>
      <c r="IF40">
        <f t="shared" si="100"/>
        <v>0</v>
      </c>
      <c r="IG40">
        <f>IFERROR(IF(AND(ISNUMBER($AA40),'King Node Model'!$A$8="Pos",OR($AG40="S",$AG40="R"),$IN40="interior",COUNTIF(IF($AG40="S",'Master Dashboard'!$AN$16:$AN$18,'Master Dashboard'!$AN$13:$AN$15),$AA40)=0,$AA40&lt;&gt;'King Node Model'!$T$22,$AA40&lt;&gt;'King Node Model'!$T$23,$AA40&lt;&gt;'King Node Model'!$F$24),1,0),0)</f>
        <v>0</v>
      </c>
      <c r="IH40">
        <f t="shared" si="101"/>
        <v>0</v>
      </c>
      <c r="II40">
        <f t="shared" si="190"/>
        <v>0</v>
      </c>
      <c r="IJ40">
        <f t="shared" si="102"/>
        <v>0</v>
      </c>
      <c r="IK40">
        <f t="shared" si="103"/>
        <v>0</v>
      </c>
      <c r="IL40">
        <f t="shared" si="191"/>
        <v>0</v>
      </c>
      <c r="IM40">
        <f t="shared" si="104"/>
        <v>0</v>
      </c>
      <c r="IN40" t="str">
        <f t="shared" si="105"/>
        <v/>
      </c>
      <c r="IO40">
        <v>0</v>
      </c>
      <c r="IP40">
        <v>0</v>
      </c>
      <c r="IQ40">
        <f>IFERROR(IF($AG40="S",IF(OR(COUNTIF($W$9:$W$14,$AA40)&gt;0,COUNTIF('King Node Model'!$AL$42:'King Node Model'!$AL$43,$AA40)&gt;0),1,0),IF($AG40="R",IF(OR(COUNTIF($W$18:$W$23,$AA40)&gt;0,COUNTIF('King Node Model'!$AL$49:'King Node Model'!$AL$50,$AA40)&gt;0),1,0),0)),0)</f>
        <v>0</v>
      </c>
      <c r="IS40">
        <f>IF(AND(ISNUMBER($AA40),N($AN40)&lt;&gt;1,N($LR40)&lt;&gt;1,OR(N($EN40)&lt;&gt;1,AND('King Node Model'!$A$8&lt;&gt;"Neg",N($BG$72)&lt;&gt;1)),$AA40&lt;&gt;'King Node Model'!$T$22,$AA40&lt;&gt;'King Node Model'!$T$23,$AA40&lt;&gt;'King Node Model'!$F$24,NOT(AND($AG40="S",COUNTIF('Master Dashboard'!$AN$16:$AN$18,$AA40)&gt;0)),NOT(AND($AG40="R",COUNTIF('Master Dashboard'!$AN$13:$AN$15,$AA40)&gt;0)),NOT(AND('King Node Model'!$A$8&lt;&gt;"Neg",N($BG$72)&lt;&gt;1,COUNTIF('Master Dashboard'!$AN$13:$AN$18,$AA40)&gt;0))),1,0)</f>
        <v>0</v>
      </c>
      <c r="IT40">
        <v>1</v>
      </c>
      <c r="IU40">
        <f>IF(AND(ISNUMBER($AA40),$AA40='King Node Model'!$F$24,$AA40&gt;$GJ$3,N($AD40)&lt;0,$F$4="High"),1,0)</f>
        <v>0</v>
      </c>
      <c r="IV40" t="str">
        <f>""</f>
        <v/>
      </c>
      <c r="IW40">
        <f>IFERROR(IF(AND(ISNUMBER($AA40),NOT(AND(N($LR40)=1,N($MB40)=1)),$AG40="S",OR('King Node Model'!$A$8="Neg",N($BG$72)=1),$JV40="SELL",ABS(N($AD40))&gt;=$BG$94,NOT(AND(N($AD40)&gt;0,N($BG$78)=1,MEDIAN($AA40-$BG$82,$B$4,$AA40+$BG$83)=$B$4))),1,0),0)</f>
        <v>0</v>
      </c>
      <c r="IX40">
        <f>IFERROR(IF(AND(ISNUMBER($AA40),$AG40="S",OR('King Node Model'!$A$8="Neg",N($BG$72)=1),N($AD40)&gt;0,N($BG$78)=1,MEDIAN($AA40-$BG$82,$B$4,$AA40+$BG$83)=$B$4),1,0),0)</f>
        <v>0</v>
      </c>
      <c r="IY40" t="str">
        <f t="shared" si="106"/>
        <v>SELL</v>
      </c>
      <c r="IZ40">
        <f>IFERROR(IF(AND(ISNUMBER($AA40),$FA40&lt;&gt;"DOM",$AA40&lt;&gt;'King Node Model'!$F$24,OR(AND($AG40="S",COUNTIF('Master Dashboard'!$AN$16:$AN$18,$AA40)=0,N(INDEX($AE$9:$AE$55,MATCH($AA40+$BG$84,$AA$9:$AA$55,0)))&lt;=-$BG$85),AND($AG40="R",COUNTIF('Master Dashboard'!$AN$13:$AN$15,$AA40)=0,N(INDEX($AE$9:$AE$55,MATCH($AA40-$BG$84,$AA$9:$AA$55,0)))&gt;=$BG$85))),1,0),0)</f>
        <v>0</v>
      </c>
      <c r="JC40">
        <f t="shared" si="108"/>
        <v>0</v>
      </c>
      <c r="JD40" t="str">
        <f t="shared" si="193"/>
        <v>C</v>
      </c>
      <c r="JE40">
        <f>IF(ISNUMBER($AA40),N(IFERROR(INDEX('King Node Model'!$L$29:$L$75,MATCH($AA40,'King Node Model'!$A$29:$A$75,0)),0)),"")</f>
        <v>2331</v>
      </c>
      <c r="JF40">
        <f>IF(ISNUMBER($AA40),N(IFERROR(INDEX('King Node Model'!$K$29:$K$75,MATCH($AA40,'King Node Model'!$A$29:$A$75,0)),0)),"")</f>
        <v>2284</v>
      </c>
      <c r="JG40">
        <f t="shared" si="109"/>
        <v>1.0205779334500875</v>
      </c>
      <c r="JH40">
        <f t="shared" si="110"/>
        <v>0.97983697983697982</v>
      </c>
      <c r="JI40">
        <f t="shared" si="111"/>
        <v>0</v>
      </c>
      <c r="JJ40" t="str">
        <f t="shared" si="112"/>
        <v/>
      </c>
      <c r="JK40">
        <f t="shared" si="113"/>
        <v>0</v>
      </c>
      <c r="JL40">
        <f t="shared" si="114"/>
        <v>0</v>
      </c>
      <c r="JM40">
        <f t="shared" si="115"/>
        <v>0</v>
      </c>
      <c r="JN40">
        <f t="shared" si="116"/>
        <v>0</v>
      </c>
      <c r="JO40">
        <f t="shared" si="117"/>
        <v>1</v>
      </c>
      <c r="JP40">
        <f t="shared" si="118"/>
        <v>1</v>
      </c>
      <c r="JQ40">
        <f t="shared" si="119"/>
        <v>0</v>
      </c>
      <c r="JR40">
        <v>0</v>
      </c>
      <c r="JS40">
        <f>IFERROR(IF(AND(ISNUMBER($AA40),'King Node Model'!$A$8="Pos",OR($AG40="S",$AG40="R"),N($AB40)&gt;0,N($HP40)&lt;&gt;1,OR(AND($KC40="DOWN",N($AF40)&lt;0,N($AF40)=MIN($AF$9:$AF$55),-N($AF40)&gt;=MAX($AF$9:$AF$55)),AND($KC40="UP",N($AF40)&gt;0,N($AF40)=MAX($AF$9:$AF$55),N($AF40)&gt;=-MIN($AF$9:$AF$55)))),1,0),0)</f>
        <v>0</v>
      </c>
      <c r="JT40">
        <v>0</v>
      </c>
      <c r="JU40">
        <f>IFERROR(IF(AND(N($BG$109)=1,ISNUMBER($AA40),'King Node Model'!$A$8="Pos",N($CZ40)=1,N($AB40)&gt;0),1,0),0)</f>
        <v>0</v>
      </c>
      <c r="JV40" t="str">
        <f t="shared" si="120"/>
        <v>SELL</v>
      </c>
      <c r="JW40">
        <f t="shared" si="121"/>
        <v>0</v>
      </c>
      <c r="JX40">
        <f t="shared" si="122"/>
        <v>0</v>
      </c>
      <c r="JY40">
        <f t="shared" si="123"/>
        <v>0</v>
      </c>
      <c r="JZ40">
        <f t="shared" si="124"/>
        <v>0</v>
      </c>
      <c r="KA40">
        <f t="shared" si="125"/>
        <v>0</v>
      </c>
      <c r="KB40">
        <f t="shared" si="126"/>
        <v>0</v>
      </c>
      <c r="KC40" t="str">
        <f t="shared" si="127"/>
        <v>UP</v>
      </c>
      <c r="KE40" t="str">
        <f t="shared" si="128"/>
        <v>Now: weakening the floor (IV rising) · if IV falls: strengthens the floor · expected on arrival: WEAKENS ✗</v>
      </c>
      <c r="KF40" t="str">
        <f t="shared" si="129"/>
        <v>SELL</v>
      </c>
      <c r="KG40">
        <f t="shared" si="192"/>
        <v>0</v>
      </c>
      <c r="KH40" t="str">
        <f t="shared" si="130"/>
        <v/>
      </c>
      <c r="KI40" t="str">
        <f t="shared" si="131"/>
        <v/>
      </c>
      <c r="KJ40">
        <f t="shared" si="132"/>
        <v>0</v>
      </c>
      <c r="KK40">
        <f t="shared" si="133"/>
        <v>0</v>
      </c>
      <c r="KL40">
        <f t="shared" si="134"/>
        <v>0</v>
      </c>
      <c r="KM40">
        <f t="shared" si="135"/>
        <v>0</v>
      </c>
      <c r="KN40">
        <f t="shared" si="136"/>
        <v>0</v>
      </c>
      <c r="KO40">
        <v>0</v>
      </c>
      <c r="KP40">
        <f t="shared" si="137"/>
        <v>0</v>
      </c>
      <c r="KQ40">
        <f t="shared" si="138"/>
        <v>0</v>
      </c>
      <c r="KR40">
        <f t="shared" si="139"/>
        <v>0</v>
      </c>
      <c r="KS40">
        <f t="shared" si="140"/>
        <v>0</v>
      </c>
      <c r="KT40">
        <f t="shared" si="141"/>
        <v>0</v>
      </c>
      <c r="KU40">
        <f>IF(AND(ISNUMBER($AA40),ISNUMBER($AE40),ISNUMBER($AE39),N($AE40)&lt;&gt;0),($AE40-$AE39)/$AE40,"")</f>
      </c>
      <c r="KV40">
        <f>IF(AND(ISNUMBER($AA40),ISNUMBER($AE40),ISNUMBER($AE41),N($AE40)&lt;&gt;0),($AE40-$AE41)/$AE40,"")</f>
      </c>
      <c r="KW40">
        <f>IFERROR(IF(OR(NOT(ISNUMBER($AA40)),'King Node Model'!$A$8&lt;&gt;"Pos",N($BG$72)=1,ABS(N($AE40))&lt;$BG$113,$FA40="DOM",$AA40='King Node Model'!$T$23,AND(N($BG$116)=1,$AA40='King Node Model'!$F$24),NOT(ISNUMBER($KU40)),NOT(ISNUMBER($KV40))),0,IF(AND($AG40="S",COUNTIF('Master Dashboard'!$AN$16:$AN$18,$AA40)=0,$KU40&gt;=$BG$114,$KU40&gt;=$KV40+$BG$115),1,IF(AND($AG40="R",COUNTIF('Master Dashboard'!$AN$13:$AN$15,$AA40)=0,$KV40&gt;=$BG$114,$KV40&gt;=$KU40+$BG$115),-1,0))),0)</f>
        <v>0</v>
      </c>
      <c r="KX40">
        <f t="shared" si="144"/>
        <v>0</v>
      </c>
      <c r="KY40">
        <f t="shared" si="145"/>
        <v>0</v>
      </c>
      <c r="KZ40">
        <f t="shared" si="146"/>
        <v>0</v>
      </c>
      <c r="LA40">
        <f t="shared" si="147"/>
        <v>0</v>
      </c>
      <c r="LB40">
        <f t="shared" si="148"/>
        <v>0</v>
      </c>
      <c r="LC40">
        <f t="shared" si="149"/>
        <v>0</v>
      </c>
      <c r="LD40">
        <f t="shared" si="150"/>
        <v>0</v>
      </c>
      <c r="LE40">
        <f t="shared" si="151"/>
        <v>0</v>
      </c>
      <c r="LF40">
        <f t="shared" si="152"/>
        <v>0</v>
      </c>
      <c r="LG40" t="str">
        <f t="shared" si="153"/>
        <v/>
      </c>
      <c r="LH40" t="str">
        <f t="shared" si="154"/>
        <v/>
      </c>
      <c r="LI40" t="str">
        <f t="shared" si="155"/>
        <v/>
      </c>
      <c r="LJ40" t="str">
        <f t="shared" si="156"/>
        <v/>
      </c>
      <c r="LK40" t="str">
        <f t="shared" si="157"/>
        <v/>
      </c>
      <c r="LL40">
        <f t="shared" si="158"/>
        <v>0</v>
      </c>
      <c r="LM40">
        <f t="shared" si="159"/>
        <v>0</v>
      </c>
      <c r="LN40">
        <f t="shared" si="160"/>
        <v>0</v>
      </c>
      <c r="LO40">
        <v>0</v>
      </c>
      <c r="LP40">
        <f t="shared" si="161"/>
        <v>0</v>
      </c>
      <c r="LQ40" t="str">
        <f t="shared" si="162"/>
        <v/>
      </c>
      <c r="LR40">
        <f t="shared" si="163"/>
        <v>0</v>
      </c>
      <c r="LS40">
        <f t="shared" si="164"/>
        <v>0</v>
      </c>
      <c r="LT40">
        <f t="shared" si="165"/>
        <v>0</v>
      </c>
      <c r="LU40">
        <f t="shared" si="166"/>
        <v>0</v>
      </c>
      <c r="LV40">
        <f t="shared" si="167"/>
        <v>4</v>
      </c>
      <c r="LW40">
        <f t="shared" si="168"/>
        <v>3663946</v>
      </c>
      <c r="LX40">
        <f t="shared" si="169"/>
        <v>0</v>
      </c>
      <c r="LY40">
        <f t="shared" si="170"/>
        <v>0</v>
      </c>
      <c r="LZ40">
        <f t="shared" si="171"/>
        <v>7730</v>
      </c>
      <c r="MA40">
        <f t="shared" si="172"/>
        <v>0</v>
      </c>
      <c r="MB40">
        <v>0</v>
      </c>
      <c r="MC40">
        <f t="shared" si="173"/>
        <v>1</v>
      </c>
      <c r="MD40">
        <f t="shared" si="174"/>
        <v>1</v>
      </c>
      <c r="ME40">
        <f t="shared" si="175"/>
        <v>0</v>
      </c>
      <c r="MF40">
        <f t="shared" si="176"/>
        <v>0</v>
      </c>
      <c r="MG40">
        <f t="shared" si="177"/>
        <v>0</v>
      </c>
      <c r="MH40">
        <f t="shared" si="178"/>
        <v>0</v>
      </c>
      <c r="MI40" t="str">
        <f t="shared" si="179"/>
        <v/>
      </c>
      <c r="MJ40">
        <f t="shared" si="180"/>
        <v>0</v>
      </c>
      <c r="MK40">
        <f t="shared" si="181"/>
        <v>0</v>
      </c>
      <c r="ML40">
        <f>IF(AND(OR('King Node Model'!$A$8="Neg",N($BG$72)=1),ISNUMBER($AA40),$AG40="R",N($AB40)&lt;0),IF(AND($AA39=$AA40+5,N($AB39)&gt;0,$AA38=$AA40+10,N($AB38)&lt;0),1,IF(AND($AA39=$AA40+5,N($AB39)&gt;0,$AA38=$AA40+10,N($AB38)&gt;0,$AA37=$AA40+15,N($AB37)&lt;0),2,IF(AND($AA39=$AA40+5,N($AB39)&gt;0,$AA38=$AA40+10,N($AB38)&gt;0,$AA37=$AA40+15,N($AB37)&gt;0,$AA36=$AA40+20,N($AB36)&lt;0),3,IF(AND($AA39=$AA40+5,N($AB39)&gt;0,$AA38=$AA40+10,N($AB38)&gt;0,$AA37=$AA40+15,N($AB37)&gt;0,$AA36=$AA40+20,N($AB36)&gt;0,$AA35=$AA40+25,N($AB35)&lt;0),4,0)))),0)</f>
      </c>
      <c r="MM40">
        <f>IF(AND(OR('King Node Model'!$A$8="Neg",N($BG$72)=1),ISNUMBER($AA40),$AG40="S",N($AB40)&lt;0),IF(AND($AA41=$AA40-5,N($AB41)&gt;0,$AA42=$AA40-10,N($AB42)&lt;0),1,IF(AND($AA41=$AA40-5,N($AB41)&gt;0,$AA42=$AA40-10,N($AB42)&gt;0,$AA43=$AA40-15,N($AB43)&lt;0),2,IF(AND($AA41=$AA40-5,N($AB41)&gt;0,$AA42=$AA40-10,N($AB42)&gt;0,$AA43=$AA40-15,N($AB43)&gt;0,$AA44=$AA40-20,N($AB44)&lt;0),3,IF(AND($AA41=$AA40-5,N($AB41)&gt;0,$AA42=$AA40-10,N($AB42)&gt;0,$AA43=$AA40-15,N($AB43)&gt;0,$AA44=$AA40-20,N($AB44)&gt;0,$AA45=$AA40-25,N($AB45)&lt;0),4,0)))),0)</f>
      </c>
      <c r="MN40">
        <f>IF(N($ML40)&gt;0,$AA40,0)</f>
      </c>
      <c r="MO40">
        <f>IF(N($MM40)&gt;0,$AA40,0)</f>
      </c>
      <c r="MP40">
        <f>IF(AND(OR('King Node Model'!$A$8="Neg",N($BG$72)=1),ISNUMBER($BG$155),$AA40=$BG$155,N($NC40)=1),2,IF(AND(OR('King Node Model'!$A$8="Neg",N($BG$72)=1),ISNUMBER($BG$156),$AA40=$BG$156,N($ND40)=1),1,0))</f>
      </c>
      <c r="MQ40">
        <f>IF(ABS(AE40)&lt;=0,0,IF($AG40="R",IF(ISNUMBER(AE39),IF((ABS(AE39)-ABS(AE40))/ABS(AE40)&lt;-0.4,1,0),0),IF(ISNUMBER(AE41),IF((ABS(AE41)-ABS(AE40))/ABS(AE40)&lt;-0.4,1,0),0)))</f>
      </c>
      <c r="MR40">
        <f>IF(OR(N($MQ40)&lt;&gt;1,N($BG$157)&lt;&gt;1,NOT(ISNUMBER($KU40)),NOT(ISNUMBER($KV40))),0,IF(OR(AND($AG40="S",OR(AND($KU40&gt;=$BG$114,$KU40&gt;=$KV40+$BG$115),AND($KU40&gt;1,$KV40&lt;=1,$KV40&gt;=$BG$114))),AND($AG40="R",OR(AND($KV40&gt;=$BG$114,$KV40&gt;=$KU40+$BG$115),AND($KV40&gt;1,$KU40&lt;=1,$KU40&gt;=$BG$114)))),1,0))</f>
      </c>
      <c r="MS40" t="str">
        <f>IF(AND(N($MR40)=1,N($NA40)&lt;&gt;1),"• DEX falls off more sharply "&amp;IF($AG40="S","above (","below (")&amp;TEXT(IF($AG40="S",$KU40,$KV40),"0%")&amp;") than "&amp;IF($AG40="S","below (","above (")&amp;TEXT(IF($AG40="S",$KV40,$KU40),"0%")&amp;") — Dex↓ not counted",IF(N($MW40)=1,"• Shoulder of the "&amp;IF($AG40="R",$AA41,$AA39)&amp;" wall — own DEX "&amp;TEXT($AE40/1000,"+#,##0;-#,##0")&amp;"K is "&amp;TEXT(ABS($AE40)/ABS(IF($AG40="R",$AE41,$AE39)),"0%")&amp;" of "&amp;TEXT(IF($AG40="R",$AE41,$AE39)/1000,"+#,##0;-#,##0")&amp;"K, Dex↓ not counted",""))</f>
      </c>
      <c r="MT40">
        <f>IF(AND(ISNUMBER($AA40),$AG40="S",ISNUMBER($AB40),$AB40=MIN($AB$9:$AB$55),$AA40=$BG$105,$JV40="BUY",ABS(N($AD40))&gt;=$BG$158),1,0)</f>
      </c>
      <c r="MU40" t="str">
        <f>IF(N($MY40)=1,"",IF(OR(N($MT40)=1,AND(OR('King Node Model'!$A$8="Neg",N($BG$72)=1),$AG40="S",ISNUMBER($AB40),$AB40=MIN($AB$9:$AB$55),$AA40=$BG$105)),"• Min GEX + Max Zomma (no reversal flag required) — accelerant warning not applied; zomma acceleration warning only within "&amp;$BG$98&amp;" pts of the level, and not when vanna buying is "&amp;TEXT($BG$158/1000,"0")&amp;"K or more"&amp;CHAR(10)&amp;IF(N($MT40)=1,"• Max Zomma and vanna buying ("&amp;TEXT(N($AD40)/1000,"+#,##0;-#,##0")&amp;"K) make this level safe","• Max Zomma is what makes this level safe"),"")&amp;$NB40&amp;$NI40)</f>
      </c>
      <c r="MV40" t="str">
        <f>IF(AND(ISNUMBER($AA40),OR($AA40=$BG$118,$AA40=$BG$119)),IF(N($AZ40)*IF($AG40="R",1,-1)&gt;0,"✓",IF(N($AZ40)*IF($AG40="R",1,-1)&lt;0,"✗","")),"")</f>
      </c>
      <c r="MW40">
        <f>IF(AND(N($MQ40)=1,N($BG$159)&gt;0,ISNUMBER(IF($AG40="R",$AE41,$AE39)),N(IF($AG40="R",$AE41,$AE39))&lt;&gt;0),IF(ABS(N($AE40))&lt;$BG$159*ABS(IF($AG40="R",$AE41,$AE39)),1,0),0)</f>
      </c>
      <c r="MX40">
        <f>IF(AND(ISNUMBER($AA40),$AA40=$BG$121,$AG40="R",N($AE40)&lt;0,OR(COUNTIF('King Node Model'!$AL$42:$AL$44,$AA40)=0,N($HP40)=1),N($NC40)=1),2,IF(AND(ISNUMBER($AA40),$AA40=$BG$120,$AG40="S",N($AE40)&gt;0,OR(COUNTIF('King Node Model'!$AL$49:$AL$51,$AA40)=0,N($HP40)=1),N($ND40)=1),1,0))</f>
      </c>
      <c r="MY40">
        <f>IF(AND(N($NA40)=1,NOT(AND(AND($AG40="S",ISNUMBER($AB40),$AB40=MIN($AB$9:$AB$55),$AA40=$BG$105),IFERROR(INDEX($AG$9:$AG$55,MATCH('King Node Model'!$B$23,$AA$9:$AA$55,0)),"")="R")),N($AV40)&lt;&gt;1),1,0)</f>
      </c>
      <c r="MZ40" t="str">
        <f>IF(N($MY40)&lt;&gt;1,"","• DEX falls off more sharply "&amp;IF($AG40="S","above (","below (")&amp;TEXT(IF($AG40="S",$KU40,$KV40),"0%")&amp;") than "&amp;IF($AG40="S","below (","above (")&amp;TEXT(IF($AG40="S",$KV40,$KU40),"0%")&amp;") — path of least resistance "&amp;IF($AG40="S","down","up")&amp;IF(N($AZ40)*IF($AG40="R",1,-1)&lt;0,CHAR(10)&amp;"• Speed against — GEX gets more negative as price "&amp;IF($AG40="R","rises","falls")&amp;" into it (speed "&amp;TEXT(N($AZ40),"#,##0;−#,##0")&amp;")","")&amp;IF(OR(N($NG40)=1,N($JC40)=1),CHAR(10)&amp;"• "&amp;IF(N($JC40)=1,"DOM with vanna BUY "&amp;TEXT(N($AD40)/1000,"+#,##0;−#,##0")&amp;"K","Put wall + Max Zomma + DOM")&amp;" backs the level, but it does not outweigh DEX"&amp;IF(N($AZ40)*IF($AG40="R",1,-1)&lt;0," and speed",""),IF(AND($AG40="S",ISNUMBER($AB40),$AB40=MIN($AB$9:$AB$55),$AA40=$BG$105),CHAR(10)&amp;"• Min GEX + Max Zomma backs the level, but it does not outweigh DEX"&amp;IF(N($AZ40)*IF($AG40="R",1,-1)&lt;0," and speed",""),IF(OR(N($JI40)=1,AND(N($GV40)=1,N($JK40)&lt;&gt;1,N($IW40)&lt;&gt;1),N($JC40)=1,AND($AA40='King Node Model'!$F$24,N($JN40)&lt;&gt;1,OR($AG40="R",AND($AG40="S",$F$4="High",IF($BG$80&lt;&gt;"",UPPER($BG$80),$D$5)="UP")))),CHAR(10)&amp;"• Vanna "&amp;IF($AG40="S","BUY ","SELL ")&amp;TEXT(N($AD40)/1000,"+#,##0;−#,##0")&amp;"K backs the level, but it does not outweigh DEX"&amp;IF(N($AZ40)*IF($AG40="R",1,-1)&lt;0," and speed",""),"")))&amp;IF(N($NE40)=1,CHAR(10)&amp;"• Buy-lean max-node exemption not applied — DEX leans against the level",""))</f>
      </c>
      <c r="NA40">
        <f>IF(AND(OR('King Node Model'!$A$8="Neg",N($BG$72)=1),ISNUMBER($AA40),ABS(N($AE40))&gt;=$BG$152,ISNUMBER($KU40),ISNUMBER($KV40)),IF(OR(AND($AG40="S",OR(AND($KU40&gt;=$BG$114,$KU40&gt;=$KV40+$BG$115),AND($KU40&gt;1,$KV40&lt;=1,$KV40&gt;=$BG$114))),AND($AG40="R",OR(AND($KV40&gt;=$BG$114,$KV40&gt;=$KU40+$BG$115),AND($KV40&gt;1,$KU40&lt;=1,$KU40&gt;=$BG$114)))),1,0),0)</f>
      </c>
      <c r="NB40" t="str">
        <f>IF(AND(N($NA40)=1,AND(AND($AG40="S",ISNUMBER($AB40),$AB40=MIN($AB$9:$AB$55),$AA40=$BG$105),IFERROR(INDEX($AG$9:$AG$55,MATCH('King Node Model'!$B$23,$AA$9:$AA$55,0)),"")="R")),CHAR(10)&amp;"• DEX falls off more sharply above ("&amp;TEXT($KU40,"0%")&amp;") than below ("&amp;TEXT($KV40,"0%")&amp;") — DEX-lean warning not applied: Min GEX + Max Zomma support with Max Gamma "&amp;'King Node Model'!$B$23&amp;" above (Dex↓ not counted)",IF(AND(OR(N($NA40)=1,N($NF40)=1),N($AV40)=1),IF(AND(OR('King Node Model'!$A$8="Neg",N($BG$72)=1),$AG40="S",ISNUMBER($AB40),$AB40=MIN($AB$9:$AB$55),$AA40=$BG$105),CHAR(10),"")&amp;"• DEX falls off more sharply "&amp;IF($AG40="S","above (","below (")&amp;TEXT(IF($AG40="S",$KU40,$KV40),"0%")&amp;") than "&amp;IF($AG40="S","below (","above (")&amp;TEXT(IF($AG40="S",$KV40,$KU40),"0%")&amp;") — DEX lean does not apply to iDex (isolated DEX)",""))</f>
      </c>
      <c r="NC40">
        <f>IF(OR($BG$163=1,AND($BG$161&gt;0,$BG$162&lt;99999,ISNUMBER($AA40),$AA40&lt;$BG$162)),1,0)</f>
      </c>
      <c r="ND40">
        <f>IF(OR($BG$163=-1,AND($BG$161&gt;0,$BG$162&lt;99999,ISNUMBER($AA40),$AA40&gt;$BG$161)),1,0)</f>
      </c>
      <c r="NE40">
        <f>IF(AND(OR('King Node Model'!$A$8="Neg",N($BG$72)=1),ISNUMBER(SEARCH("LOW",'Master Dashboard'!$M$5)),ISNUMBER(SEARCH("BUY",'Master Dashboard'!$G$8)),'King Node Model'!$T$23='King Node Model'!$B$23,OR($AA40='King Node Model'!$T$23,AND($AG40="R",$AA40='King Node Model'!$T$23+5)),OR(AND($AG40="S",$JV40="BUY"),AND($AG40="R",$JV40="SELL"))),1,0)</f>
      </c>
      <c r="NF40">
        <f>IFERROR(IF(OR(NOT(ISNUMBER($AA40)),'King Node Model'!$A$8&lt;&gt;"Pos",N($BG$72)=1,ABS(N($AE40))&lt;$BG$113,$FA40="DOM",$AA40='King Node Model'!$T$23,AND(N($BG$116)=1,$AA40='King Node Model'!$F$24),NOT(ISNUMBER($KU40)),NOT(ISNUMBER($KV40))),0,IF(AND($AG40="S",COUNTIF('Master Dashboard'!$AN$16:$AN$18,$AA40)=0,$KU40&gt;=$BG$114,$KU40&gt;=$KV40+$BG$115,NOT(AND(N($AN41)=1,N($KV40)&lt;0)),N($AE40)&lt;=0),1,IF(AND($AG40="R",COUNTIF('Master Dashboard'!$AN$13:$AN$15,$AA40)=0,$KV40&gt;=$BG$114,$KV40&gt;=$KU40+$BG$115,NOT(AND(N($AN39)=1,N($KU40)&lt;0))),-1,0))),0)</f>
      </c>
      <c r="NG40">
        <f t="shared" si="202"/>
      </c>
      <c r="NI40" t="str">
        <f>IF(AND(ISNUMBER($BG$165),ISNUMBER($AA40)),IF(OR(AND($AG40="S",$AA40&gt;$BG$165,$AA40-$BG$165&lt;=5),AND($AG40="R",$AA40&lt;$BG$165,$BG$165-$AA40&lt;=5)),IF(OR(AND(OR('King Node Model'!$A$8="Neg",N($BG$72)=1),$AG40="S",ISNUMBER($AB40),$AB40=MIN($AB$9:$AB$55),$AA40=$BG$105),$NB40&lt;&gt;""),CHAR(10),"")&amp;"• DOM forming at "&amp;$BG$165&amp;" (gamma "&amp;TEXT($BG$166,"0%")&amp;" of max) — price may be pulled to the node",""),"")</f>
      </c>
      <c r="NJ40">
        <f>IF(LEN($NI40)&gt;0,1,0)</f>
      </c>
    </row>
    <row r="41" spans="27:349" ht="15" customHeight="1" x14ac:dyDescent="0.25">
      <c r="AA41" s="181">
        <f>'King Node Model'!A61</f>
        <v>7725</v>
      </c>
      <c r="AB41" s="276">
        <f>'King Node Model'!C61</f>
        <v>-134113</v>
      </c>
      <c r="AC41" s="181">
        <f>ABS('King Node Model'!B61)</f>
        <v>516893</v>
      </c>
      <c r="AD41" s="276">
        <f>'King Node Model'!F61</f>
        <v>483964</v>
      </c>
      <c r="AE41" s="276">
        <f>'King Node Model'!E61</f>
        <v>875424</v>
      </c>
      <c r="AF41" s="276">
        <f>'King Node Model'!D61</f>
        <v>-1748805</v>
      </c>
      <c r="AG41" s="181" t="str">
        <f t="shared" si="6"/>
        <v>S</v>
      </c>
      <c r="AH41" s="181">
        <f t="shared" si="7"/>
        <v>11</v>
      </c>
      <c r="AI41" s="181" t="str">
        <f t="shared" si="8"/>
        <v>SELL</v>
      </c>
      <c r="AJ41" s="181">
        <f t="shared" si="9"/>
        <v>0</v>
      </c>
      <c r="AK41" s="181">
        <f>IF(ABS(N($AE41))&gt;=$BG$85,1,0)</f>
      </c>
      <c r="AL41" s="181">
        <f t="shared" si="10"/>
        <v>0</v>
      </c>
      <c r="AM41" s="181">
        <f t="shared" si="11"/>
        <v>0</v>
      </c>
      <c r="AN41" s="181">
        <f t="shared" si="12"/>
        <v>0</v>
      </c>
      <c r="AO41" s="1" t="str">
        <f t="shared" si="13"/>
        <v/>
      </c>
      <c r="AP41" s="1">
        <f t="shared" si="14"/>
        <v>875424</v>
      </c>
      <c r="AQ41" s="1">
        <f t="shared" si="15"/>
        <v>1748805</v>
      </c>
      <c r="AR41" s="181">
        <f t="shared" si="16"/>
        <v>9.2479063782165832E-2</v>
      </c>
      <c r="AS41" s="181" t="str">
        <f t="shared" si="17"/>
        <v/>
      </c>
      <c r="AT41" s="181" t="str">
        <f t="shared" si="18"/>
        <v/>
      </c>
      <c r="AU41" s="181" t="str">
        <f t="shared" si="19"/>
        <v/>
      </c>
      <c r="AV41" s="218">
        <f t="shared" si="183"/>
        <v>0</v>
      </c>
      <c r="AW41" s="181">
        <f>ABS('King Node Model'!G61)</f>
        <v>675</v>
      </c>
      <c r="AX41" s="181">
        <f t="shared" si="20"/>
        <v>0</v>
      </c>
      <c r="AY41" s="181">
        <f t="shared" si="21"/>
        <v>0</v>
      </c>
      <c r="AZ41" s="276">
        <f>'King Node Model'!I61</f>
        <v>2208</v>
      </c>
      <c r="BA41" s="181">
        <f t="shared" si="22"/>
        <v>0</v>
      </c>
      <c r="BB41" s="181" t="str">
        <f t="shared" si="23"/>
        <v/>
      </c>
      <c r="BC41" s="10">
        <f>'King Node Model'!C61</f>
        <v>-134113</v>
      </c>
      <c r="BD41" s="218">
        <f t="shared" si="184"/>
        <v>0</v>
      </c>
      <c r="BE41" s="218">
        <f t="shared" si="185"/>
        <v>0</v>
      </c>
      <c r="BF41" s="218" t="s">
        <v>1250</v>
      </c>
      <c r="BG41">
        <v>1000000</v>
      </c>
      <c r="BI41" s="218">
        <f t="shared" si="186"/>
        <v>0</v>
      </c>
      <c r="BJ41" s="218">
        <f t="shared" si="187"/>
        <v>0</v>
      </c>
      <c r="BK41" s="218">
        <f t="shared" si="24"/>
        <v>1</v>
      </c>
      <c r="BL41" s="10">
        <f>'King Node Model'!H61</f>
        <v>37</v>
      </c>
      <c r="BM41" s="218">
        <f t="shared" si="25"/>
        <v>19</v>
      </c>
      <c r="BN41" s="218">
        <f t="shared" si="26"/>
        <v>23</v>
      </c>
      <c r="BO41" s="218">
        <f t="shared" si="27"/>
        <v>0</v>
      </c>
      <c r="BP41" s="218">
        <f t="shared" si="28"/>
        <v>0</v>
      </c>
      <c r="BQ41" t="str">
        <f t="shared" si="29"/>
        <v/>
      </c>
      <c r="BR41" t="str">
        <f t="shared" si="30"/>
        <v/>
      </c>
      <c r="BS41" s="218">
        <f t="shared" si="31"/>
        <v>0</v>
      </c>
      <c r="BT41" t="str">
        <f t="shared" si="32"/>
        <v/>
      </c>
      <c r="BU41" t="str">
        <f t="shared" si="33"/>
        <v/>
      </c>
      <c r="BV41" s="218">
        <f t="shared" si="34"/>
        <v>483964</v>
      </c>
      <c r="BW41" s="218">
        <f t="shared" si="35"/>
        <v>875424</v>
      </c>
      <c r="BX41" s="218">
        <f>IF(AND(ISNUMBER(BC41),BC41&gt;=$BG$160,OR('King Node Model'!$A$8="Neg",N($BG$72)=1)),1,0)</f>
        <v>0</v>
      </c>
      <c r="BY41" s="218">
        <f t="shared" si="36"/>
        <v>0</v>
      </c>
      <c r="BZ41" s="218">
        <f t="shared" si="37"/>
        <v>0</v>
      </c>
      <c r="CA41" t="str">
        <f t="shared" si="38"/>
        <v/>
      </c>
      <c r="CB41" s="218">
        <f>IF(AND(ISNUMBER('King Node Model'!$D$27),AG41&lt;&gt;"",AA41='King Node Model'!$D$27),1,0)</f>
        <v>0</v>
      </c>
      <c r="CC41" s="218">
        <f>IF(OR('King Node Model'!$A$8="Neg",N($BG$72)=1),$BG$14*IF(ISNUMBER('King Node Model'!$D$26),MAX(0,1-ABS(AA41-'King Node Model'!$D$26)/$BG$18),0)+$BG$15*IFERROR(BV41/MAX($BV$9:$BV$55),0)+$BG$16*IFERROR(BW41/MAX($BW$9:$BW$55),0)+$BG$17*IFERROR(AC41/$S$11,0)*MAX(0,1+$BG$21*CF41),AR41)</f>
        <v>0.46535584666052632</v>
      </c>
      <c r="CD41" s="218">
        <f>IF(OR('King Node Model'!$A$8="Neg",N($BG$72)=1),IF(AND(AG41&lt;&gt;"",ABS(AA41-$B$4)&lt;=$BG$7,OR(AX41=0,$D$5&lt;&gt;"UP"),AY41=0,BK41&lt;&gt;1,CI41=0,AM41&gt;=$BG$20,AC41&gt;$BG$19),1,0),IF(AND(BS41=1,(COUNTIF($W$9:$W$14,AA41)+COUNTIF($W$18:$W$23,AA41))&gt;0,CI41=0,AM41&gt;=$BG$20,AC41&gt;$BG$19),1,0))</f>
        <v>0</v>
      </c>
      <c r="CE41" s="322" t="str">
        <f t="shared" si="39"/>
        <v/>
      </c>
      <c r="CF41" s="218">
        <f t="shared" si="40"/>
        <v>0</v>
      </c>
      <c r="CG41" t="str">
        <f t="shared" si="41"/>
        <v/>
      </c>
      <c r="CH41" t="str">
        <f t="shared" si="42"/>
        <v>Dormant</v>
      </c>
      <c r="CI41" s="218">
        <f t="shared" si="43"/>
        <v>0</v>
      </c>
      <c r="CJ41" s="218">
        <f t="shared" si="44"/>
        <v>387420489</v>
      </c>
      <c r="CK41" s="218">
        <f t="shared" si="45"/>
        <v>0</v>
      </c>
      <c r="CL41" s="218">
        <f t="shared" si="46"/>
        <v>0</v>
      </c>
      <c r="CR41" t="s">
        <v>1500</v>
      </c>
      <c r="CS41">
        <f>$B$4</f>
        <v>7775.39</v>
      </c>
      <c r="CU41" s="218">
        <f>IF(AND(AND('King Node Model'!$A$8&lt;&gt;"Neg",N($BG$72)&lt;&gt;1),SUMPRODUCT(($AG$9:$AG$55="S")*ISNUMBER($AT$9:$AT$55)*ISNUMBER($AU$9:$AU$55)*($AT$9:$AT$55&lt;&gt;$AU$9:$AU$55)*($AT$9:$AT$55&lt;=$AA41)*($AU$9:$AU$55&gt;=$AA41))&gt;0),0,IF(AND(OR($AA41='King Node Model'!$T$22,$AA41='King Node Model'!$F$24),$AG41="R",COUNTIF($W$9:$W$14,$AA41)&gt;0),1,IF(AND($FN41=1,$EU41&lt;&gt;1,$EM41&lt;&gt;1,$BK41&lt;&gt;1,$DH41&lt;&gt;1,$AG41="R",COUNTIF($W$9:$W$14,$AA41)&gt;0),1,IF($EU41=1,0,IF($EM41=1,0,IF(AND(OR($EE41=1,$GV41=1,AND($EL$7=1,$AA41='King Node Model'!$D$26,$EI41=1),AND(OR($AA41='King Node Model'!$T$22,$AA41='King Node Model'!$T$23),$AN41=1,OR($AX41=0,$D$5&lt;&gt;"UP"))),OR(NOT(OR('King Node Model'!$A$8="Neg",N($BG$72)=1)),$GV41=1,AND(OR($AA41='King Node Model'!$T$22,$AA41='King Node Model'!$T$23),$AN41=1,OR($AX41=0,$D$5&lt;&gt;"UP")),AND($AM41&gt;=$BG$20,$AC41&gt;IF($CZ41=1,$BG$48,$BG$19)))),1,IF($DH41=1,0,IF(AND($DC41=1,$GS41&lt;&gt;1,AND('King Node Model'!$A$8&lt;&gt;"Neg",N($BG$72)&lt;&gt;1)),0,IF(AND($EY41=1,NOT(OR('King Node Model'!$A$8="Neg",$BG$72=1)),$AA41&lt;&gt;'King Node Model'!$B$23),0,IF(AND($GS41=1,$AG41="R",OR($CI41=0,$EE41=1,$EX41=1,$GV41=1),COUNTIF($W$9:$W$14,$AA41)&gt;0,ABS($AA41-$B$4)&lt;=$BG$7,$BK41&lt;&gt;1,$AM41&gt;=$BG$20,$AC41&gt;IF($CZ41=1,$BG$48,$BG$19)),1,IF(OR('King Node Model'!$A$8="Neg",N($BG$72)=1),IF(AND(OR($AM41&gt;=$BG$20,$AA41='King Node Model'!$D$26,$GV41=1),$AG41="R",COUNTIF($W$9:$W$14,$AA41)&gt;0,ABS($AA41-$B$4)&lt;=$BG$7,OR($AX41=0,$D$5&lt;&gt;"UP"),$BK41&lt;&gt;1,OR(OR($CI41=0,$AJ41=1),AND($EI41=1,$LA41=1,COUNTIF($W$9:$W$11,$AA41)&gt;0,$AN41=1,OR($AX41=0,$D$5&lt;&gt;"UP"))),$AM41&gt;=$BG$20,$AC41&gt;IF($CZ41=1,$BG$48,$BG$19),OR($AN41=1,N($LR41)=1,$AA41='King Node Model'!$D$26,AND($BY41=1,$AA41&gt;$B$4),$BX41=1,$CF41=1,$CF41=1,AND(OR($AA41=$CP$4,$AA41=$CP$5,$AA41=$CP$6,$AA41=$CP$7),ABS($AA41-$B$4)&lt;=30),AND($AX41=1,$D$5="DOWN"))),1,0),IF(AND(OR($AM41&gt;=3,$AA41='King Node Model'!$D$26,$GV41=1),$AG41="R",COUNTIF($W$9:$W$14,$AA41)&gt;0,ABS($AA41-$B$4)&lt;=$BG$7,OR($AX41=0,$D$5&lt;&gt;"UP"),$BK41&lt;&gt;1,OR($CI41=0,$AJ41=1),$AM41&gt;=$BG$20,$AC41&gt;IF($CZ41=1,$BG$48,$BG$19),OR($AC41&gt;=MAX($AC$9:$AC$55),$BC41&gt;0,$AA41='King Node Model'!$D$26,AND(OR($AA41=$CP$4,$AA41=$CP$5,$AA41=$CP$6,$AA41=$CP$7),ABS($AA41-$B$4)&lt;=30),$CF41=1,$AN41=1,AND($AX41=1,$D$5="DOWN"))),1,0))))))))))))</f>
        <v>0</v>
      </c>
      <c r="CV41" s="218">
        <f>IF(AND(OR('King Node Model'!$A$8="Neg",N($BG$72)=1),$AG41="S",N($LR41)=1,N($MB41)=1),1,IF(AND(AND('King Node Model'!$A$8&lt;&gt;"Neg",N($BG$72)&lt;&gt;1),SUMPRODUCT(($AG$9:$AG$55="R")*ISNUMBER($AT$9:$AT$55)*ISNUMBER($AU$9:$AU$55)*($AT$9:$AT$55&lt;&gt;$AU$9:$AU$55)*($AT$9:$AT$55&lt;=$AA41)*($AU$9:$AU$55&gt;=$AA41))&gt;0,NOT(AND(N($LC41)=1,$AA41='King Node Model'!$B$23))),0,IF(AND($AA41='King Node Model'!$F$24,$AG41="S",COUNTIF($W$18:$W$23,$AA41)&gt;0),1,IF(AND($FN41=1,$EU41&lt;&gt;1,$EM41&lt;&gt;1,$DH41&lt;&gt;1,$AG41="S",COUNTIF($W$18:$W$23,$AA41)&gt;0),1,IF($EU41=1,0,IF(AND(OR($EF41=1,$GV41=1,AND(OR($AA41='King Node Model'!$T$22,$AA41='King Node Model'!$T$23,AND($AG41="S",COUNTIF('Master Dashboard'!$AN$16:$AN$18,$AA41)&gt;0)),$AN41=1,OR($AX41=0,$D$5&lt;&gt;"UP"))),OR(NOT(OR('King Node Model'!$A$8="Neg",N($BG$72)=1)),$GV41=1,AND(OR($AA41='King Node Model'!$T$22,$AA41='King Node Model'!$T$23,AND($AG41="S",COUNTIF('Master Dashboard'!$AN$16:$AN$18,$AA41)&gt;0)),$AN41=1,OR($AX41=0,$D$5&lt;&gt;"UP")),AND($AM41&gt;=$BG$20,$AC41&gt;IF($CZ41=1,$BG$48,$BG$19)))),1,IF($DH41=1,0,IF(AND($DC41=1,$GS41&lt;&gt;1,AND('King Node Model'!$A$8&lt;&gt;"Neg",N($BG$72)&lt;&gt;1)),0,IF(AND($EY41=1,NOT(OR('King Node Model'!$A$8="Neg",$BG$72=1)),$AA41&lt;&gt;'King Node Model'!$B$23,COUNTIF('Master Dashboard'!$AN$16:$AN$18,$AA41)=0),0,IF(AND($GS41=1,$AG41="S",OR($CI41=0,$EF41=1,$EX41=1,$GV41=1),COUNTIF($W$18:$W$23,$AA41)&gt;0,ABS($AA41-$B$4)&lt;=$BG$7,$BK41&lt;&gt;1,$AM41&gt;=$BG$20,$AC41&gt;IF($CZ41=1,$BG$48,$BG$19)),1,IF(OR('King Node Model'!$A$8="Neg",N($BG$72)=1),IF(AND(OR(OR($AM41&gt;=$BG$20,N($LR41)=1),$AA41='King Node Model'!$D$26,$GV41=1),$AG41="S",COUNTIF($W$18:$W$23,$AA41)&gt;0,ABS($AA41-$B$4)&lt;=$BG$7,OR($AX41=0,$D$5&lt;&gt;"UP"),$BK41&lt;&gt;1,OR($CI41=0,$AJ41=1,AND(N($LR41)=1,N($MB41)=1),N($MT41)=1),OR($AM41&gt;=$BG$20,N($LR41)=1),$AC41&gt;IF($CZ41=1,$BG$48,$BG$19),OR($AB41&gt;0,$AN41=1,N($MT41)=1,N($LR41)=1,$AA41='King Node Model'!$D$26,AND($BY41=1,$AA41&lt;$B$4),$BX41=1,$CF41=1,$CF41=1,AND(OR($AA41=$CP$4,$AA41=$CP$5,$AA41=$CP$6,$AA41=$CP$7),ABS($AA41-$B$4)&lt;=30),AND($AX41=1,$D$5="DOWN"))),1,0),IF(AND(OR($AM41&gt;=3,$AA41='King Node Model'!$D$26,$GV41=1),$AG41="S",COUNTIF($W$18:$W$23,$AA41)&gt;0,ABS($AA41-$B$4)&lt;=$BG$7,OR($AX41=0,$D$5&lt;&gt;"UP"),$BK41&lt;&gt;1,OR($CI41=0,$AJ41=1,AND(N($LR41)=1,N($MB41)=1),N($MT41)=1),$AM41&gt;=$BG$20,$AC41&gt;IF($CZ41=1,$BG$48,$BG$19),OR($AC41&gt;=MAX($AC$9:$AC$55),$BC41&gt;0,N($MT41)=1,$AA41='King Node Model'!$D$26,AND(OR($AA41=$CP$4,$AA41=$CP$5,$AA41=$CP$6,$AA41=$CP$7),ABS($AA41-$B$4)&lt;=30),$CF41=1,$AN41=1,AND($AX41=1,$D$5="DOWN"))),1,0))))))))))))</f>
        <v>0</v>
      </c>
      <c r="CX41" s="218">
        <f t="shared" si="48"/>
        <v>0</v>
      </c>
      <c r="CY41" t="str">
        <f t="shared" si="49"/>
        <v/>
      </c>
      <c r="CZ41" s="218">
        <f t="shared" si="50"/>
        <v>0</v>
      </c>
      <c r="DA41" t="str">
        <f t="shared" si="51"/>
        <v/>
      </c>
      <c r="DB41" t="str">
        <f t="shared" si="52"/>
        <v/>
      </c>
      <c r="DC41" s="218">
        <f t="shared" si="53"/>
        <v>0</v>
      </c>
      <c r="DD41" s="218">
        <f t="shared" si="54"/>
        <v>0</v>
      </c>
      <c r="DE41" s="218">
        <f t="shared" si="55"/>
        <v>0</v>
      </c>
      <c r="DF41" t="str">
        <f t="shared" si="56"/>
        <v/>
      </c>
      <c r="DG41" t="str">
        <f t="shared" si="57"/>
        <v/>
      </c>
      <c r="DH41" s="218">
        <f t="shared" si="58"/>
        <v>0</v>
      </c>
      <c r="DI41">
        <v>0.82299999999999995</v>
      </c>
      <c r="DJ41">
        <v>1</v>
      </c>
      <c r="DK41">
        <v>489775</v>
      </c>
      <c r="DL41">
        <v>0</v>
      </c>
      <c r="DM41" t="str">
        <f>IF(AND($CV41=1,$AG41="S"),IF(AND(OR('King Node Model'!$A$8="Neg",N($BG$72)=1),'King Node Model'!$S$52=""),IF(OR(N($AN41)=1,N($LR41)=1,$AB41&gt;0,$AJ41=1,N($JO41)=1,AND(NOT($AE41&gt;0),NOT(IFERROR(AND(ISNUMBER($BC41),ISNUMBER($BC40),($BC41&gt;=0)&lt;&gt;($BC40&gt;=0)),FALSE())),OR(AND($BM41&lt;=6,$BN41&lt;=6),ABS($AA41-'King Node Model'!$T$23)&lt;=5,$LA41=1))),1,0),1),"")</f>
        <v/>
      </c>
      <c r="DN41" t="str">
        <f t="shared" si="59"/>
        <v/>
      </c>
      <c r="DO41" t="str">
        <f t="shared" si="60"/>
        <v>W-list</v>
      </c>
      <c r="DP41" t="str">
        <f>IF(AND(OR('King Node Model'!$A$8="Neg",N($BG$72)=1),$AG41="S",ISNUMBER($AT41),ISNUMBER($AU41),$AT41&lt;&gt;$AU41,$AA41=$AT41),IF(AND(SUMPRODUCT(($AA$9:$AA$55&gt;=$AT41)*($AA$9:$AA$55&lt;=$AU41)*($AB$9:$AB$55&gt;0))&gt;0,SUMPRODUCT(($AA$9:$AA$55&gt;=$AT41)*($AA$9:$AA$55&lt;=$AU41)*($DM$9:$DM$55=1))&gt;0,SUMPRODUCT(($AA$9:$AA$55&gt;=$AT41)*($AA$9:$AA$55&lt;=$AU41)*(COUNTIF($W$18:$W$20,$AA$9:$AA$55)&gt;0))&gt;0),1,0),"")</f>
        <v/>
      </c>
      <c r="DS41">
        <v>0</v>
      </c>
      <c r="DT41">
        <v>0</v>
      </c>
      <c r="DU41" t="str">
        <f>IF('King Node Model'!$A$8&lt;&gt;"Pos","",IF(OR($AA41="",NOT(ISNUMBER($AA41)),ABS($AA41-$B$4)&gt;$BG$7),"",TEXT($AA41,"0")&amp;" | "&amp;IF($AG41="","unclassified",IF($AG41&lt;&gt;IF($AA41&gt;$B$4,"R","S"),"orphan: in "&amp;$AG41&amp;"-list, "&amp;IF($AA41&lt;$B$4,"below","above")&amp;" spot",IF(IF($AG41="R",COUNTIF($W$9:$W$14,$AA41),COUNTIF($W$18:$W$23,$AA41))=0,"not in "&amp;$AG41&amp;"-list",IF($DH41=1,"absorbed into shelf box",IF($BK41=1,"absorbed: adjacent reversal",IF($CI41=1,"accel-accelerant",IF($AC41&lt;=$BG$19,"below gamma-floor",IF($AM41&lt;$BG$20,"confluence "&amp;TEXT($AM41,"0")&amp;" &lt; "&amp;TEXT($BG$20,"0"),IF(AND($AX41=1,$D$5="UP"),"accelerant in up-move",IF(NOT(OR($AC41&gt;=MAX($AC$9:$AC$55),$BC41&gt;0,$AA41='King Node Model'!$D$26,AND(OR($AA41=$CP$4,$AA41=$CP$5,$AA41=$CP$6,$AA41=$CP$7),ABS($AA41-$B$4)&lt;=30),ISNUMBER(SEARCH("STRENGTHENING",$CG41)),$AN41=1,AND($AX41=1,$D$5="DOWN"))),"no surface flag","-&gt; qualifies"))))))))))))</f>
        <v/>
      </c>
      <c r="DV41" s="218">
        <f t="shared" si="61"/>
        <v>99999</v>
      </c>
      <c r="DW41" s="218">
        <f t="shared" si="62"/>
        <v>99999</v>
      </c>
      <c r="DX41" t="str">
        <f>IF('King Node Model'!$A$8&lt;&gt;"Pos","",IF(AND($DV41&lt;99999,$DV41=MIN($DV$9:$DV$55),$DG41&gt;$AA41),"R-box: "&amp;TEXT($AA41,"0")&amp;"-"&amp;TEXT($DG41,"0"),IF(AND($DW41&lt;99999,$DW41=MIN($DW$9:$DW$55),$DF41&lt;$AA41),"S-box: "&amp;TEXT($DF41,"0")&amp;"-"&amp;TEXT($AA41,"0"),"")))</f>
        <v/>
      </c>
      <c r="EB41">
        <f t="shared" si="63"/>
        <v>50.390000000000327</v>
      </c>
      <c r="EC41">
        <f t="shared" si="64"/>
        <v>538591</v>
      </c>
      <c r="ED41">
        <f t="shared" si="65"/>
        <v>0</v>
      </c>
      <c r="EE41">
        <f>IF(AND(OR('King Node Model'!$A$8="Neg",N($BG$72)=1),$AG41="R",ISNUMBER($EB41),$EB41&lt;=$BG$7,$AB41&gt;0,$EC41&gt;0,$AB41=$EC41),1,0)</f>
        <v>0</v>
      </c>
      <c r="EF41">
        <f>IF(AND(OR('King Node Model'!$A$8="Neg",N($BG$72)=1),$AG41="S",ISNUMBER($EB41),$EB41&lt;=$BG$7,$AB41&gt;0,$ED41&gt;0,$AB41=$ED41),1,0)</f>
        <v>0</v>
      </c>
      <c r="EI41">
        <v>1</v>
      </c>
      <c r="EJ41">
        <f>IF($AA41="",0,IF(SUMPRODUCT(($AA$9:$AA$55&gt;=$AT41)*($AA$9:$AA$55&lt;=$AU41)*($DT$9:$DT$55=1))+SUMPRODUCT(($DT$9:$DT$55=1)*($AT$9:$AT$55&lt;=$AA41)*($AU$9:$AU$55&gt;=$AA41))+($DT41=1)+AND(OR('King Node Model'!$A$8="Neg",N($BG$72)=1),ISNUMBER(SEARCH("LOW",'Master Dashboard'!$M$5)),ISNUMBER(SEARCH("BUY",'Master Dashboard'!$G$8)),'King Node Model'!$T$23='King Node Model'!$B$23,$AA41&gt;='King Node Model'!$T$23,$AA41&lt;='King Node Model'!$T$23+5)*1&gt;0,1,0))</f>
        <v>0</v>
      </c>
      <c r="EM41">
        <f t="shared" si="66"/>
        <v>0</v>
      </c>
      <c r="EN41">
        <v>0</v>
      </c>
      <c r="EO41">
        <f t="shared" si="67"/>
        <v>0</v>
      </c>
      <c r="EP41">
        <f t="shared" si="68"/>
        <v>0</v>
      </c>
      <c r="EQ41" t="str">
        <f t="shared" si="69"/>
        <v>thinning the floor (magnitude weak)</v>
      </c>
      <c r="ES41" t="str">
        <f>IF(AND(ISNUMBER(AA41),ISNUMBER(AF41),ABS(AA41-'King Node Model'!$B$4)&lt;=$BG$7),ABS(AF41),"")</f>
        <v/>
      </c>
      <c r="ET41">
        <v>0</v>
      </c>
      <c r="EU41" s="218">
        <f>IF(AND(OR('King Node Model'!$A$8="Neg",N($BG$72)=1),ISNUMBER($AA40),ISNUMBER($AA41),ISNUMBER($AA42),ISNUMBER($AB40),ISNUMBER($AB41),ISNUMBER($AB42),ISNUMBER($AF41),$AB41&gt;0,$AB40&lt;0,$AB42&lt;0,$AF41&lt;0),1,0)</f>
        <v>0</v>
      </c>
      <c r="EW41">
        <f>IF(OR(N($MY41)=1,N($JM41)=1),0,N($NE41))</f>
        <v>0</v>
      </c>
      <c r="EX41">
        <f>IF(AND(OR('King Node Model'!$A$8="Neg",N($BG$72)=1),ISNUMBER($AA41),OR(AND($AA41='King Node Model'!$F$24,OR(AND($AG41="S",$F$4="High",IF($BG$80&lt;&gt;"",UPPER($BG$80),$D$5)="DOWN"),AND($AG41="R",$F$4="Low",IF($BG$80&lt;&gt;"",UPPER($BG$80),$D$5)="UP"))),$GV41=1)),1,0)</f>
        <v>0</v>
      </c>
      <c r="EY41">
        <f>IFERROR(IF(AND($DC41=1,$AB41&lt;0,$AC41&gt;=(1+$FA$6)*INDEX($AC$9:$AC$55,33-1),$AC41&gt;=(1+$FA$6)*INDEX($AC$9:$AC$55,33+1),$AC41&gt;=IFERROR(INDEX($AC$9:$AC$55,33-2),0),$AC41&gt;=IFERROR(INDEX($AC$9:$AC$55,33+2),0)),1,0),0)</f>
        <v>0</v>
      </c>
      <c r="FA41" t="str">
        <f>IF(NOT(ISNUMBER($AA41)),"",IFERROR(IF(AND($AC41=MAX($AC$9:$AC$55),$AB41=MIN($AB$9:$AB$55)),"DOM",IF(AND($DC40=1,$DC41=1,$DC42=1,INDEX($AC$9:$AC$55,33-1)&lt;=(1-$FA$6)*$AC41,INDEX($AC$9:$AC$55,33-1)&lt;=(1-$FA$6)*INDEX($AC$9:$AC$55,33-2)),"GAP↑",IF(AND($DC42=1,$DC41=1,INDEX($AC$9:$AC$55,33+1)&lt;=(1-$FA$6)*$AC41,INDEX($AC$9:$AC$55,33+1)&lt;=(1-$FA$6)*INDEX($AC$9:$AC$55,33+2)),"GAP↓",IF($CZ41=1,"dEdge Cliff",IF($GY41=1,"γWall",IF(AND($DC41=1,$AB41&lt;0,$AC41&gt;=(1+$FA$6)*INDEX($AC$9:$AC$55,33-1),$AC41&gt;=(1+$FA$6)*INDEX($AC$9:$AC$55,33+1)),"PEAK-",IF($GZ41=1,"γSh Edge",IF($HL41=1,"Trough",IF($HN41=1,"PEAK+",IF($GF41=1,"Cluster","")))))))))),""))</f>
        <v/>
      </c>
      <c r="FB41" t="str">
        <f t="shared" si="70"/>
        <v/>
      </c>
      <c r="FC41" t="str">
        <f t="shared" si="71"/>
        <v/>
      </c>
      <c r="FD41">
        <f>IF(AND(ISNUMBER($AA41),ISNUMBER('King Node Model'!$AP$17),ISNUMBER('King Node Model'!$AQ$17),$AA41&gt;=MIN('King Node Model'!$AP$17,'King Node Model'!$AQ$17),$AA41&lt;=MAX('King Node Model'!$AP$17,'King Node Model'!$AQ$17),IFERROR(INDEX($AC$9:$AC$55,MATCH('King Node Model'!$AL$42,$AA$9:$AA$55,0)),0)&gt;0,$AC41&gt;=(1-$FA$6)*IFERROR(INDEX($AC$9:$AC$55,MATCH('King Node Model'!$AL$42,$AA$9:$AA$55,0)),0),$AC41&lt;=(1+$FA$6)*IFERROR(INDEX($AC$9:$AC$55,MATCH('King Node Model'!$AL$42,$AA$9:$AA$55,0)),0)),1,0)</f>
        <v>0</v>
      </c>
      <c r="FE41">
        <f>IF($AA41='King Node Model'!$AL$42,1,IF(AND($FD41=1,$FE40=1),1,0))</f>
        <v>0</v>
      </c>
      <c r="FF41">
        <f>IF($AA41='King Node Model'!$AL$42,1,IF(AND($FD41=1,$FF42=1),1,0))</f>
        <v>0</v>
      </c>
      <c r="FG41" t="str">
        <f>IF(OR($FE41=1,$FF41=1),33,"")</f>
        <v/>
      </c>
      <c r="FJ41">
        <f>IF(AND($CW$2=1,ISNUMBER($AA41),ISNUMBER($CW$3),ISNUMBER($CW$4),$AA41&gt;=MIN($CW$3,$CW$4),$AA41&lt;=MAX($CW$3,$CW$4),IFERROR(INDEX($AC$9:$AC$55,MATCH('King Node Model'!$AP$67,$AA$9:$AA$55,0)),0)&gt;0,$AC41&gt;=(1-$FA$6)*IFERROR(INDEX($AC$9:$AC$55,MATCH('King Node Model'!$AP$67,$AA$9:$AA$55,0)),0),$AC41&lt;=(1+$FA$6)*IFERROR(INDEX($AC$9:$AC$55,MATCH('King Node Model'!$AP$67,$AA$9:$AA$55,0)),0)),1,0)</f>
        <v>0</v>
      </c>
      <c r="FK41">
        <f>IF(AND($CW$2=1,$AA41='King Node Model'!$AP$67),1,IF(AND($FJ41=1,$FK40=1),1,0))</f>
        <v>0</v>
      </c>
      <c r="FL41">
        <f>IF(AND($CW$2=1,$AA41='King Node Model'!$AP$67),1,IF(AND($FJ41=1,$FL42=1),1,0))</f>
        <v>0</v>
      </c>
      <c r="FM41" t="str">
        <f>IF(OR($FK41=1,$FL41=1),33,"")</f>
        <v/>
      </c>
      <c r="FN41">
        <v>0</v>
      </c>
      <c r="FR41" t="str">
        <f t="shared" si="72"/>
        <v/>
      </c>
      <c r="FS41">
        <f t="shared" si="188"/>
        <v>0</v>
      </c>
      <c r="FT41">
        <f t="shared" si="73"/>
        <v>-0.25945988821671023</v>
      </c>
      <c r="FU41">
        <f t="shared" si="74"/>
        <v>516893</v>
      </c>
      <c r="FV41">
        <f>IF($FW41=0,"",IF(OR($FW40=0,SIGN(IFERROR($BC41*1,0))&lt;&gt;SIGN(IFERROR($BC40*1,0)),$GH41=1,$GH40=1),MAX($FV$9:$FV40)+1,$FV40))</f>
        <v>12</v>
      </c>
      <c r="FW41">
        <f t="shared" si="75"/>
        <v>1</v>
      </c>
      <c r="FX41">
        <f t="shared" si="76"/>
        <v>516893</v>
      </c>
      <c r="FY41">
        <f t="shared" si="77"/>
        <v>1</v>
      </c>
      <c r="FZ41">
        <f t="shared" si="189"/>
        <v>1</v>
      </c>
      <c r="GA41">
        <f t="shared" si="78"/>
        <v>1</v>
      </c>
      <c r="GB41">
        <f t="shared" si="79"/>
        <v>1</v>
      </c>
      <c r="GC41">
        <f t="shared" si="80"/>
        <v>516893</v>
      </c>
      <c r="GD41">
        <f t="shared" si="81"/>
        <v>7725</v>
      </c>
      <c r="GE41">
        <f t="shared" si="82"/>
        <v>7725</v>
      </c>
      <c r="GF41">
        <f t="shared" si="83"/>
        <v>0</v>
      </c>
      <c r="GH41">
        <f>IFERROR(IF(AND($AC41&gt;=(1+$FA$6)*INDEX($AC$9:$AC$55,33-1),$AC41&gt;=(1+$FA$6)*INDEX($AC$9:$AC$55,33+1)),1,0),0)</f>
        <v>0</v>
      </c>
      <c r="GK41">
        <v>0</v>
      </c>
      <c r="GO41">
        <v>0</v>
      </c>
      <c r="GP41">
        <v>0</v>
      </c>
      <c r="GQ41">
        <f t="shared" si="84"/>
        <v>0</v>
      </c>
      <c r="GR41">
        <f t="shared" si="85"/>
        <v>0</v>
      </c>
      <c r="GS41">
        <f>IF(AND($EY41=1,$AA41&lt;&gt;'King Node Model'!$B$23),0,IF(OR($GQ41=1,$GR41=1),1,IF($DC41=1,IF(OR('King Node Model'!$A$8="Neg",N($BG$72)=1),IF(OR(AND($AC41=MAX($AC$9:$AC$55),$AB41=MIN($AB$9:$AB$55)),$AN41=1,$EE41=1,$EF41=1,$EX41=1,$GV41=1),1,0),1),0)))</f>
        <v>0</v>
      </c>
      <c r="GT41">
        <f>IFERROR(IF(AND(OR('King Node Model'!$A$8="Neg",N($BG$72)=1),$EU40=1,$AG41="R",ISNUMBER($AA41),ISNUMBER($AF41),$AF41&lt;&gt;0,$AA41&gt;$B$4-$BG$9,$AA41-$B$4&lt;=$BG$47,IF($KC41="UP",SIGN($AF41),IF($KC41="DOWN",-SIGN($AF41),0))&lt;&gt;1),1,0),0)</f>
        <v>0</v>
      </c>
      <c r="GU41" t="str">
        <f t="shared" si="86"/>
        <v/>
      </c>
      <c r="GV41">
        <f t="shared" si="87"/>
        <v>0</v>
      </c>
      <c r="GW41" t="str">
        <f t="shared" si="88"/>
        <v/>
      </c>
      <c r="GX41">
        <f t="shared" si="89"/>
        <v>50.390000000000327</v>
      </c>
      <c r="GY41">
        <f t="shared" si="90"/>
        <v>0</v>
      </c>
      <c r="GZ41">
        <f t="shared" si="91"/>
        <v>0</v>
      </c>
      <c r="HA41">
        <v>1</v>
      </c>
      <c r="HF41">
        <f>IFERROR(IF(AND($GZ41=1,'King Node Model'!$A$8="Pos",$D$5="UP",$CF41=-1,$AJ41&lt;&gt;1),1,0),0)</f>
        <v>0</v>
      </c>
      <c r="HG41">
        <f t="shared" si="92"/>
        <v>0</v>
      </c>
      <c r="HH41" t="str">
        <f>IF($GZ41=1,"",IFERROR(IF(NOT(ISNUMBER($AA41)),"",IF($EY41=1,"",IF($GF41=1,IF($GD41=$GE41,"",$GD41),IF(OR(AND($DC40=1,$DC41=1,$DC42=1,INDEX($AC$9:$AC$55,33-1)&lt;=(1-$FA$6)*$AC41,INDEX($AC$9:$AC$55,33-1)&lt;=(1-$FA$6)*INDEX($AC$9:$AC$55,33-2)),AND($DC42=1,$DC41=1,INDEX($AC$9:$AC$55,33+1)&lt;=(1-$FA$6)*$AC41,INDEX($AC$9:$AC$55,33+1)&lt;=(1-$FA$6)*INDEX($AC$9:$AC$55,33+2)),AND($DC41=1,OR(INDEX($DC$9:$DC$55,33-1)=0,INDEX($DC$9:$DC$55,33+1)=0))),IF(MIN($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MAX($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MIN($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f>
        <v/>
      </c>
      <c r="HI41" t="str">
        <f>IF($GZ41=1,"",IFERROR(IF(NOT(ISNUMBER($AA41)),"",IF($EY41=1,"",IF($GF41=1,IF($GD41=$GE41,"",$GE41),IF(OR(AND($DC40=1,$DC41=1,$DC42=1,INDEX($AC$9:$AC$55,33-1)&lt;=(1-$FA$6)*$AC41,INDEX($AC$9:$AC$55,33-1)&lt;=(1-$FA$6)*INDEX($AC$9:$AC$55,33-2)),AND($DC42=1,$DC41=1,INDEX($AC$9:$AC$55,33+1)&lt;=(1-$FA$6)*$AC41,INDEX($AC$9:$AC$55,33+1)&lt;=(1-$FA$6)*INDEX($AC$9:$AC$55,33+2)),AND($DC41=1,OR(INDEX($DC$9:$DC$55,33-1)=0,INDEX($DC$9:$DC$55,33+1)=0))),IF(MIN($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MAX($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MAX($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f>
        <v/>
      </c>
      <c r="HL41">
        <f t="shared" si="93"/>
        <v>0</v>
      </c>
      <c r="HM41">
        <f>IFERROR(IF(AND($HL41=1,NOT(OR($AA41='King Node Model'!$T$22,$AA41='King Node Model'!$T$23,$AA41='King Node Model'!$F$24,AND($AG41="S",COUNTIF('Master Dashboard'!$AN$16:$AN$18,$AA41)&gt;0),AND($AG41="R",COUNTIF('Master Dashboard'!$AN$13:$AN$15,$AA41)&gt;0)))),1,0),0)</f>
        <v>0</v>
      </c>
      <c r="HN41">
        <f t="shared" si="94"/>
        <v>0</v>
      </c>
      <c r="HO41">
        <f t="shared" si="95"/>
        <v>0</v>
      </c>
      <c r="HP41">
        <f t="shared" si="96"/>
        <v>1</v>
      </c>
      <c r="HQ41" t="str">
        <f>IF(NOT(ISNUMBER($AA41)),"",IFERROR(TRIM(IF(N($MY41)=1,"DEXLEAN ","")&amp;IF(N($IZ41)=1,"DEXCAP ","")&amp;IF(AND($AG41="S",UPPER('King Node Model'!$L$5)="HIGH",$KC41="DOWN",N($AF41)&gt;0,$AA41='King Node Model'!$AN$70,$IY41="SELL"),"CHOPEDGEIV ","")&amp;IF(N($IS41)=1,"NOREV ","")&amp;IF(N($JY41)=1,"VFLAT ","")&amp;IF(N($KR41)=1,"GDEXVANNA ","")&amp;IF(N($LD41)=1,"KGSUPFAIL ","")&amp;IF(N($LE41)=1,"KGRESLEAK ","")&amp;IF(N($MH41)=1,"ZIGZAG ","")&amp;IF(N($KK41)=1,"DATAGAP ","")&amp;IF(N($KA41)&lt;&gt;0,"ACCUNDERCW ","")&amp;IF(AND($AG41="S",$HF41=1),"EDGE ","")&amp;IF(AND($HM41=1,'King Node Model'!$A$8="Pos",N($BG$72)&lt;&gt;1),"TROUGH ","")&amp;IF(AND($EU41=1,N($JZ41)&lt;&gt;1),"BUMP ","")&amp;IF(AND($GT41=1,N($JZ41)&lt;&gt;1),"SANDWICH ","")&amp;IF(AND($EX41&lt;&gt;1,OR('King Node Model'!$A$8="Neg",N($BG$72)=1),OR(AND(ISNUMBER($AC41),$AC41=MAX($AC$9:$AC$55)),AND(ISNUMBER($AB41),$AB41=MIN($AB$9:$AB$55))),NOT(AND(AND(ISNUMBER($AC41),$AC41=MAX($AC$9:$AC$55)),AND(ISNUMBER($AB41),$AB41=MIN($AB$9:$AB$55)))),$AG41="S",N($AB41)&lt;0,NOT(COUNTIF('Master Dashboard'!$AN$16:$AN$18,$AA41)&gt;0),NOT(AND(OR('King Node Model'!$A$8="Neg",N($BG$72)=1),ISNUMBER($AB41),$AB41=MIN($AB$9:$AB$55),$AA41=$BG$105))),"ACCEL ","")&amp;IF(AND($EX41&lt;&gt;1,ISNUMBER($AA41),OR('King Node Model'!$A$8="Neg",N($BG$72)=1),$EY41=1,NOT(AND($AG41="S",COUNTIF('Master Dashboard'!$AN$16:$AN$18,$AA41)&gt;0)),NOT(AND($AA41='King Node Model'!$B$23,IF($AG41="S",OR($AA41='King Node Model'!$C$24,COUNTIF('Master Dashboard'!$AN$16:$AN$18,$AA41)&gt;0),OR($AA41='King Node Model'!$C$23,COUNTIF('Master Dashboard'!$AN$13:$AN$15,$AA41)&gt;0)))),NOT(AND($EX41&lt;&gt;1,OR('King Node Model'!$A$8="Neg",N($BG$72)=1),OR(AND(ISNUMBER($AC41),$AC41=MAX($AC$9:$AC$55)),AND(ISNUMBER($AB41),$AB41=MIN($AB$9:$AB$55))),NOT(AND(AND(ISNUMBER($AC41),$AC41=MAX($AC$9:$AC$55)),AND(ISNUMBER($AB41),$AB41=MIN($AB$9:$AB$55)))),$AG41="S",N($AB41)&lt;0,NOT(COUNTIF('Master Dashboard'!$AN$16:$AN$18,$AA41)&gt;0)))),"AMPLIFY ","")&amp;IF(AND($AG41="S",OR('King Node Model'!$A$8="Neg",N($BG$72)=1),$AJ41&lt;&gt;1,N($MT41)&lt;&gt;1,NOT(AND(N($LR41)=1,N($MB41)=1)),ISNUMBER(SEARCH("ACCEL building",$CG41))),"ZACCEL ","")&amp;IF(AND($AG41="S",OR('King Node Model'!$A$8="Neg",N($BG$72)=1),$AA41='King Node Model'!$B$23,NOT(AND(AND(ISNUMBER($AC41),$AC41=MAX($AC$9:$AC$55)),AND(ISNUMBER($AB41),$AB41=MIN($AB$9:$AB$55)))),$EJ41&lt;&gt;1),"KINGACC ","")&amp;IF(AND($AG41="S",OR('King Node Model'!$A$8="Neg",N($BG$72)=1),ABS(N($AA41)-N('King Node Model'!$B$23))&lt;=$BG$107,NOT(AND(SUMPRODUCT((ABS($AF$9:$AF$55)&lt;=ABS(N($AF41)))*1)/COUNT($AF$9:$AF$55)&gt;=0.66,OR(ISNUMBER(SEARCH("firmer resistance",$CG41)),ISNUMBER(SEARCH("STRENGTHENING",$CG41)),ISNUMBER(SEARCH("firmer support",$CG41))))),NOT(AND(N($AB41)&gt;0,SUMPRODUCT((ABS($AB$9:$AB$55)&lt;=ABS(N($AB41)))*1)/COUNT($AB$9:$AB$55)&gt;=0.66)),$EJ41&lt;&gt;1,$AJ41&lt;&gt;1,COUNTIF('Master Dashboard'!$AN$16:$AN$18,$AA41)=0,NOT(AND($AG41="S",OR('King Node Model'!$A$8="Neg",N($BG$72)=1),$AA41='King Node Model'!$B$23,NOT(AND(AND(ISNUMBER($AC41),$AC41=MAX($AC$9:$AC$55)),AND(ISNUMBER($AB41),$AB41=MIN($AB$9:$AB$55)))),$EJ41&lt;&gt;1))),"KINGNODE ","")&amp;IF(AND($AG41="R",NOT(AND(AND(ISNUMBER($AC41),$AC41=MAX($AC$9:$AC$55)),AND(ISNUMBER($AB41),$AB41=MIN($AB$9:$AB$55)))),UPPER('King Node Model'!$L$5)="LOW",$KC41="DOWN",N($AF41)&gt;0),"LOWIVFALL ","")&amp;IF(AND($AG41="R",NOT(AND(AND(ISNUMBER($AC41),$AC41=MAX($AC$9:$AC$55)),AND(ISNUMBER($AB41),$AB41=MIN($AB$9:$AB$55)))),UPPER('King Node Model'!$L$5)="HIGH",$KC41="DOWN",N($AF41)&gt;0,IFERROR(MATCH($AA41,$W$9:$W$14,0)&gt;=4,FALSE)),"HIGHIVFALL ","")&amp;IF(AND($AG41="R",N($BG$99)=1),"SPOTUPVOLUP ","")&amp;IF(AND($AG41="R",ISNUMBER(SEARCH("5/5",'Master Dashboard'!$E$29)),OR(ISNUMBER(SEARCH("WEAKENING",$EQ41)),ISNUMBER(SEARCH("Pos gamma ↓",$EQ41)),ISNUMBER(SEARCH("thinning the ceiling",$EQ41)))),"SQUEEZE ","")&amp;IF(N($JU41)=1,"DEDGECLIFF ","")&amp;IF(N($KT41)=1,"DEXDRAIN ","")&amp;IF(N($HW41)&lt;&gt;0,"DEXDROP ","")&amp;IF(N($HX41)&lt;&gt;0,"PEAK+ ","")&amp;IF(N($IF41)=1,"CHOP ","")&amp;IF(N($IQ41)=1,"CONTESTED ","")&amp;IF(N($IW41)=1,"VSELL ","")&amp;IF(N($JK41)=1,"VBUYRES ","")&amp;IF(N($JL41)=1,"DOMFLAT ","")&amp;IF(N($JM41)=1,"DOMPULL ","")&amp;IF(N($JP41)=1,"OIZOMMA ","")&amp;IF(AND(N($JQ41)=1,N($JZ41)&lt;&gt;1),"OIDEX ","")),""))</f>
        <v>NOREV VSELL</v>
      </c>
      <c r="HS41">
        <f>IFERROR(IF(AND($DC41=1,OR(AND($AG41="R",INDEX($DC$9:$DC$55,32)=0,INDEX($DC$9:$DC$55,34)=1,INDEX($DC$9:$DC$55,35)=1),AND($AG41="S",INDEX($DC$9:$DC$55,34)=0,INDEX($DC$9:$DC$55,32)=1,INDEX($DC$9:$DC$55,31)=1))),1,0),0)</f>
        <v>0</v>
      </c>
      <c r="HT41">
        <f t="shared" si="97"/>
        <v>0</v>
      </c>
      <c r="HU41">
        <v>0</v>
      </c>
      <c r="HV41">
        <v>0</v>
      </c>
      <c r="HW41">
        <f>IFERROR(IF(OR(NOT(ISNUMBER($AA41)),'King Node Model'!$A$8&lt;&gt;"Pos",N($BG$72)=1,ABS(N($AE41))&lt;$BG$113,N($AV41)=1,$FA41="DOM",$AA41='King Node Model'!$T$23,AND(N($BG$116)=1,$AA41='King Node Model'!$F$24),NOT(ISNUMBER($KU41)),NOT(ISNUMBER($KV41))),0,IF(AND($AG41="S",COUNTIF('Master Dashboard'!$AN$16:$AN$18,$AA41)=0,$KU41&gt;=$BG$114,$KU41&gt;=$KV41+$BG$115,NOT(AND(N($AN42)=1,N($KV41)&lt;0)),N($AE41)&lt;=0),1,IF(AND($AG41="R",COUNTIF('Master Dashboard'!$AN$13:$AN$15,$AA41)=0,$KV41&gt;=$BG$114,$KV41&gt;=$KU41+$BG$115,NOT(AND(N($AN40)=1,N($KU41)&lt;0))),-1,0))),0)</f>
        <v>0</v>
      </c>
      <c r="HX41">
        <f>IFERROR(IF(AND(ISNUMBER($AA41),$FA41="PEAK+",N($AN41)&lt;&gt;1,NOT(AND('King Node Model'!$A$8="Pos",OR($AA41='King Node Model'!$T$22,$AA41='King Node Model'!$T$23,$AA41='King Node Model'!$F$24))),IF($AG41="S",COUNTIF('Master Dashboard'!$AN$16:$AN$18,$AA41)=0,IF($AG41="R",COUNTIF('Master Dashboard'!$AN$13:$AN$15,$AA41)=0,FALSE))),1,0),0)</f>
        <v>0</v>
      </c>
      <c r="HY41">
        <f t="shared" si="98"/>
        <v>0.46338930792358685</v>
      </c>
      <c r="HZ41">
        <v>0</v>
      </c>
      <c r="IA41">
        <f>IFERROR(IF(AND(IF($BG$44=1,OR(ISNUMBER(SEARCH("Choppy",'King Node Model'!$S$38)),'King Node Model'!$S$52&lt;&gt;"",'King Node Model'!$A$8="Pos"),TRUE()),OR($DC41=1,$DC40=1,$DC42=1),ABS($AA41-$B$4)&lt;=$BG$7,ABS($AA41-$BG$28)&gt;=$BG$45,OR(AND($AA41&gt;$BG$28,$AG41="R"),AND($AA41&lt;$BG$28,$AG41="S",N($BG$154)=1)),ABS(IF($AA41&gt;$BG$28,$AE42,$AE40))&gt;=$BG$43,ABS(N(IF($AA41&gt;$BG$28,$AE40,$AE42)))&lt;=$BG$153*ABS(IF($AA41&gt;$BG$28,$AE42,$AE40)),IF(ISNUMBER($HZ41),$HZ41=1,AND(ISNUMBER($HY41),$HY41&gt;=$BG$42))),1,0),0)</f>
        <v>0</v>
      </c>
      <c r="IB41">
        <f t="shared" si="99"/>
        <v>0</v>
      </c>
      <c r="IC41" t="str">
        <f>IF(NOT(ISNUMBER($AA41)),"",IFERROR(MID(IF(AND($AC41=MAX($AC$9:$AC$55),$AB41=MIN($AB$9:$AB$55))," · DOM","")&amp;IF(AND($DC40=1,$DC41=1,$DC42=1,INDEX($AC$9:$AC$55,33-1)&lt;=(1-$FA$6)*$AC41,INDEX($AC$9:$AC$55,33-1)&lt;=(1-$FA$6)*INDEX($AC$9:$AC$55,33-2))," · GAP↑ → "&amp;INDEX($AA$9:$AA$55,33-2),"")&amp;IF(AND($DC42=1,$DC41=1,INDEX($AC$9:$AC$55,33+1)&lt;=(1-$FA$6)*$AC41,INDEX($AC$9:$AC$55,33+1)&lt;=(1-$FA$6)*INDEX($AC$9:$AC$55,33+2))," · GAP↓ → "&amp;INDEX($AA$9:$AA$55,33+2),"")&amp;IF($CZ41=1," · dEdge Cliff","")&amp;IF($GY41=1," · γWall","")&amp;IF(AND($DC41=1,$AB41&lt;0,$AC41&gt;=(1+$FA$6)*INDEX($AC$9:$AC$55,33-1),$AC41&gt;=(1+$FA$6)*INDEX($AC$9:$AC$55,33+1))," · PEAK-","")&amp;IF($GZ41=1," · γSh Edge","")&amp;IF($HL41=1," · Trough","")&amp;IF($HN41=1," · PEAK+","")&amp;IF($GF41=1," · Cluster",""),FIND(" · ",IF(AND($AC41=MAX($AC$9:$AC$55),$AB41=MIN($AB$9:$AB$55))," · DOM","")&amp;IF(AND($DC40=1,$DC41=1,$DC42=1,INDEX($AC$9:$AC$55,33-1)&lt;=(1-$FA$6)*$AC41,INDEX($AC$9:$AC$55,33-1)&lt;=(1-$FA$6)*INDEX($AC$9:$AC$55,33-2))," · GAP↑ → "&amp;INDEX($AA$9:$AA$55,33-2),"")&amp;IF(AND($DC42=1,$DC41=1,INDEX($AC$9:$AC$55,33+1)&lt;=(1-$FA$6)*$AC41,INDEX($AC$9:$AC$55,33+1)&lt;=(1-$FA$6)*INDEX($AC$9:$AC$55,33+2))," · GAP↓ → "&amp;INDEX($AA$9:$AA$55,33+2),"")&amp;IF($CZ41=1," · dEdge Cliff","")&amp;IF($GY41=1," · γWall","")&amp;IF(AND($DC41=1,$AB41&lt;0,$AC41&gt;=(1+$FA$6)*INDEX($AC$9:$AC$55,33-1),$AC41&gt;=(1+$FA$6)*INDEX($AC$9:$AC$55,33+1))," · PEAK-","")&amp;IF($GZ41=1," · γSh Edge","")&amp;IF($HL41=1," · Trough","")&amp;IF($HN41=1," · PEAK+","")&amp;IF($GF41=1," · Cluster",""),2),999),""))</f>
        <v/>
      </c>
      <c r="ID41" t="str">
        <f>IF(NOT(ISNUMBER($AA41)),"",IFERROR(MID(IF(AND($AC41=MAX($AC$9:$AC$55),$AB41=MIN($AB$9:$AB$55))," · DOM","")&amp;IF(AND($DC40=1,$DC41=1,$DC42=1,INDEX($AC$9:$AC$55,33-1)&lt;=(1-$FA$6)*$AC41,INDEX($AC$9:$AC$55,33-1)&lt;=(1-$FA$6)*INDEX($AC$9:$AC$55,33-2))," · GAP↑ → "&amp;INDEX($AA$9:$AA$55,33-2),"")&amp;IF(AND($DC42=1,$DC41=1,INDEX($AC$9:$AC$55,33+1)&lt;=(1-$FA$6)*$AC41,INDEX($AC$9:$AC$55,33+1)&lt;=(1-$FA$6)*INDEX($AC$9:$AC$55,33+2))," · GAP↓ → "&amp;INDEX($AA$9:$AA$55,33+2),"")&amp;IF($CZ41=1," · dEdge Cliff","")&amp;IF($GY41=1," · γWall","")&amp;IF(AND($DC41=1,$AB41&lt;0,$AC41&gt;=(1+$FA$6)*INDEX($AC$9:$AC$55,33-1),$AC41&gt;=(1+$FA$6)*INDEX($AC$9:$AC$55,33+1))," · PEAK-","")&amp;IF($GZ41=1," · γSh Edge","")&amp;IF($HL41=1," · Trough","")&amp;IF($HN41=1," · PEAK+","")&amp;IF(AND(NOT($HN41=1),NOT(AND($DC41=1,$AB41&lt;0)),N($GY41)&lt;&gt;1,N($GF41)&lt;&gt;1,N($GZ41)&lt;&gt;1,N($HL41)&lt;&gt;1,N($CZ41)&lt;&gt;1,NOT(AND($AC41=MAX($AC$9:$AC$55),$AB41=MIN($AB$9:$AB$55))),$AC41&gt;=(1+$FA$6)*INDEX($AC$9:$AC$55,33-1),$AC41&gt;=(1+$FA$6)*INDEX($AC$9:$AC$55,33+1))," · Knoll","")&amp;IF($GF41=1," · Cluster",""),4,999),""))</f>
        <v/>
      </c>
      <c r="IF41">
        <f t="shared" si="100"/>
        <v>0</v>
      </c>
      <c r="IG41">
        <f>IFERROR(IF(AND(ISNUMBER($AA41),'King Node Model'!$A$8="Pos",OR($AG41="S",$AG41="R"),$IN41="interior",COUNTIF(IF($AG41="S",'Master Dashboard'!$AN$16:$AN$18,'Master Dashboard'!$AN$13:$AN$15),$AA41)=0,$AA41&lt;&gt;'King Node Model'!$T$22,$AA41&lt;&gt;'King Node Model'!$T$23,$AA41&lt;&gt;'King Node Model'!$F$24),1,0),0)</f>
        <v>0</v>
      </c>
      <c r="IH41">
        <f t="shared" si="101"/>
        <v>0</v>
      </c>
      <c r="II41">
        <f t="shared" si="190"/>
        <v>0</v>
      </c>
      <c r="IJ41">
        <f t="shared" si="102"/>
        <v>0</v>
      </c>
      <c r="IK41">
        <f t="shared" si="103"/>
        <v>0</v>
      </c>
      <c r="IL41">
        <f t="shared" si="191"/>
        <v>0</v>
      </c>
      <c r="IM41">
        <f t="shared" si="104"/>
        <v>0</v>
      </c>
      <c r="IN41" t="str">
        <f t="shared" si="105"/>
        <v/>
      </c>
      <c r="IO41">
        <v>0</v>
      </c>
      <c r="IP41">
        <v>0</v>
      </c>
      <c r="IQ41">
        <f>IFERROR(IF($AG41="S",IF(OR(COUNTIF($W$9:$W$14,$AA41)&gt;0,COUNTIF('King Node Model'!$AL$42:'King Node Model'!$AL$43,$AA41)&gt;0),1,0),IF($AG41="R",IF(OR(COUNTIF($W$18:$W$23,$AA41)&gt;0,COUNTIF('King Node Model'!$AL$49:'King Node Model'!$AL$50,$AA41)&gt;0),1,0),0)),0)</f>
        <v>0</v>
      </c>
      <c r="IS41">
        <f>IF(AND(ISNUMBER($AA41),N($AN41)&lt;&gt;1,N($LR41)&lt;&gt;1,OR(N($EN41)&lt;&gt;1,AND('King Node Model'!$A$8&lt;&gt;"Neg",N($BG$72)&lt;&gt;1)),$AA41&lt;&gt;'King Node Model'!$T$22,$AA41&lt;&gt;'King Node Model'!$T$23,$AA41&lt;&gt;'King Node Model'!$F$24,NOT(AND($AG41="S",COUNTIF('Master Dashboard'!$AN$16:$AN$18,$AA41)&gt;0)),NOT(AND($AG41="R",COUNTIF('Master Dashboard'!$AN$13:$AN$15,$AA41)&gt;0)),NOT(AND('King Node Model'!$A$8&lt;&gt;"Neg",N($BG$72)&lt;&gt;1,COUNTIF('Master Dashboard'!$AN$13:$AN$18,$AA41)&gt;0))),1,0)</f>
        <v>1</v>
      </c>
      <c r="IT41">
        <v>0</v>
      </c>
      <c r="IU41">
        <f>IF(AND(ISNUMBER($AA41),$AA41='King Node Model'!$F$24,$AA41&gt;$GJ$3,N($AD41)&lt;0,$F$4="High"),1,0)</f>
        <v>0</v>
      </c>
      <c r="IV41" t="str">
        <f>""</f>
        <v/>
      </c>
      <c r="IW41">
        <f>IFERROR(IF(AND(ISNUMBER($AA41),NOT(AND(N($LR41)=1,N($MB41)=1)),$AG41="S",OR('King Node Model'!$A$8="Neg",N($BG$72)=1),$JV41="SELL",ABS(N($AD41))&gt;=$BG$94,NOT(AND(N($AD41)&gt;0,N($BG$78)=1,MEDIAN($AA41-$BG$82,$B$4,$AA41+$BG$83)=$B$4))),1,0),0)</f>
        <v>1</v>
      </c>
      <c r="IX41">
        <f>IFERROR(IF(AND(ISNUMBER($AA41),$AG41="S",OR('King Node Model'!$A$8="Neg",N($BG$72)=1),N($AD41)&gt;0,N($BG$78)=1,MEDIAN($AA41-$BG$82,$B$4,$AA41+$BG$83)=$B$4),1,0),0)</f>
        <v>0</v>
      </c>
      <c r="IY41" t="str">
        <f t="shared" si="106"/>
        <v>SELL</v>
      </c>
      <c r="IZ41">
        <f>IFERROR(IF(AND(ISNUMBER($AA41),$FA41&lt;&gt;"DOM",$AA41&lt;&gt;'King Node Model'!$F$24,OR(AND($AG41="S",COUNTIF('Master Dashboard'!$AN$16:$AN$18,$AA41)=0,N(INDEX($AE$9:$AE$55,MATCH($AA41+$BG$84,$AA$9:$AA$55,0)))&lt;=-$BG$85),AND($AG41="R",COUNTIF('Master Dashboard'!$AN$13:$AN$15,$AA41)=0,N(INDEX($AE$9:$AE$55,MATCH($AA41-$BG$84,$AA$9:$AA$55,0)))&gt;=$BG$85))),1,0),0)</f>
        <v>0</v>
      </c>
      <c r="JC41">
        <f t="shared" si="108"/>
        <v>0</v>
      </c>
      <c r="JD41" t="str">
        <f t="shared" si="193"/>
        <v/>
      </c>
      <c r="JE41">
        <f>IF(ISNUMBER($AA41),N(IFERROR(INDEX('King Node Model'!$L$29:$L$75,MATCH($AA41,'King Node Model'!$A$29:$A$75,0)),0)),"")</f>
        <v>2097</v>
      </c>
      <c r="JF41">
        <f>IF(ISNUMBER($AA41),N(IFERROR(INDEX('King Node Model'!$K$29:$K$75,MATCH($AA41,'King Node Model'!$A$29:$A$75,0)),0)),"")</f>
        <v>1233</v>
      </c>
      <c r="JG41">
        <f t="shared" si="109"/>
        <v>1.7007299270072993</v>
      </c>
      <c r="JH41">
        <f t="shared" si="110"/>
        <v>0.58798283261802575</v>
      </c>
      <c r="JI41">
        <f t="shared" si="111"/>
        <v>0</v>
      </c>
      <c r="JJ41" t="str">
        <f t="shared" si="112"/>
        <v>Hollow</v>
      </c>
      <c r="JK41">
        <f t="shared" si="113"/>
        <v>0</v>
      </c>
      <c r="JL41">
        <f t="shared" si="114"/>
        <v>0</v>
      </c>
      <c r="JM41">
        <f t="shared" si="115"/>
        <v>0</v>
      </c>
      <c r="JN41">
        <f t="shared" si="116"/>
        <v>0</v>
      </c>
      <c r="JO41">
        <f t="shared" si="117"/>
        <v>0</v>
      </c>
      <c r="JP41">
        <f t="shared" si="118"/>
        <v>0</v>
      </c>
      <c r="JQ41">
        <f t="shared" si="119"/>
        <v>0</v>
      </c>
      <c r="JR41">
        <v>0</v>
      </c>
      <c r="JS41">
        <f>IFERROR(IF(AND(ISNUMBER($AA41),'King Node Model'!$A$8="Pos",OR($AG41="S",$AG41="R"),N($AB41)&gt;0,N($HP41)&lt;&gt;1,OR(AND($KC41="DOWN",N($AF41)&lt;0,N($AF41)=MIN($AF$9:$AF$55),-N($AF41)&gt;=MAX($AF$9:$AF$55)),AND($KC41="UP",N($AF41)&gt;0,N($AF41)=MAX($AF$9:$AF$55),N($AF41)&gt;=-MIN($AF$9:$AF$55)))),1,0),0)</f>
        <v>0</v>
      </c>
      <c r="JT41">
        <v>0</v>
      </c>
      <c r="JU41">
        <f>IFERROR(IF(AND(N($BG$109)=1,ISNUMBER($AA41),'King Node Model'!$A$8="Pos",N($CZ41)=1,N($AB41)&gt;0),1,0),0)</f>
        <v>0</v>
      </c>
      <c r="JV41" t="str">
        <f t="shared" si="120"/>
        <v>SELL</v>
      </c>
      <c r="JW41">
        <f t="shared" si="121"/>
        <v>0</v>
      </c>
      <c r="JX41">
        <f t="shared" si="122"/>
        <v>0</v>
      </c>
      <c r="JY41">
        <f t="shared" si="123"/>
        <v>0</v>
      </c>
      <c r="JZ41">
        <f t="shared" si="124"/>
        <v>0</v>
      </c>
      <c r="KA41">
        <f t="shared" si="125"/>
        <v>0</v>
      </c>
      <c r="KB41">
        <f t="shared" si="126"/>
        <v>0</v>
      </c>
      <c r="KC41" t="str">
        <f t="shared" si="127"/>
        <v>UP</v>
      </c>
      <c r="KE41" t="str">
        <f t="shared" si="128"/>
        <v>Now: weakening the floor (IV rising) · if IV falls: strengthens the floor · expected on arrival: WEAKENS ✗</v>
      </c>
      <c r="KF41" t="str">
        <f t="shared" si="129"/>
        <v>SELL</v>
      </c>
      <c r="KG41">
        <f t="shared" si="192"/>
        <v>0</v>
      </c>
      <c r="KH41" t="str">
        <f t="shared" si="130"/>
        <v/>
      </c>
      <c r="KI41" t="str">
        <f t="shared" si="131"/>
        <v/>
      </c>
      <c r="KJ41">
        <f t="shared" si="132"/>
        <v>0</v>
      </c>
      <c r="KK41">
        <f t="shared" si="133"/>
        <v>0</v>
      </c>
      <c r="KL41">
        <f t="shared" si="134"/>
        <v>0</v>
      </c>
      <c r="KM41">
        <f t="shared" si="135"/>
        <v>0</v>
      </c>
      <c r="KN41">
        <f t="shared" si="136"/>
        <v>0</v>
      </c>
      <c r="KO41">
        <v>0</v>
      </c>
      <c r="KP41">
        <f t="shared" si="137"/>
        <v>0</v>
      </c>
      <c r="KQ41">
        <f t="shared" si="138"/>
        <v>0</v>
      </c>
      <c r="KR41">
        <f t="shared" si="139"/>
        <v>0</v>
      </c>
      <c r="KS41">
        <f t="shared" si="140"/>
        <v>0</v>
      </c>
      <c r="KT41">
        <f t="shared" si="141"/>
        <v>0</v>
      </c>
      <c r="KU41">
        <f>IF(AND(ISNUMBER($AA41),ISNUMBER($AE41),ISNUMBER($AE40),N($AE41)&lt;&gt;0),($AE41-$AE40)/$AE41,"")</f>
      </c>
      <c r="KV41">
        <f>IF(AND(ISNUMBER($AA41),ISNUMBER($AE41),ISNUMBER($AE42),N($AE41)&lt;&gt;0),($AE41-$AE42)/$AE41,"")</f>
      </c>
      <c r="KW41">
        <f>IFERROR(IF(OR(NOT(ISNUMBER($AA41)),'King Node Model'!$A$8&lt;&gt;"Pos",N($BG$72)=1,ABS(N($AE41))&lt;$BG$113,$FA41="DOM",$AA41='King Node Model'!$T$23,AND(N($BG$116)=1,$AA41='King Node Model'!$F$24),NOT(ISNUMBER($KU41)),NOT(ISNUMBER($KV41))),0,IF(AND($AG41="S",COUNTIF('Master Dashboard'!$AN$16:$AN$18,$AA41)=0,$KU41&gt;=$BG$114,$KU41&gt;=$KV41+$BG$115),1,IF(AND($AG41="R",COUNTIF('Master Dashboard'!$AN$13:$AN$15,$AA41)=0,$KV41&gt;=$BG$114,$KV41&gt;=$KU41+$BG$115),-1,0))),0)</f>
        <v>0</v>
      </c>
      <c r="KX41">
        <f t="shared" si="144"/>
        <v>0</v>
      </c>
      <c r="KY41">
        <f t="shared" si="145"/>
        <v>0</v>
      </c>
      <c r="KZ41">
        <f t="shared" si="146"/>
        <v>0</v>
      </c>
      <c r="LA41">
        <f t="shared" si="147"/>
        <v>0</v>
      </c>
      <c r="LB41">
        <f t="shared" si="148"/>
        <v>0</v>
      </c>
      <c r="LC41">
        <f t="shared" si="149"/>
        <v>0</v>
      </c>
      <c r="LD41">
        <f t="shared" si="150"/>
        <v>0</v>
      </c>
      <c r="LE41">
        <f t="shared" si="151"/>
        <v>0</v>
      </c>
      <c r="LF41">
        <f t="shared" si="152"/>
        <v>0</v>
      </c>
      <c r="LG41" t="str">
        <f t="shared" si="153"/>
        <v/>
      </c>
      <c r="LH41" t="str">
        <f t="shared" si="154"/>
        <v/>
      </c>
      <c r="LI41" t="str">
        <f t="shared" si="155"/>
        <v/>
      </c>
      <c r="LJ41" t="str">
        <f t="shared" si="156"/>
        <v/>
      </c>
      <c r="LK41" t="str">
        <f t="shared" si="157"/>
        <v/>
      </c>
      <c r="LL41">
        <f t="shared" si="158"/>
        <v>0</v>
      </c>
      <c r="LM41">
        <f t="shared" si="159"/>
        <v>0</v>
      </c>
      <c r="LN41">
        <f t="shared" si="160"/>
        <v>0</v>
      </c>
      <c r="LO41">
        <v>0</v>
      </c>
      <c r="LP41">
        <f t="shared" si="161"/>
        <v>0</v>
      </c>
      <c r="LQ41" t="str">
        <f t="shared" si="162"/>
        <v/>
      </c>
      <c r="LR41">
        <f t="shared" si="163"/>
        <v>0</v>
      </c>
      <c r="LS41">
        <f t="shared" si="164"/>
        <v>0</v>
      </c>
      <c r="LT41">
        <f t="shared" si="165"/>
        <v>0</v>
      </c>
      <c r="LU41">
        <f t="shared" si="166"/>
        <v>0</v>
      </c>
      <c r="LV41">
        <f t="shared" si="167"/>
        <v>3</v>
      </c>
      <c r="LW41">
        <f t="shared" si="168"/>
        <v>2032551</v>
      </c>
      <c r="LX41">
        <f t="shared" si="169"/>
        <v>0</v>
      </c>
      <c r="LY41">
        <f t="shared" si="170"/>
        <v>0</v>
      </c>
      <c r="LZ41">
        <f t="shared" si="171"/>
        <v>0</v>
      </c>
      <c r="MA41">
        <f t="shared" si="172"/>
        <v>0</v>
      </c>
      <c r="MB41">
        <v>0</v>
      </c>
      <c r="MC41">
        <f t="shared" si="173"/>
        <v>1</v>
      </c>
      <c r="MD41">
        <f t="shared" si="174"/>
        <v>1</v>
      </c>
      <c r="ME41">
        <f t="shared" si="175"/>
        <v>0</v>
      </c>
      <c r="MF41">
        <f t="shared" si="176"/>
        <v>0</v>
      </c>
      <c r="MG41">
        <f t="shared" si="177"/>
        <v>0</v>
      </c>
      <c r="MH41">
        <f t="shared" si="178"/>
        <v>0</v>
      </c>
      <c r="MI41" t="str">
        <f t="shared" si="179"/>
        <v/>
      </c>
      <c r="MJ41">
        <f t="shared" si="180"/>
        <v>0</v>
      </c>
      <c r="MK41">
        <f t="shared" si="181"/>
        <v>0</v>
      </c>
      <c r="ML41">
        <f>IF(AND(OR('King Node Model'!$A$8="Neg",N($BG$72)=1),ISNUMBER($AA41),$AG41="R",N($AB41)&lt;0),IF(AND($AA40=$AA41+5,N($AB40)&gt;0,$AA39=$AA41+10,N($AB39)&lt;0),1,IF(AND($AA40=$AA41+5,N($AB40)&gt;0,$AA39=$AA41+10,N($AB39)&gt;0,$AA38=$AA41+15,N($AB38)&lt;0),2,IF(AND($AA40=$AA41+5,N($AB40)&gt;0,$AA39=$AA41+10,N($AB39)&gt;0,$AA38=$AA41+15,N($AB38)&gt;0,$AA37=$AA41+20,N($AB37)&lt;0),3,IF(AND($AA40=$AA41+5,N($AB40)&gt;0,$AA39=$AA41+10,N($AB39)&gt;0,$AA38=$AA41+15,N($AB38)&gt;0,$AA37=$AA41+20,N($AB37)&gt;0,$AA36=$AA41+25,N($AB36)&lt;0),4,0)))),0)</f>
      </c>
      <c r="MM41">
        <f>IF(AND(OR('King Node Model'!$A$8="Neg",N($BG$72)=1),ISNUMBER($AA41),$AG41="S",N($AB41)&lt;0),IF(AND($AA42=$AA41-5,N($AB42)&gt;0,$AA43=$AA41-10,N($AB43)&lt;0),1,IF(AND($AA42=$AA41-5,N($AB42)&gt;0,$AA43=$AA41-10,N($AB43)&gt;0,$AA44=$AA41-15,N($AB44)&lt;0),2,IF(AND($AA42=$AA41-5,N($AB42)&gt;0,$AA43=$AA41-10,N($AB43)&gt;0,$AA44=$AA41-15,N($AB44)&gt;0,$AA45=$AA41-20,N($AB45)&lt;0),3,IF(AND($AA42=$AA41-5,N($AB42)&gt;0,$AA43=$AA41-10,N($AB43)&gt;0,$AA44=$AA41-15,N($AB44)&gt;0,$AA45=$AA41-20,N($AB45)&gt;0,$AA46=$AA41-25,N($AB46)&lt;0),4,0)))),0)</f>
      </c>
      <c r="MN41">
        <f>IF(N($ML41)&gt;0,$AA41,0)</f>
      </c>
      <c r="MO41">
        <f>IF(N($MM41)&gt;0,$AA41,0)</f>
      </c>
      <c r="MP41">
        <f>IF(AND(OR('King Node Model'!$A$8="Neg",N($BG$72)=1),ISNUMBER($BG$155),$AA41=$BG$155,N($NC41)=1),2,IF(AND(OR('King Node Model'!$A$8="Neg",N($BG$72)=1),ISNUMBER($BG$156),$AA41=$BG$156,N($ND41)=1),1,0))</f>
      </c>
      <c r="MQ41">
        <f>IF(ABS(AE41)&lt;=0,0,IF($AG41="R",IF(ISNUMBER(AE40),IF((ABS(AE40)-ABS(AE41))/ABS(AE41)&lt;-0.4,1,0),0),IF(ISNUMBER(AE42),IF((ABS(AE42)-ABS(AE41))/ABS(AE41)&lt;-0.4,1,0),0)))</f>
      </c>
      <c r="MR41">
        <f>IF(OR(N($MQ41)&lt;&gt;1,N($BG$157)&lt;&gt;1,NOT(ISNUMBER($KU41)),NOT(ISNUMBER($KV41))),0,IF(OR(AND($AG41="S",OR(AND($KU41&gt;=$BG$114,$KU41&gt;=$KV41+$BG$115),AND($KU41&gt;1,$KV41&lt;=1,$KV41&gt;=$BG$114))),AND($AG41="R",OR(AND($KV41&gt;=$BG$114,$KV41&gt;=$KU41+$BG$115),AND($KV41&gt;1,$KU41&lt;=1,$KU41&gt;=$BG$114)))),1,0))</f>
      </c>
      <c r="MS41" t="str">
        <f>IF(AND(N($MR41)=1,N($NA41)&lt;&gt;1),"• DEX falls off more sharply "&amp;IF($AG41="S","above (","below (")&amp;TEXT(IF($AG41="S",$KU41,$KV41),"0%")&amp;") than "&amp;IF($AG41="S","below (","above (")&amp;TEXT(IF($AG41="S",$KV41,$KU41),"0%")&amp;") — Dex↓ not counted",IF(N($MW41)=1,"• Shoulder of the "&amp;IF($AG41="R",$AA42,$AA40)&amp;" wall — own DEX "&amp;TEXT($AE41/1000,"+#,##0;-#,##0")&amp;"K is "&amp;TEXT(ABS($AE41)/ABS(IF($AG41="R",$AE42,$AE40)),"0%")&amp;" of "&amp;TEXT(IF($AG41="R",$AE42,$AE40)/1000,"+#,##0;-#,##0")&amp;"K, Dex↓ not counted",""))</f>
      </c>
      <c r="MT41">
        <f>IF(AND(ISNUMBER($AA41),$AG41="S",ISNUMBER($AB41),$AB41=MIN($AB$9:$AB$55),$AA41=$BG$105,$JV41="BUY",ABS(N($AD41))&gt;=$BG$158),1,0)</f>
      </c>
      <c r="MU41" t="str">
        <f>IF(N($MY41)=1,"",IF(OR(N($MT41)=1,AND(OR('King Node Model'!$A$8="Neg",N($BG$72)=1),$AG41="S",ISNUMBER($AB41),$AB41=MIN($AB$9:$AB$55),$AA41=$BG$105)),"• Min GEX + Max Zomma (no reversal flag required) — accelerant warning not applied; zomma acceleration warning only within "&amp;$BG$98&amp;" pts of the level, and not when vanna buying is "&amp;TEXT($BG$158/1000,"0")&amp;"K or more"&amp;CHAR(10)&amp;IF(N($MT41)=1,"• Max Zomma and vanna buying ("&amp;TEXT(N($AD41)/1000,"+#,##0;-#,##0")&amp;"K) make this level safe","• Max Zomma is what makes this level safe"),"")&amp;$NB41&amp;$NI41)</f>
      </c>
      <c r="MV41" t="str">
        <f>IF(AND(ISNUMBER($AA41),OR($AA41=$BG$118,$AA41=$BG$119)),IF(N($AZ41)*IF($AG41="R",1,-1)&gt;0,"✓",IF(N($AZ41)*IF($AG41="R",1,-1)&lt;0,"✗","")),"")</f>
      </c>
      <c r="MW41">
        <f>IF(AND(N($MQ41)=1,N($BG$159)&gt;0,ISNUMBER(IF($AG41="R",$AE42,$AE40)),N(IF($AG41="R",$AE42,$AE40))&lt;&gt;0),IF(ABS(N($AE41))&lt;$BG$159*ABS(IF($AG41="R",$AE42,$AE40)),1,0),0)</f>
      </c>
      <c r="MX41">
        <f>IF(AND(ISNUMBER($AA41),$AA41=$BG$121,$AG41="R",N($AE41)&lt;0,OR(COUNTIF('King Node Model'!$AL$42:$AL$44,$AA41)=0,N($HP41)=1),N($NC41)=1),2,IF(AND(ISNUMBER($AA41),$AA41=$BG$120,$AG41="S",N($AE41)&gt;0,OR(COUNTIF('King Node Model'!$AL$49:$AL$51,$AA41)=0,N($HP41)=1),N($ND41)=1),1,0))</f>
      </c>
      <c r="MY41">
        <f>IF(AND(N($NA41)=1,NOT(AND(AND($AG41="S",ISNUMBER($AB41),$AB41=MIN($AB$9:$AB$55),$AA41=$BG$105),IFERROR(INDEX($AG$9:$AG$55,MATCH('King Node Model'!$B$23,$AA$9:$AA$55,0)),"")="R")),N($AV41)&lt;&gt;1),1,0)</f>
      </c>
      <c r="MZ41" t="str">
        <f>IF(N($MY41)&lt;&gt;1,"","• DEX falls off more sharply "&amp;IF($AG41="S","above (","below (")&amp;TEXT(IF($AG41="S",$KU41,$KV41),"0%")&amp;") than "&amp;IF($AG41="S","below (","above (")&amp;TEXT(IF($AG41="S",$KV41,$KU41),"0%")&amp;") — path of least resistance "&amp;IF($AG41="S","down","up")&amp;IF(N($AZ41)*IF($AG41="R",1,-1)&lt;0,CHAR(10)&amp;"• Speed against — GEX gets more negative as price "&amp;IF($AG41="R","rises","falls")&amp;" into it (speed "&amp;TEXT(N($AZ41),"#,##0;−#,##0")&amp;")","")&amp;IF(OR(N($NG41)=1,N($JC41)=1),CHAR(10)&amp;"• "&amp;IF(N($JC41)=1,"DOM with vanna BUY "&amp;TEXT(N($AD41)/1000,"+#,##0;−#,##0")&amp;"K","Put wall + Max Zomma + DOM")&amp;" backs the level, but it does not outweigh DEX"&amp;IF(N($AZ41)*IF($AG41="R",1,-1)&lt;0," and speed",""),IF(AND($AG41="S",ISNUMBER($AB41),$AB41=MIN($AB$9:$AB$55),$AA41=$BG$105),CHAR(10)&amp;"• Min GEX + Max Zomma backs the level, but it does not outweigh DEX"&amp;IF(N($AZ41)*IF($AG41="R",1,-1)&lt;0," and speed",""),IF(OR(N($JI41)=1,AND(N($GV41)=1,N($JK41)&lt;&gt;1,N($IW41)&lt;&gt;1),N($JC41)=1,AND($AA41='King Node Model'!$F$24,N($JN41)&lt;&gt;1,OR($AG41="R",AND($AG41="S",$F$4="High",IF($BG$80&lt;&gt;"",UPPER($BG$80),$D$5)="UP")))),CHAR(10)&amp;"• Vanna "&amp;IF($AG41="S","BUY ","SELL ")&amp;TEXT(N($AD41)/1000,"+#,##0;−#,##0")&amp;"K backs the level, but it does not outweigh DEX"&amp;IF(N($AZ41)*IF($AG41="R",1,-1)&lt;0," and speed",""),"")))&amp;IF(N($NE41)=1,CHAR(10)&amp;"• Buy-lean max-node exemption not applied — DEX leans against the level",""))</f>
      </c>
      <c r="NA41">
        <f>IF(AND(OR('King Node Model'!$A$8="Neg",N($BG$72)=1),ISNUMBER($AA41),ABS(N($AE41))&gt;=$BG$152,ISNUMBER($KU41),ISNUMBER($KV41)),IF(OR(AND($AG41="S",OR(AND($KU41&gt;=$BG$114,$KU41&gt;=$KV41+$BG$115),AND($KU41&gt;1,$KV41&lt;=1,$KV41&gt;=$BG$114))),AND($AG41="R",OR(AND($KV41&gt;=$BG$114,$KV41&gt;=$KU41+$BG$115),AND($KV41&gt;1,$KU41&lt;=1,$KU41&gt;=$BG$114)))),1,0),0)</f>
      </c>
      <c r="NB41" t="str">
        <f>IF(AND(N($NA41)=1,AND(AND($AG41="S",ISNUMBER($AB41),$AB41=MIN($AB$9:$AB$55),$AA41=$BG$105),IFERROR(INDEX($AG$9:$AG$55,MATCH('King Node Model'!$B$23,$AA$9:$AA$55,0)),"")="R")),CHAR(10)&amp;"• DEX falls off more sharply above ("&amp;TEXT($KU41,"0%")&amp;") than below ("&amp;TEXT($KV41,"0%")&amp;") — DEX-lean warning not applied: Min GEX + Max Zomma support with Max Gamma "&amp;'King Node Model'!$B$23&amp;" above (Dex↓ not counted)",IF(AND(OR(N($NA41)=1,N($NF41)=1),N($AV41)=1),IF(AND(OR('King Node Model'!$A$8="Neg",N($BG$72)=1),$AG41="S",ISNUMBER($AB41),$AB41=MIN($AB$9:$AB$55),$AA41=$BG$105),CHAR(10),"")&amp;"• DEX falls off more sharply "&amp;IF($AG41="S","above (","below (")&amp;TEXT(IF($AG41="S",$KU41,$KV41),"0%")&amp;") than "&amp;IF($AG41="S","below (","above (")&amp;TEXT(IF($AG41="S",$KV41,$KU41),"0%")&amp;") — DEX lean does not apply to iDex (isolated DEX)",""))</f>
      </c>
      <c r="NC41">
        <f>IF(OR($BG$163=1,AND($BG$161&gt;0,$BG$162&lt;99999,ISNUMBER($AA41),$AA41&lt;$BG$162)),1,0)</f>
      </c>
      <c r="ND41">
        <f>IF(OR($BG$163=-1,AND($BG$161&gt;0,$BG$162&lt;99999,ISNUMBER($AA41),$AA41&gt;$BG$161)),1,0)</f>
      </c>
      <c r="NE41">
        <f>IF(AND(OR('King Node Model'!$A$8="Neg",N($BG$72)=1),ISNUMBER(SEARCH("LOW",'Master Dashboard'!$M$5)),ISNUMBER(SEARCH("BUY",'Master Dashboard'!$G$8)),'King Node Model'!$T$23='King Node Model'!$B$23,OR($AA41='King Node Model'!$T$23,AND($AG41="R",$AA41='King Node Model'!$T$23+5)),OR(AND($AG41="S",$JV41="BUY"),AND($AG41="R",$JV41="SELL"))),1,0)</f>
      </c>
      <c r="NF41">
        <f>IFERROR(IF(OR(NOT(ISNUMBER($AA41)),'King Node Model'!$A$8&lt;&gt;"Pos",N($BG$72)=1,ABS(N($AE41))&lt;$BG$113,$FA41="DOM",$AA41='King Node Model'!$T$23,AND(N($BG$116)=1,$AA41='King Node Model'!$F$24),NOT(ISNUMBER($KU41)),NOT(ISNUMBER($KV41))),0,IF(AND($AG41="S",COUNTIF('Master Dashboard'!$AN$16:$AN$18,$AA41)=0,$KU41&gt;=$BG$114,$KU41&gt;=$KV41+$BG$115,NOT(AND(N($AN42)=1,N($KV41)&lt;0)),N($AE41)&lt;=0),1,IF(AND($AG41="R",COUNTIF('Master Dashboard'!$AN$13:$AN$15,$AA41)=0,$KV41&gt;=$BG$114,$KV41&gt;=$KU41+$BG$115,NOT(AND(N($AN40)=1,N($KU41)&lt;0))),-1,0))),0)</f>
      </c>
      <c r="NG41">
        <f t="shared" si="202"/>
      </c>
      <c r="NI41" t="str">
        <f>IF(AND(ISNUMBER($BG$165),ISNUMBER($AA41)),IF(OR(AND($AG41="S",$AA41&gt;$BG$165,$AA41-$BG$165&lt;=5),AND($AG41="R",$AA41&lt;$BG$165,$BG$165-$AA41&lt;=5)),IF(OR(AND(OR('King Node Model'!$A$8="Neg",N($BG$72)=1),$AG41="S",ISNUMBER($AB41),$AB41=MIN($AB$9:$AB$55),$AA41=$BG$105),$NB41&lt;&gt;""),CHAR(10),"")&amp;"• DOM forming at "&amp;$BG$165&amp;" (gamma "&amp;TEXT($BG$166,"0%")&amp;" of max) — price may be pulled to the node",""),"")</f>
      </c>
      <c r="NJ41">
        <f>IF(LEN($NI41)&gt;0,1,0)</f>
      </c>
    </row>
    <row r="42" spans="27:349" ht="15" customHeight="1" x14ac:dyDescent="0.25">
      <c r="AA42" s="181">
        <f>'King Node Model'!A62</f>
        <v>7720</v>
      </c>
      <c r="AB42" s="276">
        <f>'King Node Model'!C62</f>
        <v>-913709</v>
      </c>
      <c r="AC42" s="181">
        <f>ABS('King Node Model'!B62)</f>
        <v>1152307</v>
      </c>
      <c r="AD42" s="276">
        <f>'King Node Model'!F62</f>
        <v>3458031</v>
      </c>
      <c r="AE42" s="276">
        <f>'King Node Model'!E62</f>
        <v>553177</v>
      </c>
      <c r="AF42" s="276">
        <f>'King Node Model'!D62</f>
        <v>-12996522</v>
      </c>
      <c r="AG42" s="181" t="str">
        <f t="shared" si="6"/>
        <v>S</v>
      </c>
      <c r="AH42" s="181">
        <f t="shared" si="7"/>
        <v>7</v>
      </c>
      <c r="AI42" s="181" t="str">
        <f t="shared" si="8"/>
        <v>SELL</v>
      </c>
      <c r="AJ42" s="181">
        <f t="shared" si="9"/>
        <v>0</v>
      </c>
      <c r="AK42" s="181">
        <f>IF(ABS(N($AE42))&gt;=$BG$85,1,0)</f>
      </c>
      <c r="AL42" s="181">
        <f t="shared" si="10"/>
        <v>1</v>
      </c>
      <c r="AM42" s="181">
        <f t="shared" si="11"/>
        <v>1</v>
      </c>
      <c r="AN42" s="181">
        <f t="shared" si="12"/>
        <v>0</v>
      </c>
      <c r="AO42" s="1" t="str">
        <f t="shared" si="13"/>
        <v/>
      </c>
      <c r="AP42" s="1">
        <f t="shared" si="14"/>
        <v>553177</v>
      </c>
      <c r="AQ42" s="1">
        <f t="shared" si="15"/>
        <v>12996522</v>
      </c>
      <c r="AR42" s="181">
        <f t="shared" si="16"/>
        <v>0.33708758569390873</v>
      </c>
      <c r="AS42" s="181">
        <f t="shared" si="17"/>
        <v>7</v>
      </c>
      <c r="AT42" s="181" t="str">
        <f t="shared" si="18"/>
        <v/>
      </c>
      <c r="AU42" s="181" t="str">
        <f t="shared" si="19"/>
        <v/>
      </c>
      <c r="AV42" s="218">
        <f t="shared" si="183"/>
        <v>0</v>
      </c>
      <c r="AW42" s="181">
        <f>ABS('King Node Model'!G62)</f>
        <v>1654</v>
      </c>
      <c r="AX42" s="181">
        <f t="shared" si="20"/>
        <v>1</v>
      </c>
      <c r="AY42" s="181">
        <f t="shared" si="21"/>
        <v>1</v>
      </c>
      <c r="AZ42" s="276">
        <f>'King Node Model'!I62</f>
        <v>15083</v>
      </c>
      <c r="BA42" s="181">
        <f t="shared" si="22"/>
        <v>0</v>
      </c>
      <c r="BB42" s="181" t="str">
        <f t="shared" si="23"/>
        <v>S7</v>
      </c>
      <c r="BC42" s="10">
        <f>'King Node Model'!C62</f>
        <v>-913709</v>
      </c>
      <c r="BD42" s="218">
        <f t="shared" si="184"/>
        <v>0</v>
      </c>
      <c r="BE42" s="218">
        <f t="shared" si="185"/>
        <v>0</v>
      </c>
      <c r="BF42" s="218" t="s">
        <v>1251</v>
      </c>
      <c r="BG42">
        <v>0.5</v>
      </c>
      <c r="BI42" s="218">
        <f t="shared" si="186"/>
        <v>0</v>
      </c>
      <c r="BJ42" s="218">
        <f t="shared" si="187"/>
        <v>0</v>
      </c>
      <c r="BK42" s="218">
        <f t="shared" si="24"/>
        <v>0</v>
      </c>
      <c r="BL42" s="10">
        <f>'King Node Model'!H62</f>
        <v>85</v>
      </c>
      <c r="BM42" s="218">
        <f t="shared" si="25"/>
        <v>9</v>
      </c>
      <c r="BN42" s="218">
        <f t="shared" si="26"/>
        <v>2</v>
      </c>
      <c r="BO42" s="218">
        <f t="shared" si="27"/>
        <v>0</v>
      </c>
      <c r="BP42" s="218">
        <f t="shared" si="28"/>
        <v>0</v>
      </c>
      <c r="BQ42" t="str">
        <f t="shared" si="29"/>
        <v/>
      </c>
      <c r="BR42" t="str">
        <f t="shared" si="30"/>
        <v/>
      </c>
      <c r="BS42" s="218">
        <f t="shared" si="31"/>
        <v>0</v>
      </c>
      <c r="BT42" t="str">
        <f t="shared" si="32"/>
        <v/>
      </c>
      <c r="BU42" t="str">
        <f t="shared" si="33"/>
        <v/>
      </c>
      <c r="BV42" s="218">
        <f t="shared" si="34"/>
        <v>3458031</v>
      </c>
      <c r="BW42" s="218">
        <f t="shared" si="35"/>
        <v>553177</v>
      </c>
      <c r="BX42" s="218">
        <f>IF(AND(ISNUMBER(BC42),BC42&gt;=$BG$160,OR('King Node Model'!$A$8="Neg",N($BG$72)=1)),1,0)</f>
        <v>0</v>
      </c>
      <c r="BY42" s="218">
        <f t="shared" si="36"/>
        <v>0</v>
      </c>
      <c r="BZ42" s="218">
        <f t="shared" si="37"/>
        <v>0</v>
      </c>
      <c r="CA42" t="str">
        <f t="shared" si="38"/>
        <v/>
      </c>
      <c r="CB42" s="218">
        <f>IF(AND(ISNUMBER('King Node Model'!$D$27),AG42&lt;&gt;"",AA42='King Node Model'!$D$27),1,0)</f>
        <v>0</v>
      </c>
      <c r="CC42" s="218">
        <f>IF(OR('King Node Model'!$A$8="Neg",N($BG$72)=1),$BG$14*IF(ISNUMBER('King Node Model'!$D$26),MAX(0,1-ABS(AA42-'King Node Model'!$D$26)/$BG$18),0)+$BG$15*IFERROR(BV42/MAX($BV$9:$BV$55),0)+$BG$16*IFERROR(BW42/MAX($BW$9:$BW$55),0)+$BG$17*IFERROR(AC42/$S$11,0)*MAX(0,1+$BG$21*CF42),AR42)</f>
        <v>1.2191077795138416</v>
      </c>
      <c r="CD42" s="218">
        <f>IF(OR('King Node Model'!$A$8="Neg",N($BG$72)=1),IF(AND(AG42&lt;&gt;"",ABS(AA42-$B$4)&lt;=$BG$7,OR(AX42=0,$D$5&lt;&gt;"UP"),AY42=0,BK42&lt;&gt;1,CI42=0,AM42&gt;=$BG$20,AC42&gt;$BG$19),1,0),IF(AND(BS42=1,(COUNTIF($W$9:$W$14,AA42)+COUNTIF($W$18:$W$23,AA42))&gt;0,CI42=0,AM42&gt;=$BG$20,AC42&gt;$BG$19),1,0))</f>
        <v>0</v>
      </c>
      <c r="CE42" t="str">
        <f t="shared" si="39"/>
        <v/>
      </c>
      <c r="CF42" s="218">
        <f t="shared" si="40"/>
        <v>1</v>
      </c>
      <c r="CG42" t="str">
        <f t="shared" si="41"/>
        <v>ACCEL fading · Neg gamma ↓ (firmer support)</v>
      </c>
      <c r="CH42" t="str">
        <f t="shared" si="42"/>
        <v>Strengthening</v>
      </c>
      <c r="CI42" s="218">
        <f t="shared" si="43"/>
        <v>0</v>
      </c>
      <c r="CJ42" s="218">
        <f t="shared" si="44"/>
        <v>387420489</v>
      </c>
      <c r="CK42" s="218">
        <f t="shared" si="45"/>
        <v>0</v>
      </c>
      <c r="CL42" s="218">
        <f t="shared" si="46"/>
        <v>0</v>
      </c>
      <c r="CR42" t="s">
        <v>1501</v>
      </c>
      <c r="CS42" t="str">
        <f>IFERROR(INDEX($AG$9:$AG$55,MATCH($CS$40,$AA$9:$AA$55,0)),"")</f>
        <v>S</v>
      </c>
      <c r="CU42" s="218">
        <f>IF(AND(AND('King Node Model'!$A$8&lt;&gt;"Neg",N($BG$72)&lt;&gt;1),SUMPRODUCT(($AG$9:$AG$55="S")*ISNUMBER($AT$9:$AT$55)*ISNUMBER($AU$9:$AU$55)*($AT$9:$AT$55&lt;&gt;$AU$9:$AU$55)*($AT$9:$AT$55&lt;=$AA42)*($AU$9:$AU$55&gt;=$AA42))&gt;0),0,IF(AND(OR($AA42='King Node Model'!$T$22,$AA42='King Node Model'!$F$24),$AG42="R",COUNTIF($W$9:$W$14,$AA42)&gt;0),1,IF(AND($FN42=1,$EU42&lt;&gt;1,$EM42&lt;&gt;1,$BK42&lt;&gt;1,$DH42&lt;&gt;1,$AG42="R",COUNTIF($W$9:$W$14,$AA42)&gt;0),1,IF($EU42=1,0,IF($EM42=1,0,IF(AND(OR($EE42=1,$GV42=1,AND($EL$7=1,$AA42='King Node Model'!$D$26,$EI42=1),AND(OR($AA42='King Node Model'!$T$22,$AA42='King Node Model'!$T$23),$AN42=1,OR($AX42=0,$D$5&lt;&gt;"UP"))),OR(NOT(OR('King Node Model'!$A$8="Neg",N($BG$72)=1)),$GV42=1,AND(OR($AA42='King Node Model'!$T$22,$AA42='King Node Model'!$T$23),$AN42=1,OR($AX42=0,$D$5&lt;&gt;"UP")),AND($AM42&gt;=$BG$20,$AC42&gt;IF($CZ42=1,$BG$48,$BG$19)))),1,IF($DH42=1,0,IF(AND($DC42=1,$GS42&lt;&gt;1,AND('King Node Model'!$A$8&lt;&gt;"Neg",N($BG$72)&lt;&gt;1)),0,IF(AND($EY42=1,NOT(OR('King Node Model'!$A$8="Neg",$BG$72=1)),$AA42&lt;&gt;'King Node Model'!$B$23),0,IF(AND($GS42=1,$AG42="R",OR($CI42=0,$EE42=1,$EX42=1,$GV42=1),COUNTIF($W$9:$W$14,$AA42)&gt;0,ABS($AA42-$B$4)&lt;=$BG$7,$BK42&lt;&gt;1,$AM42&gt;=$BG$20,$AC42&gt;IF($CZ42=1,$BG$48,$BG$19)),1,IF(OR('King Node Model'!$A$8="Neg",N($BG$72)=1),IF(AND(OR($AM42&gt;=$BG$20,$AA42='King Node Model'!$D$26,$GV42=1),$AG42="R",COUNTIF($W$9:$W$14,$AA42)&gt;0,ABS($AA42-$B$4)&lt;=$BG$7,OR($AX42=0,$D$5&lt;&gt;"UP"),$BK42&lt;&gt;1,OR(OR($CI42=0,$AJ42=1),AND($EI42=1,$LA42=1,COUNTIF($W$9:$W$11,$AA42)&gt;0,$AN42=1,OR($AX42=0,$D$5&lt;&gt;"UP"))),$AM42&gt;=$BG$20,$AC42&gt;IF($CZ42=1,$BG$48,$BG$19),OR($AN42=1,N($LR42)=1,$AA42='King Node Model'!$D$26,AND($BY42=1,$AA42&gt;$B$4),$BX42=1,$CF42=1,$CF42=1,AND(OR($AA42=$CP$4,$AA42=$CP$5,$AA42=$CP$6,$AA42=$CP$7),ABS($AA42-$B$4)&lt;=30),AND($AX42=1,$D$5="DOWN"))),1,0),IF(AND(OR($AM42&gt;=3,$AA42='King Node Model'!$D$26,$GV42=1),$AG42="R",COUNTIF($W$9:$W$14,$AA42)&gt;0,ABS($AA42-$B$4)&lt;=$BG$7,OR($AX42=0,$D$5&lt;&gt;"UP"),$BK42&lt;&gt;1,OR($CI42=0,$AJ42=1),$AM42&gt;=$BG$20,$AC42&gt;IF($CZ42=1,$BG$48,$BG$19),OR($AC42&gt;=MAX($AC$9:$AC$55),$BC42&gt;0,$AA42='King Node Model'!$D$26,AND(OR($AA42=$CP$4,$AA42=$CP$5,$AA42=$CP$6,$AA42=$CP$7),ABS($AA42-$B$4)&lt;=30),$CF42=1,$AN42=1,AND($AX42=1,$D$5="DOWN"))),1,0))))))))))))</f>
        <v>0</v>
      </c>
      <c r="CV42" s="218">
        <f>IF(AND(OR('King Node Model'!$A$8="Neg",N($BG$72)=1),$AG42="S",N($LR42)=1,N($MB42)=1),1,IF(AND(AND('King Node Model'!$A$8&lt;&gt;"Neg",N($BG$72)&lt;&gt;1),SUMPRODUCT(($AG$9:$AG$55="R")*ISNUMBER($AT$9:$AT$55)*ISNUMBER($AU$9:$AU$55)*($AT$9:$AT$55&lt;&gt;$AU$9:$AU$55)*($AT$9:$AT$55&lt;=$AA42)*($AU$9:$AU$55&gt;=$AA42))&gt;0,NOT(AND(N($LC42)=1,$AA42='King Node Model'!$B$23))),0,IF(AND($AA42='King Node Model'!$F$24,$AG42="S",COUNTIF($W$18:$W$23,$AA42)&gt;0),1,IF(AND($FN42=1,$EU42&lt;&gt;1,$EM42&lt;&gt;1,$DH42&lt;&gt;1,$AG42="S",COUNTIF($W$18:$W$23,$AA42)&gt;0),1,IF($EU42=1,0,IF(AND(OR($EF42=1,$GV42=1,AND(OR($AA42='King Node Model'!$T$22,$AA42='King Node Model'!$T$23,AND($AG42="S",COUNTIF('Master Dashboard'!$AN$16:$AN$18,$AA42)&gt;0)),$AN42=1,OR($AX42=0,$D$5&lt;&gt;"UP"))),OR(NOT(OR('King Node Model'!$A$8="Neg",N($BG$72)=1)),$GV42=1,AND(OR($AA42='King Node Model'!$T$22,$AA42='King Node Model'!$T$23,AND($AG42="S",COUNTIF('Master Dashboard'!$AN$16:$AN$18,$AA42)&gt;0)),$AN42=1,OR($AX42=0,$D$5&lt;&gt;"UP")),AND($AM42&gt;=$BG$20,$AC42&gt;IF($CZ42=1,$BG$48,$BG$19)))),1,IF($DH42=1,0,IF(AND($DC42=1,$GS42&lt;&gt;1,AND('King Node Model'!$A$8&lt;&gt;"Neg",N($BG$72)&lt;&gt;1)),0,IF(AND($EY42=1,NOT(OR('King Node Model'!$A$8="Neg",$BG$72=1)),$AA42&lt;&gt;'King Node Model'!$B$23,COUNTIF('Master Dashboard'!$AN$16:$AN$18,$AA42)=0),0,IF(AND($GS42=1,$AG42="S",OR($CI42=0,$EF42=1,$EX42=1,$GV42=1),COUNTIF($W$18:$W$23,$AA42)&gt;0,ABS($AA42-$B$4)&lt;=$BG$7,$BK42&lt;&gt;1,$AM42&gt;=$BG$20,$AC42&gt;IF($CZ42=1,$BG$48,$BG$19)),1,IF(OR('King Node Model'!$A$8="Neg",N($BG$72)=1),IF(AND(OR(OR($AM42&gt;=$BG$20,N($LR42)=1),$AA42='King Node Model'!$D$26,$GV42=1),$AG42="S",COUNTIF($W$18:$W$23,$AA42)&gt;0,ABS($AA42-$B$4)&lt;=$BG$7,OR($AX42=0,$D$5&lt;&gt;"UP"),$BK42&lt;&gt;1,OR($CI42=0,$AJ42=1,AND(N($LR42)=1,N($MB42)=1),N($MT42)=1),OR($AM42&gt;=$BG$20,N($LR42)=1),$AC42&gt;IF($CZ42=1,$BG$48,$BG$19),OR($AB42&gt;0,$AN42=1,N($MT42)=1,N($LR42)=1,$AA42='King Node Model'!$D$26,AND($BY42=1,$AA42&lt;$B$4),$BX42=1,$CF42=1,$CF42=1,AND(OR($AA42=$CP$4,$AA42=$CP$5,$AA42=$CP$6,$AA42=$CP$7),ABS($AA42-$B$4)&lt;=30),AND($AX42=1,$D$5="DOWN"))),1,0),IF(AND(OR($AM42&gt;=3,$AA42='King Node Model'!$D$26,$GV42=1),$AG42="S",COUNTIF($W$18:$W$23,$AA42)&gt;0,ABS($AA42-$B$4)&lt;=$BG$7,OR($AX42=0,$D$5&lt;&gt;"UP"),$BK42&lt;&gt;1,OR($CI42=0,$AJ42=1,AND(N($LR42)=1,N($MB42)=1),N($MT42)=1),$AM42&gt;=$BG$20,$AC42&gt;IF($CZ42=1,$BG$48,$BG$19),OR($AC42&gt;=MAX($AC$9:$AC$55),$BC42&gt;0,N($MT42)=1,$AA42='King Node Model'!$D$26,AND(OR($AA42=$CP$4,$AA42=$CP$5,$AA42=$CP$6,$AA42=$CP$7),ABS($AA42-$B$4)&lt;=30),$CF42=1,$AN42=1,AND($AX42=1,$D$5="DOWN"))),1,0))))))))))))</f>
        <v>0</v>
      </c>
      <c r="CX42" s="218">
        <f t="shared" si="48"/>
        <v>0</v>
      </c>
      <c r="CY42" t="str">
        <f t="shared" si="49"/>
        <v/>
      </c>
      <c r="CZ42" s="218">
        <f t="shared" si="50"/>
        <v>0</v>
      </c>
      <c r="DA42" t="str">
        <f t="shared" si="51"/>
        <v/>
      </c>
      <c r="DB42" t="str">
        <f t="shared" si="52"/>
        <v/>
      </c>
      <c r="DC42" s="218">
        <f t="shared" si="53"/>
        <v>0</v>
      </c>
      <c r="DD42" s="218">
        <f t="shared" si="54"/>
        <v>0</v>
      </c>
      <c r="DE42" s="218">
        <f t="shared" si="55"/>
        <v>0</v>
      </c>
      <c r="DF42" t="str">
        <f t="shared" si="56"/>
        <v/>
      </c>
      <c r="DG42" t="str">
        <f t="shared" si="57"/>
        <v/>
      </c>
      <c r="DH42" s="218">
        <f t="shared" si="58"/>
        <v>0</v>
      </c>
      <c r="DI42">
        <v>0.999</v>
      </c>
      <c r="DJ42">
        <v>1</v>
      </c>
      <c r="DK42">
        <v>1005047</v>
      </c>
      <c r="DL42">
        <v>0</v>
      </c>
      <c r="DM42" t="str">
        <f>IF(AND($CV42=1,$AG42="S"),IF(AND(OR('King Node Model'!$A$8="Neg",N($BG$72)=1),'King Node Model'!$S$52=""),IF(OR(N($AN42)=1,N($LR42)=1,$AB42&gt;0,$AJ42=1,N($JO42)=1,AND(NOT($AE42&gt;0),NOT(IFERROR(AND(ISNUMBER($BC42),ISNUMBER($BC41),($BC42&gt;=0)&lt;&gt;($BC41&gt;=0)),FALSE())),OR(AND($BM42&lt;=6,$BN42&lt;=6),ABS($AA42-'King Node Model'!$T$23)&lt;=5,$LA42=1))),1,0),1),"")</f>
        <v/>
      </c>
      <c r="DN42" t="str">
        <f t="shared" si="59"/>
        <v/>
      </c>
      <c r="DO42" t="str">
        <f t="shared" si="60"/>
        <v>W-list</v>
      </c>
      <c r="DP42" t="str">
        <f>IF(AND(OR('King Node Model'!$A$8="Neg",N($BG$72)=1),$AG42="S",ISNUMBER($AT42),ISNUMBER($AU42),$AT42&lt;&gt;$AU42,$AA42=$AT42),IF(AND(SUMPRODUCT(($AA$9:$AA$55&gt;=$AT42)*($AA$9:$AA$55&lt;=$AU42)*($AB$9:$AB$55&gt;0))&gt;0,SUMPRODUCT(($AA$9:$AA$55&gt;=$AT42)*($AA$9:$AA$55&lt;=$AU42)*($DM$9:$DM$55=1))&gt;0,SUMPRODUCT(($AA$9:$AA$55&gt;=$AT42)*($AA$9:$AA$55&lt;=$AU42)*(COUNTIF($W$18:$W$20,$AA$9:$AA$55)&gt;0))&gt;0),1,0),"")</f>
        <v/>
      </c>
      <c r="DS42">
        <v>0</v>
      </c>
      <c r="DT42">
        <v>0</v>
      </c>
      <c r="DU42" t="str">
        <f>IF('King Node Model'!$A$8&lt;&gt;"Pos","",IF(OR($AA42="",NOT(ISNUMBER($AA42)),ABS($AA42-$B$4)&gt;$BG$7),"",TEXT($AA42,"0")&amp;" | "&amp;IF($AG42="","unclassified",IF($AG42&lt;&gt;IF($AA42&gt;$B$4,"R","S"),"orphan: in "&amp;$AG42&amp;"-list, "&amp;IF($AA42&lt;$B$4,"below","above")&amp;" spot",IF(IF($AG42="R",COUNTIF($W$9:$W$14,$AA42),COUNTIF($W$18:$W$23,$AA42))=0,"not in "&amp;$AG42&amp;"-list",IF($DH42=1,"absorbed into shelf box",IF($BK42=1,"absorbed: adjacent reversal",IF($CI42=1,"accel-accelerant",IF($AC42&lt;=$BG$19,"below gamma-floor",IF($AM42&lt;$BG$20,"confluence "&amp;TEXT($AM42,"0")&amp;" &lt; "&amp;TEXT($BG$20,"0"),IF(AND($AX42=1,$D$5="UP"),"accelerant in up-move",IF(NOT(OR($AC42&gt;=MAX($AC$9:$AC$55),$BC42&gt;0,$AA42='King Node Model'!$D$26,AND(OR($AA42=$CP$4,$AA42=$CP$5,$AA42=$CP$6,$AA42=$CP$7),ABS($AA42-$B$4)&lt;=30),ISNUMBER(SEARCH("STRENGTHENING",$CG42)),$AN42=1,AND($AX42=1,$D$5="DOWN"))),"no surface flag","-&gt; qualifies"))))))))))))</f>
        <v/>
      </c>
      <c r="DV42" s="218">
        <f t="shared" si="61"/>
        <v>99999</v>
      </c>
      <c r="DW42" s="218">
        <f t="shared" si="62"/>
        <v>99999</v>
      </c>
      <c r="DX42" t="str">
        <f>IF('King Node Model'!$A$8&lt;&gt;"Pos","",IF(AND($DV42&lt;99999,$DV42=MIN($DV$9:$DV$55),$DG42&gt;$AA42),"R-box: "&amp;TEXT($AA42,"0")&amp;"-"&amp;TEXT($DG42,"0"),IF(AND($DW42&lt;99999,$DW42=MIN($DW$9:$DW$55),$DF42&lt;$AA42),"S-box: "&amp;TEXT($DF42,"0")&amp;"-"&amp;TEXT($AA42,"0"),"")))</f>
        <v/>
      </c>
      <c r="EB42">
        <f t="shared" si="63"/>
        <v>55.390000000000327</v>
      </c>
      <c r="EC42">
        <f t="shared" si="64"/>
        <v>538591</v>
      </c>
      <c r="ED42">
        <f t="shared" si="65"/>
        <v>0</v>
      </c>
      <c r="EE42">
        <f>IF(AND(OR('King Node Model'!$A$8="Neg",N($BG$72)=1),$AG42="R",ISNUMBER($EB42),$EB42&lt;=$BG$7,$AB42&gt;0,$EC42&gt;0,$AB42=$EC42),1,0)</f>
        <v>0</v>
      </c>
      <c r="EF42">
        <f>IF(AND(OR('King Node Model'!$A$8="Neg",N($BG$72)=1),$AG42="S",ISNUMBER($EB42),$EB42&lt;=$BG$7,$AB42&gt;0,$ED42&gt;0,$AB42=$ED42),1,0)</f>
        <v>0</v>
      </c>
      <c r="EI42">
        <v>1</v>
      </c>
      <c r="EJ42">
        <f>IF($AA42="",0,IF(SUMPRODUCT(($AA$9:$AA$55&gt;=$AT42)*($AA$9:$AA$55&lt;=$AU42)*($DT$9:$DT$55=1))+SUMPRODUCT(($DT$9:$DT$55=1)*($AT$9:$AT$55&lt;=$AA42)*($AU$9:$AU$55&gt;=$AA42))+($DT42=1)+AND(OR('King Node Model'!$A$8="Neg",N($BG$72)=1),ISNUMBER(SEARCH("LOW",'Master Dashboard'!$M$5)),ISNUMBER(SEARCH("BUY",'Master Dashboard'!$G$8)),'King Node Model'!$T$23='King Node Model'!$B$23,$AA42&gt;='King Node Model'!$T$23,$AA42&lt;='King Node Model'!$T$23+5)*1&gt;0,1,0))</f>
        <v>0</v>
      </c>
      <c r="EM42">
        <f t="shared" si="66"/>
        <v>0</v>
      </c>
      <c r="EN42">
        <v>0</v>
      </c>
      <c r="EO42">
        <f t="shared" si="67"/>
        <v>0</v>
      </c>
      <c r="EP42">
        <f t="shared" si="68"/>
        <v>0</v>
      </c>
      <c r="EQ42" t="str">
        <f t="shared" si="69"/>
        <v>ACCEL fading · Neg gamma ↓ (firmer support)</v>
      </c>
      <c r="ES42" t="str">
        <f>IF(AND(ISNUMBER(AA42),ISNUMBER(AF42),ABS(AA42-'King Node Model'!$B$4)&lt;=$BG$7),ABS(AF42),"")</f>
        <v/>
      </c>
      <c r="ET42">
        <v>0</v>
      </c>
      <c r="EU42" s="218">
        <f>IF(AND(OR('King Node Model'!$A$8="Neg",N($BG$72)=1),ISNUMBER($AA41),ISNUMBER($AA42),ISNUMBER($AA43),ISNUMBER($AB41),ISNUMBER($AB42),ISNUMBER($AB43),ISNUMBER($AF42),$AB42&gt;0,$AB41&lt;0,$AB43&lt;0,$AF42&lt;0),1,0)</f>
        <v>0</v>
      </c>
      <c r="EW42">
        <f>IF(OR(N($MY42)=1,N($JM42)=1),0,N($NE42))</f>
        <v>0</v>
      </c>
      <c r="EX42">
        <f>IF(AND(OR('King Node Model'!$A$8="Neg",N($BG$72)=1),ISNUMBER($AA42),OR(AND($AA42='King Node Model'!$F$24,OR(AND($AG42="S",$F$4="High",IF($BG$80&lt;&gt;"",UPPER($BG$80),$D$5)="DOWN"),AND($AG42="R",$F$4="Low",IF($BG$80&lt;&gt;"",UPPER($BG$80),$D$5)="UP"))),$GV42=1)),1,0)</f>
        <v>0</v>
      </c>
      <c r="EY42">
        <f>IFERROR(IF(AND($DC42=1,$AB42&lt;0,$AC42&gt;=(1+$FA$6)*INDEX($AC$9:$AC$55,34-1),$AC42&gt;=(1+$FA$6)*INDEX($AC$9:$AC$55,34+1),$AC42&gt;=IFERROR(INDEX($AC$9:$AC$55,34-2),0),$AC42&gt;=IFERROR(INDEX($AC$9:$AC$55,34+2),0)),1,0),0)</f>
        <v>0</v>
      </c>
      <c r="FA42" t="str">
        <f>IF(NOT(ISNUMBER($AA42)),"",IFERROR(IF(AND($AC42=MAX($AC$9:$AC$55),$AB42=MIN($AB$9:$AB$55)),"DOM",IF(AND($DC41=1,$DC42=1,$DC43=1,INDEX($AC$9:$AC$55,34-1)&lt;=(1-$FA$6)*$AC42,INDEX($AC$9:$AC$55,34-1)&lt;=(1-$FA$6)*INDEX($AC$9:$AC$55,34-2)),"GAP↑",IF(AND($DC43=1,$DC42=1,INDEX($AC$9:$AC$55,34+1)&lt;=(1-$FA$6)*$AC42,INDEX($AC$9:$AC$55,34+1)&lt;=(1-$FA$6)*INDEX($AC$9:$AC$55,34+2)),"GAP↓",IF($CZ42=1,"dEdge Cliff",IF($GY42=1,"γWall",IF(AND($DC42=1,$AB42&lt;0,$AC42&gt;=(1+$FA$6)*INDEX($AC$9:$AC$55,34-1),$AC42&gt;=(1+$FA$6)*INDEX($AC$9:$AC$55,34+1)),"PEAK-",IF($GZ42=1,"γSh Edge",IF($HL42=1,"Trough",IF($HN42=1,"PEAK+",IF($GF42=1,"Cluster","")))))))))),""))</f>
        <v>γWall</v>
      </c>
      <c r="FB42" t="str">
        <f t="shared" si="70"/>
        <v/>
      </c>
      <c r="FC42" t="str">
        <f t="shared" si="71"/>
        <v/>
      </c>
      <c r="FD42">
        <f>IF(AND(ISNUMBER($AA42),ISNUMBER('King Node Model'!$AP$17),ISNUMBER('King Node Model'!$AQ$17),$AA42&gt;=MIN('King Node Model'!$AP$17,'King Node Model'!$AQ$17),$AA42&lt;=MAX('King Node Model'!$AP$17,'King Node Model'!$AQ$17),IFERROR(INDEX($AC$9:$AC$55,MATCH('King Node Model'!$AL$42,$AA$9:$AA$55,0)),0)&gt;0,$AC42&gt;=(1-$FA$6)*IFERROR(INDEX($AC$9:$AC$55,MATCH('King Node Model'!$AL$42,$AA$9:$AA$55,0)),0),$AC42&lt;=(1+$FA$6)*IFERROR(INDEX($AC$9:$AC$55,MATCH('King Node Model'!$AL$42,$AA$9:$AA$55,0)),0)),1,0)</f>
        <v>0</v>
      </c>
      <c r="FE42">
        <f>IF($AA42='King Node Model'!$AL$42,1,IF(AND($FD42=1,$FE41=1),1,0))</f>
        <v>0</v>
      </c>
      <c r="FF42">
        <f>IF($AA42='King Node Model'!$AL$42,1,IF(AND($FD42=1,$FF43=1),1,0))</f>
        <v>0</v>
      </c>
      <c r="FG42" t="str">
        <f>IF(OR($FE42=1,$FF42=1),34,"")</f>
        <v/>
      </c>
      <c r="FJ42">
        <f>IF(AND($CW$2=1,ISNUMBER($AA42),ISNUMBER($CW$3),ISNUMBER($CW$4),$AA42&gt;=MIN($CW$3,$CW$4),$AA42&lt;=MAX($CW$3,$CW$4),IFERROR(INDEX($AC$9:$AC$55,MATCH('King Node Model'!$AP$67,$AA$9:$AA$55,0)),0)&gt;0,$AC42&gt;=(1-$FA$6)*IFERROR(INDEX($AC$9:$AC$55,MATCH('King Node Model'!$AP$67,$AA$9:$AA$55,0)),0),$AC42&lt;=(1+$FA$6)*IFERROR(INDEX($AC$9:$AC$55,MATCH('King Node Model'!$AP$67,$AA$9:$AA$55,0)),0)),1,0)</f>
        <v>0</v>
      </c>
      <c r="FK42">
        <f>IF(AND($CW$2=1,$AA42='King Node Model'!$AP$67),1,IF(AND($FJ42=1,$FK41=1),1,0))</f>
        <v>0</v>
      </c>
      <c r="FL42">
        <f>IF(AND($CW$2=1,$AA42='King Node Model'!$AP$67),1,IF(AND($FJ42=1,$FL43=1),1,0))</f>
        <v>0</v>
      </c>
      <c r="FM42" t="str">
        <f>IF(OR($FK42=1,$FL42=1),34,"")</f>
        <v/>
      </c>
      <c r="FN42">
        <v>0</v>
      </c>
      <c r="FR42" t="str">
        <f t="shared" si="72"/>
        <v/>
      </c>
      <c r="FS42">
        <f t="shared" si="188"/>
        <v>0</v>
      </c>
      <c r="FT42">
        <f t="shared" si="73"/>
        <v>-0.79293886091119814</v>
      </c>
      <c r="FU42">
        <f t="shared" si="74"/>
        <v>1152307</v>
      </c>
      <c r="FV42">
        <f>IF($FW42=0,"",IF(OR($FW41=0,SIGN(IFERROR($BC42*1,0))&lt;&gt;SIGN(IFERROR($BC41*1,0)),$GH42=1,$GH41=1),MAX($FV$9:$FV41)+1,$FV41))</f>
        <v>13</v>
      </c>
      <c r="FW42">
        <f t="shared" si="75"/>
        <v>1</v>
      </c>
      <c r="FX42">
        <f t="shared" si="76"/>
        <v>1152307</v>
      </c>
      <c r="FY42">
        <f t="shared" si="77"/>
        <v>1</v>
      </c>
      <c r="FZ42">
        <f t="shared" si="189"/>
        <v>1</v>
      </c>
      <c r="GA42">
        <f t="shared" si="78"/>
        <v>1</v>
      </c>
      <c r="GB42">
        <f t="shared" si="79"/>
        <v>1</v>
      </c>
      <c r="GC42">
        <f t="shared" si="80"/>
        <v>1152307</v>
      </c>
      <c r="GD42">
        <f t="shared" si="81"/>
        <v>7720</v>
      </c>
      <c r="GE42">
        <f t="shared" si="82"/>
        <v>7720</v>
      </c>
      <c r="GF42">
        <f t="shared" si="83"/>
        <v>0</v>
      </c>
      <c r="GH42">
        <f>IFERROR(IF(AND($AC42&gt;=(1+$FA$6)*INDEX($AC$9:$AC$55,34-1),$AC42&gt;=(1+$FA$6)*INDEX($AC$9:$AC$55,34+1)),1,0),0)</f>
        <v>1</v>
      </c>
      <c r="GK42">
        <v>0</v>
      </c>
      <c r="GO42">
        <v>0</v>
      </c>
      <c r="GP42">
        <v>0</v>
      </c>
      <c r="GQ42">
        <f t="shared" si="84"/>
        <v>0</v>
      </c>
      <c r="GR42">
        <f t="shared" si="85"/>
        <v>0</v>
      </c>
      <c r="GS42">
        <f>IF(AND($EY42=1,$AA42&lt;&gt;'King Node Model'!$B$23),0,IF(OR($GQ42=1,$GR42=1),1,IF($DC42=1,IF(OR('King Node Model'!$A$8="Neg",N($BG$72)=1),IF(OR(AND($AC42=MAX($AC$9:$AC$55),$AB42=MIN($AB$9:$AB$55)),$AN42=1,$EE42=1,$EF42=1,$EX42=1,$GV42=1),1,0),1),0)))</f>
        <v>0</v>
      </c>
      <c r="GT42">
        <f>IFERROR(IF(AND(OR('King Node Model'!$A$8="Neg",N($BG$72)=1),$EU41=1,$AG42="R",ISNUMBER($AA42),ISNUMBER($AF42),$AF42&lt;&gt;0,$AA42&gt;$B$4-$BG$9,$AA42-$B$4&lt;=$BG$47,IF($KC42="UP",SIGN($AF42),IF($KC42="DOWN",-SIGN($AF42),0))&lt;&gt;1),1,0),0)</f>
        <v>0</v>
      </c>
      <c r="GU42" t="str">
        <f t="shared" si="86"/>
        <v/>
      </c>
      <c r="GV42">
        <f t="shared" si="87"/>
        <v>0</v>
      </c>
      <c r="GW42" t="str">
        <f t="shared" si="88"/>
        <v/>
      </c>
      <c r="GX42">
        <f t="shared" si="89"/>
        <v>55.390000000000327</v>
      </c>
      <c r="GY42">
        <f t="shared" si="90"/>
        <v>1</v>
      </c>
      <c r="GZ42">
        <f t="shared" si="91"/>
        <v>0</v>
      </c>
      <c r="HA42">
        <v>1</v>
      </c>
      <c r="HF42">
        <f>IFERROR(IF(AND($GZ42=1,'King Node Model'!$A$8="Pos",$D$5="UP",$CF42=-1,$AJ42&lt;&gt;1),1,0),0)</f>
        <v>0</v>
      </c>
      <c r="HG42">
        <f t="shared" si="92"/>
        <v>0</v>
      </c>
      <c r="HH42" t="str">
        <f>IF($GZ42=1,"",IFERROR(IF(NOT(ISNUMBER($AA42)),"",IF($EY42=1,"",IF($GF42=1,IF($GD42=$GE42,"",$GD42),IF(OR(AND($DC41=1,$DC42=1,$DC43=1,INDEX($AC$9:$AC$55,34-1)&lt;=(1-$FA$6)*$AC42,INDEX($AC$9:$AC$55,34-1)&lt;=(1-$FA$6)*INDEX($AC$9:$AC$55,34-2)),AND($DC43=1,$DC42=1,INDEX($AC$9:$AC$55,34+1)&lt;=(1-$FA$6)*$AC42,INDEX($AC$9:$AC$55,34+1)&lt;=(1-$FA$6)*INDEX($AC$9:$AC$55,34+2)),AND($DC42=1,OR(INDEX($DC$9:$DC$55,34-1)=0,INDEX($DC$9:$DC$55,34+1)=0))),IF(MIN($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MAX($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MIN($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f>
        <v/>
      </c>
      <c r="HI42" t="str">
        <f>IF($GZ42=1,"",IFERROR(IF(NOT(ISNUMBER($AA42)),"",IF($EY42=1,"",IF($GF42=1,IF($GD42=$GE42,"",$GE42),IF(OR(AND($DC41=1,$DC42=1,$DC43=1,INDEX($AC$9:$AC$55,34-1)&lt;=(1-$FA$6)*$AC42,INDEX($AC$9:$AC$55,34-1)&lt;=(1-$FA$6)*INDEX($AC$9:$AC$55,34-2)),AND($DC43=1,$DC42=1,INDEX($AC$9:$AC$55,34+1)&lt;=(1-$FA$6)*$AC42,INDEX($AC$9:$AC$55,34+1)&lt;=(1-$FA$6)*INDEX($AC$9:$AC$55,34+2)),AND($DC42=1,OR(INDEX($DC$9:$DC$55,34-1)=0,INDEX($DC$9:$DC$55,34+1)=0))),IF(MIN($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MAX($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MAX($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f>
        <v/>
      </c>
      <c r="HL42">
        <f t="shared" si="93"/>
        <v>0</v>
      </c>
      <c r="HM42">
        <f>IFERROR(IF(AND($HL42=1,NOT(OR($AA42='King Node Model'!$T$22,$AA42='King Node Model'!$T$23,$AA42='King Node Model'!$F$24,AND($AG42="S",COUNTIF('Master Dashboard'!$AN$16:$AN$18,$AA42)&gt;0),AND($AG42="R",COUNTIF('Master Dashboard'!$AN$13:$AN$15,$AA42)&gt;0)))),1,0),0)</f>
        <v>0</v>
      </c>
      <c r="HN42">
        <f t="shared" si="94"/>
        <v>0</v>
      </c>
      <c r="HO42">
        <f t="shared" si="95"/>
        <v>0</v>
      </c>
      <c r="HP42">
        <f t="shared" si="96"/>
        <v>1</v>
      </c>
      <c r="HQ42" t="str">
        <f>IF(NOT(ISNUMBER($AA42)),"",IFERROR(TRIM(IF(N($MY42)=1,"DEXLEAN ","")&amp;IF(N($IZ42)=1,"DEXCAP ","")&amp;IF(AND($AG42="S",UPPER('King Node Model'!$L$5)="HIGH",$KC42="DOWN",N($AF42)&gt;0,$AA42='King Node Model'!$AN$70,$IY42="SELL"),"CHOPEDGEIV ","")&amp;IF(N($IS42)=1,"NOREV ","")&amp;IF(N($JY42)=1,"VFLAT ","")&amp;IF(N($KR42)=1,"GDEXVANNA ","")&amp;IF(N($LD42)=1,"KGSUPFAIL ","")&amp;IF(N($LE42)=1,"KGRESLEAK ","")&amp;IF(N($MH42)=1,"ZIGZAG ","")&amp;IF(N($KK42)=1,"DATAGAP ","")&amp;IF(N($KA42)&lt;&gt;0,"ACCUNDERCW ","")&amp;IF(AND($AG42="S",$HF42=1),"EDGE ","")&amp;IF(AND($HM42=1,'King Node Model'!$A$8="Pos",N($BG$72)&lt;&gt;1),"TROUGH ","")&amp;IF(AND($EU42=1,N($JZ42)&lt;&gt;1),"BUMP ","")&amp;IF(AND($GT42=1,N($JZ42)&lt;&gt;1),"SANDWICH ","")&amp;IF(AND($EX42&lt;&gt;1,OR('King Node Model'!$A$8="Neg",N($BG$72)=1),OR(AND(ISNUMBER($AC42),$AC42=MAX($AC$9:$AC$55)),AND(ISNUMBER($AB42),$AB42=MIN($AB$9:$AB$55))),NOT(AND(AND(ISNUMBER($AC42),$AC42=MAX($AC$9:$AC$55)),AND(ISNUMBER($AB42),$AB42=MIN($AB$9:$AB$55)))),$AG42="S",N($AB42)&lt;0,NOT(COUNTIF('Master Dashboard'!$AN$16:$AN$18,$AA42)&gt;0),NOT(AND(OR('King Node Model'!$A$8="Neg",N($BG$72)=1),ISNUMBER($AB42),$AB42=MIN($AB$9:$AB$55),$AA42=$BG$105))),"ACCEL ","")&amp;IF(AND($EX42&lt;&gt;1,ISNUMBER($AA42),OR('King Node Model'!$A$8="Neg",N($BG$72)=1),$EY42=1,NOT(AND($AG42="S",COUNTIF('Master Dashboard'!$AN$16:$AN$18,$AA42)&gt;0)),NOT(AND($AA42='King Node Model'!$B$23,IF($AG42="S",OR($AA42='King Node Model'!$C$24,COUNTIF('Master Dashboard'!$AN$16:$AN$18,$AA42)&gt;0),OR($AA42='King Node Model'!$C$23,COUNTIF('Master Dashboard'!$AN$13:$AN$15,$AA42)&gt;0)))),NOT(AND($EX42&lt;&gt;1,OR('King Node Model'!$A$8="Neg",N($BG$72)=1),OR(AND(ISNUMBER($AC42),$AC42=MAX($AC$9:$AC$55)),AND(ISNUMBER($AB42),$AB42=MIN($AB$9:$AB$55))),NOT(AND(AND(ISNUMBER($AC42),$AC42=MAX($AC$9:$AC$55)),AND(ISNUMBER($AB42),$AB42=MIN($AB$9:$AB$55)))),$AG42="S",N($AB42)&lt;0,NOT(COUNTIF('Master Dashboard'!$AN$16:$AN$18,$AA42)&gt;0)))),"AMPLIFY ","")&amp;IF(AND($AG42="S",OR('King Node Model'!$A$8="Neg",N($BG$72)=1),$AJ42&lt;&gt;1,N($MT42)&lt;&gt;1,NOT(AND(N($LR42)=1,N($MB42)=1)),ISNUMBER(SEARCH("ACCEL building",$CG42))),"ZACCEL ","")&amp;IF(AND($AG42="S",OR('King Node Model'!$A$8="Neg",N($BG$72)=1),$AA42='King Node Model'!$B$23,NOT(AND(AND(ISNUMBER($AC42),$AC42=MAX($AC$9:$AC$55)),AND(ISNUMBER($AB42),$AB42=MIN($AB$9:$AB$55)))),$EJ42&lt;&gt;1),"KINGACC ","")&amp;IF(AND($AG42="S",OR('King Node Model'!$A$8="Neg",N($BG$72)=1),ABS(N($AA42)-N('King Node Model'!$B$23))&lt;=$BG$107,NOT(AND(SUMPRODUCT((ABS($AF$9:$AF$55)&lt;=ABS(N($AF42)))*1)/COUNT($AF$9:$AF$55)&gt;=0.66,OR(ISNUMBER(SEARCH("firmer resistance",$CG42)),ISNUMBER(SEARCH("STRENGTHENING",$CG42)),ISNUMBER(SEARCH("firmer support",$CG42))))),NOT(AND(N($AB42)&gt;0,SUMPRODUCT((ABS($AB$9:$AB$55)&lt;=ABS(N($AB42)))*1)/COUNT($AB$9:$AB$55)&gt;=0.66)),$EJ42&lt;&gt;1,$AJ42&lt;&gt;1,COUNTIF('Master Dashboard'!$AN$16:$AN$18,$AA42)=0,NOT(AND($AG42="S",OR('King Node Model'!$A$8="Neg",N($BG$72)=1),$AA42='King Node Model'!$B$23,NOT(AND(AND(ISNUMBER($AC42),$AC42=MAX($AC$9:$AC$55)),AND(ISNUMBER($AB42),$AB42=MIN($AB$9:$AB$55)))),$EJ42&lt;&gt;1))),"KINGNODE ","")&amp;IF(AND($AG42="R",NOT(AND(AND(ISNUMBER($AC42),$AC42=MAX($AC$9:$AC$55)),AND(ISNUMBER($AB42),$AB42=MIN($AB$9:$AB$55)))),UPPER('King Node Model'!$L$5)="LOW",$KC42="DOWN",N($AF42)&gt;0),"LOWIVFALL ","")&amp;IF(AND($AG42="R",NOT(AND(AND(ISNUMBER($AC42),$AC42=MAX($AC$9:$AC$55)),AND(ISNUMBER($AB42),$AB42=MIN($AB$9:$AB$55)))),UPPER('King Node Model'!$L$5)="HIGH",$KC42="DOWN",N($AF42)&gt;0,IFERROR(MATCH($AA42,$W$9:$W$14,0)&gt;=4,FALSE)),"HIGHIVFALL ","")&amp;IF(AND($AG42="R",N($BG$99)=1),"SPOTUPVOLUP ","")&amp;IF(AND($AG42="R",ISNUMBER(SEARCH("5/5",'Master Dashboard'!$E$29)),OR(ISNUMBER(SEARCH("WEAKENING",$EQ42)),ISNUMBER(SEARCH("Pos gamma ↓",$EQ42)),ISNUMBER(SEARCH("thinning the ceiling",$EQ42)))),"SQUEEZE ","")&amp;IF(N($JU42)=1,"DEDGECLIFF ","")&amp;IF(N($KT42)=1,"DEXDRAIN ","")&amp;IF(N($HW42)&lt;&gt;0,"DEXDROP ","")&amp;IF(N($HX42)&lt;&gt;0,"PEAK+ ","")&amp;IF(N($IF42)=1,"CHOP ","")&amp;IF(N($IQ42)=1,"CONTESTED ","")&amp;IF(N($IW42)=1,"VSELL ","")&amp;IF(N($JK42)=1,"VBUYRES ","")&amp;IF(N($JL42)=1,"DOMFLAT ","")&amp;IF(N($JM42)=1,"DOMPULL ","")&amp;IF(N($JP42)=1,"OIZOMMA ","")&amp;IF(AND(N($JQ42)=1,N($JZ42)&lt;&gt;1),"OIDEX ","")),""))</f>
        <v>VSELL</v>
      </c>
      <c r="HS42">
        <f>IFERROR(IF(AND($DC42=1,OR(AND($AG42="R",INDEX($DC$9:$DC$55,33)=0,INDEX($DC$9:$DC$55,35)=1,INDEX($DC$9:$DC$55,36)=1),AND($AG42="S",INDEX($DC$9:$DC$55,35)=0,INDEX($DC$9:$DC$55,33)=1,INDEX($DC$9:$DC$55,32)=1))),1,0),0)</f>
        <v>0</v>
      </c>
      <c r="HT42">
        <f t="shared" si="97"/>
        <v>0</v>
      </c>
      <c r="HU42">
        <v>0</v>
      </c>
      <c r="HV42">
        <v>0</v>
      </c>
      <c r="HW42">
        <f>IFERROR(IF(OR(NOT(ISNUMBER($AA42)),'King Node Model'!$A$8&lt;&gt;"Pos",N($BG$72)=1,ABS(N($AE42))&lt;$BG$113,N($AV42)=1,$FA42="DOM",$AA42='King Node Model'!$T$23,AND(N($BG$116)=1,$AA42='King Node Model'!$F$24),NOT(ISNUMBER($KU42)),NOT(ISNUMBER($KV42))),0,IF(AND($AG42="S",COUNTIF('Master Dashboard'!$AN$16:$AN$18,$AA42)=0,$KU42&gt;=$BG$114,$KU42&gt;=$KV42+$BG$115,NOT(AND(N($AN43)=1,N($KV42)&lt;0)),N($AE42)&lt;=0),1,IF(AND($AG42="R",COUNTIF('Master Dashboard'!$AN$13:$AN$15,$AA42)=0,$KV42&gt;=$BG$114,$KV42&gt;=$KU42+$BG$115,NOT(AND(N($AN41)=1,N($KU42)&lt;0))),-1,0))),0)</f>
        <v>0</v>
      </c>
      <c r="HX42">
        <f>IFERROR(IF(AND(ISNUMBER($AA42),$FA42="PEAK+",N($AN42)&lt;&gt;1,NOT(AND('King Node Model'!$A$8="Pos",OR($AA42='King Node Model'!$T$22,$AA42='King Node Model'!$T$23,$AA42='King Node Model'!$F$24))),IF($AG42="S",COUNTIF('Master Dashboard'!$AN$16:$AN$18,$AA42)=0,IF($AG42="R",COUNTIF('Master Dashboard'!$AN$13:$AN$15,$AA42)=0,FALSE))),1,0),0)</f>
        <v>0</v>
      </c>
      <c r="HY42">
        <f t="shared" si="98"/>
        <v>0.36810391307526408</v>
      </c>
      <c r="HZ42">
        <v>0</v>
      </c>
      <c r="IA42">
        <f>IFERROR(IF(AND(IF($BG$44=1,OR(ISNUMBER(SEARCH("Choppy",'King Node Model'!$S$38)),'King Node Model'!$S$52&lt;&gt;"",'King Node Model'!$A$8="Pos"),TRUE()),OR($DC42=1,$DC41=1,$DC43=1),ABS($AA42-$B$4)&lt;=$BG$7,ABS($AA42-$BG$28)&gt;=$BG$45,OR(AND($AA42&gt;$BG$28,$AG42="R"),AND($AA42&lt;$BG$28,$AG42="S",N($BG$154)=1)),ABS(IF($AA42&gt;$BG$28,$AE43,$AE41))&gt;=$BG$43,ABS(N(IF($AA42&gt;$BG$28,$AE41,$AE43)))&lt;=$BG$153*ABS(IF($AA42&gt;$BG$28,$AE43,$AE41)),IF(ISNUMBER($HZ42),$HZ42=1,AND(ISNUMBER($HY42),$HY42&gt;=$BG$42))),1,0),0)</f>
        <v>0</v>
      </c>
      <c r="IB42">
        <f t="shared" si="99"/>
        <v>0</v>
      </c>
      <c r="IC42" t="str">
        <f>IF(NOT(ISNUMBER($AA42)),"",IFERROR(MID(IF(AND($AC42=MAX($AC$9:$AC$55),$AB42=MIN($AB$9:$AB$55))," · DOM","")&amp;IF(AND($DC41=1,$DC42=1,$DC43=1,INDEX($AC$9:$AC$55,34-1)&lt;=(1-$FA$6)*$AC42,INDEX($AC$9:$AC$55,34-1)&lt;=(1-$FA$6)*INDEX($AC$9:$AC$55,34-2))," · GAP↑ → "&amp;INDEX($AA$9:$AA$55,34-2),"")&amp;IF(AND($DC43=1,$DC42=1,INDEX($AC$9:$AC$55,34+1)&lt;=(1-$FA$6)*$AC42,INDEX($AC$9:$AC$55,34+1)&lt;=(1-$FA$6)*INDEX($AC$9:$AC$55,34+2))," · GAP↓ → "&amp;INDEX($AA$9:$AA$55,34+2),"")&amp;IF($CZ42=1," · dEdge Cliff","")&amp;IF($GY42=1," · γWall","")&amp;IF(AND($DC42=1,$AB42&lt;0,$AC42&gt;=(1+$FA$6)*INDEX($AC$9:$AC$55,34-1),$AC42&gt;=(1+$FA$6)*INDEX($AC$9:$AC$55,34+1))," · PEAK-","")&amp;IF($GZ42=1," · γSh Edge","")&amp;IF($HL42=1," · Trough","")&amp;IF($HN42=1," · PEAK+","")&amp;IF($GF42=1," · Cluster",""),FIND(" · ",IF(AND($AC42=MAX($AC$9:$AC$55),$AB42=MIN($AB$9:$AB$55))," · DOM","")&amp;IF(AND($DC41=1,$DC42=1,$DC43=1,INDEX($AC$9:$AC$55,34-1)&lt;=(1-$FA$6)*$AC42,INDEX($AC$9:$AC$55,34-1)&lt;=(1-$FA$6)*INDEX($AC$9:$AC$55,34-2))," · GAP↑ → "&amp;INDEX($AA$9:$AA$55,34-2),"")&amp;IF(AND($DC43=1,$DC42=1,INDEX($AC$9:$AC$55,34+1)&lt;=(1-$FA$6)*$AC42,INDEX($AC$9:$AC$55,34+1)&lt;=(1-$FA$6)*INDEX($AC$9:$AC$55,34+2))," · GAP↓ → "&amp;INDEX($AA$9:$AA$55,34+2),"")&amp;IF($CZ42=1," · dEdge Cliff","")&amp;IF($GY42=1," · γWall","")&amp;IF(AND($DC42=1,$AB42&lt;0,$AC42&gt;=(1+$FA$6)*INDEX($AC$9:$AC$55,34-1),$AC42&gt;=(1+$FA$6)*INDEX($AC$9:$AC$55,34+1))," · PEAK-","")&amp;IF($GZ42=1," · γSh Edge","")&amp;IF($HL42=1," · Trough","")&amp;IF($HN42=1," · PEAK+","")&amp;IF($GF42=1," · Cluster",""),2),999),""))</f>
        <v/>
      </c>
      <c r="ID42" t="str">
        <f>IF(NOT(ISNUMBER($AA42)),"",IFERROR(MID(IF(AND($AC42=MAX($AC$9:$AC$55),$AB42=MIN($AB$9:$AB$55))," · DOM","")&amp;IF(AND($DC41=1,$DC42=1,$DC43=1,INDEX($AC$9:$AC$55,34-1)&lt;=(1-$FA$6)*$AC42,INDEX($AC$9:$AC$55,34-1)&lt;=(1-$FA$6)*INDEX($AC$9:$AC$55,34-2))," · GAP↑ → "&amp;INDEX($AA$9:$AA$55,34-2),"")&amp;IF(AND($DC43=1,$DC42=1,INDEX($AC$9:$AC$55,34+1)&lt;=(1-$FA$6)*$AC42,INDEX($AC$9:$AC$55,34+1)&lt;=(1-$FA$6)*INDEX($AC$9:$AC$55,34+2))," · GAP↓ → "&amp;INDEX($AA$9:$AA$55,34+2),"")&amp;IF($CZ42=1," · dEdge Cliff","")&amp;IF($GY42=1," · γWall","")&amp;IF(AND($DC42=1,$AB42&lt;0,$AC42&gt;=(1+$FA$6)*INDEX($AC$9:$AC$55,34-1),$AC42&gt;=(1+$FA$6)*INDEX($AC$9:$AC$55,34+1))," · PEAK-","")&amp;IF($GZ42=1," · γSh Edge","")&amp;IF($HL42=1," · Trough","")&amp;IF($HN42=1," · PEAK+","")&amp;IF(AND(NOT($HN42=1),NOT(AND($DC42=1,$AB42&lt;0)),N($GY42)&lt;&gt;1,N($GF42)&lt;&gt;1,N($GZ42)&lt;&gt;1,N($HL42)&lt;&gt;1,N($CZ42)&lt;&gt;1,NOT(AND($AC42=MAX($AC$9:$AC$55),$AB42=MIN($AB$9:$AB$55))),$AC42&gt;=(1+$FA$6)*INDEX($AC$9:$AC$55,34-1),$AC42&gt;=(1+$FA$6)*INDEX($AC$9:$AC$55,34+1))," · Knoll","")&amp;IF($GF42=1," · Cluster",""),4,999),""))</f>
        <v>γWall</v>
      </c>
      <c r="IF42">
        <f t="shared" si="100"/>
        <v>0</v>
      </c>
      <c r="IG42">
        <f>IFERROR(IF(AND(ISNUMBER($AA42),'King Node Model'!$A$8="Pos",OR($AG42="S",$AG42="R"),$IN42="interior",COUNTIF(IF($AG42="S",'Master Dashboard'!$AN$16:$AN$18,'Master Dashboard'!$AN$13:$AN$15),$AA42)=0,$AA42&lt;&gt;'King Node Model'!$T$22,$AA42&lt;&gt;'King Node Model'!$T$23,$AA42&lt;&gt;'King Node Model'!$F$24),1,0),0)</f>
        <v>0</v>
      </c>
      <c r="IH42">
        <f t="shared" si="101"/>
        <v>0</v>
      </c>
      <c r="II42">
        <f t="shared" si="190"/>
        <v>0</v>
      </c>
      <c r="IJ42">
        <f t="shared" si="102"/>
        <v>0</v>
      </c>
      <c r="IK42">
        <f t="shared" si="103"/>
        <v>0</v>
      </c>
      <c r="IL42">
        <f t="shared" si="191"/>
        <v>0</v>
      </c>
      <c r="IM42">
        <f t="shared" si="104"/>
        <v>0</v>
      </c>
      <c r="IN42" t="str">
        <f t="shared" si="105"/>
        <v/>
      </c>
      <c r="IO42">
        <v>0</v>
      </c>
      <c r="IP42">
        <v>0</v>
      </c>
      <c r="IQ42">
        <f>IFERROR(IF($AG42="S",IF(OR(COUNTIF($W$9:$W$14,$AA42)&gt;0,COUNTIF('King Node Model'!$AL$42:'King Node Model'!$AL$43,$AA42)&gt;0),1,0),IF($AG42="R",IF(OR(COUNTIF($W$18:$W$23,$AA42)&gt;0,COUNTIF('King Node Model'!$AL$49:'King Node Model'!$AL$50,$AA42)&gt;0),1,0),0)),0)</f>
        <v>0</v>
      </c>
      <c r="IS42">
        <f>IF(AND(ISNUMBER($AA42),N($AN42)&lt;&gt;1,N($LR42)&lt;&gt;1,OR(N($EN42)&lt;&gt;1,AND('King Node Model'!$A$8&lt;&gt;"Neg",N($BG$72)&lt;&gt;1)),$AA42&lt;&gt;'King Node Model'!$T$22,$AA42&lt;&gt;'King Node Model'!$T$23,$AA42&lt;&gt;'King Node Model'!$F$24,NOT(AND($AG42="S",COUNTIF('Master Dashboard'!$AN$16:$AN$18,$AA42)&gt;0)),NOT(AND($AG42="R",COUNTIF('Master Dashboard'!$AN$13:$AN$15,$AA42)&gt;0)),NOT(AND('King Node Model'!$A$8&lt;&gt;"Neg",N($BG$72)&lt;&gt;1,COUNTIF('Master Dashboard'!$AN$13:$AN$18,$AA42)&gt;0))),1,0)</f>
        <v>0</v>
      </c>
      <c r="IT42">
        <v>1</v>
      </c>
      <c r="IU42">
        <f>IF(AND(ISNUMBER($AA42),$AA42='King Node Model'!$F$24,$AA42&gt;$GJ$3,N($AD42)&lt;0,$F$4="High"),1,0)</f>
        <v>0</v>
      </c>
      <c r="IV42" t="str">
        <f>""</f>
        <v/>
      </c>
      <c r="IW42">
        <f>IFERROR(IF(AND(ISNUMBER($AA42),NOT(AND(N($LR42)=1,N($MB42)=1)),$AG42="S",OR('King Node Model'!$A$8="Neg",N($BG$72)=1),$JV42="SELL",ABS(N($AD42))&gt;=$BG$94,NOT(AND(N($AD42)&gt;0,N($BG$78)=1,MEDIAN($AA42-$BG$82,$B$4,$AA42+$BG$83)=$B$4))),1,0),0)</f>
        <v>1</v>
      </c>
      <c r="IX42">
        <f>IFERROR(IF(AND(ISNUMBER($AA42),$AG42="S",OR('King Node Model'!$A$8="Neg",N($BG$72)=1),N($AD42)&gt;0,N($BG$78)=1,MEDIAN($AA42-$BG$82,$B$4,$AA42+$BG$83)=$B$4),1,0),0)</f>
        <v>0</v>
      </c>
      <c r="IY42" t="str">
        <f t="shared" si="106"/>
        <v>SELL</v>
      </c>
      <c r="IZ42">
        <f>IFERROR(IF(AND(ISNUMBER($AA42),$FA42&lt;&gt;"DOM",$AA42&lt;&gt;'King Node Model'!$F$24,OR(AND($AG42="S",COUNTIF('Master Dashboard'!$AN$16:$AN$18,$AA42)=0,N(INDEX($AE$9:$AE$55,MATCH($AA42+$BG$84,$AA$9:$AA$55,0)))&lt;=-$BG$85),AND($AG42="R",COUNTIF('Master Dashboard'!$AN$13:$AN$15,$AA42)=0,N(INDEX($AE$9:$AE$55,MATCH($AA42-$BG$84,$AA$9:$AA$55,0)))&gt;=$BG$85))),1,0),0)</f>
        <v>0</v>
      </c>
      <c r="JC42">
        <f t="shared" si="108"/>
        <v>0</v>
      </c>
      <c r="JD42" t="str">
        <f t="shared" si="193"/>
        <v>P</v>
      </c>
      <c r="JE42">
        <f>IF(ISNUMBER($AA42),N(IFERROR(INDEX('King Node Model'!$L$29:$L$75,MATCH($AA42,'King Node Model'!$A$29:$A$75,0)),0)),"")</f>
        <v>8252</v>
      </c>
      <c r="JF42">
        <f>IF(ISNUMBER($AA42),N(IFERROR(INDEX('King Node Model'!$K$29:$K$75,MATCH($AA42,'King Node Model'!$A$29:$A$75,0)),0)),"")</f>
        <v>953</v>
      </c>
      <c r="JG42">
        <f t="shared" si="109"/>
        <v>8.6589716684155302</v>
      </c>
      <c r="JH42">
        <f t="shared" si="110"/>
        <v>0.1154871546291808</v>
      </c>
      <c r="JI42">
        <f t="shared" si="111"/>
        <v>0</v>
      </c>
      <c r="JJ42" t="str">
        <f t="shared" si="112"/>
        <v/>
      </c>
      <c r="JK42">
        <f t="shared" si="113"/>
        <v>0</v>
      </c>
      <c r="JL42">
        <f t="shared" si="114"/>
        <v>0</v>
      </c>
      <c r="JM42">
        <f t="shared" si="115"/>
        <v>0</v>
      </c>
      <c r="JN42">
        <f t="shared" si="116"/>
        <v>0</v>
      </c>
      <c r="JO42">
        <f t="shared" si="117"/>
        <v>0</v>
      </c>
      <c r="JP42">
        <f t="shared" si="118"/>
        <v>0</v>
      </c>
      <c r="JQ42">
        <f t="shared" si="119"/>
        <v>0</v>
      </c>
      <c r="JR42">
        <v>0</v>
      </c>
      <c r="JS42">
        <f>IFERROR(IF(AND(ISNUMBER($AA42),'King Node Model'!$A$8="Pos",OR($AG42="S",$AG42="R"),N($AB42)&gt;0,N($HP42)&lt;&gt;1,OR(AND($KC42="DOWN",N($AF42)&lt;0,N($AF42)=MIN($AF$9:$AF$55),-N($AF42)&gt;=MAX($AF$9:$AF$55)),AND($KC42="UP",N($AF42)&gt;0,N($AF42)=MAX($AF$9:$AF$55),N($AF42)&gt;=-MIN($AF$9:$AF$55)))),1,0),0)</f>
        <v>0</v>
      </c>
      <c r="JT42">
        <v>0</v>
      </c>
      <c r="JU42">
        <f>IFERROR(IF(AND(N($BG$109)=1,ISNUMBER($AA42),'King Node Model'!$A$8="Pos",N($CZ42)=1,N($AB42)&gt;0),1,0),0)</f>
        <v>0</v>
      </c>
      <c r="JV42" t="str">
        <f t="shared" si="120"/>
        <v>SELL</v>
      </c>
      <c r="JW42">
        <f t="shared" si="121"/>
        <v>1</v>
      </c>
      <c r="JX42">
        <f t="shared" si="122"/>
        <v>0</v>
      </c>
      <c r="JY42">
        <f t="shared" si="123"/>
        <v>0</v>
      </c>
      <c r="JZ42">
        <f t="shared" si="124"/>
        <v>0</v>
      </c>
      <c r="KA42">
        <f t="shared" si="125"/>
        <v>0</v>
      </c>
      <c r="KB42">
        <f t="shared" si="126"/>
        <v>0</v>
      </c>
      <c r="KC42" t="str">
        <f t="shared" si="127"/>
        <v>DOWN</v>
      </c>
      <c r="KE42" t="str">
        <f t="shared" si="128"/>
        <v>Now: weakening the floor (IV rising) · if IV falls: strengthens the floor · expected on arrival: STRENGTHENS ✓</v>
      </c>
      <c r="KF42" t="str">
        <f t="shared" si="129"/>
        <v>SELL</v>
      </c>
      <c r="KG42">
        <f t="shared" si="192"/>
        <v>0</v>
      </c>
      <c r="KH42" t="str">
        <f t="shared" si="130"/>
        <v/>
      </c>
      <c r="KI42" t="str">
        <f t="shared" si="131"/>
        <v/>
      </c>
      <c r="KJ42">
        <f t="shared" si="132"/>
        <v>0</v>
      </c>
      <c r="KK42">
        <f t="shared" si="133"/>
        <v>0</v>
      </c>
      <c r="KL42">
        <f t="shared" si="134"/>
        <v>0</v>
      </c>
      <c r="KM42">
        <f t="shared" si="135"/>
        <v>0</v>
      </c>
      <c r="KN42">
        <f t="shared" si="136"/>
        <v>0</v>
      </c>
      <c r="KO42">
        <v>0</v>
      </c>
      <c r="KP42">
        <f t="shared" si="137"/>
        <v>0</v>
      </c>
      <c r="KQ42">
        <f t="shared" si="138"/>
        <v>0</v>
      </c>
      <c r="KR42">
        <f t="shared" si="139"/>
        <v>0</v>
      </c>
      <c r="KS42">
        <f t="shared" si="140"/>
        <v>0</v>
      </c>
      <c r="KT42">
        <f t="shared" si="141"/>
        <v>0</v>
      </c>
      <c r="KU42">
        <f>IF(AND(ISNUMBER($AA42),ISNUMBER($AE42),ISNUMBER($AE41),N($AE42)&lt;&gt;0),($AE42-$AE41)/$AE42,"")</f>
      </c>
      <c r="KV42">
        <f>IF(AND(ISNUMBER($AA42),ISNUMBER($AE42),ISNUMBER($AE43),N($AE42)&lt;&gt;0),($AE42-$AE43)/$AE42,"")</f>
      </c>
      <c r="KW42">
        <f>IFERROR(IF(OR(NOT(ISNUMBER($AA42)),'King Node Model'!$A$8&lt;&gt;"Pos",N($BG$72)=1,ABS(N($AE42))&lt;$BG$113,$FA42="DOM",$AA42='King Node Model'!$T$23,AND(N($BG$116)=1,$AA42='King Node Model'!$F$24),NOT(ISNUMBER($KU42)),NOT(ISNUMBER($KV42))),0,IF(AND($AG42="S",COUNTIF('Master Dashboard'!$AN$16:$AN$18,$AA42)=0,$KU42&gt;=$BG$114,$KU42&gt;=$KV42+$BG$115),1,IF(AND($AG42="R",COUNTIF('Master Dashboard'!$AN$13:$AN$15,$AA42)=0,$KV42&gt;=$BG$114,$KV42&gt;=$KU42+$BG$115),-1,0))),0)</f>
        <v>0</v>
      </c>
      <c r="KX42">
        <f t="shared" si="144"/>
        <v>0</v>
      </c>
      <c r="KY42">
        <f t="shared" si="145"/>
        <v>0</v>
      </c>
      <c r="KZ42">
        <f t="shared" si="146"/>
        <v>0</v>
      </c>
      <c r="LA42">
        <f t="shared" si="147"/>
        <v>0</v>
      </c>
      <c r="LB42">
        <f t="shared" si="148"/>
        <v>0</v>
      </c>
      <c r="LC42">
        <f t="shared" si="149"/>
        <v>0</v>
      </c>
      <c r="LD42">
        <f t="shared" si="150"/>
        <v>0</v>
      </c>
      <c r="LE42">
        <f t="shared" si="151"/>
        <v>0</v>
      </c>
      <c r="LF42">
        <f t="shared" si="152"/>
        <v>0</v>
      </c>
      <c r="LG42" t="str">
        <f t="shared" si="153"/>
        <v/>
      </c>
      <c r="LH42" t="str">
        <f t="shared" si="154"/>
        <v/>
      </c>
      <c r="LI42" t="str">
        <f t="shared" si="155"/>
        <v/>
      </c>
      <c r="LJ42" t="str">
        <f t="shared" si="156"/>
        <v/>
      </c>
      <c r="LK42" t="str">
        <f t="shared" si="157"/>
        <v/>
      </c>
      <c r="LL42">
        <f t="shared" si="158"/>
        <v>0</v>
      </c>
      <c r="LM42">
        <f t="shared" si="159"/>
        <v>0</v>
      </c>
      <c r="LN42">
        <f t="shared" si="160"/>
        <v>0</v>
      </c>
      <c r="LO42">
        <v>0</v>
      </c>
      <c r="LP42">
        <f t="shared" si="161"/>
        <v>0</v>
      </c>
      <c r="LQ42" t="str">
        <f t="shared" si="162"/>
        <v/>
      </c>
      <c r="LR42">
        <f t="shared" si="163"/>
        <v>0</v>
      </c>
      <c r="LS42">
        <f t="shared" si="164"/>
        <v>0</v>
      </c>
      <c r="LT42">
        <f t="shared" si="165"/>
        <v>0</v>
      </c>
      <c r="LU42">
        <f t="shared" si="166"/>
        <v>0</v>
      </c>
      <c r="LV42">
        <f t="shared" si="167"/>
        <v>2</v>
      </c>
      <c r="LW42">
        <f t="shared" si="168"/>
        <v>1157127</v>
      </c>
      <c r="LX42">
        <f t="shared" si="169"/>
        <v>0</v>
      </c>
      <c r="LY42">
        <f t="shared" si="170"/>
        <v>0</v>
      </c>
      <c r="LZ42">
        <f t="shared" si="171"/>
        <v>0</v>
      </c>
      <c r="MA42">
        <f t="shared" si="172"/>
        <v>0</v>
      </c>
      <c r="MB42">
        <v>0</v>
      </c>
      <c r="MC42">
        <f t="shared" si="173"/>
        <v>1</v>
      </c>
      <c r="MD42">
        <f t="shared" si="174"/>
        <v>1</v>
      </c>
      <c r="ME42">
        <f t="shared" si="175"/>
        <v>0</v>
      </c>
      <c r="MF42">
        <f t="shared" si="176"/>
        <v>0</v>
      </c>
      <c r="MG42">
        <f t="shared" si="177"/>
        <v>0</v>
      </c>
      <c r="MH42">
        <f t="shared" si="178"/>
        <v>0</v>
      </c>
      <c r="MI42" t="str">
        <f t="shared" si="179"/>
        <v/>
      </c>
      <c r="MJ42">
        <f t="shared" si="180"/>
        <v>0</v>
      </c>
      <c r="MK42">
        <f t="shared" si="181"/>
        <v>0</v>
      </c>
      <c r="ML42">
        <f>IF(AND(OR('King Node Model'!$A$8="Neg",N($BG$72)=1),ISNUMBER($AA42),$AG42="R",N($AB42)&lt;0),IF(AND($AA41=$AA42+5,N($AB41)&gt;0,$AA40=$AA42+10,N($AB40)&lt;0),1,IF(AND($AA41=$AA42+5,N($AB41)&gt;0,$AA40=$AA42+10,N($AB40)&gt;0,$AA39=$AA42+15,N($AB39)&lt;0),2,IF(AND($AA41=$AA42+5,N($AB41)&gt;0,$AA40=$AA42+10,N($AB40)&gt;0,$AA39=$AA42+15,N($AB39)&gt;0,$AA38=$AA42+20,N($AB38)&lt;0),3,IF(AND($AA41=$AA42+5,N($AB41)&gt;0,$AA40=$AA42+10,N($AB40)&gt;0,$AA39=$AA42+15,N($AB39)&gt;0,$AA38=$AA42+20,N($AB38)&gt;0,$AA37=$AA42+25,N($AB37)&lt;0),4,0)))),0)</f>
      </c>
      <c r="MM42">
        <f>IF(AND(OR('King Node Model'!$A$8="Neg",N($BG$72)=1),ISNUMBER($AA42),$AG42="S",N($AB42)&lt;0),IF(AND($AA43=$AA42-5,N($AB43)&gt;0,$AA44=$AA42-10,N($AB44)&lt;0),1,IF(AND($AA43=$AA42-5,N($AB43)&gt;0,$AA44=$AA42-10,N($AB44)&gt;0,$AA45=$AA42-15,N($AB45)&lt;0),2,IF(AND($AA43=$AA42-5,N($AB43)&gt;0,$AA44=$AA42-10,N($AB44)&gt;0,$AA45=$AA42-15,N($AB45)&gt;0,$AA46=$AA42-20,N($AB46)&lt;0),3,IF(AND($AA43=$AA42-5,N($AB43)&gt;0,$AA44=$AA42-10,N($AB44)&gt;0,$AA45=$AA42-15,N($AB45)&gt;0,$AA46=$AA42-20,N($AB46)&gt;0,$AA47=$AA42-25,N($AB47)&lt;0),4,0)))),0)</f>
      </c>
      <c r="MN42">
        <f>IF(N($ML42)&gt;0,$AA42,0)</f>
      </c>
      <c r="MO42">
        <f>IF(N($MM42)&gt;0,$AA42,0)</f>
      </c>
      <c r="MP42">
        <f>IF(AND(OR('King Node Model'!$A$8="Neg",N($BG$72)=1),ISNUMBER($BG$155),$AA42=$BG$155,N($NC42)=1),2,IF(AND(OR('King Node Model'!$A$8="Neg",N($BG$72)=1),ISNUMBER($BG$156),$AA42=$BG$156,N($ND42)=1),1,0))</f>
      </c>
      <c r="MQ42">
        <f>IF(ABS(AE42)&lt;=0,0,IF($AG42="R",IF(ISNUMBER(AE41),IF((ABS(AE41)-ABS(AE42))/ABS(AE42)&lt;-0.4,1,0),0),IF(ISNUMBER(AE43),IF((ABS(AE43)-ABS(AE42))/ABS(AE42)&lt;-0.4,1,0),0)))</f>
      </c>
      <c r="MR42">
        <f>IF(OR(N($MQ42)&lt;&gt;1,N($BG$157)&lt;&gt;1,NOT(ISNUMBER($KU42)),NOT(ISNUMBER($KV42))),0,IF(OR(AND($AG42="S",OR(AND($KU42&gt;=$BG$114,$KU42&gt;=$KV42+$BG$115),AND($KU42&gt;1,$KV42&lt;=1,$KV42&gt;=$BG$114))),AND($AG42="R",OR(AND($KV42&gt;=$BG$114,$KV42&gt;=$KU42+$BG$115),AND($KV42&gt;1,$KU42&lt;=1,$KU42&gt;=$BG$114)))),1,0))</f>
      </c>
      <c r="MS42" t="str">
        <f>IF(AND(N($MR42)=1,N($NA42)&lt;&gt;1),"• DEX falls off more sharply "&amp;IF($AG42="S","above (","below (")&amp;TEXT(IF($AG42="S",$KU42,$KV42),"0%")&amp;") than "&amp;IF($AG42="S","below (","above (")&amp;TEXT(IF($AG42="S",$KV42,$KU42),"0%")&amp;") — Dex↓ not counted",IF(N($MW42)=1,"• Shoulder of the "&amp;IF($AG42="R",$AA43,$AA41)&amp;" wall — own DEX "&amp;TEXT($AE42/1000,"+#,##0;-#,##0")&amp;"K is "&amp;TEXT(ABS($AE42)/ABS(IF($AG42="R",$AE43,$AE41)),"0%")&amp;" of "&amp;TEXT(IF($AG42="R",$AE43,$AE41)/1000,"+#,##0;-#,##0")&amp;"K, Dex↓ not counted",""))</f>
      </c>
      <c r="MT42">
        <f>IF(AND(ISNUMBER($AA42),$AG42="S",ISNUMBER($AB42),$AB42=MIN($AB$9:$AB$55),$AA42=$BG$105,$JV42="BUY",ABS(N($AD42))&gt;=$BG$158),1,0)</f>
      </c>
      <c r="MU42" t="str">
        <f>IF(N($MY42)=1,"",IF(OR(N($MT42)=1,AND(OR('King Node Model'!$A$8="Neg",N($BG$72)=1),$AG42="S",ISNUMBER($AB42),$AB42=MIN($AB$9:$AB$55),$AA42=$BG$105)),"• Min GEX + Max Zomma (no reversal flag required) — accelerant warning not applied; zomma acceleration warning only within "&amp;$BG$98&amp;" pts of the level, and not when vanna buying is "&amp;TEXT($BG$158/1000,"0")&amp;"K or more"&amp;CHAR(10)&amp;IF(N($MT42)=1,"• Max Zomma and vanna buying ("&amp;TEXT(N($AD42)/1000,"+#,##0;-#,##0")&amp;"K) make this level safe","• Max Zomma is what makes this level safe"),"")&amp;$NB42&amp;$NI42)</f>
      </c>
      <c r="MV42" t="str">
        <f>IF(AND(ISNUMBER($AA42),OR($AA42=$BG$118,$AA42=$BG$119)),IF(N($AZ42)*IF($AG42="R",1,-1)&gt;0,"✓",IF(N($AZ42)*IF($AG42="R",1,-1)&lt;0,"✗","")),"")</f>
      </c>
      <c r="MW42">
        <f>IF(AND(N($MQ42)=1,N($BG$159)&gt;0,ISNUMBER(IF($AG42="R",$AE43,$AE41)),N(IF($AG42="R",$AE43,$AE41))&lt;&gt;0),IF(ABS(N($AE42))&lt;$BG$159*ABS(IF($AG42="R",$AE43,$AE41)),1,0),0)</f>
      </c>
      <c r="MX42">
        <f>IF(AND(ISNUMBER($AA42),$AA42=$BG$121,$AG42="R",N($AE42)&lt;0,OR(COUNTIF('King Node Model'!$AL$42:$AL$44,$AA42)=0,N($HP42)=1),N($NC42)=1),2,IF(AND(ISNUMBER($AA42),$AA42=$BG$120,$AG42="S",N($AE42)&gt;0,OR(COUNTIF('King Node Model'!$AL$49:$AL$51,$AA42)=0,N($HP42)=1),N($ND42)=1),1,0))</f>
      </c>
      <c r="MY42">
        <f>IF(AND(N($NA42)=1,NOT(AND(AND($AG42="S",ISNUMBER($AB42),$AB42=MIN($AB$9:$AB$55),$AA42=$BG$105),IFERROR(INDEX($AG$9:$AG$55,MATCH('King Node Model'!$B$23,$AA$9:$AA$55,0)),"")="R")),N($AV42)&lt;&gt;1),1,0)</f>
      </c>
      <c r="MZ42" t="str">
        <f>IF(N($MY42)&lt;&gt;1,"","• DEX falls off more sharply "&amp;IF($AG42="S","above (","below (")&amp;TEXT(IF($AG42="S",$KU42,$KV42),"0%")&amp;") than "&amp;IF($AG42="S","below (","above (")&amp;TEXT(IF($AG42="S",$KV42,$KU42),"0%")&amp;") — path of least resistance "&amp;IF($AG42="S","down","up")&amp;IF(N($AZ42)*IF($AG42="R",1,-1)&lt;0,CHAR(10)&amp;"• Speed against — GEX gets more negative as price "&amp;IF($AG42="R","rises","falls")&amp;" into it (speed "&amp;TEXT(N($AZ42),"#,##0;−#,##0")&amp;")","")&amp;IF(OR(N($NG42)=1,N($JC42)=1),CHAR(10)&amp;"• "&amp;IF(N($JC42)=1,"DOM with vanna BUY "&amp;TEXT(N($AD42)/1000,"+#,##0;−#,##0")&amp;"K","Put wall + Max Zomma + DOM")&amp;" backs the level, but it does not outweigh DEX"&amp;IF(N($AZ42)*IF($AG42="R",1,-1)&lt;0," and speed",""),IF(AND($AG42="S",ISNUMBER($AB42),$AB42=MIN($AB$9:$AB$55),$AA42=$BG$105),CHAR(10)&amp;"• Min GEX + Max Zomma backs the level, but it does not outweigh DEX"&amp;IF(N($AZ42)*IF($AG42="R",1,-1)&lt;0," and speed",""),IF(OR(N($JI42)=1,AND(N($GV42)=1,N($JK42)&lt;&gt;1,N($IW42)&lt;&gt;1),N($JC42)=1,AND($AA42='King Node Model'!$F$24,N($JN42)&lt;&gt;1,OR($AG42="R",AND($AG42="S",$F$4="High",IF($BG$80&lt;&gt;"",UPPER($BG$80),$D$5)="UP")))),CHAR(10)&amp;"• Vanna "&amp;IF($AG42="S","BUY ","SELL ")&amp;TEXT(N($AD42)/1000,"+#,##0;−#,##0")&amp;"K backs the level, but it does not outweigh DEX"&amp;IF(N($AZ42)*IF($AG42="R",1,-1)&lt;0," and speed",""),"")))&amp;IF(N($NE42)=1,CHAR(10)&amp;"• Buy-lean max-node exemption not applied — DEX leans against the level",""))</f>
      </c>
      <c r="NA42">
        <f>IF(AND(OR('King Node Model'!$A$8="Neg",N($BG$72)=1),ISNUMBER($AA42),ABS(N($AE42))&gt;=$BG$152,ISNUMBER($KU42),ISNUMBER($KV42)),IF(OR(AND($AG42="S",OR(AND($KU42&gt;=$BG$114,$KU42&gt;=$KV42+$BG$115),AND($KU42&gt;1,$KV42&lt;=1,$KV42&gt;=$BG$114))),AND($AG42="R",OR(AND($KV42&gt;=$BG$114,$KV42&gt;=$KU42+$BG$115),AND($KV42&gt;1,$KU42&lt;=1,$KU42&gt;=$BG$114)))),1,0),0)</f>
      </c>
      <c r="NB42" t="str">
        <f>IF(AND(N($NA42)=1,AND(AND($AG42="S",ISNUMBER($AB42),$AB42=MIN($AB$9:$AB$55),$AA42=$BG$105),IFERROR(INDEX($AG$9:$AG$55,MATCH('King Node Model'!$B$23,$AA$9:$AA$55,0)),"")="R")),CHAR(10)&amp;"• DEX falls off more sharply above ("&amp;TEXT($KU42,"0%")&amp;") than below ("&amp;TEXT($KV42,"0%")&amp;") — DEX-lean warning not applied: Min GEX + Max Zomma support with Max Gamma "&amp;'King Node Model'!$B$23&amp;" above (Dex↓ not counted)",IF(AND(OR(N($NA42)=1,N($NF42)=1),N($AV42)=1),IF(AND(OR('King Node Model'!$A$8="Neg",N($BG$72)=1),$AG42="S",ISNUMBER($AB42),$AB42=MIN($AB$9:$AB$55),$AA42=$BG$105),CHAR(10),"")&amp;"• DEX falls off more sharply "&amp;IF($AG42="S","above (","below (")&amp;TEXT(IF($AG42="S",$KU42,$KV42),"0%")&amp;") than "&amp;IF($AG42="S","below (","above (")&amp;TEXT(IF($AG42="S",$KV42,$KU42),"0%")&amp;") — DEX lean does not apply to iDex (isolated DEX)",""))</f>
      </c>
      <c r="NC42">
        <f>IF(OR($BG$163=1,AND($BG$161&gt;0,$BG$162&lt;99999,ISNUMBER($AA42),$AA42&lt;$BG$162)),1,0)</f>
      </c>
      <c r="ND42">
        <f>IF(OR($BG$163=-1,AND($BG$161&gt;0,$BG$162&lt;99999,ISNUMBER($AA42),$AA42&gt;$BG$161)),1,0)</f>
      </c>
      <c r="NE42">
        <f>IF(AND(OR('King Node Model'!$A$8="Neg",N($BG$72)=1),ISNUMBER(SEARCH("LOW",'Master Dashboard'!$M$5)),ISNUMBER(SEARCH("BUY",'Master Dashboard'!$G$8)),'King Node Model'!$T$23='King Node Model'!$B$23,OR($AA42='King Node Model'!$T$23,AND($AG42="R",$AA42='King Node Model'!$T$23+5)),OR(AND($AG42="S",$JV42="BUY"),AND($AG42="R",$JV42="SELL"))),1,0)</f>
      </c>
      <c r="NF42">
        <f>IFERROR(IF(OR(NOT(ISNUMBER($AA42)),'King Node Model'!$A$8&lt;&gt;"Pos",N($BG$72)=1,ABS(N($AE42))&lt;$BG$113,$FA42="DOM",$AA42='King Node Model'!$T$23,AND(N($BG$116)=1,$AA42='King Node Model'!$F$24),NOT(ISNUMBER($KU42)),NOT(ISNUMBER($KV42))),0,IF(AND($AG42="S",COUNTIF('Master Dashboard'!$AN$16:$AN$18,$AA42)=0,$KU42&gt;=$BG$114,$KU42&gt;=$KV42+$BG$115,NOT(AND(N($AN43)=1,N($KV42)&lt;0)),N($AE42)&lt;=0),1,IF(AND($AG42="R",COUNTIF('Master Dashboard'!$AN$13:$AN$15,$AA42)=0,$KV42&gt;=$BG$114,$KV42&gt;=$KU42+$BG$115,NOT(AND(N($AN41)=1,N($KU42)&lt;0))),-1,0))),0)</f>
      </c>
      <c r="NG42">
        <f t="shared" si="202"/>
      </c>
      <c r="NI42" t="str">
        <f>IF(AND(ISNUMBER($BG$165),ISNUMBER($AA42)),IF(OR(AND($AG42="S",$AA42&gt;$BG$165,$AA42-$BG$165&lt;=5),AND($AG42="R",$AA42&lt;$BG$165,$BG$165-$AA42&lt;=5)),IF(OR(AND(OR('King Node Model'!$A$8="Neg",N($BG$72)=1),$AG42="S",ISNUMBER($AB42),$AB42=MIN($AB$9:$AB$55),$AA42=$BG$105),$NB42&lt;&gt;""),CHAR(10),"")&amp;"• DOM forming at "&amp;$BG$165&amp;" (gamma "&amp;TEXT($BG$166,"0%")&amp;" of max) — price may be pulled to the node",""),"")</f>
      </c>
      <c r="NJ42">
        <f>IF(LEN($NI42)&gt;0,1,0)</f>
      </c>
    </row>
    <row r="43" spans="27:349" ht="15" customHeight="1" x14ac:dyDescent="0.25">
      <c r="AA43" s="181">
        <f>'King Node Model'!A63</f>
        <v>7715</v>
      </c>
      <c r="AB43" s="276">
        <f>'King Node Model'!C63</f>
        <v>-76852</v>
      </c>
      <c r="AC43" s="181">
        <f>ABS('King Node Model'!B63)</f>
        <v>246293</v>
      </c>
      <c r="AD43" s="276">
        <f>'King Node Model'!F63</f>
        <v>302922</v>
      </c>
      <c r="AE43" s="276">
        <f>'King Node Model'!E63</f>
        <v>603950</v>
      </c>
      <c r="AF43" s="276">
        <f>'King Node Model'!D63</f>
        <v>-1166531</v>
      </c>
      <c r="AG43" s="181" t="str">
        <f t="shared" si="6"/>
        <v>S</v>
      </c>
      <c r="AH43" s="181">
        <f t="shared" si="7"/>
        <v>15</v>
      </c>
      <c r="AI43" s="181" t="str">
        <f t="shared" si="8"/>
        <v>SELL</v>
      </c>
      <c r="AJ43" s="181">
        <f t="shared" si="9"/>
        <v>1</v>
      </c>
      <c r="AK43" s="181">
        <f>IF(ABS(N($AE43))&gt;=$BG$85,1,0)</f>
      </c>
      <c r="AL43" s="181">
        <f t="shared" si="10"/>
        <v>0</v>
      </c>
      <c r="AM43" s="181">
        <f t="shared" si="11"/>
        <v>1</v>
      </c>
      <c r="AN43" s="181">
        <f t="shared" si="12"/>
        <v>0</v>
      </c>
      <c r="AO43" s="1" t="str">
        <f t="shared" si="13"/>
        <v/>
      </c>
      <c r="AP43" s="1">
        <f t="shared" si="14"/>
        <v>603950</v>
      </c>
      <c r="AQ43" s="1">
        <f t="shared" si="15"/>
        <v>1166531</v>
      </c>
      <c r="AR43" s="181">
        <f t="shared" si="16"/>
        <v>0.14406510836111336</v>
      </c>
      <c r="AS43" s="181">
        <f t="shared" si="17"/>
        <v>11</v>
      </c>
      <c r="AT43" s="181" t="str">
        <f t="shared" si="18"/>
        <v/>
      </c>
      <c r="AU43" s="181" t="str">
        <f t="shared" si="19"/>
        <v/>
      </c>
      <c r="AV43" s="218">
        <f t="shared" si="183"/>
        <v>0</v>
      </c>
      <c r="AW43" s="181">
        <f>ABS('King Node Model'!G63)</f>
        <v>384</v>
      </c>
      <c r="AX43" s="181">
        <f t="shared" si="20"/>
        <v>0</v>
      </c>
      <c r="AY43" s="181">
        <f t="shared" si="21"/>
        <v>0</v>
      </c>
      <c r="AZ43" s="276">
        <f>'King Node Model'!I63</f>
        <v>1264</v>
      </c>
      <c r="BA43" s="181">
        <f t="shared" si="22"/>
        <v>0</v>
      </c>
      <c r="BB43" s="181" t="str">
        <f t="shared" si="23"/>
        <v>S11</v>
      </c>
      <c r="BC43" s="10">
        <f>'King Node Model'!C63</f>
        <v>-76852</v>
      </c>
      <c r="BD43" s="218">
        <f t="shared" si="184"/>
        <v>0</v>
      </c>
      <c r="BE43" s="218">
        <f t="shared" si="185"/>
        <v>0</v>
      </c>
      <c r="BF43" s="218" t="s">
        <v>1252</v>
      </c>
      <c r="BG43" s="416">
        <v>80000</v>
      </c>
      <c r="BI43" s="218">
        <f t="shared" si="186"/>
        <v>0</v>
      </c>
      <c r="BJ43" s="218">
        <f t="shared" si="187"/>
        <v>0</v>
      </c>
      <c r="BK43" s="218">
        <f t="shared" si="24"/>
        <v>0</v>
      </c>
      <c r="BL43" s="10">
        <f>'King Node Model'!H63</f>
        <v>19</v>
      </c>
      <c r="BM43" s="218">
        <f t="shared" si="25"/>
        <v>27</v>
      </c>
      <c r="BN43" s="218">
        <f t="shared" si="26"/>
        <v>31</v>
      </c>
      <c r="BO43" s="218">
        <f t="shared" si="27"/>
        <v>0</v>
      </c>
      <c r="BP43" s="218">
        <f t="shared" si="28"/>
        <v>0</v>
      </c>
      <c r="BQ43" t="str">
        <f t="shared" si="29"/>
        <v/>
      </c>
      <c r="BR43" t="str">
        <f t="shared" si="30"/>
        <v/>
      </c>
      <c r="BS43" s="218">
        <f t="shared" si="31"/>
        <v>0</v>
      </c>
      <c r="BT43" t="str">
        <f t="shared" si="32"/>
        <v/>
      </c>
      <c r="BU43" t="str">
        <f t="shared" si="33"/>
        <v/>
      </c>
      <c r="BV43" s="218">
        <f t="shared" si="34"/>
        <v>302922</v>
      </c>
      <c r="BW43" s="218">
        <f t="shared" si="35"/>
        <v>603950</v>
      </c>
      <c r="BX43" s="218">
        <f>IF(AND(ISNUMBER(BC43),BC43&gt;=$BG$160,OR('King Node Model'!$A$8="Neg",N($BG$72)=1)),1,0)</f>
        <v>0</v>
      </c>
      <c r="BY43" s="218">
        <f t="shared" si="36"/>
        <v>0</v>
      </c>
      <c r="BZ43" s="218">
        <f t="shared" si="37"/>
        <v>0</v>
      </c>
      <c r="CA43" t="str">
        <f t="shared" si="38"/>
        <v/>
      </c>
      <c r="CB43" s="218">
        <f>IF(AND(ISNUMBER('King Node Model'!$D$27),AG43&lt;&gt;"",AA43='King Node Model'!$D$27),1,0)</f>
        <v>0</v>
      </c>
      <c r="CC43" s="218">
        <f>IF(OR('King Node Model'!$A$8="Neg",N($BG$72)=1),$BG$14*IF(ISNUMBER('King Node Model'!$D$26),MAX(0,1-ABS(AA43-'King Node Model'!$D$26)/$BG$18),0)+$BG$15*IFERROR(BV43/MAX($BV$9:$BV$55),0)+$BG$16*IFERROR(BW43/MAX($BW$9:$BW$55),0)+$BG$17*IFERROR(AC43/$S$11,0)*MAX(0,1+$BG$21*CF43),AR43)</f>
        <v>0.30521736543364453</v>
      </c>
      <c r="CD43" s="218">
        <f>IF(OR('King Node Model'!$A$8="Neg",N($BG$72)=1),IF(AND(AG43&lt;&gt;"",ABS(AA43-$B$4)&lt;=$BG$7,OR(AX43=0,$D$5&lt;&gt;"UP"),AY43=0,BK43&lt;&gt;1,CI43=0,AM43&gt;=$BG$20,AC43&gt;$BG$19),1,0),IF(AND(BS43=1,(COUNTIF($W$9:$W$14,AA43)+COUNTIF($W$18:$W$23,AA43))&gt;0,CI43=0,AM43&gt;=$BG$20,AC43&gt;$BG$19),1,0))</f>
        <v>0</v>
      </c>
      <c r="CE43" t="str">
        <f t="shared" si="39"/>
        <v/>
      </c>
      <c r="CF43" s="218">
        <f t="shared" si="40"/>
        <v>0</v>
      </c>
      <c r="CG43" t="str">
        <f t="shared" si="41"/>
        <v/>
      </c>
      <c r="CH43" t="str">
        <f t="shared" si="42"/>
        <v>Dormant</v>
      </c>
      <c r="CI43" s="218">
        <f t="shared" si="43"/>
        <v>0</v>
      </c>
      <c r="CJ43" s="218">
        <f t="shared" si="44"/>
        <v>387420489</v>
      </c>
      <c r="CK43" s="218">
        <f t="shared" si="45"/>
        <v>0</v>
      </c>
      <c r="CL43" s="218">
        <f t="shared" si="46"/>
        <v>0</v>
      </c>
      <c r="CR43" t="s">
        <v>1502</v>
      </c>
      <c r="CS43">
        <f>IFERROR(INDEX($AB$9:$AB$55,MATCH($CS$40,$AA$9:$AA$55,0)),"")</f>
        <v>-3137174</v>
      </c>
      <c r="CU43" s="218">
        <f>IF(AND(AND('King Node Model'!$A$8&lt;&gt;"Neg",N($BG$72)&lt;&gt;1),SUMPRODUCT(($AG$9:$AG$55="S")*ISNUMBER($AT$9:$AT$55)*ISNUMBER($AU$9:$AU$55)*($AT$9:$AT$55&lt;&gt;$AU$9:$AU$55)*($AT$9:$AT$55&lt;=$AA43)*($AU$9:$AU$55&gt;=$AA43))&gt;0),0,IF(AND(OR($AA43='King Node Model'!$T$22,$AA43='King Node Model'!$F$24),$AG43="R",COUNTIF($W$9:$W$14,$AA43)&gt;0),1,IF(AND($FN43=1,$EU43&lt;&gt;1,$EM43&lt;&gt;1,$BK43&lt;&gt;1,$DH43&lt;&gt;1,$AG43="R",COUNTIF($W$9:$W$14,$AA43)&gt;0),1,IF($EU43=1,0,IF($EM43=1,0,IF(AND(OR($EE43=1,$GV43=1,AND($EL$7=1,$AA43='King Node Model'!$D$26,$EI43=1),AND(OR($AA43='King Node Model'!$T$22,$AA43='King Node Model'!$T$23),$AN43=1,OR($AX43=0,$D$5&lt;&gt;"UP"))),OR(NOT(OR('King Node Model'!$A$8="Neg",N($BG$72)=1)),$GV43=1,AND(OR($AA43='King Node Model'!$T$22,$AA43='King Node Model'!$T$23),$AN43=1,OR($AX43=0,$D$5&lt;&gt;"UP")),AND($AM43&gt;=$BG$20,$AC43&gt;IF($CZ43=1,$BG$48,$BG$19)))),1,IF($DH43=1,0,IF(AND($DC43=1,$GS43&lt;&gt;1,AND('King Node Model'!$A$8&lt;&gt;"Neg",N($BG$72)&lt;&gt;1)),0,IF(AND($EY43=1,NOT(OR('King Node Model'!$A$8="Neg",$BG$72=1)),$AA43&lt;&gt;'King Node Model'!$B$23),0,IF(AND($GS43=1,$AG43="R",OR($CI43=0,$EE43=1,$EX43=1,$GV43=1),COUNTIF($W$9:$W$14,$AA43)&gt;0,ABS($AA43-$B$4)&lt;=$BG$7,$BK43&lt;&gt;1,$AM43&gt;=$BG$20,$AC43&gt;IF($CZ43=1,$BG$48,$BG$19)),1,IF(OR('King Node Model'!$A$8="Neg",N($BG$72)=1),IF(AND(OR($AM43&gt;=$BG$20,$AA43='King Node Model'!$D$26,$GV43=1),$AG43="R",COUNTIF($W$9:$W$14,$AA43)&gt;0,ABS($AA43-$B$4)&lt;=$BG$7,OR($AX43=0,$D$5&lt;&gt;"UP"),$BK43&lt;&gt;1,OR(OR($CI43=0,$AJ43=1),AND($EI43=1,$LA43=1,COUNTIF($W$9:$W$11,$AA43)&gt;0,$AN43=1,OR($AX43=0,$D$5&lt;&gt;"UP"))),$AM43&gt;=$BG$20,$AC43&gt;IF($CZ43=1,$BG$48,$BG$19),OR($AN43=1,N($LR43)=1,$AA43='King Node Model'!$D$26,AND($BY43=1,$AA43&gt;$B$4),$BX43=1,$CF43=1,$CF43=1,AND(OR($AA43=$CP$4,$AA43=$CP$5,$AA43=$CP$6,$AA43=$CP$7),ABS($AA43-$B$4)&lt;=30),AND($AX43=1,$D$5="DOWN"))),1,0),IF(AND(OR($AM43&gt;=3,$AA43='King Node Model'!$D$26,$GV43=1),$AG43="R",COUNTIF($W$9:$W$14,$AA43)&gt;0,ABS($AA43-$B$4)&lt;=$BG$7,OR($AX43=0,$D$5&lt;&gt;"UP"),$BK43&lt;&gt;1,OR($CI43=0,$AJ43=1),$AM43&gt;=$BG$20,$AC43&gt;IF($CZ43=1,$BG$48,$BG$19),OR($AC43&gt;=MAX($AC$9:$AC$55),$BC43&gt;0,$AA43='King Node Model'!$D$26,AND(OR($AA43=$CP$4,$AA43=$CP$5,$AA43=$CP$6,$AA43=$CP$7),ABS($AA43-$B$4)&lt;=30),$CF43=1,$AN43=1,AND($AX43=1,$D$5="DOWN"))),1,0))))))))))))</f>
        <v>0</v>
      </c>
      <c r="CV43" s="218">
        <f>IF(AND(OR('King Node Model'!$A$8="Neg",N($BG$72)=1),$AG43="S",N($LR43)=1,N($MB43)=1),1,IF(AND(AND('King Node Model'!$A$8&lt;&gt;"Neg",N($BG$72)&lt;&gt;1),SUMPRODUCT(($AG$9:$AG$55="R")*ISNUMBER($AT$9:$AT$55)*ISNUMBER($AU$9:$AU$55)*($AT$9:$AT$55&lt;&gt;$AU$9:$AU$55)*($AT$9:$AT$55&lt;=$AA43)*($AU$9:$AU$55&gt;=$AA43))&gt;0,NOT(AND(N($LC43)=1,$AA43='King Node Model'!$B$23))),0,IF(AND($AA43='King Node Model'!$F$24,$AG43="S",COUNTIF($W$18:$W$23,$AA43)&gt;0),1,IF(AND($FN43=1,$EU43&lt;&gt;1,$EM43&lt;&gt;1,$DH43&lt;&gt;1,$AG43="S",COUNTIF($W$18:$W$23,$AA43)&gt;0),1,IF($EU43=1,0,IF(AND(OR($EF43=1,$GV43=1,AND(OR($AA43='King Node Model'!$T$22,$AA43='King Node Model'!$T$23,AND($AG43="S",COUNTIF('Master Dashboard'!$AN$16:$AN$18,$AA43)&gt;0)),$AN43=1,OR($AX43=0,$D$5&lt;&gt;"UP"))),OR(NOT(OR('King Node Model'!$A$8="Neg",N($BG$72)=1)),$GV43=1,AND(OR($AA43='King Node Model'!$T$22,$AA43='King Node Model'!$T$23,AND($AG43="S",COUNTIF('Master Dashboard'!$AN$16:$AN$18,$AA43)&gt;0)),$AN43=1,OR($AX43=0,$D$5&lt;&gt;"UP")),AND($AM43&gt;=$BG$20,$AC43&gt;IF($CZ43=1,$BG$48,$BG$19)))),1,IF($DH43=1,0,IF(AND($DC43=1,$GS43&lt;&gt;1,AND('King Node Model'!$A$8&lt;&gt;"Neg",N($BG$72)&lt;&gt;1)),0,IF(AND($EY43=1,NOT(OR('King Node Model'!$A$8="Neg",$BG$72=1)),$AA43&lt;&gt;'King Node Model'!$B$23,COUNTIF('Master Dashboard'!$AN$16:$AN$18,$AA43)=0),0,IF(AND($GS43=1,$AG43="S",OR($CI43=0,$EF43=1,$EX43=1,$GV43=1),COUNTIF($W$18:$W$23,$AA43)&gt;0,ABS($AA43-$B$4)&lt;=$BG$7,$BK43&lt;&gt;1,$AM43&gt;=$BG$20,$AC43&gt;IF($CZ43=1,$BG$48,$BG$19)),1,IF(OR('King Node Model'!$A$8="Neg",N($BG$72)=1),IF(AND(OR(OR($AM43&gt;=$BG$20,N($LR43)=1),$AA43='King Node Model'!$D$26,$GV43=1),$AG43="S",COUNTIF($W$18:$W$23,$AA43)&gt;0,ABS($AA43-$B$4)&lt;=$BG$7,OR($AX43=0,$D$5&lt;&gt;"UP"),$BK43&lt;&gt;1,OR($CI43=0,$AJ43=1,AND(N($LR43)=1,N($MB43)=1),N($MT43)=1),OR($AM43&gt;=$BG$20,N($LR43)=1),$AC43&gt;IF($CZ43=1,$BG$48,$BG$19),OR($AB43&gt;0,$AN43=1,N($MT43)=1,N($LR43)=1,$AA43='King Node Model'!$D$26,AND($BY43=1,$AA43&lt;$B$4),$BX43=1,$CF43=1,$CF43=1,AND(OR($AA43=$CP$4,$AA43=$CP$5,$AA43=$CP$6,$AA43=$CP$7),ABS($AA43-$B$4)&lt;=30),AND($AX43=1,$D$5="DOWN"))),1,0),IF(AND(OR($AM43&gt;=3,$AA43='King Node Model'!$D$26,$GV43=1),$AG43="S",COUNTIF($W$18:$W$23,$AA43)&gt;0,ABS($AA43-$B$4)&lt;=$BG$7,OR($AX43=0,$D$5&lt;&gt;"UP"),$BK43&lt;&gt;1,OR($CI43=0,$AJ43=1,AND(N($LR43)=1,N($MB43)=1),N($MT43)=1),$AM43&gt;=$BG$20,$AC43&gt;IF($CZ43=1,$BG$48,$BG$19),OR($AC43&gt;=MAX($AC$9:$AC$55),$BC43&gt;0,N($MT43)=1,$AA43='King Node Model'!$D$26,AND(OR($AA43=$CP$4,$AA43=$CP$5,$AA43=$CP$6,$AA43=$CP$7),ABS($AA43-$B$4)&lt;=30),$CF43=1,$AN43=1,AND($AX43=1,$D$5="DOWN"))),1,0))))))))))))</f>
        <v>0</v>
      </c>
      <c r="CX43" s="218">
        <f t="shared" si="48"/>
        <v>0</v>
      </c>
      <c r="CY43" t="str">
        <f t="shared" si="49"/>
        <v/>
      </c>
      <c r="CZ43" s="218">
        <f t="shared" si="50"/>
        <v>0</v>
      </c>
      <c r="DA43" t="str">
        <f t="shared" si="51"/>
        <v/>
      </c>
      <c r="DB43" t="str">
        <f t="shared" si="52"/>
        <v/>
      </c>
      <c r="DC43" s="218">
        <f t="shared" si="53"/>
        <v>0</v>
      </c>
      <c r="DD43" s="218">
        <f t="shared" si="54"/>
        <v>0</v>
      </c>
      <c r="DE43" s="218">
        <f t="shared" si="55"/>
        <v>0</v>
      </c>
      <c r="DF43" t="str">
        <f t="shared" si="56"/>
        <v/>
      </c>
      <c r="DG43" t="str">
        <f t="shared" si="57"/>
        <v/>
      </c>
      <c r="DH43" s="218">
        <f t="shared" si="58"/>
        <v>0</v>
      </c>
      <c r="DI43">
        <v>1</v>
      </c>
      <c r="DJ43">
        <v>1</v>
      </c>
      <c r="DK43">
        <v>620379</v>
      </c>
      <c r="DL43">
        <v>0</v>
      </c>
      <c r="DM43" t="str">
        <f>IF(AND($CV43=1,$AG43="S"),IF(AND(OR('King Node Model'!$A$8="Neg",N($BG$72)=1),'King Node Model'!$S$52=""),IF(OR(N($AN43)=1,N($LR43)=1,$AB43&gt;0,$AJ43=1,N($JO43)=1,AND(NOT($AE43&gt;0),NOT(IFERROR(AND(ISNUMBER($BC43),ISNUMBER($BC42),($BC43&gt;=0)&lt;&gt;($BC42&gt;=0)),FALSE())),OR(AND($BM43&lt;=6,$BN43&lt;=6),ABS($AA43-'King Node Model'!$T$23)&lt;=5,$LA43=1))),1,0),1),"")</f>
        <v/>
      </c>
      <c r="DN43" t="str">
        <f t="shared" si="59"/>
        <v/>
      </c>
      <c r="DO43" t="str">
        <f t="shared" si="60"/>
        <v>W-list</v>
      </c>
      <c r="DP43" t="str">
        <f>IF(AND(OR('King Node Model'!$A$8="Neg",N($BG$72)=1),$AG43="S",ISNUMBER($AT43),ISNUMBER($AU43),$AT43&lt;&gt;$AU43,$AA43=$AT43),IF(AND(SUMPRODUCT(($AA$9:$AA$55&gt;=$AT43)*($AA$9:$AA$55&lt;=$AU43)*($AB$9:$AB$55&gt;0))&gt;0,SUMPRODUCT(($AA$9:$AA$55&gt;=$AT43)*($AA$9:$AA$55&lt;=$AU43)*($DM$9:$DM$55=1))&gt;0,SUMPRODUCT(($AA$9:$AA$55&gt;=$AT43)*($AA$9:$AA$55&lt;=$AU43)*(COUNTIF($W$18:$W$20,$AA$9:$AA$55)&gt;0))&gt;0),1,0),"")</f>
        <v/>
      </c>
      <c r="DS43">
        <v>0</v>
      </c>
      <c r="DT43">
        <v>0</v>
      </c>
      <c r="DU43" t="str">
        <f>IF('King Node Model'!$A$8&lt;&gt;"Pos","",IF(OR($AA43="",NOT(ISNUMBER($AA43)),ABS($AA43-$B$4)&gt;$BG$7),"",TEXT($AA43,"0")&amp;" | "&amp;IF($AG43="","unclassified",IF($AG43&lt;&gt;IF($AA43&gt;$B$4,"R","S"),"orphan: in "&amp;$AG43&amp;"-list, "&amp;IF($AA43&lt;$B$4,"below","above")&amp;" spot",IF(IF($AG43="R",COUNTIF($W$9:$W$14,$AA43),COUNTIF($W$18:$W$23,$AA43))=0,"not in "&amp;$AG43&amp;"-list",IF($DH43=1,"absorbed into shelf box",IF($BK43=1,"absorbed: adjacent reversal",IF($CI43=1,"accel-accelerant",IF($AC43&lt;=$BG$19,"below gamma-floor",IF($AM43&lt;$BG$20,"confluence "&amp;TEXT($AM43,"0")&amp;" &lt; "&amp;TEXT($BG$20,"0"),IF(AND($AX43=1,$D$5="UP"),"accelerant in up-move",IF(NOT(OR($AC43&gt;=MAX($AC$9:$AC$55),$BC43&gt;0,$AA43='King Node Model'!$D$26,AND(OR($AA43=$CP$4,$AA43=$CP$5,$AA43=$CP$6,$AA43=$CP$7),ABS($AA43-$B$4)&lt;=30),ISNUMBER(SEARCH("STRENGTHENING",$CG43)),$AN43=1,AND($AX43=1,$D$5="DOWN"))),"no surface flag","-&gt; qualifies"))))))))))))</f>
        <v/>
      </c>
      <c r="DV43" s="218">
        <f t="shared" si="61"/>
        <v>99999</v>
      </c>
      <c r="DW43" s="218">
        <f t="shared" si="62"/>
        <v>99999</v>
      </c>
      <c r="DX43" t="str">
        <f>IF('King Node Model'!$A$8&lt;&gt;"Pos","",IF(AND($DV43&lt;99999,$DV43=MIN($DV$9:$DV$55),$DG43&gt;$AA43),"R-box: "&amp;TEXT($AA43,"0")&amp;"-"&amp;TEXT($DG43,"0"),IF(AND($DW43&lt;99999,$DW43=MIN($DW$9:$DW$55),$DF43&lt;$AA43),"S-box: "&amp;TEXT($DF43,"0")&amp;"-"&amp;TEXT($AA43,"0"),"")))</f>
        <v/>
      </c>
      <c r="EB43">
        <f t="shared" si="63"/>
        <v>60.390000000000327</v>
      </c>
      <c r="EC43">
        <f t="shared" si="64"/>
        <v>538591</v>
      </c>
      <c r="ED43">
        <f t="shared" si="65"/>
        <v>0</v>
      </c>
      <c r="EE43">
        <f>IF(AND(OR('King Node Model'!$A$8="Neg",N($BG$72)=1),$AG43="R",ISNUMBER($EB43),$EB43&lt;=$BG$7,$AB43&gt;0,$EC43&gt;0,$AB43=$EC43),1,0)</f>
        <v>0</v>
      </c>
      <c r="EF43">
        <f>IF(AND(OR('King Node Model'!$A$8="Neg",N($BG$72)=1),$AG43="S",ISNUMBER($EB43),$EB43&lt;=$BG$7,$AB43&gt;0,$ED43&gt;0,$AB43=$ED43),1,0)</f>
        <v>0</v>
      </c>
      <c r="EI43">
        <v>1</v>
      </c>
      <c r="EJ43">
        <f>IF($AA43="",0,IF(SUMPRODUCT(($AA$9:$AA$55&gt;=$AT43)*($AA$9:$AA$55&lt;=$AU43)*($DT$9:$DT$55=1))+SUMPRODUCT(($DT$9:$DT$55=1)*($AT$9:$AT$55&lt;=$AA43)*($AU$9:$AU$55&gt;=$AA43))+($DT43=1)+AND(OR('King Node Model'!$A$8="Neg",N($BG$72)=1),ISNUMBER(SEARCH("LOW",'Master Dashboard'!$M$5)),ISNUMBER(SEARCH("BUY",'Master Dashboard'!$G$8)),'King Node Model'!$T$23='King Node Model'!$B$23,$AA43&gt;='King Node Model'!$T$23,$AA43&lt;='King Node Model'!$T$23+5)*1&gt;0,1,0))</f>
        <v>0</v>
      </c>
      <c r="EM43">
        <f t="shared" si="66"/>
        <v>0</v>
      </c>
      <c r="EN43">
        <v>0</v>
      </c>
      <c r="EO43">
        <f t="shared" si="67"/>
        <v>0</v>
      </c>
      <c r="EP43">
        <f t="shared" si="68"/>
        <v>0</v>
      </c>
      <c r="EQ43" t="str">
        <f t="shared" si="69"/>
        <v>thinning the floor (magnitude weak)</v>
      </c>
      <c r="ES43" t="str">
        <f>IF(AND(ISNUMBER(AA43),ISNUMBER(AF43),ABS(AA43-'King Node Model'!$B$4)&lt;=$BG$7),ABS(AF43),"")</f>
        <v/>
      </c>
      <c r="ET43">
        <v>0</v>
      </c>
      <c r="EU43" s="218">
        <f>IF(AND(OR('King Node Model'!$A$8="Neg",N($BG$72)=1),ISNUMBER($AA42),ISNUMBER($AA43),ISNUMBER($AA44),ISNUMBER($AB42),ISNUMBER($AB43),ISNUMBER($AB44),ISNUMBER($AF43),$AB43&gt;0,$AB42&lt;0,$AB44&lt;0,$AF43&lt;0),1,0)</f>
        <v>0</v>
      </c>
      <c r="EW43">
        <f>IF(OR(N($MY43)=1,N($JM43)=1),0,N($NE43))</f>
        <v>0</v>
      </c>
      <c r="EX43">
        <f>IF(AND(OR('King Node Model'!$A$8="Neg",N($BG$72)=1),ISNUMBER($AA43),OR(AND($AA43='King Node Model'!$F$24,OR(AND($AG43="S",$F$4="High",IF($BG$80&lt;&gt;"",UPPER($BG$80),$D$5)="DOWN"),AND($AG43="R",$F$4="Low",IF($BG$80&lt;&gt;"",UPPER($BG$80),$D$5)="UP"))),$GV43=1)),1,0)</f>
        <v>0</v>
      </c>
      <c r="EY43">
        <f>IFERROR(IF(AND($DC43=1,$AB43&lt;0,$AC43&gt;=(1+$FA$6)*INDEX($AC$9:$AC$55,35-1),$AC43&gt;=(1+$FA$6)*INDEX($AC$9:$AC$55,35+1),$AC43&gt;=IFERROR(INDEX($AC$9:$AC$55,35-2),0),$AC43&gt;=IFERROR(INDEX($AC$9:$AC$55,35+2),0)),1,0),0)</f>
        <v>0</v>
      </c>
      <c r="FA43" t="str">
        <f>IF(NOT(ISNUMBER($AA43)),"",IFERROR(IF(AND($AC43=MAX($AC$9:$AC$55),$AB43=MIN($AB$9:$AB$55)),"DOM",IF(AND($DC42=1,$DC43=1,$DC44=1,INDEX($AC$9:$AC$55,35-1)&lt;=(1-$FA$6)*$AC43,INDEX($AC$9:$AC$55,35-1)&lt;=(1-$FA$6)*INDEX($AC$9:$AC$55,35-2)),"GAP↑",IF(AND($DC44=1,$DC43=1,INDEX($AC$9:$AC$55,35+1)&lt;=(1-$FA$6)*$AC43,INDEX($AC$9:$AC$55,35+1)&lt;=(1-$FA$6)*INDEX($AC$9:$AC$55,35+2)),"GAP↓",IF($CZ43=1,"dEdge Cliff",IF($GY43=1,"γWall",IF(AND($DC43=1,$AB43&lt;0,$AC43&gt;=(1+$FA$6)*INDEX($AC$9:$AC$55,35-1),$AC43&gt;=(1+$FA$6)*INDEX($AC$9:$AC$55,35+1)),"PEAK-",IF($GZ43=1,"γSh Edge",IF($HL43=1,"Trough",IF($HN43=1,"PEAK+",IF($GF43=1,"Cluster","")))))))))),""))</f>
        <v/>
      </c>
      <c r="FB43" t="str">
        <f t="shared" si="70"/>
        <v/>
      </c>
      <c r="FC43" t="str">
        <f t="shared" si="71"/>
        <v/>
      </c>
      <c r="FD43">
        <f>IF(AND(ISNUMBER($AA43),ISNUMBER('King Node Model'!$AP$17),ISNUMBER('King Node Model'!$AQ$17),$AA43&gt;=MIN('King Node Model'!$AP$17,'King Node Model'!$AQ$17),$AA43&lt;=MAX('King Node Model'!$AP$17,'King Node Model'!$AQ$17),IFERROR(INDEX($AC$9:$AC$55,MATCH('King Node Model'!$AL$42,$AA$9:$AA$55,0)),0)&gt;0,$AC43&gt;=(1-$FA$6)*IFERROR(INDEX($AC$9:$AC$55,MATCH('King Node Model'!$AL$42,$AA$9:$AA$55,0)),0),$AC43&lt;=(1+$FA$6)*IFERROR(INDEX($AC$9:$AC$55,MATCH('King Node Model'!$AL$42,$AA$9:$AA$55,0)),0)),1,0)</f>
        <v>0</v>
      </c>
      <c r="FE43">
        <f>IF($AA43='King Node Model'!$AL$42,1,IF(AND($FD43=1,$FE42=1),1,0))</f>
        <v>0</v>
      </c>
      <c r="FF43">
        <f>IF($AA43='King Node Model'!$AL$42,1,IF(AND($FD43=1,$FF44=1),1,0))</f>
        <v>0</v>
      </c>
      <c r="FG43" t="str">
        <f>IF(OR($FE43=1,$FF43=1),35,"")</f>
        <v/>
      </c>
      <c r="FJ43">
        <f>IF(AND($CW$2=1,ISNUMBER($AA43),ISNUMBER($CW$3),ISNUMBER($CW$4),$AA43&gt;=MIN($CW$3,$CW$4),$AA43&lt;=MAX($CW$3,$CW$4),IFERROR(INDEX($AC$9:$AC$55,MATCH('King Node Model'!$AP$67,$AA$9:$AA$55,0)),0)&gt;0,$AC43&gt;=(1-$FA$6)*IFERROR(INDEX($AC$9:$AC$55,MATCH('King Node Model'!$AP$67,$AA$9:$AA$55,0)),0),$AC43&lt;=(1+$FA$6)*IFERROR(INDEX($AC$9:$AC$55,MATCH('King Node Model'!$AP$67,$AA$9:$AA$55,0)),0)),1,0)</f>
        <v>0</v>
      </c>
      <c r="FK43">
        <f>IF(AND($CW$2=1,$AA43='King Node Model'!$AP$67),1,IF(AND($FJ43=1,$FK42=1),1,0))</f>
        <v>0</v>
      </c>
      <c r="FL43">
        <f>IF(AND($CW$2=1,$AA43='King Node Model'!$AP$67),1,IF(AND($FJ43=1,$FL44=1),1,0))</f>
        <v>0</v>
      </c>
      <c r="FM43" t="str">
        <f>IF(OR($FK43=1,$FL43=1),35,"")</f>
        <v/>
      </c>
      <c r="FN43">
        <v>0</v>
      </c>
      <c r="FR43" t="str">
        <f t="shared" si="72"/>
        <v/>
      </c>
      <c r="FS43">
        <f t="shared" si="188"/>
        <v>0</v>
      </c>
      <c r="FT43">
        <f t="shared" si="73"/>
        <v>-0.31203485279727805</v>
      </c>
      <c r="FU43">
        <f t="shared" si="74"/>
        <v>246293</v>
      </c>
      <c r="FV43" t="str">
        <f>IF($FW43=0,"",IF(OR($FW42=0,SIGN(IFERROR($BC43*1,0))&lt;&gt;SIGN(IFERROR($BC42*1,0)),$GH43=1,$GH42=1),MAX($FV$9:$FV42)+1,$FV42))</f>
        <v/>
      </c>
      <c r="FW43">
        <f t="shared" si="75"/>
        <v>0</v>
      </c>
      <c r="FX43" t="str">
        <f t="shared" si="76"/>
        <v/>
      </c>
      <c r="FY43">
        <f t="shared" si="77"/>
        <v>0</v>
      </c>
      <c r="FZ43">
        <f t="shared" si="189"/>
        <v>0</v>
      </c>
      <c r="GA43">
        <f t="shared" si="78"/>
        <v>0</v>
      </c>
      <c r="GB43" t="str">
        <f t="shared" si="79"/>
        <v/>
      </c>
      <c r="GC43" t="str">
        <f t="shared" si="80"/>
        <v/>
      </c>
      <c r="GD43" t="str">
        <f t="shared" si="81"/>
        <v/>
      </c>
      <c r="GE43" t="str">
        <f t="shared" si="82"/>
        <v/>
      </c>
      <c r="GF43">
        <f t="shared" si="83"/>
        <v>0</v>
      </c>
      <c r="GH43">
        <f>IFERROR(IF(AND($AC43&gt;=(1+$FA$6)*INDEX($AC$9:$AC$55,35-1),$AC43&gt;=(1+$FA$6)*INDEX($AC$9:$AC$55,35+1)),1,0),0)</f>
        <v>0</v>
      </c>
      <c r="GK43">
        <v>0</v>
      </c>
      <c r="GO43">
        <v>0</v>
      </c>
      <c r="GP43">
        <v>0</v>
      </c>
      <c r="GQ43">
        <f t="shared" si="84"/>
        <v>0</v>
      </c>
      <c r="GR43">
        <f t="shared" si="85"/>
        <v>0</v>
      </c>
      <c r="GS43">
        <f>IF(AND($EY43=1,$AA43&lt;&gt;'King Node Model'!$B$23),0,IF(OR($GQ43=1,$GR43=1),1,IF($DC43=1,IF(OR('King Node Model'!$A$8="Neg",N($BG$72)=1),IF(OR(AND($AC43=MAX($AC$9:$AC$55),$AB43=MIN($AB$9:$AB$55)),$AN43=1,$EE43=1,$EF43=1,$EX43=1,$GV43=1),1,0),1),0)))</f>
        <v>0</v>
      </c>
      <c r="GT43">
        <f>IFERROR(IF(AND(OR('King Node Model'!$A$8="Neg",N($BG$72)=1),$EU42=1,$AG43="R",ISNUMBER($AA43),ISNUMBER($AF43),$AF43&lt;&gt;0,$AA43&gt;$B$4-$BG$9,$AA43-$B$4&lt;=$BG$47,IF($KC43="UP",SIGN($AF43),IF($KC43="DOWN",-SIGN($AF43),0))&lt;&gt;1),1,0),0)</f>
        <v>0</v>
      </c>
      <c r="GU43" t="str">
        <f t="shared" si="86"/>
        <v/>
      </c>
      <c r="GV43">
        <f t="shared" si="87"/>
        <v>0</v>
      </c>
      <c r="GW43" t="str">
        <f t="shared" si="88"/>
        <v/>
      </c>
      <c r="GX43">
        <f t="shared" si="89"/>
        <v>60.390000000000327</v>
      </c>
      <c r="GY43">
        <f t="shared" si="90"/>
        <v>0</v>
      </c>
      <c r="GZ43">
        <f t="shared" si="91"/>
        <v>0</v>
      </c>
      <c r="HA43">
        <v>0</v>
      </c>
      <c r="HF43">
        <f>IFERROR(IF(AND($GZ43=1,'King Node Model'!$A$8="Pos",$D$5="UP",$CF43=-1,$AJ43&lt;&gt;1),1,0),0)</f>
        <v>0</v>
      </c>
      <c r="HG43">
        <f t="shared" si="92"/>
        <v>0</v>
      </c>
      <c r="HH43" t="str">
        <f>IF($GZ43=1,"",IFERROR(IF(NOT(ISNUMBER($AA43)),"",IF($EY43=1,"",IF($GF43=1,IF($GD43=$GE43,"",$GD43),IF(OR(AND($DC42=1,$DC43=1,$DC44=1,INDEX($AC$9:$AC$55,35-1)&lt;=(1-$FA$6)*$AC43,INDEX($AC$9:$AC$55,35-1)&lt;=(1-$FA$6)*INDEX($AC$9:$AC$55,35-2)),AND($DC44=1,$DC43=1,INDEX($AC$9:$AC$55,35+1)&lt;=(1-$FA$6)*$AC43,INDEX($AC$9:$AC$55,35+1)&lt;=(1-$FA$6)*INDEX($AC$9:$AC$55,35+2)),AND($DC43=1,OR(INDEX($DC$9:$DC$55,35-1)=0,INDEX($DC$9:$DC$55,35+1)=0))),IF(MIN($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MAX($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MIN($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f>
        <v/>
      </c>
      <c r="HI43" t="str">
        <f>IF($GZ43=1,"",IFERROR(IF(NOT(ISNUMBER($AA43)),"",IF($EY43=1,"",IF($GF43=1,IF($GD43=$GE43,"",$GE43),IF(OR(AND($DC42=1,$DC43=1,$DC44=1,INDEX($AC$9:$AC$55,35-1)&lt;=(1-$FA$6)*$AC43,INDEX($AC$9:$AC$55,35-1)&lt;=(1-$FA$6)*INDEX($AC$9:$AC$55,35-2)),AND($DC44=1,$DC43=1,INDEX($AC$9:$AC$55,35+1)&lt;=(1-$FA$6)*$AC43,INDEX($AC$9:$AC$55,35+1)&lt;=(1-$FA$6)*INDEX($AC$9:$AC$55,35+2)),AND($DC43=1,OR(INDEX($DC$9:$DC$55,35-1)=0,INDEX($DC$9:$DC$55,35+1)=0))),IF(MIN($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MAX($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MAX($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f>
        <v/>
      </c>
      <c r="HL43">
        <f t="shared" si="93"/>
        <v>0</v>
      </c>
      <c r="HM43">
        <f>IFERROR(IF(AND($HL43=1,NOT(OR($AA43='King Node Model'!$T$22,$AA43='King Node Model'!$T$23,$AA43='King Node Model'!$F$24,AND($AG43="S",COUNTIF('Master Dashboard'!$AN$16:$AN$18,$AA43)&gt;0),AND($AG43="R",COUNTIF('Master Dashboard'!$AN$13:$AN$15,$AA43)&gt;0)))),1,0),0)</f>
        <v>0</v>
      </c>
      <c r="HN43">
        <f t="shared" si="94"/>
        <v>0</v>
      </c>
      <c r="HO43">
        <f t="shared" si="95"/>
        <v>0</v>
      </c>
      <c r="HP43">
        <f t="shared" si="96"/>
        <v>1</v>
      </c>
      <c r="HQ43" t="str">
        <f>IF(NOT(ISNUMBER($AA43)),"",IFERROR(TRIM(IF(N($MY43)=1,"DEXLEAN ","")&amp;IF(N($IZ43)=1,"DEXCAP ","")&amp;IF(AND($AG43="S",UPPER('King Node Model'!$L$5)="HIGH",$KC43="DOWN",N($AF43)&gt;0,$AA43='King Node Model'!$AN$70,$IY43="SELL"),"CHOPEDGEIV ","")&amp;IF(N($IS43)=1,"NOREV ","")&amp;IF(N($JY43)=1,"VFLAT ","")&amp;IF(N($KR43)=1,"GDEXVANNA ","")&amp;IF(N($LD43)=1,"KGSUPFAIL ","")&amp;IF(N($LE43)=1,"KGRESLEAK ","")&amp;IF(N($MH43)=1,"ZIGZAG ","")&amp;IF(N($KK43)=1,"DATAGAP ","")&amp;IF(N($KA43)&lt;&gt;0,"ACCUNDERCW ","")&amp;IF(AND($AG43="S",$HF43=1),"EDGE ","")&amp;IF(AND($HM43=1,'King Node Model'!$A$8="Pos",N($BG$72)&lt;&gt;1),"TROUGH ","")&amp;IF(AND($EU43=1,N($JZ43)&lt;&gt;1),"BUMP ","")&amp;IF(AND($GT43=1,N($JZ43)&lt;&gt;1),"SANDWICH ","")&amp;IF(AND($EX43&lt;&gt;1,OR('King Node Model'!$A$8="Neg",N($BG$72)=1),OR(AND(ISNUMBER($AC43),$AC43=MAX($AC$9:$AC$55)),AND(ISNUMBER($AB43),$AB43=MIN($AB$9:$AB$55))),NOT(AND(AND(ISNUMBER($AC43),$AC43=MAX($AC$9:$AC$55)),AND(ISNUMBER($AB43),$AB43=MIN($AB$9:$AB$55)))),$AG43="S",N($AB43)&lt;0,NOT(COUNTIF('Master Dashboard'!$AN$16:$AN$18,$AA43)&gt;0),NOT(AND(OR('King Node Model'!$A$8="Neg",N($BG$72)=1),ISNUMBER($AB43),$AB43=MIN($AB$9:$AB$55),$AA43=$BG$105))),"ACCEL ","")&amp;IF(AND($EX43&lt;&gt;1,ISNUMBER($AA43),OR('King Node Model'!$A$8="Neg",N($BG$72)=1),$EY43=1,NOT(AND($AG43="S",COUNTIF('Master Dashboard'!$AN$16:$AN$18,$AA43)&gt;0)),NOT(AND($AA43='King Node Model'!$B$23,IF($AG43="S",OR($AA43='King Node Model'!$C$24,COUNTIF('Master Dashboard'!$AN$16:$AN$18,$AA43)&gt;0),OR($AA43='King Node Model'!$C$23,COUNTIF('Master Dashboard'!$AN$13:$AN$15,$AA43)&gt;0)))),NOT(AND($EX43&lt;&gt;1,OR('King Node Model'!$A$8="Neg",N($BG$72)=1),OR(AND(ISNUMBER($AC43),$AC43=MAX($AC$9:$AC$55)),AND(ISNUMBER($AB43),$AB43=MIN($AB$9:$AB$55))),NOT(AND(AND(ISNUMBER($AC43),$AC43=MAX($AC$9:$AC$55)),AND(ISNUMBER($AB43),$AB43=MIN($AB$9:$AB$55)))),$AG43="S",N($AB43)&lt;0,NOT(COUNTIF('Master Dashboard'!$AN$16:$AN$18,$AA43)&gt;0)))),"AMPLIFY ","")&amp;IF(AND($AG43="S",OR('King Node Model'!$A$8="Neg",N($BG$72)=1),$AJ43&lt;&gt;1,N($MT43)&lt;&gt;1,NOT(AND(N($LR43)=1,N($MB43)=1)),ISNUMBER(SEARCH("ACCEL building",$CG43))),"ZACCEL ","")&amp;IF(AND($AG43="S",OR('King Node Model'!$A$8="Neg",N($BG$72)=1),$AA43='King Node Model'!$B$23,NOT(AND(AND(ISNUMBER($AC43),$AC43=MAX($AC$9:$AC$55)),AND(ISNUMBER($AB43),$AB43=MIN($AB$9:$AB$55)))),$EJ43&lt;&gt;1),"KINGACC ","")&amp;IF(AND($AG43="S",OR('King Node Model'!$A$8="Neg",N($BG$72)=1),ABS(N($AA43)-N('King Node Model'!$B$23))&lt;=$BG$107,NOT(AND(SUMPRODUCT((ABS($AF$9:$AF$55)&lt;=ABS(N($AF43)))*1)/COUNT($AF$9:$AF$55)&gt;=0.66,OR(ISNUMBER(SEARCH("firmer resistance",$CG43)),ISNUMBER(SEARCH("STRENGTHENING",$CG43)),ISNUMBER(SEARCH("firmer support",$CG43))))),NOT(AND(N($AB43)&gt;0,SUMPRODUCT((ABS($AB$9:$AB$55)&lt;=ABS(N($AB43)))*1)/COUNT($AB$9:$AB$55)&gt;=0.66)),$EJ43&lt;&gt;1,$AJ43&lt;&gt;1,COUNTIF('Master Dashboard'!$AN$16:$AN$18,$AA43)=0,NOT(AND($AG43="S",OR('King Node Model'!$A$8="Neg",N($BG$72)=1),$AA43='King Node Model'!$B$23,NOT(AND(AND(ISNUMBER($AC43),$AC43=MAX($AC$9:$AC$55)),AND(ISNUMBER($AB43),$AB43=MIN($AB$9:$AB$55)))),$EJ43&lt;&gt;1))),"KINGNODE ","")&amp;IF(AND($AG43="R",NOT(AND(AND(ISNUMBER($AC43),$AC43=MAX($AC$9:$AC$55)),AND(ISNUMBER($AB43),$AB43=MIN($AB$9:$AB$55)))),UPPER('King Node Model'!$L$5)="LOW",$KC43="DOWN",N($AF43)&gt;0),"LOWIVFALL ","")&amp;IF(AND($AG43="R",NOT(AND(AND(ISNUMBER($AC43),$AC43=MAX($AC$9:$AC$55)),AND(ISNUMBER($AB43),$AB43=MIN($AB$9:$AB$55)))),UPPER('King Node Model'!$L$5)="HIGH",$KC43="DOWN",N($AF43)&gt;0,IFERROR(MATCH($AA43,$W$9:$W$14,0)&gt;=4,FALSE)),"HIGHIVFALL ","")&amp;IF(AND($AG43="R",N($BG$99)=1),"SPOTUPVOLUP ","")&amp;IF(AND($AG43="R",ISNUMBER(SEARCH("5/5",'Master Dashboard'!$E$29)),OR(ISNUMBER(SEARCH("WEAKENING",$EQ43)),ISNUMBER(SEARCH("Pos gamma ↓",$EQ43)),ISNUMBER(SEARCH("thinning the ceiling",$EQ43)))),"SQUEEZE ","")&amp;IF(N($JU43)=1,"DEDGECLIFF ","")&amp;IF(N($KT43)=1,"DEXDRAIN ","")&amp;IF(N($HW43)&lt;&gt;0,"DEXDROP ","")&amp;IF(N($HX43)&lt;&gt;0,"PEAK+ ","")&amp;IF(N($IF43)=1,"CHOP ","")&amp;IF(N($IQ43)=1,"CONTESTED ","")&amp;IF(N($IW43)=1,"VSELL ","")&amp;IF(N($JK43)=1,"VBUYRES ","")&amp;IF(N($JL43)=1,"DOMFLAT ","")&amp;IF(N($JM43)=1,"DOMPULL ","")&amp;IF(N($JP43)=1,"OIZOMMA ","")&amp;IF(AND(N($JQ43)=1,N($JZ43)&lt;&gt;1),"OIDEX ","")),""))</f>
        <v>NOREV VSELL</v>
      </c>
      <c r="HS43">
        <f>IFERROR(IF(AND($DC43=1,OR(AND($AG43="R",INDEX($DC$9:$DC$55,34)=0,INDEX($DC$9:$DC$55,36)=1,INDEX($DC$9:$DC$55,37)=1),AND($AG43="S",INDEX($DC$9:$DC$55,36)=0,INDEX($DC$9:$DC$55,34)=1,INDEX($DC$9:$DC$55,33)=1))),1,0),0)</f>
        <v>0</v>
      </c>
      <c r="HT43">
        <f t="shared" si="97"/>
        <v>0</v>
      </c>
      <c r="HU43">
        <v>0</v>
      </c>
      <c r="HV43">
        <v>0</v>
      </c>
      <c r="HW43">
        <f>IFERROR(IF(OR(NOT(ISNUMBER($AA43)),'King Node Model'!$A$8&lt;&gt;"Pos",N($BG$72)=1,ABS(N($AE43))&lt;$BG$113,N($AV43)=1,$FA43="DOM",$AA43='King Node Model'!$T$23,AND(N($BG$116)=1,$AA43='King Node Model'!$F$24),NOT(ISNUMBER($KU43)),NOT(ISNUMBER($KV43))),0,IF(AND($AG43="S",COUNTIF('Master Dashboard'!$AN$16:$AN$18,$AA43)=0,$KU43&gt;=$BG$114,$KU43&gt;=$KV43+$BG$115,NOT(AND(N($AN44)=1,N($KV43)&lt;0)),N($AE43)&lt;=0),1,IF(AND($AG43="R",COUNTIF('Master Dashboard'!$AN$13:$AN$15,$AA43)=0,$KV43&gt;=$BG$114,$KV43&gt;=$KU43+$BG$115,NOT(AND(N($AN42)=1,N($KU43)&lt;0))),-1,0))),0)</f>
        <v>0</v>
      </c>
      <c r="HX43">
        <f>IFERROR(IF(AND(ISNUMBER($AA43),$FA43="PEAK+",N($AN43)&lt;&gt;1,NOT(AND('King Node Model'!$A$8="Pos",OR($AA43='King Node Model'!$T$22,$AA43='King Node Model'!$T$23,$AA43='King Node Model'!$F$24))),IF($AG43="S",COUNTIF('Master Dashboard'!$AN$16:$AN$18,$AA43)=0,IF($AG43="R",COUNTIF('Master Dashboard'!$AN$13:$AN$15,$AA43)=0,FALSE))),1,0),0)</f>
        <v>0</v>
      </c>
      <c r="HY43">
        <f t="shared" si="98"/>
        <v>-9.1784365582806227E-2</v>
      </c>
      <c r="HZ43">
        <v>0</v>
      </c>
      <c r="IA43">
        <f>IFERROR(IF(AND(IF($BG$44=1,OR(ISNUMBER(SEARCH("Choppy",'King Node Model'!$S$38)),'King Node Model'!$S$52&lt;&gt;"",'King Node Model'!$A$8="Pos"),TRUE()),OR($DC43=1,$DC42=1,$DC44=1),ABS($AA43-$B$4)&lt;=$BG$7,ABS($AA43-$BG$28)&gt;=$BG$45,OR(AND($AA43&gt;$BG$28,$AG43="R"),AND($AA43&lt;$BG$28,$AG43="S",N($BG$154)=1)),ABS(IF($AA43&gt;$BG$28,$AE44,$AE42))&gt;=$BG$43,ABS(N(IF($AA43&gt;$BG$28,$AE42,$AE44)))&lt;=$BG$153*ABS(IF($AA43&gt;$BG$28,$AE44,$AE42)),IF(ISNUMBER($HZ43),$HZ43=1,AND(ISNUMBER($HY43),$HY43&gt;=$BG$42))),1,0),0)</f>
        <v>0</v>
      </c>
      <c r="IB43">
        <f t="shared" si="99"/>
        <v>1</v>
      </c>
      <c r="IC43" t="str">
        <f>IF(NOT(ISNUMBER($AA43)),"",IFERROR(MID(IF(AND($AC43=MAX($AC$9:$AC$55),$AB43=MIN($AB$9:$AB$55))," · DOM","")&amp;IF(AND($DC42=1,$DC43=1,$DC44=1,INDEX($AC$9:$AC$55,35-1)&lt;=(1-$FA$6)*$AC43,INDEX($AC$9:$AC$55,35-1)&lt;=(1-$FA$6)*INDEX($AC$9:$AC$55,35-2))," · GAP↑ → "&amp;INDEX($AA$9:$AA$55,35-2),"")&amp;IF(AND($DC44=1,$DC43=1,INDEX($AC$9:$AC$55,35+1)&lt;=(1-$FA$6)*$AC43,INDEX($AC$9:$AC$55,35+1)&lt;=(1-$FA$6)*INDEX($AC$9:$AC$55,35+2))," · GAP↓ → "&amp;INDEX($AA$9:$AA$55,35+2),"")&amp;IF($CZ43=1," · dEdge Cliff","")&amp;IF($GY43=1," · γWall","")&amp;IF(AND($DC43=1,$AB43&lt;0,$AC43&gt;=(1+$FA$6)*INDEX($AC$9:$AC$55,35-1),$AC43&gt;=(1+$FA$6)*INDEX($AC$9:$AC$55,35+1))," · PEAK-","")&amp;IF($GZ43=1," · γSh Edge","")&amp;IF($HL43=1," · Trough","")&amp;IF($HN43=1," · PEAK+","")&amp;IF($GF43=1," · Cluster",""),FIND(" · ",IF(AND($AC43=MAX($AC$9:$AC$55),$AB43=MIN($AB$9:$AB$55))," · DOM","")&amp;IF(AND($DC42=1,$DC43=1,$DC44=1,INDEX($AC$9:$AC$55,35-1)&lt;=(1-$FA$6)*$AC43,INDEX($AC$9:$AC$55,35-1)&lt;=(1-$FA$6)*INDEX($AC$9:$AC$55,35-2))," · GAP↑ → "&amp;INDEX($AA$9:$AA$55,35-2),"")&amp;IF(AND($DC44=1,$DC43=1,INDEX($AC$9:$AC$55,35+1)&lt;=(1-$FA$6)*$AC43,INDEX($AC$9:$AC$55,35+1)&lt;=(1-$FA$6)*INDEX($AC$9:$AC$55,35+2))," · GAP↓ → "&amp;INDEX($AA$9:$AA$55,35+2),"")&amp;IF($CZ43=1," · dEdge Cliff","")&amp;IF($GY43=1," · γWall","")&amp;IF(AND($DC43=1,$AB43&lt;0,$AC43&gt;=(1+$FA$6)*INDEX($AC$9:$AC$55,35-1),$AC43&gt;=(1+$FA$6)*INDEX($AC$9:$AC$55,35+1))," · PEAK-","")&amp;IF($GZ43=1," · γSh Edge","")&amp;IF($HL43=1," · Trough","")&amp;IF($HN43=1," · PEAK+","")&amp;IF($GF43=1," · Cluster",""),2),999),""))</f>
        <v/>
      </c>
      <c r="ID43" t="str">
        <f>IF(NOT(ISNUMBER($AA43)),"",IFERROR(MID(IF(AND($AC43=MAX($AC$9:$AC$55),$AB43=MIN($AB$9:$AB$55))," · DOM","")&amp;IF(AND($DC42=1,$DC43=1,$DC44=1,INDEX($AC$9:$AC$55,35-1)&lt;=(1-$FA$6)*$AC43,INDEX($AC$9:$AC$55,35-1)&lt;=(1-$FA$6)*INDEX($AC$9:$AC$55,35-2))," · GAP↑ → "&amp;INDEX($AA$9:$AA$55,35-2),"")&amp;IF(AND($DC44=1,$DC43=1,INDEX($AC$9:$AC$55,35+1)&lt;=(1-$FA$6)*$AC43,INDEX($AC$9:$AC$55,35+1)&lt;=(1-$FA$6)*INDEX($AC$9:$AC$55,35+2))," · GAP↓ → "&amp;INDEX($AA$9:$AA$55,35+2),"")&amp;IF($CZ43=1," · dEdge Cliff","")&amp;IF($GY43=1," · γWall","")&amp;IF(AND($DC43=1,$AB43&lt;0,$AC43&gt;=(1+$FA$6)*INDEX($AC$9:$AC$55,35-1),$AC43&gt;=(1+$FA$6)*INDEX($AC$9:$AC$55,35+1))," · PEAK-","")&amp;IF($GZ43=1," · γSh Edge","")&amp;IF($HL43=1," · Trough","")&amp;IF($HN43=1," · PEAK+","")&amp;IF(AND(NOT($HN43=1),NOT(AND($DC43=1,$AB43&lt;0)),N($GY43)&lt;&gt;1,N($GF43)&lt;&gt;1,N($GZ43)&lt;&gt;1,N($HL43)&lt;&gt;1,N($CZ43)&lt;&gt;1,NOT(AND($AC43=MAX($AC$9:$AC$55),$AB43=MIN($AB$9:$AB$55))),$AC43&gt;=(1+$FA$6)*INDEX($AC$9:$AC$55,35-1),$AC43&gt;=(1+$FA$6)*INDEX($AC$9:$AC$55,35+1))," · Knoll","")&amp;IF($GF43=1," · Cluster",""),4,999),""))</f>
        <v/>
      </c>
      <c r="IF43">
        <f t="shared" si="100"/>
        <v>0</v>
      </c>
      <c r="IG43">
        <f>IFERROR(IF(AND(ISNUMBER($AA43),'King Node Model'!$A$8="Pos",OR($AG43="S",$AG43="R"),$IN43="interior",COUNTIF(IF($AG43="S",'Master Dashboard'!$AN$16:$AN$18,'Master Dashboard'!$AN$13:$AN$15),$AA43)=0,$AA43&lt;&gt;'King Node Model'!$T$22,$AA43&lt;&gt;'King Node Model'!$T$23,$AA43&lt;&gt;'King Node Model'!$F$24),1,0),0)</f>
        <v>0</v>
      </c>
      <c r="IH43">
        <f t="shared" si="101"/>
        <v>0</v>
      </c>
      <c r="II43">
        <f t="shared" si="190"/>
        <v>0</v>
      </c>
      <c r="IJ43">
        <f t="shared" si="102"/>
        <v>0</v>
      </c>
      <c r="IK43">
        <f t="shared" si="103"/>
        <v>0</v>
      </c>
      <c r="IL43">
        <f t="shared" si="191"/>
        <v>0</v>
      </c>
      <c r="IM43">
        <f t="shared" si="104"/>
        <v>0</v>
      </c>
      <c r="IN43" t="str">
        <f t="shared" si="105"/>
        <v/>
      </c>
      <c r="IO43">
        <v>0</v>
      </c>
      <c r="IP43">
        <v>0</v>
      </c>
      <c r="IQ43">
        <f>IFERROR(IF($AG43="S",IF(OR(COUNTIF($W$9:$W$14,$AA43)&gt;0,COUNTIF('King Node Model'!$AL$42:'King Node Model'!$AL$43,$AA43)&gt;0),1,0),IF($AG43="R",IF(OR(COUNTIF($W$18:$W$23,$AA43)&gt;0,COUNTIF('King Node Model'!$AL$49:'King Node Model'!$AL$50,$AA43)&gt;0),1,0),0)),0)</f>
        <v>0</v>
      </c>
      <c r="IS43">
        <f>IF(AND(ISNUMBER($AA43),N($AN43)&lt;&gt;1,N($LR43)&lt;&gt;1,OR(N($EN43)&lt;&gt;1,AND('King Node Model'!$A$8&lt;&gt;"Neg",N($BG$72)&lt;&gt;1)),$AA43&lt;&gt;'King Node Model'!$T$22,$AA43&lt;&gt;'King Node Model'!$T$23,$AA43&lt;&gt;'King Node Model'!$F$24,NOT(AND($AG43="S",COUNTIF('Master Dashboard'!$AN$16:$AN$18,$AA43)&gt;0)),NOT(AND($AG43="R",COUNTIF('Master Dashboard'!$AN$13:$AN$15,$AA43)&gt;0)),NOT(AND('King Node Model'!$A$8&lt;&gt;"Neg",N($BG$72)&lt;&gt;1,COUNTIF('Master Dashboard'!$AN$13:$AN$18,$AA43)&gt;0))),1,0)</f>
        <v>1</v>
      </c>
      <c r="IT43">
        <v>0</v>
      </c>
      <c r="IU43">
        <f>IF(AND(ISNUMBER($AA43),$AA43='King Node Model'!$F$24,$AA43&gt;$GJ$3,N($AD43)&lt;0,$F$4="High"),1,0)</f>
        <v>0</v>
      </c>
      <c r="IV43" t="str">
        <f>""</f>
        <v/>
      </c>
      <c r="IW43">
        <f>IFERROR(IF(AND(ISNUMBER($AA43),NOT(AND(N($LR43)=1,N($MB43)=1)),$AG43="S",OR('King Node Model'!$A$8="Neg",N($BG$72)=1),$JV43="SELL",ABS(N($AD43))&gt;=$BG$94,NOT(AND(N($AD43)&gt;0,N($BG$78)=1,MEDIAN($AA43-$BG$82,$B$4,$AA43+$BG$83)=$B$4))),1,0),0)</f>
        <v>1</v>
      </c>
      <c r="IX43">
        <f>IFERROR(IF(AND(ISNUMBER($AA43),$AG43="S",OR('King Node Model'!$A$8="Neg",N($BG$72)=1),N($AD43)&gt;0,N($BG$78)=1,MEDIAN($AA43-$BG$82,$B$4,$AA43+$BG$83)=$B$4),1,0),0)</f>
        <v>0</v>
      </c>
      <c r="IY43" t="str">
        <f t="shared" si="106"/>
        <v>SELL</v>
      </c>
      <c r="IZ43">
        <f>IFERROR(IF(AND(ISNUMBER($AA43),$FA43&lt;&gt;"DOM",$AA43&lt;&gt;'King Node Model'!$F$24,OR(AND($AG43="S",COUNTIF('Master Dashboard'!$AN$16:$AN$18,$AA43)=0,N(INDEX($AE$9:$AE$55,MATCH($AA43+$BG$84,$AA$9:$AA$55,0)))&lt;=-$BG$85),AND($AG43="R",COUNTIF('Master Dashboard'!$AN$13:$AN$15,$AA43)=0,N(INDEX($AE$9:$AE$55,MATCH($AA43-$BG$84,$AA$9:$AA$55,0)))&gt;=$BG$85))),1,0),0)</f>
        <v>0</v>
      </c>
      <c r="JC43">
        <f t="shared" si="108"/>
        <v>0</v>
      </c>
      <c r="JD43" t="str">
        <f t="shared" si="193"/>
        <v/>
      </c>
      <c r="JE43">
        <f>IF(ISNUMBER($AA43),N(IFERROR(INDEX('King Node Model'!$L$29:$L$75,MATCH($AA43,'King Node Model'!$A$29:$A$75,0)),0)),"")</f>
        <v>1581</v>
      </c>
      <c r="JF43">
        <f>IF(ISNUMBER($AA43),N(IFERROR(INDEX('King Node Model'!$K$29:$K$75,MATCH($AA43,'King Node Model'!$A$29:$A$75,0)),0)),"")</f>
        <v>829</v>
      </c>
      <c r="JG43">
        <f t="shared" si="109"/>
        <v>1.9071170084439084</v>
      </c>
      <c r="JH43">
        <f t="shared" si="110"/>
        <v>0.52435167615433265</v>
      </c>
      <c r="JI43">
        <f t="shared" si="111"/>
        <v>0</v>
      </c>
      <c r="JJ43" t="str">
        <f t="shared" si="112"/>
        <v>Ramp</v>
      </c>
      <c r="JK43">
        <f t="shared" si="113"/>
        <v>0</v>
      </c>
      <c r="JL43">
        <f t="shared" si="114"/>
        <v>0</v>
      </c>
      <c r="JM43">
        <f t="shared" si="115"/>
        <v>0</v>
      </c>
      <c r="JN43">
        <f t="shared" si="116"/>
        <v>0</v>
      </c>
      <c r="JO43">
        <f t="shared" si="117"/>
        <v>0</v>
      </c>
      <c r="JP43">
        <f t="shared" si="118"/>
        <v>0</v>
      </c>
      <c r="JQ43">
        <f t="shared" si="119"/>
        <v>0</v>
      </c>
      <c r="JR43">
        <v>0</v>
      </c>
      <c r="JS43">
        <f>IFERROR(IF(AND(ISNUMBER($AA43),'King Node Model'!$A$8="Pos",OR($AG43="S",$AG43="R"),N($AB43)&gt;0,N($HP43)&lt;&gt;1,OR(AND($KC43="DOWN",N($AF43)&lt;0,N($AF43)=MIN($AF$9:$AF$55),-N($AF43)&gt;=MAX($AF$9:$AF$55)),AND($KC43="UP",N($AF43)&gt;0,N($AF43)=MAX($AF$9:$AF$55),N($AF43)&gt;=-MIN($AF$9:$AF$55)))),1,0),0)</f>
        <v>0</v>
      </c>
      <c r="JT43">
        <v>0</v>
      </c>
      <c r="JU43">
        <f>IFERROR(IF(AND(N($BG$109)=1,ISNUMBER($AA43),'King Node Model'!$A$8="Pos",N($CZ43)=1,N($AB43)&gt;0),1,0),0)</f>
        <v>0</v>
      </c>
      <c r="JV43" t="str">
        <f t="shared" si="120"/>
        <v>SELL</v>
      </c>
      <c r="JW43">
        <f t="shared" si="121"/>
        <v>0</v>
      </c>
      <c r="JX43">
        <f t="shared" si="122"/>
        <v>0</v>
      </c>
      <c r="JY43">
        <f t="shared" si="123"/>
        <v>0</v>
      </c>
      <c r="JZ43">
        <f t="shared" si="124"/>
        <v>0</v>
      </c>
      <c r="KA43">
        <f t="shared" si="125"/>
        <v>0</v>
      </c>
      <c r="KB43">
        <f t="shared" si="126"/>
        <v>0</v>
      </c>
      <c r="KC43" t="str">
        <f t="shared" si="127"/>
        <v>UP</v>
      </c>
      <c r="KE43" t="str">
        <f t="shared" si="128"/>
        <v>Now: weakening the floor (IV rising) · if IV falls: strengthens the floor · expected on arrival: WEAKENS ✗</v>
      </c>
      <c r="KF43" t="str">
        <f t="shared" si="129"/>
        <v>SELL</v>
      </c>
      <c r="KG43">
        <f t="shared" si="192"/>
        <v>0</v>
      </c>
      <c r="KH43" t="str">
        <f t="shared" si="130"/>
        <v/>
      </c>
      <c r="KI43" t="str">
        <f t="shared" si="131"/>
        <v/>
      </c>
      <c r="KJ43">
        <f t="shared" si="132"/>
        <v>0</v>
      </c>
      <c r="KK43">
        <f t="shared" si="133"/>
        <v>0</v>
      </c>
      <c r="KL43">
        <f t="shared" si="134"/>
        <v>0</v>
      </c>
      <c r="KM43">
        <f t="shared" si="135"/>
        <v>0</v>
      </c>
      <c r="KN43">
        <f t="shared" si="136"/>
        <v>0</v>
      </c>
      <c r="KO43">
        <v>0</v>
      </c>
      <c r="KP43">
        <f t="shared" si="137"/>
        <v>0</v>
      </c>
      <c r="KQ43">
        <f t="shared" si="138"/>
        <v>0</v>
      </c>
      <c r="KR43">
        <f t="shared" si="139"/>
        <v>0</v>
      </c>
      <c r="KS43">
        <f t="shared" si="140"/>
        <v>0</v>
      </c>
      <c r="KT43">
        <f t="shared" si="141"/>
        <v>0</v>
      </c>
      <c r="KU43">
        <f>IF(AND(ISNUMBER($AA43),ISNUMBER($AE43),ISNUMBER($AE42),N($AE43)&lt;&gt;0),($AE43-$AE42)/$AE43,"")</f>
      </c>
      <c r="KV43">
        <f>IF(AND(ISNUMBER($AA43),ISNUMBER($AE43),ISNUMBER($AE44),N($AE43)&lt;&gt;0),($AE43-$AE44)/$AE43,"")</f>
      </c>
      <c r="KW43">
        <f>IFERROR(IF(OR(NOT(ISNUMBER($AA43)),'King Node Model'!$A$8&lt;&gt;"Pos",N($BG$72)=1,ABS(N($AE43))&lt;$BG$113,$FA43="DOM",$AA43='King Node Model'!$T$23,AND(N($BG$116)=1,$AA43='King Node Model'!$F$24),NOT(ISNUMBER($KU43)),NOT(ISNUMBER($KV43))),0,IF(AND($AG43="S",COUNTIF('Master Dashboard'!$AN$16:$AN$18,$AA43)=0,$KU43&gt;=$BG$114,$KU43&gt;=$KV43+$BG$115),1,IF(AND($AG43="R",COUNTIF('Master Dashboard'!$AN$13:$AN$15,$AA43)=0,$KV43&gt;=$BG$114,$KV43&gt;=$KU43+$BG$115),-1,0))),0)</f>
        <v>0</v>
      </c>
      <c r="KX43">
        <f t="shared" si="144"/>
        <v>0</v>
      </c>
      <c r="KY43">
        <f t="shared" si="145"/>
        <v>0</v>
      </c>
      <c r="KZ43">
        <f t="shared" si="146"/>
        <v>0</v>
      </c>
      <c r="LA43">
        <f t="shared" si="147"/>
        <v>0</v>
      </c>
      <c r="LB43">
        <f t="shared" si="148"/>
        <v>0</v>
      </c>
      <c r="LC43">
        <f t="shared" si="149"/>
        <v>0</v>
      </c>
      <c r="LD43">
        <f t="shared" si="150"/>
        <v>0</v>
      </c>
      <c r="LE43">
        <f t="shared" si="151"/>
        <v>0</v>
      </c>
      <c r="LF43">
        <f t="shared" si="152"/>
        <v>0</v>
      </c>
      <c r="LG43" t="str">
        <f t="shared" si="153"/>
        <v/>
      </c>
      <c r="LH43" t="str">
        <f t="shared" si="154"/>
        <v/>
      </c>
      <c r="LI43" t="str">
        <f t="shared" si="155"/>
        <v/>
      </c>
      <c r="LJ43" t="str">
        <f t="shared" si="156"/>
        <v/>
      </c>
      <c r="LK43" t="str">
        <f t="shared" si="157"/>
        <v/>
      </c>
      <c r="LL43">
        <f t="shared" si="158"/>
        <v>0</v>
      </c>
      <c r="LM43">
        <f t="shared" si="159"/>
        <v>0</v>
      </c>
      <c r="LN43">
        <f t="shared" si="160"/>
        <v>0</v>
      </c>
      <c r="LO43">
        <v>0</v>
      </c>
      <c r="LP43">
        <f t="shared" si="161"/>
        <v>0</v>
      </c>
      <c r="LQ43" t="str">
        <f t="shared" si="162"/>
        <v/>
      </c>
      <c r="LR43">
        <f t="shared" si="163"/>
        <v>0</v>
      </c>
      <c r="LS43">
        <f t="shared" si="164"/>
        <v>0</v>
      </c>
      <c r="LT43">
        <f t="shared" si="165"/>
        <v>0</v>
      </c>
      <c r="LU43">
        <f t="shared" si="166"/>
        <v>0</v>
      </c>
      <c r="LV43">
        <f t="shared" si="167"/>
        <v>1</v>
      </c>
      <c r="LW43">
        <f t="shared" si="168"/>
        <v>603950</v>
      </c>
      <c r="LX43">
        <f t="shared" si="169"/>
        <v>0</v>
      </c>
      <c r="LY43">
        <f t="shared" si="170"/>
        <v>0</v>
      </c>
      <c r="LZ43">
        <f t="shared" si="171"/>
        <v>0</v>
      </c>
      <c r="MA43">
        <f t="shared" si="172"/>
        <v>0</v>
      </c>
      <c r="MB43">
        <v>0</v>
      </c>
      <c r="MC43">
        <f t="shared" si="173"/>
        <v>1</v>
      </c>
      <c r="MD43">
        <f t="shared" si="174"/>
        <v>1</v>
      </c>
      <c r="ME43">
        <f t="shared" si="175"/>
        <v>0</v>
      </c>
      <c r="MF43">
        <f t="shared" si="176"/>
        <v>0</v>
      </c>
      <c r="MG43">
        <f t="shared" si="177"/>
        <v>0</v>
      </c>
      <c r="MH43">
        <f t="shared" si="178"/>
        <v>0</v>
      </c>
      <c r="MI43" t="str">
        <f t="shared" si="179"/>
        <v/>
      </c>
      <c r="MJ43">
        <f t="shared" si="180"/>
        <v>0</v>
      </c>
      <c r="MK43">
        <f t="shared" si="181"/>
        <v>0</v>
      </c>
      <c r="ML43">
        <f>IF(AND(OR('King Node Model'!$A$8="Neg",N($BG$72)=1),ISNUMBER($AA43),$AG43="R",N($AB43)&lt;0),IF(AND($AA42=$AA43+5,N($AB42)&gt;0,$AA41=$AA43+10,N($AB41)&lt;0),1,IF(AND($AA42=$AA43+5,N($AB42)&gt;0,$AA41=$AA43+10,N($AB41)&gt;0,$AA40=$AA43+15,N($AB40)&lt;0),2,IF(AND($AA42=$AA43+5,N($AB42)&gt;0,$AA41=$AA43+10,N($AB41)&gt;0,$AA40=$AA43+15,N($AB40)&gt;0,$AA39=$AA43+20,N($AB39)&lt;0),3,IF(AND($AA42=$AA43+5,N($AB42)&gt;0,$AA41=$AA43+10,N($AB41)&gt;0,$AA40=$AA43+15,N($AB40)&gt;0,$AA39=$AA43+20,N($AB39)&gt;0,$AA38=$AA43+25,N($AB38)&lt;0),4,0)))),0)</f>
      </c>
      <c r="MM43">
        <f>IF(AND(OR('King Node Model'!$A$8="Neg",N($BG$72)=1),ISNUMBER($AA43),$AG43="S",N($AB43)&lt;0),IF(AND($AA44=$AA43-5,N($AB44)&gt;0,$AA45=$AA43-10,N($AB45)&lt;0),1,IF(AND($AA44=$AA43-5,N($AB44)&gt;0,$AA45=$AA43-10,N($AB45)&gt;0,$AA46=$AA43-15,N($AB46)&lt;0),2,IF(AND($AA44=$AA43-5,N($AB44)&gt;0,$AA45=$AA43-10,N($AB45)&gt;0,$AA46=$AA43-15,N($AB46)&gt;0,$AA47=$AA43-20,N($AB47)&lt;0),3,IF(AND($AA44=$AA43-5,N($AB44)&gt;0,$AA45=$AA43-10,N($AB45)&gt;0,$AA46=$AA43-15,N($AB46)&gt;0,$AA47=$AA43-20,N($AB47)&gt;0,$AA48=$AA43-25,N($AB48)&lt;0),4,0)))),0)</f>
      </c>
      <c r="MN43">
        <f>IF(N($ML43)&gt;0,$AA43,0)</f>
      </c>
      <c r="MO43">
        <f>IF(N($MM43)&gt;0,$AA43,0)</f>
      </c>
      <c r="MP43">
        <f>IF(AND(OR('King Node Model'!$A$8="Neg",N($BG$72)=1),ISNUMBER($BG$155),$AA43=$BG$155,N($NC43)=1),2,IF(AND(OR('King Node Model'!$A$8="Neg",N($BG$72)=1),ISNUMBER($BG$156),$AA43=$BG$156,N($ND43)=1),1,0))</f>
      </c>
      <c r="MQ43">
        <f>IF(ABS(AE43)&lt;=0,0,IF($AG43="R",IF(ISNUMBER(AE42),IF((ABS(AE42)-ABS(AE43))/ABS(AE43)&lt;-0.4,1,0),0),IF(ISNUMBER(AE44),IF((ABS(AE44)-ABS(AE43))/ABS(AE43)&lt;-0.4,1,0),0)))</f>
      </c>
      <c r="MR43">
        <f>IF(OR(N($MQ43)&lt;&gt;1,N($BG$157)&lt;&gt;1,NOT(ISNUMBER($KU43)),NOT(ISNUMBER($KV43))),0,IF(OR(AND($AG43="S",OR(AND($KU43&gt;=$BG$114,$KU43&gt;=$KV43+$BG$115),AND($KU43&gt;1,$KV43&lt;=1,$KV43&gt;=$BG$114))),AND($AG43="R",OR(AND($KV43&gt;=$BG$114,$KV43&gt;=$KU43+$BG$115),AND($KV43&gt;1,$KU43&lt;=1,$KU43&gt;=$BG$114)))),1,0))</f>
      </c>
      <c r="MS43" t="str">
        <f>IF(AND(N($MR43)=1,N($NA43)&lt;&gt;1),"• DEX falls off more sharply "&amp;IF($AG43="S","above (","below (")&amp;TEXT(IF($AG43="S",$KU43,$KV43),"0%")&amp;") than "&amp;IF($AG43="S","below (","above (")&amp;TEXT(IF($AG43="S",$KV43,$KU43),"0%")&amp;") — Dex↓ not counted",IF(N($MW43)=1,"• Shoulder of the "&amp;IF($AG43="R",$AA44,$AA42)&amp;" wall — own DEX "&amp;TEXT($AE43/1000,"+#,##0;-#,##0")&amp;"K is "&amp;TEXT(ABS($AE43)/ABS(IF($AG43="R",$AE44,$AE42)),"0%")&amp;" of "&amp;TEXT(IF($AG43="R",$AE44,$AE42)/1000,"+#,##0;-#,##0")&amp;"K, Dex↓ not counted",""))</f>
      </c>
      <c r="MT43">
        <f>IF(AND(ISNUMBER($AA43),$AG43="S",ISNUMBER($AB43),$AB43=MIN($AB$9:$AB$55),$AA43=$BG$105,$JV43="BUY",ABS(N($AD43))&gt;=$BG$158),1,0)</f>
      </c>
      <c r="MU43" t="str">
        <f>IF(N($MY43)=1,"",IF(OR(N($MT43)=1,AND(OR('King Node Model'!$A$8="Neg",N($BG$72)=1),$AG43="S",ISNUMBER($AB43),$AB43=MIN($AB$9:$AB$55),$AA43=$BG$105)),"• Min GEX + Max Zomma (no reversal flag required) — accelerant warning not applied; zomma acceleration warning only within "&amp;$BG$98&amp;" pts of the level, and not when vanna buying is "&amp;TEXT($BG$158/1000,"0")&amp;"K or more"&amp;CHAR(10)&amp;IF(N($MT43)=1,"• Max Zomma and vanna buying ("&amp;TEXT(N($AD43)/1000,"+#,##0;-#,##0")&amp;"K) make this level safe","• Max Zomma is what makes this level safe"),"")&amp;$NB43&amp;$NI43)</f>
      </c>
      <c r="MV43" t="str">
        <f>IF(AND(ISNUMBER($AA43),OR($AA43=$BG$118,$AA43=$BG$119)),IF(N($AZ43)*IF($AG43="R",1,-1)&gt;0,"✓",IF(N($AZ43)*IF($AG43="R",1,-1)&lt;0,"✗","")),"")</f>
      </c>
      <c r="MW43">
        <f>IF(AND(N($MQ43)=1,N($BG$159)&gt;0,ISNUMBER(IF($AG43="R",$AE44,$AE42)),N(IF($AG43="R",$AE44,$AE42))&lt;&gt;0),IF(ABS(N($AE43))&lt;$BG$159*ABS(IF($AG43="R",$AE44,$AE42)),1,0),0)</f>
      </c>
      <c r="MX43">
        <f>IF(AND(ISNUMBER($AA43),$AA43=$BG$121,$AG43="R",N($AE43)&lt;0,OR(COUNTIF('King Node Model'!$AL$42:$AL$44,$AA43)=0,N($HP43)=1),N($NC43)=1),2,IF(AND(ISNUMBER($AA43),$AA43=$BG$120,$AG43="S",N($AE43)&gt;0,OR(COUNTIF('King Node Model'!$AL$49:$AL$51,$AA43)=0,N($HP43)=1),N($ND43)=1),1,0))</f>
      </c>
      <c r="MY43">
        <f>IF(AND(N($NA43)=1,NOT(AND(AND($AG43="S",ISNUMBER($AB43),$AB43=MIN($AB$9:$AB$55),$AA43=$BG$105),IFERROR(INDEX($AG$9:$AG$55,MATCH('King Node Model'!$B$23,$AA$9:$AA$55,0)),"")="R")),N($AV43)&lt;&gt;1),1,0)</f>
      </c>
      <c r="MZ43" t="str">
        <f>IF(N($MY43)&lt;&gt;1,"","• DEX falls off more sharply "&amp;IF($AG43="S","above (","below (")&amp;TEXT(IF($AG43="S",$KU43,$KV43),"0%")&amp;") than "&amp;IF($AG43="S","below (","above (")&amp;TEXT(IF($AG43="S",$KV43,$KU43),"0%")&amp;") — path of least resistance "&amp;IF($AG43="S","down","up")&amp;IF(N($AZ43)*IF($AG43="R",1,-1)&lt;0,CHAR(10)&amp;"• Speed against — GEX gets more negative as price "&amp;IF($AG43="R","rises","falls")&amp;" into it (speed "&amp;TEXT(N($AZ43),"#,##0;−#,##0")&amp;")","")&amp;IF(OR(N($NG43)=1,N($JC43)=1),CHAR(10)&amp;"• "&amp;IF(N($JC43)=1,"DOM with vanna BUY "&amp;TEXT(N($AD43)/1000,"+#,##0;−#,##0")&amp;"K","Put wall + Max Zomma + DOM")&amp;" backs the level, but it does not outweigh DEX"&amp;IF(N($AZ43)*IF($AG43="R",1,-1)&lt;0," and speed",""),IF(AND($AG43="S",ISNUMBER($AB43),$AB43=MIN($AB$9:$AB$55),$AA43=$BG$105),CHAR(10)&amp;"• Min GEX + Max Zomma backs the level, but it does not outweigh DEX"&amp;IF(N($AZ43)*IF($AG43="R",1,-1)&lt;0," and speed",""),IF(OR(N($JI43)=1,AND(N($GV43)=1,N($JK43)&lt;&gt;1,N($IW43)&lt;&gt;1),N($JC43)=1,AND($AA43='King Node Model'!$F$24,N($JN43)&lt;&gt;1,OR($AG43="R",AND($AG43="S",$F$4="High",IF($BG$80&lt;&gt;"",UPPER($BG$80),$D$5)="UP")))),CHAR(10)&amp;"• Vanna "&amp;IF($AG43="S","BUY ","SELL ")&amp;TEXT(N($AD43)/1000,"+#,##0;−#,##0")&amp;"K backs the level, but it does not outweigh DEX"&amp;IF(N($AZ43)*IF($AG43="R",1,-1)&lt;0," and speed",""),"")))&amp;IF(N($NE43)=1,CHAR(10)&amp;"• Buy-lean max-node exemption not applied — DEX leans against the level",""))</f>
      </c>
      <c r="NA43">
        <f>IF(AND(OR('King Node Model'!$A$8="Neg",N($BG$72)=1),ISNUMBER($AA43),ABS(N($AE43))&gt;=$BG$152,ISNUMBER($KU43),ISNUMBER($KV43)),IF(OR(AND($AG43="S",OR(AND($KU43&gt;=$BG$114,$KU43&gt;=$KV43+$BG$115),AND($KU43&gt;1,$KV43&lt;=1,$KV43&gt;=$BG$114))),AND($AG43="R",OR(AND($KV43&gt;=$BG$114,$KV43&gt;=$KU43+$BG$115),AND($KV43&gt;1,$KU43&lt;=1,$KU43&gt;=$BG$114)))),1,0),0)</f>
      </c>
      <c r="NB43" t="str">
        <f>IF(AND(N($NA43)=1,AND(AND($AG43="S",ISNUMBER($AB43),$AB43=MIN($AB$9:$AB$55),$AA43=$BG$105),IFERROR(INDEX($AG$9:$AG$55,MATCH('King Node Model'!$B$23,$AA$9:$AA$55,0)),"")="R")),CHAR(10)&amp;"• DEX falls off more sharply above ("&amp;TEXT($KU43,"0%")&amp;") than below ("&amp;TEXT($KV43,"0%")&amp;") — DEX-lean warning not applied: Min GEX + Max Zomma support with Max Gamma "&amp;'King Node Model'!$B$23&amp;" above (Dex↓ not counted)",IF(AND(OR(N($NA43)=1,N($NF43)=1),N($AV43)=1),IF(AND(OR('King Node Model'!$A$8="Neg",N($BG$72)=1),$AG43="S",ISNUMBER($AB43),$AB43=MIN($AB$9:$AB$55),$AA43=$BG$105),CHAR(10),"")&amp;"• DEX falls off more sharply "&amp;IF($AG43="S","above (","below (")&amp;TEXT(IF($AG43="S",$KU43,$KV43),"0%")&amp;") than "&amp;IF($AG43="S","below (","above (")&amp;TEXT(IF($AG43="S",$KV43,$KU43),"0%")&amp;") — DEX lean does not apply to iDex (isolated DEX)",""))</f>
      </c>
      <c r="NC43">
        <f>IF(OR($BG$163=1,AND($BG$161&gt;0,$BG$162&lt;99999,ISNUMBER($AA43),$AA43&lt;$BG$162)),1,0)</f>
      </c>
      <c r="ND43">
        <f>IF(OR($BG$163=-1,AND($BG$161&gt;0,$BG$162&lt;99999,ISNUMBER($AA43),$AA43&gt;$BG$161)),1,0)</f>
      </c>
      <c r="NE43">
        <f>IF(AND(OR('King Node Model'!$A$8="Neg",N($BG$72)=1),ISNUMBER(SEARCH("LOW",'Master Dashboard'!$M$5)),ISNUMBER(SEARCH("BUY",'Master Dashboard'!$G$8)),'King Node Model'!$T$23='King Node Model'!$B$23,OR($AA43='King Node Model'!$T$23,AND($AG43="R",$AA43='King Node Model'!$T$23+5)),OR(AND($AG43="S",$JV43="BUY"),AND($AG43="R",$JV43="SELL"))),1,0)</f>
      </c>
      <c r="NF43">
        <f>IFERROR(IF(OR(NOT(ISNUMBER($AA43)),'King Node Model'!$A$8&lt;&gt;"Pos",N($BG$72)=1,ABS(N($AE43))&lt;$BG$113,$FA43="DOM",$AA43='King Node Model'!$T$23,AND(N($BG$116)=1,$AA43='King Node Model'!$F$24),NOT(ISNUMBER($KU43)),NOT(ISNUMBER($KV43))),0,IF(AND($AG43="S",COUNTIF('Master Dashboard'!$AN$16:$AN$18,$AA43)=0,$KU43&gt;=$BG$114,$KU43&gt;=$KV43+$BG$115,NOT(AND(N($AN44)=1,N($KV43)&lt;0)),N($AE43)&lt;=0),1,IF(AND($AG43="R",COUNTIF('Master Dashboard'!$AN$13:$AN$15,$AA43)=0,$KV43&gt;=$BG$114,$KV43&gt;=$KU43+$BG$115,NOT(AND(N($AN42)=1,N($KU43)&lt;0))),-1,0))),0)</f>
      </c>
      <c r="NG43">
        <f t="shared" si="202"/>
      </c>
      <c r="NI43" t="str">
        <f>IF(AND(ISNUMBER($BG$165),ISNUMBER($AA43)),IF(OR(AND($AG43="S",$AA43&gt;$BG$165,$AA43-$BG$165&lt;=5),AND($AG43="R",$AA43&lt;$BG$165,$BG$165-$AA43&lt;=5)),IF(OR(AND(OR('King Node Model'!$A$8="Neg",N($BG$72)=1),$AG43="S",ISNUMBER($AB43),$AB43=MIN($AB$9:$AB$55),$AA43=$BG$105),$NB43&lt;&gt;""),CHAR(10),"")&amp;"• DOM forming at "&amp;$BG$165&amp;" (gamma "&amp;TEXT($BG$166,"0%")&amp;" of max) — price may be pulled to the node",""),"")</f>
      </c>
      <c r="NJ43">
        <f>IF(LEN($NI43)&gt;0,1,0)</f>
      </c>
    </row>
    <row r="44" spans="27:349" ht="15" customHeight="1" x14ac:dyDescent="0.25">
      <c r="AA44" s="181">
        <f>'King Node Model'!A64</f>
        <v>7710</v>
      </c>
      <c r="AB44" s="276">
        <f>'King Node Model'!C64</f>
        <v>-132005</v>
      </c>
      <c r="AC44" s="181">
        <f>ABS('King Node Model'!B64)</f>
        <v>182333</v>
      </c>
      <c r="AD44" s="276">
        <f>'King Node Model'!F64</f>
        <v>538342</v>
      </c>
      <c r="AE44" s="276">
        <f>'King Node Model'!E64</f>
        <v>200245</v>
      </c>
      <c r="AF44" s="276">
        <f>'King Node Model'!D64</f>
        <v>-2096053</v>
      </c>
      <c r="AG44" s="181" t="str">
        <f t="shared" si="6"/>
        <v>S</v>
      </c>
      <c r="AH44" s="181">
        <f t="shared" si="7"/>
        <v>16</v>
      </c>
      <c r="AI44" s="181" t="str">
        <f t="shared" si="8"/>
        <v>SELL</v>
      </c>
      <c r="AJ44" s="181">
        <f t="shared" si="9"/>
        <v>0</v>
      </c>
      <c r="AK44" s="181">
        <f>IF(ABS(N($AE44))&gt;=$BG$85,1,0)</f>
      </c>
      <c r="AL44" s="181">
        <f t="shared" si="10"/>
        <v>0</v>
      </c>
      <c r="AM44" s="181">
        <f t="shared" si="11"/>
        <v>1</v>
      </c>
      <c r="AN44" s="181">
        <f t="shared" si="12"/>
        <v>0</v>
      </c>
      <c r="AO44" s="1" t="str">
        <f t="shared" si="13"/>
        <v/>
      </c>
      <c r="AP44" s="1">
        <f t="shared" si="14"/>
        <v>200245</v>
      </c>
      <c r="AQ44" s="1">
        <f t="shared" si="15"/>
        <v>2096053</v>
      </c>
      <c r="AR44" s="181">
        <f t="shared" si="16"/>
        <v>0.13262180980704641</v>
      </c>
      <c r="AS44" s="181">
        <f t="shared" si="17"/>
        <v>12</v>
      </c>
      <c r="AT44" s="181" t="str">
        <f t="shared" si="18"/>
        <v/>
      </c>
      <c r="AU44" s="181" t="str">
        <f t="shared" si="19"/>
        <v/>
      </c>
      <c r="AV44" s="218">
        <f t="shared" si="183"/>
        <v>0</v>
      </c>
      <c r="AW44" s="181">
        <f>ABS('King Node Model'!G64)</f>
        <v>304</v>
      </c>
      <c r="AX44" s="181">
        <f t="shared" si="20"/>
        <v>0</v>
      </c>
      <c r="AY44" s="181">
        <f t="shared" si="21"/>
        <v>0</v>
      </c>
      <c r="AZ44" s="276">
        <f>'King Node Model'!I64</f>
        <v>2149</v>
      </c>
      <c r="BA44" s="181">
        <f t="shared" si="22"/>
        <v>0</v>
      </c>
      <c r="BB44" s="181" t="str">
        <f t="shared" si="23"/>
        <v>S12</v>
      </c>
      <c r="BC44" s="10">
        <f>'King Node Model'!C64</f>
        <v>-132005</v>
      </c>
      <c r="BD44" s="218">
        <f t="shared" si="184"/>
        <v>0</v>
      </c>
      <c r="BE44" s="218">
        <f t="shared" si="185"/>
        <v>0</v>
      </c>
      <c r="BF44" s="218" t="s">
        <v>1253</v>
      </c>
      <c r="BG44">
        <v>1</v>
      </c>
      <c r="BI44" s="218">
        <f t="shared" si="186"/>
        <v>0</v>
      </c>
      <c r="BJ44" s="218">
        <f t="shared" si="187"/>
        <v>0</v>
      </c>
      <c r="BK44" s="218">
        <f t="shared" si="24"/>
        <v>0</v>
      </c>
      <c r="BL44" s="10">
        <f>'King Node Model'!H64</f>
        <v>15</v>
      </c>
      <c r="BM44" s="218">
        <f t="shared" si="25"/>
        <v>30</v>
      </c>
      <c r="BN44" s="218">
        <f t="shared" si="26"/>
        <v>21</v>
      </c>
      <c r="BO44" s="218">
        <f t="shared" si="27"/>
        <v>0</v>
      </c>
      <c r="BP44" s="218">
        <f t="shared" si="28"/>
        <v>0</v>
      </c>
      <c r="BQ44" t="str">
        <f t="shared" si="29"/>
        <v/>
      </c>
      <c r="BR44" t="str">
        <f t="shared" si="30"/>
        <v/>
      </c>
      <c r="BS44" s="218">
        <f t="shared" si="31"/>
        <v>0</v>
      </c>
      <c r="BT44" t="str">
        <f t="shared" si="32"/>
        <v/>
      </c>
      <c r="BU44" t="str">
        <f t="shared" si="33"/>
        <v/>
      </c>
      <c r="BV44" s="218">
        <f t="shared" si="34"/>
        <v>538342</v>
      </c>
      <c r="BW44" s="218">
        <f t="shared" si="35"/>
        <v>200245</v>
      </c>
      <c r="BX44" s="218">
        <f>IF(AND(ISNUMBER(BC44),BC44&gt;=$BG$160,OR('King Node Model'!$A$8="Neg",N($BG$72)=1)),1,0)</f>
        <v>0</v>
      </c>
      <c r="BY44" s="218">
        <f t="shared" si="36"/>
        <v>0</v>
      </c>
      <c r="BZ44" s="218">
        <f t="shared" si="37"/>
        <v>0</v>
      </c>
      <c r="CA44" t="str">
        <f t="shared" si="38"/>
        <v/>
      </c>
      <c r="CB44" s="218">
        <f>IF(AND(ISNUMBER('King Node Model'!$D$27),AG44&lt;&gt;"",AA44='King Node Model'!$D$27),1,0)</f>
        <v>0</v>
      </c>
      <c r="CC44" s="218">
        <f>IF(OR('King Node Model'!$A$8="Neg",N($BG$72)=1),$BG$14*IF(ISNUMBER('King Node Model'!$D$26),MAX(0,1-ABS(AA44-'King Node Model'!$D$26)/$BG$18),0)+$BG$15*IFERROR(BV44/MAX($BV$9:$BV$55),0)+$BG$16*IFERROR(BW44/MAX($BW$9:$BW$55),0)+$BG$17*IFERROR(AC44/$S$11,0)*MAX(0,1+$BG$21*CF44),AR44)</f>
        <v>0.22715312882427419</v>
      </c>
      <c r="CD44" s="218">
        <f>IF(OR('King Node Model'!$A$8="Neg",N($BG$72)=1),IF(AND(AG44&lt;&gt;"",ABS(AA44-$B$4)&lt;=$BG$7,OR(AX44=0,$D$5&lt;&gt;"UP"),AY44=0,BK44&lt;&gt;1,CI44=0,AM44&gt;=$BG$20,AC44&gt;$BG$19),1,0),IF(AND(BS44=1,(COUNTIF($W$9:$W$14,AA44)+COUNTIF($W$18:$W$23,AA44))&gt;0,CI44=0,AM44&gt;=$BG$20,AC44&gt;$BG$19),1,0))</f>
        <v>0</v>
      </c>
      <c r="CE44" t="str">
        <f t="shared" si="39"/>
        <v/>
      </c>
      <c r="CF44" s="218">
        <f t="shared" si="40"/>
        <v>0</v>
      </c>
      <c r="CG44" t="str">
        <f t="shared" si="41"/>
        <v/>
      </c>
      <c r="CH44" t="str">
        <f t="shared" si="42"/>
        <v>Dormant</v>
      </c>
      <c r="CI44" s="218">
        <f t="shared" si="43"/>
        <v>0</v>
      </c>
      <c r="CJ44" s="218">
        <f t="shared" si="44"/>
        <v>387420489</v>
      </c>
      <c r="CK44" s="218">
        <f t="shared" si="45"/>
        <v>0</v>
      </c>
      <c r="CL44" s="218">
        <f t="shared" si="46"/>
        <v>0</v>
      </c>
      <c r="CR44" t="s">
        <v>1503</v>
      </c>
      <c r="CS44">
        <f>IFERROR(INDEX($AC$9:$AC$55,MATCH($CS$40,$AA$9:$AA$55,0)),"")</f>
        <v>4471438</v>
      </c>
      <c r="CU44" s="218">
        <f>IF(AND(AND('King Node Model'!$A$8&lt;&gt;"Neg",N($BG$72)&lt;&gt;1),SUMPRODUCT(($AG$9:$AG$55="S")*ISNUMBER($AT$9:$AT$55)*ISNUMBER($AU$9:$AU$55)*($AT$9:$AT$55&lt;&gt;$AU$9:$AU$55)*($AT$9:$AT$55&lt;=$AA44)*($AU$9:$AU$55&gt;=$AA44))&gt;0),0,IF(AND(OR($AA44='King Node Model'!$T$22,$AA44='King Node Model'!$F$24),$AG44="R",COUNTIF($W$9:$W$14,$AA44)&gt;0),1,IF(AND($FN44=1,$EU44&lt;&gt;1,$EM44&lt;&gt;1,$BK44&lt;&gt;1,$DH44&lt;&gt;1,$AG44="R",COUNTIF($W$9:$W$14,$AA44)&gt;0),1,IF($EU44=1,0,IF($EM44=1,0,IF(AND(OR($EE44=1,$GV44=1,AND($EL$7=1,$AA44='King Node Model'!$D$26,$EI44=1),AND(OR($AA44='King Node Model'!$T$22,$AA44='King Node Model'!$T$23),$AN44=1,OR($AX44=0,$D$5&lt;&gt;"UP"))),OR(NOT(OR('King Node Model'!$A$8="Neg",N($BG$72)=1)),$GV44=1,AND(OR($AA44='King Node Model'!$T$22,$AA44='King Node Model'!$T$23),$AN44=1,OR($AX44=0,$D$5&lt;&gt;"UP")),AND($AM44&gt;=$BG$20,$AC44&gt;IF($CZ44=1,$BG$48,$BG$19)))),1,IF($DH44=1,0,IF(AND($DC44=1,$GS44&lt;&gt;1,AND('King Node Model'!$A$8&lt;&gt;"Neg",N($BG$72)&lt;&gt;1)),0,IF(AND($EY44=1,NOT(OR('King Node Model'!$A$8="Neg",$BG$72=1)),$AA44&lt;&gt;'King Node Model'!$B$23),0,IF(AND($GS44=1,$AG44="R",OR($CI44=0,$EE44=1,$EX44=1,$GV44=1),COUNTIF($W$9:$W$14,$AA44)&gt;0,ABS($AA44-$B$4)&lt;=$BG$7,$BK44&lt;&gt;1,$AM44&gt;=$BG$20,$AC44&gt;IF($CZ44=1,$BG$48,$BG$19)),1,IF(OR('King Node Model'!$A$8="Neg",N($BG$72)=1),IF(AND(OR($AM44&gt;=$BG$20,$AA44='King Node Model'!$D$26,$GV44=1),$AG44="R",COUNTIF($W$9:$W$14,$AA44)&gt;0,ABS($AA44-$B$4)&lt;=$BG$7,OR($AX44=0,$D$5&lt;&gt;"UP"),$BK44&lt;&gt;1,OR(OR($CI44=0,$AJ44=1),AND($EI44=1,$LA44=1,COUNTIF($W$9:$W$11,$AA44)&gt;0,$AN44=1,OR($AX44=0,$D$5&lt;&gt;"UP"))),$AM44&gt;=$BG$20,$AC44&gt;IF($CZ44=1,$BG$48,$BG$19),OR($AN44=1,N($LR44)=1,$AA44='King Node Model'!$D$26,AND($BY44=1,$AA44&gt;$B$4),$BX44=1,$CF44=1,$CF44=1,AND(OR($AA44=$CP$4,$AA44=$CP$5,$AA44=$CP$6,$AA44=$CP$7),ABS($AA44-$B$4)&lt;=30),AND($AX44=1,$D$5="DOWN"))),1,0),IF(AND(OR($AM44&gt;=3,$AA44='King Node Model'!$D$26,$GV44=1),$AG44="R",COUNTIF($W$9:$W$14,$AA44)&gt;0,ABS($AA44-$B$4)&lt;=$BG$7,OR($AX44=0,$D$5&lt;&gt;"UP"),$BK44&lt;&gt;1,OR($CI44=0,$AJ44=1),$AM44&gt;=$BG$20,$AC44&gt;IF($CZ44=1,$BG$48,$BG$19),OR($AC44&gt;=MAX($AC$9:$AC$55),$BC44&gt;0,$AA44='King Node Model'!$D$26,AND(OR($AA44=$CP$4,$AA44=$CP$5,$AA44=$CP$6,$AA44=$CP$7),ABS($AA44-$B$4)&lt;=30),$CF44=1,$AN44=1,AND($AX44=1,$D$5="DOWN"))),1,0))))))))))))</f>
        <v>0</v>
      </c>
      <c r="CV44" s="218">
        <f>IF(AND(OR('King Node Model'!$A$8="Neg",N($BG$72)=1),$AG44="S",N($LR44)=1,N($MB44)=1),1,IF(AND(AND('King Node Model'!$A$8&lt;&gt;"Neg",N($BG$72)&lt;&gt;1),SUMPRODUCT(($AG$9:$AG$55="R")*ISNUMBER($AT$9:$AT$55)*ISNUMBER($AU$9:$AU$55)*($AT$9:$AT$55&lt;&gt;$AU$9:$AU$55)*($AT$9:$AT$55&lt;=$AA44)*($AU$9:$AU$55&gt;=$AA44))&gt;0,NOT(AND(N($LC44)=1,$AA44='King Node Model'!$B$23))),0,IF(AND($AA44='King Node Model'!$F$24,$AG44="S",COUNTIF($W$18:$W$23,$AA44)&gt;0),1,IF(AND($FN44=1,$EU44&lt;&gt;1,$EM44&lt;&gt;1,$DH44&lt;&gt;1,$AG44="S",COUNTIF($W$18:$W$23,$AA44)&gt;0),1,IF($EU44=1,0,IF(AND(OR($EF44=1,$GV44=1,AND(OR($AA44='King Node Model'!$T$22,$AA44='King Node Model'!$T$23,AND($AG44="S",COUNTIF('Master Dashboard'!$AN$16:$AN$18,$AA44)&gt;0)),$AN44=1,OR($AX44=0,$D$5&lt;&gt;"UP"))),OR(NOT(OR('King Node Model'!$A$8="Neg",N($BG$72)=1)),$GV44=1,AND(OR($AA44='King Node Model'!$T$22,$AA44='King Node Model'!$T$23,AND($AG44="S",COUNTIF('Master Dashboard'!$AN$16:$AN$18,$AA44)&gt;0)),$AN44=1,OR($AX44=0,$D$5&lt;&gt;"UP")),AND($AM44&gt;=$BG$20,$AC44&gt;IF($CZ44=1,$BG$48,$BG$19)))),1,IF($DH44=1,0,IF(AND($DC44=1,$GS44&lt;&gt;1,AND('King Node Model'!$A$8&lt;&gt;"Neg",N($BG$72)&lt;&gt;1)),0,IF(AND($EY44=1,NOT(OR('King Node Model'!$A$8="Neg",$BG$72=1)),$AA44&lt;&gt;'King Node Model'!$B$23,COUNTIF('Master Dashboard'!$AN$16:$AN$18,$AA44)=0),0,IF(AND($GS44=1,$AG44="S",OR($CI44=0,$EF44=1,$EX44=1,$GV44=1),COUNTIF($W$18:$W$23,$AA44)&gt;0,ABS($AA44-$B$4)&lt;=$BG$7,$BK44&lt;&gt;1,$AM44&gt;=$BG$20,$AC44&gt;IF($CZ44=1,$BG$48,$BG$19)),1,IF(OR('King Node Model'!$A$8="Neg",N($BG$72)=1),IF(AND(OR(OR($AM44&gt;=$BG$20,N($LR44)=1),$AA44='King Node Model'!$D$26,$GV44=1),$AG44="S",COUNTIF($W$18:$W$23,$AA44)&gt;0,ABS($AA44-$B$4)&lt;=$BG$7,OR($AX44=0,$D$5&lt;&gt;"UP"),$BK44&lt;&gt;1,OR($CI44=0,$AJ44=1,AND(N($LR44)=1,N($MB44)=1),N($MT44)=1),OR($AM44&gt;=$BG$20,N($LR44)=1),$AC44&gt;IF($CZ44=1,$BG$48,$BG$19),OR($AB44&gt;0,$AN44=1,N($MT44)=1,N($LR44)=1,$AA44='King Node Model'!$D$26,AND($BY44=1,$AA44&lt;$B$4),$BX44=1,$CF44=1,$CF44=1,AND(OR($AA44=$CP$4,$AA44=$CP$5,$AA44=$CP$6,$AA44=$CP$7),ABS($AA44-$B$4)&lt;=30),AND($AX44=1,$D$5="DOWN"))),1,0),IF(AND(OR($AM44&gt;=3,$AA44='King Node Model'!$D$26,$GV44=1),$AG44="S",COUNTIF($W$18:$W$23,$AA44)&gt;0,ABS($AA44-$B$4)&lt;=$BG$7,OR($AX44=0,$D$5&lt;&gt;"UP"),$BK44&lt;&gt;1,OR($CI44=0,$AJ44=1,AND(N($LR44)=1,N($MB44)=1),N($MT44)=1),$AM44&gt;=$BG$20,$AC44&gt;IF($CZ44=1,$BG$48,$BG$19),OR($AC44&gt;=MAX($AC$9:$AC$55),$BC44&gt;0,N($MT44)=1,$AA44='King Node Model'!$D$26,AND(OR($AA44=$CP$4,$AA44=$CP$5,$AA44=$CP$6,$AA44=$CP$7),ABS($AA44-$B$4)&lt;=30),$CF44=1,$AN44=1,AND($AX44=1,$D$5="DOWN"))),1,0))))))))))))</f>
        <v>0</v>
      </c>
      <c r="CX44" s="218">
        <f t="shared" si="48"/>
        <v>0</v>
      </c>
      <c r="CY44" t="str">
        <f t="shared" si="49"/>
        <v/>
      </c>
      <c r="CZ44" s="218">
        <f t="shared" si="50"/>
        <v>0</v>
      </c>
      <c r="DA44" t="str">
        <f t="shared" si="51"/>
        <v/>
      </c>
      <c r="DB44" t="str">
        <f t="shared" si="52"/>
        <v/>
      </c>
      <c r="DC44" s="218">
        <f t="shared" si="53"/>
        <v>0</v>
      </c>
      <c r="DD44" s="218">
        <f t="shared" si="54"/>
        <v>0</v>
      </c>
      <c r="DE44" s="218">
        <f t="shared" si="55"/>
        <v>0</v>
      </c>
      <c r="DF44" t="str">
        <f t="shared" si="56"/>
        <v/>
      </c>
      <c r="DG44" t="str">
        <f t="shared" si="57"/>
        <v/>
      </c>
      <c r="DH44" s="218">
        <f t="shared" si="58"/>
        <v>0</v>
      </c>
      <c r="DI44">
        <v>1</v>
      </c>
      <c r="DJ44">
        <v>1</v>
      </c>
      <c r="DK44">
        <v>2700170</v>
      </c>
      <c r="DL44">
        <v>0</v>
      </c>
      <c r="DM44" t="str">
        <f>IF(AND($CV44=1,$AG44="S"),IF(AND(OR('King Node Model'!$A$8="Neg",N($BG$72)=1),'King Node Model'!$S$52=""),IF(OR(N($AN44)=1,N($LR44)=1,$AB44&gt;0,$AJ44=1,N($JO44)=1,AND(NOT($AE44&gt;0),NOT(IFERROR(AND(ISNUMBER($BC44),ISNUMBER($BC43),($BC44&gt;=0)&lt;&gt;($BC43&gt;=0)),FALSE())),OR(AND($BM44&lt;=6,$BN44&lt;=6),ABS($AA44-'King Node Model'!$T$23)&lt;=5,$LA44=1))),1,0),1),"")</f>
        <v/>
      </c>
      <c r="DN44" t="str">
        <f t="shared" si="59"/>
        <v/>
      </c>
      <c r="DO44" t="str">
        <f t="shared" si="60"/>
        <v>W-list</v>
      </c>
      <c r="DP44" t="str">
        <f>IF(AND(OR('King Node Model'!$A$8="Neg",N($BG$72)=1),$AG44="S",ISNUMBER($AT44),ISNUMBER($AU44),$AT44&lt;&gt;$AU44,$AA44=$AT44),IF(AND(SUMPRODUCT(($AA$9:$AA$55&gt;=$AT44)*($AA$9:$AA$55&lt;=$AU44)*($AB$9:$AB$55&gt;0))&gt;0,SUMPRODUCT(($AA$9:$AA$55&gt;=$AT44)*($AA$9:$AA$55&lt;=$AU44)*($DM$9:$DM$55=1))&gt;0,SUMPRODUCT(($AA$9:$AA$55&gt;=$AT44)*($AA$9:$AA$55&lt;=$AU44)*(COUNTIF($W$18:$W$20,$AA$9:$AA$55)&gt;0))&gt;0),1,0),"")</f>
        <v/>
      </c>
      <c r="DS44">
        <v>0</v>
      </c>
      <c r="DT44">
        <v>0</v>
      </c>
      <c r="DU44" t="str">
        <f>IF('King Node Model'!$A$8&lt;&gt;"Pos","",IF(OR($AA44="",NOT(ISNUMBER($AA44)),ABS($AA44-$B$4)&gt;$BG$7),"",TEXT($AA44,"0")&amp;" | "&amp;IF($AG44="","unclassified",IF($AG44&lt;&gt;IF($AA44&gt;$B$4,"R","S"),"orphan: in "&amp;$AG44&amp;"-list, "&amp;IF($AA44&lt;$B$4,"below","above")&amp;" spot",IF(IF($AG44="R",COUNTIF($W$9:$W$14,$AA44),COUNTIF($W$18:$W$23,$AA44))=0,"not in "&amp;$AG44&amp;"-list",IF($DH44=1,"absorbed into shelf box",IF($BK44=1,"absorbed: adjacent reversal",IF($CI44=1,"accel-accelerant",IF($AC44&lt;=$BG$19,"below gamma-floor",IF($AM44&lt;$BG$20,"confluence "&amp;TEXT($AM44,"0")&amp;" &lt; "&amp;TEXT($BG$20,"0"),IF(AND($AX44=1,$D$5="UP"),"accelerant in up-move",IF(NOT(OR($AC44&gt;=MAX($AC$9:$AC$55),$BC44&gt;0,$AA44='King Node Model'!$D$26,AND(OR($AA44=$CP$4,$AA44=$CP$5,$AA44=$CP$6,$AA44=$CP$7),ABS($AA44-$B$4)&lt;=30),ISNUMBER(SEARCH("STRENGTHENING",$CG44)),$AN44=1,AND($AX44=1,$D$5="DOWN"))),"no surface flag","-&gt; qualifies"))))))))))))</f>
        <v/>
      </c>
      <c r="DV44" s="218">
        <f t="shared" si="61"/>
        <v>99999</v>
      </c>
      <c r="DW44" s="218">
        <f t="shared" si="62"/>
        <v>99999</v>
      </c>
      <c r="DX44" t="str">
        <f>IF('King Node Model'!$A$8&lt;&gt;"Pos","",IF(AND($DV44&lt;99999,$DV44=MIN($DV$9:$DV$55),$DG44&gt;$AA44),"R-box: "&amp;TEXT($AA44,"0")&amp;"-"&amp;TEXT($DG44,"0"),IF(AND($DW44&lt;99999,$DW44=MIN($DW$9:$DW$55),$DF44&lt;$AA44),"S-box: "&amp;TEXT($DF44,"0")&amp;"-"&amp;TEXT($AA44,"0"),"")))</f>
        <v/>
      </c>
      <c r="EB44">
        <f t="shared" si="63"/>
        <v>65.390000000000327</v>
      </c>
      <c r="EC44">
        <f t="shared" si="64"/>
        <v>538591</v>
      </c>
      <c r="ED44">
        <f t="shared" si="65"/>
        <v>0</v>
      </c>
      <c r="EE44">
        <f>IF(AND(OR('King Node Model'!$A$8="Neg",N($BG$72)=1),$AG44="R",ISNUMBER($EB44),$EB44&lt;=$BG$7,$AB44&gt;0,$EC44&gt;0,$AB44=$EC44),1,0)</f>
        <v>0</v>
      </c>
      <c r="EF44">
        <f>IF(AND(OR('King Node Model'!$A$8="Neg",N($BG$72)=1),$AG44="S",ISNUMBER($EB44),$EB44&lt;=$BG$7,$AB44&gt;0,$ED44&gt;0,$AB44=$ED44),1,0)</f>
        <v>0</v>
      </c>
      <c r="EI44">
        <v>1</v>
      </c>
      <c r="EJ44">
        <f>IF($AA44="",0,IF(SUMPRODUCT(($AA$9:$AA$55&gt;=$AT44)*($AA$9:$AA$55&lt;=$AU44)*($DT$9:$DT$55=1))+SUMPRODUCT(($DT$9:$DT$55=1)*($AT$9:$AT$55&lt;=$AA44)*($AU$9:$AU$55&gt;=$AA44))+($DT44=1)+AND(OR('King Node Model'!$A$8="Neg",N($BG$72)=1),ISNUMBER(SEARCH("LOW",'Master Dashboard'!$M$5)),ISNUMBER(SEARCH("BUY",'Master Dashboard'!$G$8)),'King Node Model'!$T$23='King Node Model'!$B$23,$AA44&gt;='King Node Model'!$T$23,$AA44&lt;='King Node Model'!$T$23+5)*1&gt;0,1,0))</f>
        <v>0</v>
      </c>
      <c r="EM44">
        <f t="shared" si="66"/>
        <v>0</v>
      </c>
      <c r="EN44">
        <v>0</v>
      </c>
      <c r="EO44">
        <f t="shared" si="67"/>
        <v>0</v>
      </c>
      <c r="EP44">
        <f t="shared" si="68"/>
        <v>0</v>
      </c>
      <c r="EQ44" t="str">
        <f t="shared" si="69"/>
        <v>thinning the floor (magnitude weak)</v>
      </c>
      <c r="ES44" t="str">
        <f>IF(AND(ISNUMBER(AA44),ISNUMBER(AF44),ABS(AA44-'King Node Model'!$B$4)&lt;=$BG$7),ABS(AF44),"")</f>
        <v/>
      </c>
      <c r="ET44">
        <v>0</v>
      </c>
      <c r="EU44" s="218">
        <f>IF(AND(OR('King Node Model'!$A$8="Neg",N($BG$72)=1),ISNUMBER($AA43),ISNUMBER($AA44),ISNUMBER($AA45),ISNUMBER($AB43),ISNUMBER($AB44),ISNUMBER($AB45),ISNUMBER($AF44),$AB44&gt;0,$AB43&lt;0,$AB45&lt;0,$AF44&lt;0),1,0)</f>
        <v>0</v>
      </c>
      <c r="EW44">
        <f>IF(OR(N($MY44)=1,N($JM44)=1),0,N($NE44))</f>
        <v>0</v>
      </c>
      <c r="EX44">
        <f>IF(AND(OR('King Node Model'!$A$8="Neg",N($BG$72)=1),ISNUMBER($AA44),OR(AND($AA44='King Node Model'!$F$24,OR(AND($AG44="S",$F$4="High",IF($BG$80&lt;&gt;"",UPPER($BG$80),$D$5)="DOWN"),AND($AG44="R",$F$4="Low",IF($BG$80&lt;&gt;"",UPPER($BG$80),$D$5)="UP"))),$GV44=1)),1,0)</f>
        <v>0</v>
      </c>
      <c r="EY44">
        <f>IFERROR(IF(AND($DC44=1,$AB44&lt;0,$AC44&gt;=(1+$FA$6)*INDEX($AC$9:$AC$55,36-1),$AC44&gt;=(1+$FA$6)*INDEX($AC$9:$AC$55,36+1),$AC44&gt;=IFERROR(INDEX($AC$9:$AC$55,36-2),0),$AC44&gt;=IFERROR(INDEX($AC$9:$AC$55,36+2),0)),1,0),0)</f>
        <v>0</v>
      </c>
      <c r="FA44" t="str">
        <f>IF(NOT(ISNUMBER($AA44)),"",IFERROR(IF(AND($AC44=MAX($AC$9:$AC$55),$AB44=MIN($AB$9:$AB$55)),"DOM",IF(AND($DC43=1,$DC44=1,$DC45=1,INDEX($AC$9:$AC$55,36-1)&lt;=(1-$FA$6)*$AC44,INDEX($AC$9:$AC$55,36-1)&lt;=(1-$FA$6)*INDEX($AC$9:$AC$55,36-2)),"GAP↑",IF(AND($DC45=1,$DC44=1,INDEX($AC$9:$AC$55,36+1)&lt;=(1-$FA$6)*$AC44,INDEX($AC$9:$AC$55,36+1)&lt;=(1-$FA$6)*INDEX($AC$9:$AC$55,36+2)),"GAP↓",IF($CZ44=1,"dEdge Cliff",IF($GY44=1,"γWall",IF(AND($DC44=1,$AB44&lt;0,$AC44&gt;=(1+$FA$6)*INDEX($AC$9:$AC$55,36-1),$AC44&gt;=(1+$FA$6)*INDEX($AC$9:$AC$55,36+1)),"PEAK-",IF($GZ44=1,"γSh Edge",IF($HL44=1,"Trough",IF($HN44=1,"PEAK+",IF($GF44=1,"Cluster","")))))))))),""))</f>
        <v/>
      </c>
      <c r="FB44" t="str">
        <f t="shared" si="70"/>
        <v/>
      </c>
      <c r="FC44" t="str">
        <f t="shared" si="71"/>
        <v/>
      </c>
      <c r="FD44">
        <f>IF(AND(ISNUMBER($AA44),ISNUMBER('King Node Model'!$AP$17),ISNUMBER('King Node Model'!$AQ$17),$AA44&gt;=MIN('King Node Model'!$AP$17,'King Node Model'!$AQ$17),$AA44&lt;=MAX('King Node Model'!$AP$17,'King Node Model'!$AQ$17),IFERROR(INDEX($AC$9:$AC$55,MATCH('King Node Model'!$AL$42,$AA$9:$AA$55,0)),0)&gt;0,$AC44&gt;=(1-$FA$6)*IFERROR(INDEX($AC$9:$AC$55,MATCH('King Node Model'!$AL$42,$AA$9:$AA$55,0)),0),$AC44&lt;=(1+$FA$6)*IFERROR(INDEX($AC$9:$AC$55,MATCH('King Node Model'!$AL$42,$AA$9:$AA$55,0)),0)),1,0)</f>
        <v>0</v>
      </c>
      <c r="FE44">
        <f>IF($AA44='King Node Model'!$AL$42,1,IF(AND($FD44=1,$FE43=1),1,0))</f>
        <v>0</v>
      </c>
      <c r="FF44">
        <f>IF($AA44='King Node Model'!$AL$42,1,IF(AND($FD44=1,$FF45=1),1,0))</f>
        <v>0</v>
      </c>
      <c r="FG44" t="str">
        <f>IF(OR($FE44=1,$FF44=1),36,"")</f>
        <v/>
      </c>
      <c r="FJ44">
        <f>IF(AND($CW$2=1,ISNUMBER($AA44),ISNUMBER($CW$3),ISNUMBER($CW$4),$AA44&gt;=MIN($CW$3,$CW$4),$AA44&lt;=MAX($CW$3,$CW$4),IFERROR(INDEX($AC$9:$AC$55,MATCH('King Node Model'!$AP$67,$AA$9:$AA$55,0)),0)&gt;0,$AC44&gt;=(1-$FA$6)*IFERROR(INDEX($AC$9:$AC$55,MATCH('King Node Model'!$AP$67,$AA$9:$AA$55,0)),0),$AC44&lt;=(1+$FA$6)*IFERROR(INDEX($AC$9:$AC$55,MATCH('King Node Model'!$AP$67,$AA$9:$AA$55,0)),0)),1,0)</f>
        <v>0</v>
      </c>
      <c r="FK44">
        <f>IF(AND($CW$2=1,$AA44='King Node Model'!$AP$67),1,IF(AND($FJ44=1,$FK43=1),1,0))</f>
        <v>0</v>
      </c>
      <c r="FL44">
        <f>IF(AND($CW$2=1,$AA44='King Node Model'!$AP$67),1,IF(AND($FJ44=1,$FL45=1),1,0))</f>
        <v>0</v>
      </c>
      <c r="FM44" t="str">
        <f>IF(OR($FK44=1,$FL44=1),36,"")</f>
        <v/>
      </c>
      <c r="FN44">
        <v>0</v>
      </c>
      <c r="FR44" t="str">
        <f t="shared" si="72"/>
        <v/>
      </c>
      <c r="FS44">
        <f t="shared" si="188"/>
        <v>0</v>
      </c>
      <c r="FT44">
        <f t="shared" si="73"/>
        <v>-0.72397755754580906</v>
      </c>
      <c r="FU44">
        <f t="shared" si="74"/>
        <v>182333</v>
      </c>
      <c r="FV44" t="str">
        <f>IF($FW44=0,"",IF(OR($FW43=0,SIGN(IFERROR($BC44*1,0))&lt;&gt;SIGN(IFERROR($BC43*1,0)),$GH44=1,$GH43=1),MAX($FV$9:$FV43)+1,$FV43))</f>
        <v/>
      </c>
      <c r="FW44">
        <f t="shared" si="75"/>
        <v>0</v>
      </c>
      <c r="FX44" t="str">
        <f t="shared" si="76"/>
        <v/>
      </c>
      <c r="FY44">
        <f t="shared" si="77"/>
        <v>0</v>
      </c>
      <c r="FZ44">
        <f t="shared" si="189"/>
        <v>0</v>
      </c>
      <c r="GA44">
        <f t="shared" si="78"/>
        <v>0</v>
      </c>
      <c r="GB44" t="str">
        <f t="shared" si="79"/>
        <v/>
      </c>
      <c r="GC44" t="str">
        <f t="shared" si="80"/>
        <v/>
      </c>
      <c r="GD44" t="str">
        <f t="shared" si="81"/>
        <v/>
      </c>
      <c r="GE44" t="str">
        <f t="shared" si="82"/>
        <v/>
      </c>
      <c r="GF44">
        <f t="shared" si="83"/>
        <v>0</v>
      </c>
      <c r="GH44">
        <f>IFERROR(IF(AND($AC44&gt;=(1+$FA$6)*INDEX($AC$9:$AC$55,36-1),$AC44&gt;=(1+$FA$6)*INDEX($AC$9:$AC$55,36+1)),1,0),0)</f>
        <v>0</v>
      </c>
      <c r="GK44">
        <v>1</v>
      </c>
      <c r="GO44">
        <v>0</v>
      </c>
      <c r="GP44">
        <v>1</v>
      </c>
      <c r="GQ44">
        <f t="shared" si="84"/>
        <v>0</v>
      </c>
      <c r="GR44">
        <f t="shared" si="85"/>
        <v>0</v>
      </c>
      <c r="GS44">
        <f>IF(AND($EY44=1,$AA44&lt;&gt;'King Node Model'!$B$23),0,IF(OR($GQ44=1,$GR44=1),1,IF($DC44=1,IF(OR('King Node Model'!$A$8="Neg",N($BG$72)=1),IF(OR(AND($AC44=MAX($AC$9:$AC$55),$AB44=MIN($AB$9:$AB$55)),$AN44=1,$EE44=1,$EF44=1,$EX44=1,$GV44=1),1,0),1),0)))</f>
        <v>0</v>
      </c>
      <c r="GT44">
        <f>IFERROR(IF(AND(OR('King Node Model'!$A$8="Neg",N($BG$72)=1),$EU43=1,$AG44="R",ISNUMBER($AA44),ISNUMBER($AF44),$AF44&lt;&gt;0,$AA44&gt;$B$4-$BG$9,$AA44-$B$4&lt;=$BG$47,IF($KC44="UP",SIGN($AF44),IF($KC44="DOWN",-SIGN($AF44),0))&lt;&gt;1),1,0),0)</f>
        <v>0</v>
      </c>
      <c r="GU44" t="str">
        <f t="shared" si="86"/>
        <v/>
      </c>
      <c r="GV44">
        <f t="shared" si="87"/>
        <v>0</v>
      </c>
      <c r="GW44" t="str">
        <f t="shared" si="88"/>
        <v/>
      </c>
      <c r="GX44">
        <f t="shared" si="89"/>
        <v>65.390000000000327</v>
      </c>
      <c r="GY44">
        <f t="shared" si="90"/>
        <v>0</v>
      </c>
      <c r="GZ44">
        <f t="shared" si="91"/>
        <v>0</v>
      </c>
      <c r="HA44">
        <v>0</v>
      </c>
      <c r="HF44">
        <f>IFERROR(IF(AND($GZ44=1,'King Node Model'!$A$8="Pos",$D$5="UP",$CF44=-1,$AJ44&lt;&gt;1),1,0),0)</f>
        <v>0</v>
      </c>
      <c r="HG44">
        <f t="shared" si="92"/>
        <v>0</v>
      </c>
      <c r="HH44" t="str">
        <f>IF($GZ44=1,"",IFERROR(IF(NOT(ISNUMBER($AA44)),"",IF($EY44=1,"",IF($GF44=1,IF($GD44=$GE44,"",$GD44),IF(OR(AND($DC43=1,$DC44=1,$DC45=1,INDEX($AC$9:$AC$55,36-1)&lt;=(1-$FA$6)*$AC44,INDEX($AC$9:$AC$55,36-1)&lt;=(1-$FA$6)*INDEX($AC$9:$AC$55,36-2)),AND($DC45=1,$DC44=1,INDEX($AC$9:$AC$55,36+1)&lt;=(1-$FA$6)*$AC44,INDEX($AC$9:$AC$55,36+1)&lt;=(1-$FA$6)*INDEX($AC$9:$AC$55,36+2)),AND($DC44=1,OR(INDEX($DC$9:$DC$55,36-1)=0,INDEX($DC$9:$DC$55,36+1)=0))),IF(MIN($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MAX($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MIN($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f>
        <v/>
      </c>
      <c r="HI44" t="str">
        <f>IF($GZ44=1,"",IFERROR(IF(NOT(ISNUMBER($AA44)),"",IF($EY44=1,"",IF($GF44=1,IF($GD44=$GE44,"",$GE44),IF(OR(AND($DC43=1,$DC44=1,$DC45=1,INDEX($AC$9:$AC$55,36-1)&lt;=(1-$FA$6)*$AC44,INDEX($AC$9:$AC$55,36-1)&lt;=(1-$FA$6)*INDEX($AC$9:$AC$55,36-2)),AND($DC45=1,$DC44=1,INDEX($AC$9:$AC$55,36+1)&lt;=(1-$FA$6)*$AC44,INDEX($AC$9:$AC$55,36+1)&lt;=(1-$FA$6)*INDEX($AC$9:$AC$55,36+2)),AND($DC44=1,OR(INDEX($DC$9:$DC$55,36-1)=0,INDEX($DC$9:$DC$55,36+1)=0))),IF(MIN($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MAX($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MAX($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f>
        <v/>
      </c>
      <c r="HL44">
        <f t="shared" si="93"/>
        <v>0</v>
      </c>
      <c r="HM44">
        <f>IFERROR(IF(AND($HL44=1,NOT(OR($AA44='King Node Model'!$T$22,$AA44='King Node Model'!$T$23,$AA44='King Node Model'!$F$24,AND($AG44="S",COUNTIF('Master Dashboard'!$AN$16:$AN$18,$AA44)&gt;0),AND($AG44="R",COUNTIF('Master Dashboard'!$AN$13:$AN$15,$AA44)&gt;0)))),1,0),0)</f>
        <v>0</v>
      </c>
      <c r="HN44">
        <f t="shared" si="94"/>
        <v>0</v>
      </c>
      <c r="HO44">
        <f t="shared" si="95"/>
        <v>0</v>
      </c>
      <c r="HP44">
        <f t="shared" si="96"/>
        <v>1</v>
      </c>
      <c r="HQ44" t="str">
        <f>IF(NOT(ISNUMBER($AA44)),"",IFERROR(TRIM(IF(N($MY44)=1,"DEXLEAN ","")&amp;IF(N($IZ44)=1,"DEXCAP ","")&amp;IF(AND($AG44="S",UPPER('King Node Model'!$L$5)="HIGH",$KC44="DOWN",N($AF44)&gt;0,$AA44='King Node Model'!$AN$70,$IY44="SELL"),"CHOPEDGEIV ","")&amp;IF(N($IS44)=1,"NOREV ","")&amp;IF(N($JY44)=1,"VFLAT ","")&amp;IF(N($KR44)=1,"GDEXVANNA ","")&amp;IF(N($LD44)=1,"KGSUPFAIL ","")&amp;IF(N($LE44)=1,"KGRESLEAK ","")&amp;IF(N($MH44)=1,"ZIGZAG ","")&amp;IF(N($KK44)=1,"DATAGAP ","")&amp;IF(N($KA44)&lt;&gt;0,"ACCUNDERCW ","")&amp;IF(AND($AG44="S",$HF44=1),"EDGE ","")&amp;IF(AND($HM44=1,'King Node Model'!$A$8="Pos",N($BG$72)&lt;&gt;1),"TROUGH ","")&amp;IF(AND($EU44=1,N($JZ44)&lt;&gt;1),"BUMP ","")&amp;IF(AND($GT44=1,N($JZ44)&lt;&gt;1),"SANDWICH ","")&amp;IF(AND($EX44&lt;&gt;1,OR('King Node Model'!$A$8="Neg",N($BG$72)=1),OR(AND(ISNUMBER($AC44),$AC44=MAX($AC$9:$AC$55)),AND(ISNUMBER($AB44),$AB44=MIN($AB$9:$AB$55))),NOT(AND(AND(ISNUMBER($AC44),$AC44=MAX($AC$9:$AC$55)),AND(ISNUMBER($AB44),$AB44=MIN($AB$9:$AB$55)))),$AG44="S",N($AB44)&lt;0,NOT(COUNTIF('Master Dashboard'!$AN$16:$AN$18,$AA44)&gt;0),NOT(AND(OR('King Node Model'!$A$8="Neg",N($BG$72)=1),ISNUMBER($AB44),$AB44=MIN($AB$9:$AB$55),$AA44=$BG$105))),"ACCEL ","")&amp;IF(AND($EX44&lt;&gt;1,ISNUMBER($AA44),OR('King Node Model'!$A$8="Neg",N($BG$72)=1),$EY44=1,NOT(AND($AG44="S",COUNTIF('Master Dashboard'!$AN$16:$AN$18,$AA44)&gt;0)),NOT(AND($AA44='King Node Model'!$B$23,IF($AG44="S",OR($AA44='King Node Model'!$C$24,COUNTIF('Master Dashboard'!$AN$16:$AN$18,$AA44)&gt;0),OR($AA44='King Node Model'!$C$23,COUNTIF('Master Dashboard'!$AN$13:$AN$15,$AA44)&gt;0)))),NOT(AND($EX44&lt;&gt;1,OR('King Node Model'!$A$8="Neg",N($BG$72)=1),OR(AND(ISNUMBER($AC44),$AC44=MAX($AC$9:$AC$55)),AND(ISNUMBER($AB44),$AB44=MIN($AB$9:$AB$55))),NOT(AND(AND(ISNUMBER($AC44),$AC44=MAX($AC$9:$AC$55)),AND(ISNUMBER($AB44),$AB44=MIN($AB$9:$AB$55)))),$AG44="S",N($AB44)&lt;0,NOT(COUNTIF('Master Dashboard'!$AN$16:$AN$18,$AA44)&gt;0)))),"AMPLIFY ","")&amp;IF(AND($AG44="S",OR('King Node Model'!$A$8="Neg",N($BG$72)=1),$AJ44&lt;&gt;1,N($MT44)&lt;&gt;1,NOT(AND(N($LR44)=1,N($MB44)=1)),ISNUMBER(SEARCH("ACCEL building",$CG44))),"ZACCEL ","")&amp;IF(AND($AG44="S",OR('King Node Model'!$A$8="Neg",N($BG$72)=1),$AA44='King Node Model'!$B$23,NOT(AND(AND(ISNUMBER($AC44),$AC44=MAX($AC$9:$AC$55)),AND(ISNUMBER($AB44),$AB44=MIN($AB$9:$AB$55)))),$EJ44&lt;&gt;1),"KINGACC ","")&amp;IF(AND($AG44="S",OR('King Node Model'!$A$8="Neg",N($BG$72)=1),ABS(N($AA44)-N('King Node Model'!$B$23))&lt;=$BG$107,NOT(AND(SUMPRODUCT((ABS($AF$9:$AF$55)&lt;=ABS(N($AF44)))*1)/COUNT($AF$9:$AF$55)&gt;=0.66,OR(ISNUMBER(SEARCH("firmer resistance",$CG44)),ISNUMBER(SEARCH("STRENGTHENING",$CG44)),ISNUMBER(SEARCH("firmer support",$CG44))))),NOT(AND(N($AB44)&gt;0,SUMPRODUCT((ABS($AB$9:$AB$55)&lt;=ABS(N($AB44)))*1)/COUNT($AB$9:$AB$55)&gt;=0.66)),$EJ44&lt;&gt;1,$AJ44&lt;&gt;1,COUNTIF('Master Dashboard'!$AN$16:$AN$18,$AA44)=0,NOT(AND($AG44="S",OR('King Node Model'!$A$8="Neg",N($BG$72)=1),$AA44='King Node Model'!$B$23,NOT(AND(AND(ISNUMBER($AC44),$AC44=MAX($AC$9:$AC$55)),AND(ISNUMBER($AB44),$AB44=MIN($AB$9:$AB$55)))),$EJ44&lt;&gt;1))),"KINGNODE ","")&amp;IF(AND($AG44="R",NOT(AND(AND(ISNUMBER($AC44),$AC44=MAX($AC$9:$AC$55)),AND(ISNUMBER($AB44),$AB44=MIN($AB$9:$AB$55)))),UPPER('King Node Model'!$L$5)="LOW",$KC44="DOWN",N($AF44)&gt;0),"LOWIVFALL ","")&amp;IF(AND($AG44="R",NOT(AND(AND(ISNUMBER($AC44),$AC44=MAX($AC$9:$AC$55)),AND(ISNUMBER($AB44),$AB44=MIN($AB$9:$AB$55)))),UPPER('King Node Model'!$L$5)="HIGH",$KC44="DOWN",N($AF44)&gt;0,IFERROR(MATCH($AA44,$W$9:$W$14,0)&gt;=4,FALSE)),"HIGHIVFALL ","")&amp;IF(AND($AG44="R",N($BG$99)=1),"SPOTUPVOLUP ","")&amp;IF(AND($AG44="R",ISNUMBER(SEARCH("5/5",'Master Dashboard'!$E$29)),OR(ISNUMBER(SEARCH("WEAKENING",$EQ44)),ISNUMBER(SEARCH("Pos gamma ↓",$EQ44)),ISNUMBER(SEARCH("thinning the ceiling",$EQ44)))),"SQUEEZE ","")&amp;IF(N($JU44)=1,"DEDGECLIFF ","")&amp;IF(N($KT44)=1,"DEXDRAIN ","")&amp;IF(N($HW44)&lt;&gt;0,"DEXDROP ","")&amp;IF(N($HX44)&lt;&gt;0,"PEAK+ ","")&amp;IF(N($IF44)=1,"CHOP ","")&amp;IF(N($IQ44)=1,"CONTESTED ","")&amp;IF(N($IW44)=1,"VSELL ","")&amp;IF(N($JK44)=1,"VBUYRES ","")&amp;IF(N($JL44)=1,"DOMFLAT ","")&amp;IF(N($JM44)=1,"DOMPULL ","")&amp;IF(N($JP44)=1,"OIZOMMA ","")&amp;IF(AND(N($JQ44)=1,N($JZ44)&lt;&gt;1),"OIDEX ","")),""))</f>
        <v>NOREV VSELL</v>
      </c>
      <c r="HS44">
        <f>IFERROR(IF(AND($DC44=1,OR(AND($AG44="R",INDEX($DC$9:$DC$55,35)=0,INDEX($DC$9:$DC$55,37)=1,INDEX($DC$9:$DC$55,38)=1),AND($AG44="S",INDEX($DC$9:$DC$55,37)=0,INDEX($DC$9:$DC$55,35)=1,INDEX($DC$9:$DC$55,34)=1))),1,0),0)</f>
        <v>0</v>
      </c>
      <c r="HT44">
        <f t="shared" si="97"/>
        <v>0</v>
      </c>
      <c r="HU44">
        <v>0</v>
      </c>
      <c r="HV44">
        <v>0</v>
      </c>
      <c r="HW44">
        <f>IFERROR(IF(OR(NOT(ISNUMBER($AA44)),'King Node Model'!$A$8&lt;&gt;"Pos",N($BG$72)=1,ABS(N($AE44))&lt;$BG$113,N($AV44)=1,$FA44="DOM",$AA44='King Node Model'!$T$23,AND(N($BG$116)=1,$AA44='King Node Model'!$F$24),NOT(ISNUMBER($KU44)),NOT(ISNUMBER($KV44))),0,IF(AND($AG44="S",COUNTIF('Master Dashboard'!$AN$16:$AN$18,$AA44)=0,$KU44&gt;=$BG$114,$KU44&gt;=$KV44+$BG$115,NOT(AND(N($AN45)=1,N($KV44)&lt;0)),N($AE44)&lt;=0),1,IF(AND($AG44="R",COUNTIF('Master Dashboard'!$AN$13:$AN$15,$AA44)=0,$KV44&gt;=$BG$114,$KV44&gt;=$KU44+$BG$115,NOT(AND(N($AN43)=1,N($KU44)&lt;0))),-1,0))),0)</f>
        <v>0</v>
      </c>
      <c r="HX44">
        <f>IFERROR(IF(AND(ISNUMBER($AA44),$FA44="PEAK+",N($AN44)&lt;&gt;1,NOT(AND('King Node Model'!$A$8="Pos",OR($AA44='King Node Model'!$T$22,$AA44='King Node Model'!$T$23,$AA44='King Node Model'!$F$24))),IF($AG44="S",COUNTIF('Master Dashboard'!$AN$16:$AN$18,$AA44)=0,IF($AG44="R",COUNTIF('Master Dashboard'!$AN$13:$AN$15,$AA44)=0,FALSE))),1,0),0)</f>
        <v>0</v>
      </c>
      <c r="HY44">
        <f t="shared" si="98"/>
        <v>0.66844109611722824</v>
      </c>
      <c r="HZ44">
        <v>1</v>
      </c>
      <c r="IA44">
        <f>IFERROR(IF(AND(IF($BG$44=1,OR(ISNUMBER(SEARCH("Choppy",'King Node Model'!$S$38)),'King Node Model'!$S$52&lt;&gt;"",'King Node Model'!$A$8="Pos"),TRUE()),OR($DC44=1,$DC43=1,$DC45=1),ABS($AA44-$B$4)&lt;=$BG$7,ABS($AA44-$BG$28)&gt;=$BG$45,OR(AND($AA44&gt;$BG$28,$AG44="R"),AND($AA44&lt;$BG$28,$AG44="S",N($BG$154)=1)),ABS(IF($AA44&gt;$BG$28,$AE45,$AE43))&gt;=$BG$43,ABS(N(IF($AA44&gt;$BG$28,$AE43,$AE45)))&lt;=$BG$153*ABS(IF($AA44&gt;$BG$28,$AE45,$AE43)),IF(ISNUMBER($HZ44),$HZ44=1,AND(ISNUMBER($HY44),$HY44&gt;=$BG$42))),1,0),0)</f>
        <v>0</v>
      </c>
      <c r="IB44">
        <f t="shared" si="99"/>
        <v>0</v>
      </c>
      <c r="IC44" t="str">
        <f>IF(NOT(ISNUMBER($AA44)),"",IFERROR(MID(IF(AND($AC44=MAX($AC$9:$AC$55),$AB44=MIN($AB$9:$AB$55))," · DOM","")&amp;IF(AND($DC43=1,$DC44=1,$DC45=1,INDEX($AC$9:$AC$55,36-1)&lt;=(1-$FA$6)*$AC44,INDEX($AC$9:$AC$55,36-1)&lt;=(1-$FA$6)*INDEX($AC$9:$AC$55,36-2))," · GAP↑ → "&amp;INDEX($AA$9:$AA$55,36-2),"")&amp;IF(AND($DC45=1,$DC44=1,INDEX($AC$9:$AC$55,36+1)&lt;=(1-$FA$6)*$AC44,INDEX($AC$9:$AC$55,36+1)&lt;=(1-$FA$6)*INDEX($AC$9:$AC$55,36+2))," · GAP↓ → "&amp;INDEX($AA$9:$AA$55,36+2),"")&amp;IF($CZ44=1," · dEdge Cliff","")&amp;IF($GY44=1," · γWall","")&amp;IF(AND($DC44=1,$AB44&lt;0,$AC44&gt;=(1+$FA$6)*INDEX($AC$9:$AC$55,36-1),$AC44&gt;=(1+$FA$6)*INDEX($AC$9:$AC$55,36+1))," · PEAK-","")&amp;IF($GZ44=1," · γSh Edge","")&amp;IF($HL44=1," · Trough","")&amp;IF($HN44=1," · PEAK+","")&amp;IF($GF44=1," · Cluster",""),FIND(" · ",IF(AND($AC44=MAX($AC$9:$AC$55),$AB44=MIN($AB$9:$AB$55))," · DOM","")&amp;IF(AND($DC43=1,$DC44=1,$DC45=1,INDEX($AC$9:$AC$55,36-1)&lt;=(1-$FA$6)*$AC44,INDEX($AC$9:$AC$55,36-1)&lt;=(1-$FA$6)*INDEX($AC$9:$AC$55,36-2))," · GAP↑ → "&amp;INDEX($AA$9:$AA$55,36-2),"")&amp;IF(AND($DC45=1,$DC44=1,INDEX($AC$9:$AC$55,36+1)&lt;=(1-$FA$6)*$AC44,INDEX($AC$9:$AC$55,36+1)&lt;=(1-$FA$6)*INDEX($AC$9:$AC$55,36+2))," · GAP↓ → "&amp;INDEX($AA$9:$AA$55,36+2),"")&amp;IF($CZ44=1," · dEdge Cliff","")&amp;IF($GY44=1," · γWall","")&amp;IF(AND($DC44=1,$AB44&lt;0,$AC44&gt;=(1+$FA$6)*INDEX($AC$9:$AC$55,36-1),$AC44&gt;=(1+$FA$6)*INDEX($AC$9:$AC$55,36+1))," · PEAK-","")&amp;IF($GZ44=1," · γSh Edge","")&amp;IF($HL44=1," · Trough","")&amp;IF($HN44=1," · PEAK+","")&amp;IF($GF44=1," · Cluster",""),2),999),""))</f>
        <v/>
      </c>
      <c r="ID44" t="str">
        <f>IF(NOT(ISNUMBER($AA44)),"",IFERROR(MID(IF(AND($AC44=MAX($AC$9:$AC$55),$AB44=MIN($AB$9:$AB$55))," · DOM","")&amp;IF(AND($DC43=1,$DC44=1,$DC45=1,INDEX($AC$9:$AC$55,36-1)&lt;=(1-$FA$6)*$AC44,INDEX($AC$9:$AC$55,36-1)&lt;=(1-$FA$6)*INDEX($AC$9:$AC$55,36-2))," · GAP↑ → "&amp;INDEX($AA$9:$AA$55,36-2),"")&amp;IF(AND($DC45=1,$DC44=1,INDEX($AC$9:$AC$55,36+1)&lt;=(1-$FA$6)*$AC44,INDEX($AC$9:$AC$55,36+1)&lt;=(1-$FA$6)*INDEX($AC$9:$AC$55,36+2))," · GAP↓ → "&amp;INDEX($AA$9:$AA$55,36+2),"")&amp;IF($CZ44=1," · dEdge Cliff","")&amp;IF($GY44=1," · γWall","")&amp;IF(AND($DC44=1,$AB44&lt;0,$AC44&gt;=(1+$FA$6)*INDEX($AC$9:$AC$55,36-1),$AC44&gt;=(1+$FA$6)*INDEX($AC$9:$AC$55,36+1))," · PEAK-","")&amp;IF($GZ44=1," · γSh Edge","")&amp;IF($HL44=1," · Trough","")&amp;IF($HN44=1," · PEAK+","")&amp;IF(AND(NOT($HN44=1),NOT(AND($DC44=1,$AB44&lt;0)),N($GY44)&lt;&gt;1,N($GF44)&lt;&gt;1,N($GZ44)&lt;&gt;1,N($HL44)&lt;&gt;1,N($CZ44)&lt;&gt;1,NOT(AND($AC44=MAX($AC$9:$AC$55),$AB44=MIN($AB$9:$AB$55))),$AC44&gt;=(1+$FA$6)*INDEX($AC$9:$AC$55,36-1),$AC44&gt;=(1+$FA$6)*INDEX($AC$9:$AC$55,36+1))," · Knoll","")&amp;IF($GF44=1," · Cluster",""),4,999),""))</f>
        <v/>
      </c>
      <c r="IF44">
        <f t="shared" si="100"/>
        <v>0</v>
      </c>
      <c r="IG44">
        <f>IFERROR(IF(AND(ISNUMBER($AA44),'King Node Model'!$A$8="Pos",OR($AG44="S",$AG44="R"),$IN44="interior",COUNTIF(IF($AG44="S",'Master Dashboard'!$AN$16:$AN$18,'Master Dashboard'!$AN$13:$AN$15),$AA44)=0,$AA44&lt;&gt;'King Node Model'!$T$22,$AA44&lt;&gt;'King Node Model'!$T$23,$AA44&lt;&gt;'King Node Model'!$F$24),1,0),0)</f>
        <v>0</v>
      </c>
      <c r="IH44">
        <f t="shared" si="101"/>
        <v>0</v>
      </c>
      <c r="II44">
        <f t="shared" si="190"/>
        <v>0</v>
      </c>
      <c r="IJ44">
        <f t="shared" si="102"/>
        <v>0</v>
      </c>
      <c r="IK44">
        <f t="shared" si="103"/>
        <v>0</v>
      </c>
      <c r="IL44">
        <f t="shared" si="191"/>
        <v>0</v>
      </c>
      <c r="IM44">
        <f t="shared" si="104"/>
        <v>0</v>
      </c>
      <c r="IN44" t="str">
        <f t="shared" si="105"/>
        <v/>
      </c>
      <c r="IO44">
        <v>0</v>
      </c>
      <c r="IP44">
        <v>0</v>
      </c>
      <c r="IQ44">
        <f>IFERROR(IF($AG44="S",IF(OR(COUNTIF($W$9:$W$14,$AA44)&gt;0,COUNTIF('King Node Model'!$AL$42:'King Node Model'!$AL$43,$AA44)&gt;0),1,0),IF($AG44="R",IF(OR(COUNTIF($W$18:$W$23,$AA44)&gt;0,COUNTIF('King Node Model'!$AL$49:'King Node Model'!$AL$50,$AA44)&gt;0),1,0),0)),0)</f>
        <v>0</v>
      </c>
      <c r="IS44">
        <f>IF(AND(ISNUMBER($AA44),N($AN44)&lt;&gt;1,N($LR44)&lt;&gt;1,OR(N($EN44)&lt;&gt;1,AND('King Node Model'!$A$8&lt;&gt;"Neg",N($BG$72)&lt;&gt;1)),$AA44&lt;&gt;'King Node Model'!$T$22,$AA44&lt;&gt;'King Node Model'!$T$23,$AA44&lt;&gt;'King Node Model'!$F$24,NOT(AND($AG44="S",COUNTIF('Master Dashboard'!$AN$16:$AN$18,$AA44)&gt;0)),NOT(AND($AG44="R",COUNTIF('Master Dashboard'!$AN$13:$AN$15,$AA44)&gt;0)),NOT(AND('King Node Model'!$A$8&lt;&gt;"Neg",N($BG$72)&lt;&gt;1,COUNTIF('Master Dashboard'!$AN$13:$AN$18,$AA44)&gt;0))),1,0)</f>
        <v>1</v>
      </c>
      <c r="IT44">
        <v>0</v>
      </c>
      <c r="IU44">
        <f>IF(AND(ISNUMBER($AA44),$AA44='King Node Model'!$F$24,$AA44&gt;$GJ$3,N($AD44)&lt;0,$F$4="High"),1,0)</f>
        <v>0</v>
      </c>
      <c r="IV44" t="str">
        <f>""</f>
        <v/>
      </c>
      <c r="IW44">
        <f>IFERROR(IF(AND(ISNUMBER($AA44),NOT(AND(N($LR44)=1,N($MB44)=1)),$AG44="S",OR('King Node Model'!$A$8="Neg",N($BG$72)=1),$JV44="SELL",ABS(N($AD44))&gt;=$BG$94,NOT(AND(N($AD44)&gt;0,N($BG$78)=1,MEDIAN($AA44-$BG$82,$B$4,$AA44+$BG$83)=$B$4))),1,0),0)</f>
        <v>1</v>
      </c>
      <c r="IX44">
        <f>IFERROR(IF(AND(ISNUMBER($AA44),$AG44="S",OR('King Node Model'!$A$8="Neg",N($BG$72)=1),N($AD44)&gt;0,N($BG$78)=1,MEDIAN($AA44-$BG$82,$B$4,$AA44+$BG$83)=$B$4),1,0),0)</f>
        <v>0</v>
      </c>
      <c r="IY44" t="str">
        <f t="shared" si="106"/>
        <v>SELL</v>
      </c>
      <c r="IZ44">
        <f>IFERROR(IF(AND(ISNUMBER($AA44),$FA44&lt;&gt;"DOM",$AA44&lt;&gt;'King Node Model'!$F$24,OR(AND($AG44="S",COUNTIF('Master Dashboard'!$AN$16:$AN$18,$AA44)=0,N(INDEX($AE$9:$AE$55,MATCH($AA44+$BG$84,$AA$9:$AA$55,0)))&lt;=-$BG$85),AND($AG44="R",COUNTIF('Master Dashboard'!$AN$13:$AN$15,$AA44)=0,N(INDEX($AE$9:$AE$55,MATCH($AA44-$BG$84,$AA$9:$AA$55,0)))&gt;=$BG$85))),1,0),0)</f>
        <v>0</v>
      </c>
      <c r="JC44">
        <f t="shared" si="108"/>
        <v>0</v>
      </c>
      <c r="JD44" t="str">
        <f t="shared" si="193"/>
        <v/>
      </c>
      <c r="JE44">
        <f>IF(ISNUMBER($AA44),N(IFERROR(INDEX('King Node Model'!$L$29:$L$75,MATCH($AA44,'King Node Model'!$A$29:$A$75,0)),0)),"")</f>
        <v>1855</v>
      </c>
      <c r="JF44">
        <f>IF(ISNUMBER($AA44),N(IFERROR(INDEX('King Node Model'!$K$29:$K$75,MATCH($AA44,'King Node Model'!$A$29:$A$75,0)),0)),"")</f>
        <v>297</v>
      </c>
      <c r="JG44">
        <f t="shared" si="109"/>
        <v>6.2457912457912457</v>
      </c>
      <c r="JH44">
        <f t="shared" si="110"/>
        <v>0.1601078167115903</v>
      </c>
      <c r="JI44">
        <f t="shared" si="111"/>
        <v>0</v>
      </c>
      <c r="JJ44" t="str">
        <f t="shared" si="112"/>
        <v>Hollow</v>
      </c>
      <c r="JK44">
        <f t="shared" si="113"/>
        <v>0</v>
      </c>
      <c r="JL44">
        <f t="shared" si="114"/>
        <v>0</v>
      </c>
      <c r="JM44">
        <f t="shared" si="115"/>
        <v>0</v>
      </c>
      <c r="JN44">
        <f t="shared" si="116"/>
        <v>0</v>
      </c>
      <c r="JO44">
        <f t="shared" si="117"/>
        <v>0</v>
      </c>
      <c r="JP44">
        <f t="shared" si="118"/>
        <v>0</v>
      </c>
      <c r="JQ44">
        <f t="shared" si="119"/>
        <v>0</v>
      </c>
      <c r="JR44">
        <v>0</v>
      </c>
      <c r="JS44">
        <f>IFERROR(IF(AND(ISNUMBER($AA44),'King Node Model'!$A$8="Pos",OR($AG44="S",$AG44="R"),N($AB44)&gt;0,N($HP44)&lt;&gt;1,OR(AND($KC44="DOWN",N($AF44)&lt;0,N($AF44)=MIN($AF$9:$AF$55),-N($AF44)&gt;=MAX($AF$9:$AF$55)),AND($KC44="UP",N($AF44)&gt;0,N($AF44)=MAX($AF$9:$AF$55),N($AF44)&gt;=-MIN($AF$9:$AF$55)))),1,0),0)</f>
        <v>0</v>
      </c>
      <c r="JT44">
        <v>0</v>
      </c>
      <c r="JU44">
        <f>IFERROR(IF(AND(N($BG$109)=1,ISNUMBER($AA44),'King Node Model'!$A$8="Pos",N($CZ44)=1,N($AB44)&gt;0),1,0),0)</f>
        <v>0</v>
      </c>
      <c r="JV44" t="str">
        <f t="shared" si="120"/>
        <v>SELL</v>
      </c>
      <c r="JW44">
        <f t="shared" si="121"/>
        <v>0</v>
      </c>
      <c r="JX44">
        <f t="shared" si="122"/>
        <v>0</v>
      </c>
      <c r="JY44">
        <f t="shared" si="123"/>
        <v>0</v>
      </c>
      <c r="JZ44">
        <f t="shared" si="124"/>
        <v>0</v>
      </c>
      <c r="KA44">
        <f t="shared" si="125"/>
        <v>0</v>
      </c>
      <c r="KB44">
        <f t="shared" si="126"/>
        <v>0</v>
      </c>
      <c r="KC44" t="str">
        <f t="shared" si="127"/>
        <v>UP</v>
      </c>
      <c r="KE44" t="str">
        <f t="shared" si="128"/>
        <v>Now: weakening the floor (IV rising) · if IV falls: strengthens the floor · expected on arrival: WEAKENS ✗</v>
      </c>
      <c r="KF44" t="str">
        <f t="shared" si="129"/>
        <v>SELL</v>
      </c>
      <c r="KG44">
        <f t="shared" si="192"/>
        <v>0</v>
      </c>
      <c r="KH44" t="str">
        <f t="shared" si="130"/>
        <v/>
      </c>
      <c r="KI44" t="str">
        <f t="shared" si="131"/>
        <v/>
      </c>
      <c r="KJ44">
        <f t="shared" si="132"/>
        <v>0</v>
      </c>
      <c r="KK44">
        <f t="shared" si="133"/>
        <v>0</v>
      </c>
      <c r="KL44">
        <f t="shared" si="134"/>
        <v>0</v>
      </c>
      <c r="KM44">
        <f t="shared" si="135"/>
        <v>0</v>
      </c>
      <c r="KN44">
        <f t="shared" si="136"/>
        <v>0</v>
      </c>
      <c r="KO44">
        <v>0</v>
      </c>
      <c r="KP44">
        <f t="shared" si="137"/>
        <v>0</v>
      </c>
      <c r="KQ44">
        <f t="shared" si="138"/>
        <v>0</v>
      </c>
      <c r="KR44">
        <f t="shared" si="139"/>
        <v>0</v>
      </c>
      <c r="KS44">
        <f t="shared" si="140"/>
        <v>0</v>
      </c>
      <c r="KT44">
        <f t="shared" si="141"/>
        <v>0</v>
      </c>
      <c r="KU44">
        <f>IF(AND(ISNUMBER($AA44),ISNUMBER($AE44),ISNUMBER($AE43),N($AE44)&lt;&gt;0),($AE44-$AE43)/$AE44,"")</f>
      </c>
      <c r="KV44">
        <f>IF(AND(ISNUMBER($AA44),ISNUMBER($AE44),ISNUMBER($AE45),N($AE44)&lt;&gt;0),($AE44-$AE45)/$AE44,"")</f>
      </c>
      <c r="KW44">
        <f>IFERROR(IF(OR(NOT(ISNUMBER($AA44)),'King Node Model'!$A$8&lt;&gt;"Pos",N($BG$72)=1,ABS(N($AE44))&lt;$BG$113,$FA44="DOM",$AA44='King Node Model'!$T$23,AND(N($BG$116)=1,$AA44='King Node Model'!$F$24),NOT(ISNUMBER($KU44)),NOT(ISNUMBER($KV44))),0,IF(AND($AG44="S",COUNTIF('Master Dashboard'!$AN$16:$AN$18,$AA44)=0,$KU44&gt;=$BG$114,$KU44&gt;=$KV44+$BG$115),1,IF(AND($AG44="R",COUNTIF('Master Dashboard'!$AN$13:$AN$15,$AA44)=0,$KV44&gt;=$BG$114,$KV44&gt;=$KU44+$BG$115),-1,0))),0)</f>
        <v>0</v>
      </c>
      <c r="KX44">
        <f t="shared" si="144"/>
        <v>0</v>
      </c>
      <c r="KY44">
        <f t="shared" si="145"/>
        <v>0</v>
      </c>
      <c r="KZ44">
        <f t="shared" si="146"/>
        <v>0</v>
      </c>
      <c r="LA44">
        <f t="shared" si="147"/>
        <v>0</v>
      </c>
      <c r="LB44">
        <f t="shared" si="148"/>
        <v>0</v>
      </c>
      <c r="LC44">
        <f t="shared" si="149"/>
        <v>0</v>
      </c>
      <c r="LD44">
        <f t="shared" si="150"/>
        <v>0</v>
      </c>
      <c r="LE44">
        <f t="shared" si="151"/>
        <v>0</v>
      </c>
      <c r="LF44">
        <f t="shared" si="152"/>
        <v>0</v>
      </c>
      <c r="LG44" t="str">
        <f t="shared" si="153"/>
        <v/>
      </c>
      <c r="LH44" t="str">
        <f t="shared" si="154"/>
        <v/>
      </c>
      <c r="LI44" t="str">
        <f t="shared" si="155"/>
        <v/>
      </c>
      <c r="LJ44" t="str">
        <f t="shared" si="156"/>
        <v/>
      </c>
      <c r="LK44" t="str">
        <f t="shared" si="157"/>
        <v/>
      </c>
      <c r="LL44">
        <f t="shared" si="158"/>
        <v>0</v>
      </c>
      <c r="LM44">
        <f t="shared" si="159"/>
        <v>0</v>
      </c>
      <c r="LN44">
        <f t="shared" si="160"/>
        <v>0</v>
      </c>
      <c r="LO44">
        <v>0</v>
      </c>
      <c r="LP44">
        <f t="shared" si="161"/>
        <v>0</v>
      </c>
      <c r="LQ44" t="str">
        <f t="shared" si="162"/>
        <v/>
      </c>
      <c r="LR44">
        <f t="shared" si="163"/>
        <v>0</v>
      </c>
      <c r="LS44">
        <f t="shared" si="164"/>
        <v>0</v>
      </c>
      <c r="LT44">
        <f t="shared" si="165"/>
        <v>0</v>
      </c>
      <c r="LU44">
        <f t="shared" si="166"/>
        <v>0</v>
      </c>
      <c r="LV44">
        <f t="shared" si="167"/>
        <v>0</v>
      </c>
      <c r="LW44">
        <f t="shared" si="168"/>
        <v>0</v>
      </c>
      <c r="LX44">
        <f t="shared" si="169"/>
        <v>0</v>
      </c>
      <c r="LY44">
        <f t="shared" si="170"/>
        <v>0</v>
      </c>
      <c r="LZ44">
        <f t="shared" si="171"/>
        <v>0</v>
      </c>
      <c r="MA44">
        <f t="shared" si="172"/>
        <v>0</v>
      </c>
      <c r="MB44">
        <v>0</v>
      </c>
      <c r="MC44">
        <f t="shared" si="173"/>
        <v>1</v>
      </c>
      <c r="MD44">
        <f t="shared" si="174"/>
        <v>1</v>
      </c>
      <c r="ME44">
        <f t="shared" si="175"/>
        <v>0</v>
      </c>
      <c r="MF44">
        <f t="shared" si="176"/>
        <v>0</v>
      </c>
      <c r="MG44">
        <f t="shared" si="177"/>
        <v>0</v>
      </c>
      <c r="MH44">
        <f t="shared" si="178"/>
        <v>0</v>
      </c>
      <c r="MI44" t="str">
        <f t="shared" si="179"/>
        <v/>
      </c>
      <c r="MJ44">
        <f t="shared" si="180"/>
        <v>0</v>
      </c>
      <c r="MK44">
        <f t="shared" si="181"/>
        <v>0</v>
      </c>
      <c r="ML44">
        <f>IF(AND(OR('King Node Model'!$A$8="Neg",N($BG$72)=1),ISNUMBER($AA44),$AG44="R",N($AB44)&lt;0),IF(AND($AA43=$AA44+5,N($AB43)&gt;0,$AA42=$AA44+10,N($AB42)&lt;0),1,IF(AND($AA43=$AA44+5,N($AB43)&gt;0,$AA42=$AA44+10,N($AB42)&gt;0,$AA41=$AA44+15,N($AB41)&lt;0),2,IF(AND($AA43=$AA44+5,N($AB43)&gt;0,$AA42=$AA44+10,N($AB42)&gt;0,$AA41=$AA44+15,N($AB41)&gt;0,$AA40=$AA44+20,N($AB40)&lt;0),3,IF(AND($AA43=$AA44+5,N($AB43)&gt;0,$AA42=$AA44+10,N($AB42)&gt;0,$AA41=$AA44+15,N($AB41)&gt;0,$AA40=$AA44+20,N($AB40)&gt;0,$AA39=$AA44+25,N($AB39)&lt;0),4,0)))),0)</f>
      </c>
      <c r="MM44">
        <f>IF(AND(OR('King Node Model'!$A$8="Neg",N($BG$72)=1),ISNUMBER($AA44),$AG44="S",N($AB44)&lt;0),IF(AND($AA45=$AA44-5,N($AB45)&gt;0,$AA46=$AA44-10,N($AB46)&lt;0),1,IF(AND($AA45=$AA44-5,N($AB45)&gt;0,$AA46=$AA44-10,N($AB46)&gt;0,$AA47=$AA44-15,N($AB47)&lt;0),2,IF(AND($AA45=$AA44-5,N($AB45)&gt;0,$AA46=$AA44-10,N($AB46)&gt;0,$AA47=$AA44-15,N($AB47)&gt;0,$AA48=$AA44-20,N($AB48)&lt;0),3,IF(AND($AA45=$AA44-5,N($AB45)&gt;0,$AA46=$AA44-10,N($AB46)&gt;0,$AA47=$AA44-15,N($AB47)&gt;0,$AA48=$AA44-20,N($AB48)&gt;0,$AA49=$AA44-25,N($AB49)&lt;0),4,0)))),0)</f>
      </c>
      <c r="MN44">
        <f>IF(N($ML44)&gt;0,$AA44,0)</f>
      </c>
      <c r="MO44">
        <f>IF(N($MM44)&gt;0,$AA44,0)</f>
      </c>
      <c r="MP44">
        <f>IF(AND(OR('King Node Model'!$A$8="Neg",N($BG$72)=1),ISNUMBER($BG$155),$AA44=$BG$155,N($NC44)=1),2,IF(AND(OR('King Node Model'!$A$8="Neg",N($BG$72)=1),ISNUMBER($BG$156),$AA44=$BG$156,N($ND44)=1),1,0))</f>
      </c>
      <c r="MQ44">
        <f>IF(ABS(AE44)&lt;=0,0,IF($AG44="R",IF(ISNUMBER(AE43),IF((ABS(AE43)-ABS(AE44))/ABS(AE44)&lt;-0.4,1,0),0),IF(ISNUMBER(AE45),IF((ABS(AE45)-ABS(AE44))/ABS(AE44)&lt;-0.4,1,0),0)))</f>
      </c>
      <c r="MR44">
        <f>IF(OR(N($MQ44)&lt;&gt;1,N($BG$157)&lt;&gt;1,NOT(ISNUMBER($KU44)),NOT(ISNUMBER($KV44))),0,IF(OR(AND($AG44="S",OR(AND($KU44&gt;=$BG$114,$KU44&gt;=$KV44+$BG$115),AND($KU44&gt;1,$KV44&lt;=1,$KV44&gt;=$BG$114))),AND($AG44="R",OR(AND($KV44&gt;=$BG$114,$KV44&gt;=$KU44+$BG$115),AND($KV44&gt;1,$KU44&lt;=1,$KU44&gt;=$BG$114)))),1,0))</f>
      </c>
      <c r="MS44" t="str">
        <f>IF(AND(N($MR44)=1,N($NA44)&lt;&gt;1),"• DEX falls off more sharply "&amp;IF($AG44="S","above (","below (")&amp;TEXT(IF($AG44="S",$KU44,$KV44),"0%")&amp;") than "&amp;IF($AG44="S","below (","above (")&amp;TEXT(IF($AG44="S",$KV44,$KU44),"0%")&amp;") — Dex↓ not counted",IF(N($MW44)=1,"• Shoulder of the "&amp;IF($AG44="R",$AA45,$AA43)&amp;" wall — own DEX "&amp;TEXT($AE44/1000,"+#,##0;-#,##0")&amp;"K is "&amp;TEXT(ABS($AE44)/ABS(IF($AG44="R",$AE45,$AE43)),"0%")&amp;" of "&amp;TEXT(IF($AG44="R",$AE45,$AE43)/1000,"+#,##0;-#,##0")&amp;"K, Dex↓ not counted",""))</f>
      </c>
      <c r="MT44">
        <f>IF(AND(ISNUMBER($AA44),$AG44="S",ISNUMBER($AB44),$AB44=MIN($AB$9:$AB$55),$AA44=$BG$105,$JV44="BUY",ABS(N($AD44))&gt;=$BG$158),1,0)</f>
      </c>
      <c r="MU44" t="str">
        <f>IF(N($MY44)=1,"",IF(OR(N($MT44)=1,AND(OR('King Node Model'!$A$8="Neg",N($BG$72)=1),$AG44="S",ISNUMBER($AB44),$AB44=MIN($AB$9:$AB$55),$AA44=$BG$105)),"• Min GEX + Max Zomma (no reversal flag required) — accelerant warning not applied; zomma acceleration warning only within "&amp;$BG$98&amp;" pts of the level, and not when vanna buying is "&amp;TEXT($BG$158/1000,"0")&amp;"K or more"&amp;CHAR(10)&amp;IF(N($MT44)=1,"• Max Zomma and vanna buying ("&amp;TEXT(N($AD44)/1000,"+#,##0;-#,##0")&amp;"K) make this level safe","• Max Zomma is what makes this level safe"),"")&amp;$NB44&amp;$NI44)</f>
      </c>
      <c r="MV44" t="str">
        <f>IF(AND(ISNUMBER($AA44),OR($AA44=$BG$118,$AA44=$BG$119)),IF(N($AZ44)*IF($AG44="R",1,-1)&gt;0,"✓",IF(N($AZ44)*IF($AG44="R",1,-1)&lt;0,"✗","")),"")</f>
      </c>
      <c r="MW44">
        <f>IF(AND(N($MQ44)=1,N($BG$159)&gt;0,ISNUMBER(IF($AG44="R",$AE45,$AE43)),N(IF($AG44="R",$AE45,$AE43))&lt;&gt;0),IF(ABS(N($AE44))&lt;$BG$159*ABS(IF($AG44="R",$AE45,$AE43)),1,0),0)</f>
      </c>
      <c r="MX44">
        <f>IF(AND(ISNUMBER($AA44),$AA44=$BG$121,$AG44="R",N($AE44)&lt;0,OR(COUNTIF('King Node Model'!$AL$42:$AL$44,$AA44)=0,N($HP44)=1),N($NC44)=1),2,IF(AND(ISNUMBER($AA44),$AA44=$BG$120,$AG44="S",N($AE44)&gt;0,OR(COUNTIF('King Node Model'!$AL$49:$AL$51,$AA44)=0,N($HP44)=1),N($ND44)=1),1,0))</f>
      </c>
      <c r="MY44">
        <f>IF(AND(N($NA44)=1,NOT(AND(AND($AG44="S",ISNUMBER($AB44),$AB44=MIN($AB$9:$AB$55),$AA44=$BG$105),IFERROR(INDEX($AG$9:$AG$55,MATCH('King Node Model'!$B$23,$AA$9:$AA$55,0)),"")="R")),N($AV44)&lt;&gt;1),1,0)</f>
      </c>
      <c r="MZ44" t="str">
        <f>IF(N($MY44)&lt;&gt;1,"","• DEX falls off more sharply "&amp;IF($AG44="S","above (","below (")&amp;TEXT(IF($AG44="S",$KU44,$KV44),"0%")&amp;") than "&amp;IF($AG44="S","below (","above (")&amp;TEXT(IF($AG44="S",$KV44,$KU44),"0%")&amp;") — path of least resistance "&amp;IF($AG44="S","down","up")&amp;IF(N($AZ44)*IF($AG44="R",1,-1)&lt;0,CHAR(10)&amp;"• Speed against — GEX gets more negative as price "&amp;IF($AG44="R","rises","falls")&amp;" into it (speed "&amp;TEXT(N($AZ44),"#,##0;−#,##0")&amp;")","")&amp;IF(OR(N($NG44)=1,N($JC44)=1),CHAR(10)&amp;"• "&amp;IF(N($JC44)=1,"DOM with vanna BUY "&amp;TEXT(N($AD44)/1000,"+#,##0;−#,##0")&amp;"K","Put wall + Max Zomma + DOM")&amp;" backs the level, but it does not outweigh DEX"&amp;IF(N($AZ44)*IF($AG44="R",1,-1)&lt;0," and speed",""),IF(AND($AG44="S",ISNUMBER($AB44),$AB44=MIN($AB$9:$AB$55),$AA44=$BG$105),CHAR(10)&amp;"• Min GEX + Max Zomma backs the level, but it does not outweigh DEX"&amp;IF(N($AZ44)*IF($AG44="R",1,-1)&lt;0," and speed",""),IF(OR(N($JI44)=1,AND(N($GV44)=1,N($JK44)&lt;&gt;1,N($IW44)&lt;&gt;1),N($JC44)=1,AND($AA44='King Node Model'!$F$24,N($JN44)&lt;&gt;1,OR($AG44="R",AND($AG44="S",$F$4="High",IF($BG$80&lt;&gt;"",UPPER($BG$80),$D$5)="UP")))),CHAR(10)&amp;"• Vanna "&amp;IF($AG44="S","BUY ","SELL ")&amp;TEXT(N($AD44)/1000,"+#,##0;−#,##0")&amp;"K backs the level, but it does not outweigh DEX"&amp;IF(N($AZ44)*IF($AG44="R",1,-1)&lt;0," and speed",""),"")))&amp;IF(N($NE44)=1,CHAR(10)&amp;"• Buy-lean max-node exemption not applied — DEX leans against the level",""))</f>
      </c>
      <c r="NA44">
        <f>IF(AND(OR('King Node Model'!$A$8="Neg",N($BG$72)=1),ISNUMBER($AA44),ABS(N($AE44))&gt;=$BG$152,ISNUMBER($KU44),ISNUMBER($KV44)),IF(OR(AND($AG44="S",OR(AND($KU44&gt;=$BG$114,$KU44&gt;=$KV44+$BG$115),AND($KU44&gt;1,$KV44&lt;=1,$KV44&gt;=$BG$114))),AND($AG44="R",OR(AND($KV44&gt;=$BG$114,$KV44&gt;=$KU44+$BG$115),AND($KV44&gt;1,$KU44&lt;=1,$KU44&gt;=$BG$114)))),1,0),0)</f>
      </c>
      <c r="NB44" t="str">
        <f>IF(AND(N($NA44)=1,AND(AND($AG44="S",ISNUMBER($AB44),$AB44=MIN($AB$9:$AB$55),$AA44=$BG$105),IFERROR(INDEX($AG$9:$AG$55,MATCH('King Node Model'!$B$23,$AA$9:$AA$55,0)),"")="R")),CHAR(10)&amp;"• DEX falls off more sharply above ("&amp;TEXT($KU44,"0%")&amp;") than below ("&amp;TEXT($KV44,"0%")&amp;") — DEX-lean warning not applied: Min GEX + Max Zomma support with Max Gamma "&amp;'King Node Model'!$B$23&amp;" above (Dex↓ not counted)",IF(AND(OR(N($NA44)=1,N($NF44)=1),N($AV44)=1),IF(AND(OR('King Node Model'!$A$8="Neg",N($BG$72)=1),$AG44="S",ISNUMBER($AB44),$AB44=MIN($AB$9:$AB$55),$AA44=$BG$105),CHAR(10),"")&amp;"• DEX falls off more sharply "&amp;IF($AG44="S","above (","below (")&amp;TEXT(IF($AG44="S",$KU44,$KV44),"0%")&amp;") than "&amp;IF($AG44="S","below (","above (")&amp;TEXT(IF($AG44="S",$KV44,$KU44),"0%")&amp;") — DEX lean does not apply to iDex (isolated DEX)",""))</f>
      </c>
      <c r="NC44">
        <f>IF(OR($BG$163=1,AND($BG$161&gt;0,$BG$162&lt;99999,ISNUMBER($AA44),$AA44&lt;$BG$162)),1,0)</f>
      </c>
      <c r="ND44">
        <f>IF(OR($BG$163=-1,AND($BG$161&gt;0,$BG$162&lt;99999,ISNUMBER($AA44),$AA44&gt;$BG$161)),1,0)</f>
      </c>
      <c r="NE44">
        <f>IF(AND(OR('King Node Model'!$A$8="Neg",N($BG$72)=1),ISNUMBER(SEARCH("LOW",'Master Dashboard'!$M$5)),ISNUMBER(SEARCH("BUY",'Master Dashboard'!$G$8)),'King Node Model'!$T$23='King Node Model'!$B$23,OR($AA44='King Node Model'!$T$23,AND($AG44="R",$AA44='King Node Model'!$T$23+5)),OR(AND($AG44="S",$JV44="BUY"),AND($AG44="R",$JV44="SELL"))),1,0)</f>
      </c>
      <c r="NF44">
        <f>IFERROR(IF(OR(NOT(ISNUMBER($AA44)),'King Node Model'!$A$8&lt;&gt;"Pos",N($BG$72)=1,ABS(N($AE44))&lt;$BG$113,$FA44="DOM",$AA44='King Node Model'!$T$23,AND(N($BG$116)=1,$AA44='King Node Model'!$F$24),NOT(ISNUMBER($KU44)),NOT(ISNUMBER($KV44))),0,IF(AND($AG44="S",COUNTIF('Master Dashboard'!$AN$16:$AN$18,$AA44)=0,$KU44&gt;=$BG$114,$KU44&gt;=$KV44+$BG$115,NOT(AND(N($AN45)=1,N($KV44)&lt;0)),N($AE44)&lt;=0),1,IF(AND($AG44="R",COUNTIF('Master Dashboard'!$AN$13:$AN$15,$AA44)=0,$KV44&gt;=$BG$114,$KV44&gt;=$KU44+$BG$115,NOT(AND(N($AN43)=1,N($KU44)&lt;0))),-1,0))),0)</f>
      </c>
      <c r="NG44">
        <f t="shared" si="202"/>
      </c>
      <c r="NI44" t="str">
        <f>IF(AND(ISNUMBER($BG$165),ISNUMBER($AA44)),IF(OR(AND($AG44="S",$AA44&gt;$BG$165,$AA44-$BG$165&lt;=5),AND($AG44="R",$AA44&lt;$BG$165,$BG$165-$AA44&lt;=5)),IF(OR(AND(OR('King Node Model'!$A$8="Neg",N($BG$72)=1),$AG44="S",ISNUMBER($AB44),$AB44=MIN($AB$9:$AB$55),$AA44=$BG$105),$NB44&lt;&gt;""),CHAR(10),"")&amp;"• DOM forming at "&amp;$BG$165&amp;" (gamma "&amp;TEXT($BG$166,"0%")&amp;" of max) — price may be pulled to the node",""),"")</f>
      </c>
      <c r="NJ44">
        <f>IF(LEN($NI44)&gt;0,1,0)</f>
      </c>
    </row>
    <row r="45" spans="27:349" ht="15" customHeight="1" x14ac:dyDescent="0.25">
      <c r="AA45" s="181">
        <f>'King Node Model'!A65</f>
        <v>7705</v>
      </c>
      <c r="AB45" s="276">
        <f>'King Node Model'!C65</f>
        <v>-70311</v>
      </c>
      <c r="AC45" s="181">
        <f>ABS('King Node Model'!B65)</f>
        <v>399334</v>
      </c>
      <c r="AD45" s="276">
        <f>'King Node Model'!F65</f>
        <v>294831</v>
      </c>
      <c r="AE45" s="276">
        <f>'King Node Model'!E65</f>
        <v>1719742</v>
      </c>
      <c r="AF45" s="276">
        <f>'King Node Model'!D65</f>
        <v>-1146794</v>
      </c>
      <c r="AG45" s="181" t="str">
        <f t="shared" si="6"/>
        <v>S</v>
      </c>
      <c r="AH45" s="181">
        <f t="shared" si="7"/>
        <v>13</v>
      </c>
      <c r="AI45" s="181" t="str">
        <f t="shared" si="8"/>
        <v>SELL</v>
      </c>
      <c r="AJ45" s="181">
        <f t="shared" si="9"/>
        <v>1</v>
      </c>
      <c r="AK45" s="181">
        <f>IF(ABS(N($AE45))&gt;=$BG$85,1,0)</f>
      </c>
      <c r="AL45" s="181">
        <f t="shared" si="10"/>
        <v>0</v>
      </c>
      <c r="AM45" s="181">
        <f t="shared" si="11"/>
        <v>3</v>
      </c>
      <c r="AN45" s="181">
        <f t="shared" si="12"/>
        <v>0</v>
      </c>
      <c r="AO45" s="1" t="str">
        <f t="shared" si="13"/>
        <v/>
      </c>
      <c r="AP45" s="1">
        <f t="shared" si="14"/>
        <v>1719742</v>
      </c>
      <c r="AQ45" s="1">
        <f t="shared" si="15"/>
        <v>1146794</v>
      </c>
      <c r="AR45" s="181">
        <f t="shared" si="16"/>
        <v>0.37144618800484325</v>
      </c>
      <c r="AS45" s="181">
        <f t="shared" si="17"/>
        <v>6</v>
      </c>
      <c r="AT45" s="181" t="str">
        <f t="shared" si="18"/>
        <v/>
      </c>
      <c r="AU45" s="181" t="str">
        <f t="shared" si="19"/>
        <v/>
      </c>
      <c r="AV45" s="218">
        <f t="shared" si="183"/>
        <v>0</v>
      </c>
      <c r="AW45" s="181">
        <f>ABS('King Node Model'!G65)</f>
        <v>704</v>
      </c>
      <c r="AX45" s="181">
        <f t="shared" si="20"/>
        <v>0</v>
      </c>
      <c r="AY45" s="181">
        <f t="shared" si="21"/>
        <v>0</v>
      </c>
      <c r="AZ45" s="276">
        <f>'King Node Model'!I65</f>
        <v>1126</v>
      </c>
      <c r="BA45" s="181">
        <f t="shared" si="22"/>
        <v>0</v>
      </c>
      <c r="BB45" s="181" t="str">
        <f t="shared" si="23"/>
        <v>S6</v>
      </c>
      <c r="BC45" s="10">
        <f>'King Node Model'!C65</f>
        <v>-70311</v>
      </c>
      <c r="BD45" s="218">
        <f t="shared" si="184"/>
        <v>0</v>
      </c>
      <c r="BE45" s="218">
        <f t="shared" si="185"/>
        <v>0</v>
      </c>
      <c r="BF45" s="218" t="s">
        <v>1254</v>
      </c>
      <c r="BG45">
        <v>10</v>
      </c>
      <c r="BI45" s="218">
        <f t="shared" si="186"/>
        <v>0</v>
      </c>
      <c r="BJ45" s="218">
        <f t="shared" si="187"/>
        <v>0</v>
      </c>
      <c r="BK45" s="218">
        <f t="shared" si="24"/>
        <v>0</v>
      </c>
      <c r="BL45" s="10">
        <f>'King Node Model'!H65</f>
        <v>34</v>
      </c>
      <c r="BM45" s="218">
        <f t="shared" si="25"/>
        <v>22</v>
      </c>
      <c r="BN45" s="218">
        <f t="shared" si="26"/>
        <v>32</v>
      </c>
      <c r="BO45" s="218">
        <f t="shared" si="27"/>
        <v>0</v>
      </c>
      <c r="BP45" s="218">
        <f t="shared" si="28"/>
        <v>0</v>
      </c>
      <c r="BQ45" t="str">
        <f t="shared" si="29"/>
        <v/>
      </c>
      <c r="BR45" t="str">
        <f t="shared" si="30"/>
        <v/>
      </c>
      <c r="BS45" s="218">
        <f t="shared" si="31"/>
        <v>0</v>
      </c>
      <c r="BT45" t="str">
        <f t="shared" si="32"/>
        <v/>
      </c>
      <c r="BU45" t="str">
        <f t="shared" si="33"/>
        <v/>
      </c>
      <c r="BV45" s="218">
        <f t="shared" si="34"/>
        <v>294831</v>
      </c>
      <c r="BW45" s="218">
        <f t="shared" si="35"/>
        <v>1719742</v>
      </c>
      <c r="BX45" s="218">
        <f>IF(AND(ISNUMBER(BC45),BC45&gt;=$BG$160,OR('King Node Model'!$A$8="Neg",N($BG$72)=1)),1,0)</f>
        <v>0</v>
      </c>
      <c r="BY45" s="218">
        <f t="shared" si="36"/>
        <v>0</v>
      </c>
      <c r="BZ45" s="218">
        <f t="shared" si="37"/>
        <v>0</v>
      </c>
      <c r="CA45" t="str">
        <f t="shared" si="38"/>
        <v/>
      </c>
      <c r="CB45" s="218">
        <f>IF(AND(ISNUMBER('King Node Model'!$D$27),AG45&lt;&gt;"",AA45='King Node Model'!$D$27),1,0)</f>
        <v>0</v>
      </c>
      <c r="CC45" s="218">
        <f>IF(OR('King Node Model'!$A$8="Neg",N($BG$72)=1),$BG$14*IF(ISNUMBER('King Node Model'!$D$26),MAX(0,1-ABS(AA45-'King Node Model'!$D$26)/$BG$18),0)+$BG$15*IFERROR(BV45/MAX($BV$9:$BV$55),0)+$BG$16*IFERROR(BW45/MAX($BW$9:$BW$55),0)+$BG$17*IFERROR(AC45/$S$11,0)*MAX(0,1+$BG$21*CF45),AR45)</f>
        <v>0.69430056597724144</v>
      </c>
      <c r="CD45" s="218">
        <f>IF(OR('King Node Model'!$A$8="Neg",N($BG$72)=1),IF(AND(AG45&lt;&gt;"",ABS(AA45-$B$4)&lt;=$BG$7,OR(AX45=0,$D$5&lt;&gt;"UP"),AY45=0,BK45&lt;&gt;1,CI45=0,AM45&gt;=$BG$20,AC45&gt;$BG$19),1,0),IF(AND(BS45=1,(COUNTIF($W$9:$W$14,AA45)+COUNTIF($W$18:$W$23,AA45))&gt;0,CI45=0,AM45&gt;=$BG$20,AC45&gt;$BG$19),1,0))</f>
        <v>0</v>
      </c>
      <c r="CE45" t="str">
        <f t="shared" si="39"/>
        <v/>
      </c>
      <c r="CF45" s="218">
        <f t="shared" si="40"/>
        <v>0</v>
      </c>
      <c r="CG45" t="str">
        <f t="shared" si="41"/>
        <v/>
      </c>
      <c r="CH45" t="str">
        <f t="shared" si="42"/>
        <v>Dormant</v>
      </c>
      <c r="CI45" s="218">
        <f t="shared" si="43"/>
        <v>0</v>
      </c>
      <c r="CJ45" s="218">
        <f t="shared" si="44"/>
        <v>387420489</v>
      </c>
      <c r="CK45" s="218">
        <f t="shared" si="45"/>
        <v>0</v>
      </c>
      <c r="CL45" s="218">
        <f t="shared" si="46"/>
        <v>0</v>
      </c>
      <c r="CR45" t="s">
        <v>1504</v>
      </c>
      <c r="CS45">
        <f>IFERROR(INDEX($AM$9:$AM$55,MATCH($CS$40,$AA$9:$AA$55,0)),"")</f>
        <v>3</v>
      </c>
      <c r="CU45" s="218">
        <f>IF(AND(AND('King Node Model'!$A$8&lt;&gt;"Neg",N($BG$72)&lt;&gt;1),SUMPRODUCT(($AG$9:$AG$55="S")*ISNUMBER($AT$9:$AT$55)*ISNUMBER($AU$9:$AU$55)*($AT$9:$AT$55&lt;&gt;$AU$9:$AU$55)*($AT$9:$AT$55&lt;=$AA45)*($AU$9:$AU$55&gt;=$AA45))&gt;0),0,IF(AND(OR($AA45='King Node Model'!$T$22,$AA45='King Node Model'!$F$24),$AG45="R",COUNTIF($W$9:$W$14,$AA45)&gt;0),1,IF(AND($FN45=1,$EU45&lt;&gt;1,$EM45&lt;&gt;1,$BK45&lt;&gt;1,$DH45&lt;&gt;1,$AG45="R",COUNTIF($W$9:$W$14,$AA45)&gt;0),1,IF($EU45=1,0,IF($EM45=1,0,IF(AND(OR($EE45=1,$GV45=1,AND($EL$7=1,$AA45='King Node Model'!$D$26,$EI45=1),AND(OR($AA45='King Node Model'!$T$22,$AA45='King Node Model'!$T$23),$AN45=1,OR($AX45=0,$D$5&lt;&gt;"UP"))),OR(NOT(OR('King Node Model'!$A$8="Neg",N($BG$72)=1)),$GV45=1,AND(OR($AA45='King Node Model'!$T$22,$AA45='King Node Model'!$T$23),$AN45=1,OR($AX45=0,$D$5&lt;&gt;"UP")),AND($AM45&gt;=$BG$20,$AC45&gt;IF($CZ45=1,$BG$48,$BG$19)))),1,IF($DH45=1,0,IF(AND($DC45=1,$GS45&lt;&gt;1,AND('King Node Model'!$A$8&lt;&gt;"Neg",N($BG$72)&lt;&gt;1)),0,IF(AND($EY45=1,NOT(OR('King Node Model'!$A$8="Neg",$BG$72=1)),$AA45&lt;&gt;'King Node Model'!$B$23),0,IF(AND($GS45=1,$AG45="R",OR($CI45=0,$EE45=1,$EX45=1,$GV45=1),COUNTIF($W$9:$W$14,$AA45)&gt;0,ABS($AA45-$B$4)&lt;=$BG$7,$BK45&lt;&gt;1,$AM45&gt;=$BG$20,$AC45&gt;IF($CZ45=1,$BG$48,$BG$19)),1,IF(OR('King Node Model'!$A$8="Neg",N($BG$72)=1),IF(AND(OR($AM45&gt;=$BG$20,$AA45='King Node Model'!$D$26,$GV45=1),$AG45="R",COUNTIF($W$9:$W$14,$AA45)&gt;0,ABS($AA45-$B$4)&lt;=$BG$7,OR($AX45=0,$D$5&lt;&gt;"UP"),$BK45&lt;&gt;1,OR(OR($CI45=0,$AJ45=1),AND($EI45=1,$LA45=1,COUNTIF($W$9:$W$11,$AA45)&gt;0,$AN45=1,OR($AX45=0,$D$5&lt;&gt;"UP"))),$AM45&gt;=$BG$20,$AC45&gt;IF($CZ45=1,$BG$48,$BG$19),OR($AN45=1,N($LR45)=1,$AA45='King Node Model'!$D$26,AND($BY45=1,$AA45&gt;$B$4),$BX45=1,$CF45=1,$CF45=1,AND(OR($AA45=$CP$4,$AA45=$CP$5,$AA45=$CP$6,$AA45=$CP$7),ABS($AA45-$B$4)&lt;=30),AND($AX45=1,$D$5="DOWN"))),1,0),IF(AND(OR($AM45&gt;=3,$AA45='King Node Model'!$D$26,$GV45=1),$AG45="R",COUNTIF($W$9:$W$14,$AA45)&gt;0,ABS($AA45-$B$4)&lt;=$BG$7,OR($AX45=0,$D$5&lt;&gt;"UP"),$BK45&lt;&gt;1,OR($CI45=0,$AJ45=1),$AM45&gt;=$BG$20,$AC45&gt;IF($CZ45=1,$BG$48,$BG$19),OR($AC45&gt;=MAX($AC$9:$AC$55),$BC45&gt;0,$AA45='King Node Model'!$D$26,AND(OR($AA45=$CP$4,$AA45=$CP$5,$AA45=$CP$6,$AA45=$CP$7),ABS($AA45-$B$4)&lt;=30),$CF45=1,$AN45=1,AND($AX45=1,$D$5="DOWN"))),1,0))))))))))))</f>
        <v>0</v>
      </c>
      <c r="CV45" s="218">
        <f>IF(AND(OR('King Node Model'!$A$8="Neg",N($BG$72)=1),$AG45="S",N($LR45)=1,N($MB45)=1),1,IF(AND(AND('King Node Model'!$A$8&lt;&gt;"Neg",N($BG$72)&lt;&gt;1),SUMPRODUCT(($AG$9:$AG$55="R")*ISNUMBER($AT$9:$AT$55)*ISNUMBER($AU$9:$AU$55)*($AT$9:$AT$55&lt;&gt;$AU$9:$AU$55)*($AT$9:$AT$55&lt;=$AA45)*($AU$9:$AU$55&gt;=$AA45))&gt;0,NOT(AND(N($LC45)=1,$AA45='King Node Model'!$B$23))),0,IF(AND($AA45='King Node Model'!$F$24,$AG45="S",COUNTIF($W$18:$W$23,$AA45)&gt;0),1,IF(AND($FN45=1,$EU45&lt;&gt;1,$EM45&lt;&gt;1,$DH45&lt;&gt;1,$AG45="S",COUNTIF($W$18:$W$23,$AA45)&gt;0),1,IF($EU45=1,0,IF(AND(OR($EF45=1,$GV45=1,AND(OR($AA45='King Node Model'!$T$22,$AA45='King Node Model'!$T$23,AND($AG45="S",COUNTIF('Master Dashboard'!$AN$16:$AN$18,$AA45)&gt;0)),$AN45=1,OR($AX45=0,$D$5&lt;&gt;"UP"))),OR(NOT(OR('King Node Model'!$A$8="Neg",N($BG$72)=1)),$GV45=1,AND(OR($AA45='King Node Model'!$T$22,$AA45='King Node Model'!$T$23,AND($AG45="S",COUNTIF('Master Dashboard'!$AN$16:$AN$18,$AA45)&gt;0)),$AN45=1,OR($AX45=0,$D$5&lt;&gt;"UP")),AND($AM45&gt;=$BG$20,$AC45&gt;IF($CZ45=1,$BG$48,$BG$19)))),1,IF($DH45=1,0,IF(AND($DC45=1,$GS45&lt;&gt;1,AND('King Node Model'!$A$8&lt;&gt;"Neg",N($BG$72)&lt;&gt;1)),0,IF(AND($EY45=1,NOT(OR('King Node Model'!$A$8="Neg",$BG$72=1)),$AA45&lt;&gt;'King Node Model'!$B$23,COUNTIF('Master Dashboard'!$AN$16:$AN$18,$AA45)=0),0,IF(AND($GS45=1,$AG45="S",OR($CI45=0,$EF45=1,$EX45=1,$GV45=1),COUNTIF($W$18:$W$23,$AA45)&gt;0,ABS($AA45-$B$4)&lt;=$BG$7,$BK45&lt;&gt;1,$AM45&gt;=$BG$20,$AC45&gt;IF($CZ45=1,$BG$48,$BG$19)),1,IF(OR('King Node Model'!$A$8="Neg",N($BG$72)=1),IF(AND(OR(OR($AM45&gt;=$BG$20,N($LR45)=1),$AA45='King Node Model'!$D$26,$GV45=1),$AG45="S",COUNTIF($W$18:$W$23,$AA45)&gt;0,ABS($AA45-$B$4)&lt;=$BG$7,OR($AX45=0,$D$5&lt;&gt;"UP"),$BK45&lt;&gt;1,OR($CI45=0,$AJ45=1,AND(N($LR45)=1,N($MB45)=1),N($MT45)=1),OR($AM45&gt;=$BG$20,N($LR45)=1),$AC45&gt;IF($CZ45=1,$BG$48,$BG$19),OR($AB45&gt;0,$AN45=1,N($MT45)=1,N($LR45)=1,$AA45='King Node Model'!$D$26,AND($BY45=1,$AA45&lt;$B$4),$BX45=1,$CF45=1,$CF45=1,AND(OR($AA45=$CP$4,$AA45=$CP$5,$AA45=$CP$6,$AA45=$CP$7),ABS($AA45-$B$4)&lt;=30),AND($AX45=1,$D$5="DOWN"))),1,0),IF(AND(OR($AM45&gt;=3,$AA45='King Node Model'!$D$26,$GV45=1),$AG45="S",COUNTIF($W$18:$W$23,$AA45)&gt;0,ABS($AA45-$B$4)&lt;=$BG$7,OR($AX45=0,$D$5&lt;&gt;"UP"),$BK45&lt;&gt;1,OR($CI45=0,$AJ45=1,AND(N($LR45)=1,N($MB45)=1),N($MT45)=1),$AM45&gt;=$BG$20,$AC45&gt;IF($CZ45=1,$BG$48,$BG$19),OR($AC45&gt;=MAX($AC$9:$AC$55),$BC45&gt;0,N($MT45)=1,$AA45='King Node Model'!$D$26,AND(OR($AA45=$CP$4,$AA45=$CP$5,$AA45=$CP$6,$AA45=$CP$7),ABS($AA45-$B$4)&lt;=30),$CF45=1,$AN45=1,AND($AX45=1,$D$5="DOWN"))),1,0))))))))))))</f>
        <v>0</v>
      </c>
      <c r="CX45" s="218">
        <f t="shared" si="48"/>
        <v>0</v>
      </c>
      <c r="CY45" t="str">
        <f t="shared" si="49"/>
        <v/>
      </c>
      <c r="CZ45" s="218">
        <f t="shared" si="50"/>
        <v>0</v>
      </c>
      <c r="DA45" t="str">
        <f t="shared" si="51"/>
        <v/>
      </c>
      <c r="DB45" t="str">
        <f t="shared" si="52"/>
        <v/>
      </c>
      <c r="DC45" s="218">
        <f t="shared" si="53"/>
        <v>0</v>
      </c>
      <c r="DD45" s="218">
        <f t="shared" si="54"/>
        <v>0</v>
      </c>
      <c r="DE45" s="218">
        <f t="shared" si="55"/>
        <v>0</v>
      </c>
      <c r="DF45" t="str">
        <f t="shared" si="56"/>
        <v/>
      </c>
      <c r="DG45" t="str">
        <f t="shared" si="57"/>
        <v/>
      </c>
      <c r="DH45" s="218">
        <f t="shared" si="58"/>
        <v>0</v>
      </c>
      <c r="DI45">
        <v>1</v>
      </c>
      <c r="DJ45">
        <v>1</v>
      </c>
      <c r="DK45">
        <v>738491</v>
      </c>
      <c r="DL45">
        <v>0</v>
      </c>
      <c r="DM45" t="str">
        <f>IF(AND($CV45=1,$AG45="S"),IF(AND(OR('King Node Model'!$A$8="Neg",N($BG$72)=1),'King Node Model'!$S$52=""),IF(OR(N($AN45)=1,N($LR45)=1,$AB45&gt;0,$AJ45=1,N($JO45)=1,AND(NOT($AE45&gt;0),NOT(IFERROR(AND(ISNUMBER($BC45),ISNUMBER($BC44),($BC45&gt;=0)&lt;&gt;($BC44&gt;=0)),FALSE())),OR(AND($BM45&lt;=6,$BN45&lt;=6),ABS($AA45-'King Node Model'!$T$23)&lt;=5,$LA45=1))),1,0),1),"")</f>
        <v/>
      </c>
      <c r="DN45" t="str">
        <f t="shared" si="59"/>
        <v/>
      </c>
      <c r="DO45" t="str">
        <f t="shared" si="60"/>
        <v>noTag</v>
      </c>
      <c r="DP45" t="str">
        <f>IF(AND(OR('King Node Model'!$A$8="Neg",N($BG$72)=1),$AG45="S",ISNUMBER($AT45),ISNUMBER($AU45),$AT45&lt;&gt;$AU45,$AA45=$AT45),IF(AND(SUMPRODUCT(($AA$9:$AA$55&gt;=$AT45)*($AA$9:$AA$55&lt;=$AU45)*($AB$9:$AB$55&gt;0))&gt;0,SUMPRODUCT(($AA$9:$AA$55&gt;=$AT45)*($AA$9:$AA$55&lt;=$AU45)*($DM$9:$DM$55=1))&gt;0,SUMPRODUCT(($AA$9:$AA$55&gt;=$AT45)*($AA$9:$AA$55&lt;=$AU45)*(COUNTIF($W$18:$W$20,$AA$9:$AA$55)&gt;0))&gt;0),1,0),"")</f>
        <v/>
      </c>
      <c r="DS45">
        <v>0</v>
      </c>
      <c r="DT45">
        <v>0</v>
      </c>
      <c r="DU45" t="str">
        <f>IF('King Node Model'!$A$8&lt;&gt;"Pos","",IF(OR($AA45="",NOT(ISNUMBER($AA45)),ABS($AA45-$B$4)&gt;$BG$7),"",TEXT($AA45,"0")&amp;" | "&amp;IF($AG45="","unclassified",IF($AG45&lt;&gt;IF($AA45&gt;$B$4,"R","S"),"orphan: in "&amp;$AG45&amp;"-list, "&amp;IF($AA45&lt;$B$4,"below","above")&amp;" spot",IF(IF($AG45="R",COUNTIF($W$9:$W$14,$AA45),COUNTIF($W$18:$W$23,$AA45))=0,"not in "&amp;$AG45&amp;"-list",IF($DH45=1,"absorbed into shelf box",IF($BK45=1,"absorbed: adjacent reversal",IF($CI45=1,"accel-accelerant",IF($AC45&lt;=$BG$19,"below gamma-floor",IF($AM45&lt;$BG$20,"confluence "&amp;TEXT($AM45,"0")&amp;" &lt; "&amp;TEXT($BG$20,"0"),IF(AND($AX45=1,$D$5="UP"),"accelerant in up-move",IF(NOT(OR($AC45&gt;=MAX($AC$9:$AC$55),$BC45&gt;0,$AA45='King Node Model'!$D$26,AND(OR($AA45=$CP$4,$AA45=$CP$5,$AA45=$CP$6,$AA45=$CP$7),ABS($AA45-$B$4)&lt;=30),ISNUMBER(SEARCH("STRENGTHENING",$CG45)),$AN45=1,AND($AX45=1,$D$5="DOWN"))),"no surface flag","-&gt; qualifies"))))))))))))</f>
        <v/>
      </c>
      <c r="DV45" s="218">
        <f t="shared" si="61"/>
        <v>99999</v>
      </c>
      <c r="DW45" s="218">
        <f t="shared" si="62"/>
        <v>99999</v>
      </c>
      <c r="DX45" t="str">
        <f>IF('King Node Model'!$A$8&lt;&gt;"Pos","",IF(AND($DV45&lt;99999,$DV45=MIN($DV$9:$DV$55),$DG45&gt;$AA45),"R-box: "&amp;TEXT($AA45,"0")&amp;"-"&amp;TEXT($DG45,"0"),IF(AND($DW45&lt;99999,$DW45=MIN($DW$9:$DW$55),$DF45&lt;$AA45),"S-box: "&amp;TEXT($DF45,"0")&amp;"-"&amp;TEXT($AA45,"0"),"")))</f>
        <v/>
      </c>
      <c r="EB45">
        <f t="shared" si="63"/>
        <v>70.390000000000327</v>
      </c>
      <c r="EC45">
        <f t="shared" si="64"/>
        <v>538591</v>
      </c>
      <c r="ED45">
        <f t="shared" si="65"/>
        <v>0</v>
      </c>
      <c r="EE45">
        <f>IF(AND(OR('King Node Model'!$A$8="Neg",N($BG$72)=1),$AG45="R",ISNUMBER($EB45),$EB45&lt;=$BG$7,$AB45&gt;0,$EC45&gt;0,$AB45=$EC45),1,0)</f>
        <v>0</v>
      </c>
      <c r="EF45">
        <f>IF(AND(OR('King Node Model'!$A$8="Neg",N($BG$72)=1),$AG45="S",ISNUMBER($EB45),$EB45&lt;=$BG$7,$AB45&gt;0,$ED45&gt;0,$AB45=$ED45),1,0)</f>
        <v>0</v>
      </c>
      <c r="EI45">
        <v>1</v>
      </c>
      <c r="EJ45">
        <f>IF($AA45="",0,IF(SUMPRODUCT(($AA$9:$AA$55&gt;=$AT45)*($AA$9:$AA$55&lt;=$AU45)*($DT$9:$DT$55=1))+SUMPRODUCT(($DT$9:$DT$55=1)*($AT$9:$AT$55&lt;=$AA45)*($AU$9:$AU$55&gt;=$AA45))+($DT45=1)+AND(OR('King Node Model'!$A$8="Neg",N($BG$72)=1),ISNUMBER(SEARCH("LOW",'Master Dashboard'!$M$5)),ISNUMBER(SEARCH("BUY",'Master Dashboard'!$G$8)),'King Node Model'!$T$23='King Node Model'!$B$23,$AA45&gt;='King Node Model'!$T$23,$AA45&lt;='King Node Model'!$T$23+5)*1&gt;0,1,0))</f>
        <v>0</v>
      </c>
      <c r="EM45">
        <f t="shared" si="66"/>
        <v>0</v>
      </c>
      <c r="EN45">
        <v>0</v>
      </c>
      <c r="EO45">
        <f t="shared" si="67"/>
        <v>0</v>
      </c>
      <c r="EP45">
        <f t="shared" si="68"/>
        <v>0</v>
      </c>
      <c r="EQ45" t="str">
        <f t="shared" si="69"/>
        <v>thinning the floor (magnitude weak)</v>
      </c>
      <c r="ES45" t="str">
        <f>IF(AND(ISNUMBER(AA45),ISNUMBER(AF45),ABS(AA45-'King Node Model'!$B$4)&lt;=$BG$7),ABS(AF45),"")</f>
        <v/>
      </c>
      <c r="ET45">
        <v>0</v>
      </c>
      <c r="EU45" s="218">
        <f>IF(AND(OR('King Node Model'!$A$8="Neg",N($BG$72)=1),ISNUMBER($AA44),ISNUMBER($AA45),ISNUMBER($AA46),ISNUMBER($AB44),ISNUMBER($AB45),ISNUMBER($AB46),ISNUMBER($AF45),$AB45&gt;0,$AB44&lt;0,$AB46&lt;0,$AF45&lt;0),1,0)</f>
        <v>0</v>
      </c>
      <c r="EW45">
        <f>IF(OR(N($MY45)=1,N($JM45)=1),0,N($NE45))</f>
        <v>0</v>
      </c>
      <c r="EX45">
        <f>IF(AND(OR('King Node Model'!$A$8="Neg",N($BG$72)=1),ISNUMBER($AA45),OR(AND($AA45='King Node Model'!$F$24,OR(AND($AG45="S",$F$4="High",IF($BG$80&lt;&gt;"",UPPER($BG$80),$D$5)="DOWN"),AND($AG45="R",$F$4="Low",IF($BG$80&lt;&gt;"",UPPER($BG$80),$D$5)="UP"))),$GV45=1)),1,0)</f>
        <v>0</v>
      </c>
      <c r="EY45">
        <f>IFERROR(IF(AND($DC45=1,$AB45&lt;0,$AC45&gt;=(1+$FA$6)*INDEX($AC$9:$AC$55,37-1),$AC45&gt;=(1+$FA$6)*INDEX($AC$9:$AC$55,37+1),$AC45&gt;=IFERROR(INDEX($AC$9:$AC$55,37-2),0),$AC45&gt;=IFERROR(INDEX($AC$9:$AC$55,37+2),0)),1,0),0)</f>
        <v>0</v>
      </c>
      <c r="FA45" t="str">
        <f>IF(NOT(ISNUMBER($AA45)),"",IFERROR(IF(AND($AC45=MAX($AC$9:$AC$55),$AB45=MIN($AB$9:$AB$55)),"DOM",IF(AND($DC44=1,$DC45=1,$DC46=1,INDEX($AC$9:$AC$55,37-1)&lt;=(1-$FA$6)*$AC45,INDEX($AC$9:$AC$55,37-1)&lt;=(1-$FA$6)*INDEX($AC$9:$AC$55,37-2)),"GAP↑",IF(AND($DC46=1,$DC45=1,INDEX($AC$9:$AC$55,37+1)&lt;=(1-$FA$6)*$AC45,INDEX($AC$9:$AC$55,37+1)&lt;=(1-$FA$6)*INDEX($AC$9:$AC$55,37+2)),"GAP↓",IF($CZ45=1,"dEdge Cliff",IF($GY45=1,"γWall",IF(AND($DC45=1,$AB45&lt;0,$AC45&gt;=(1+$FA$6)*INDEX($AC$9:$AC$55,37-1),$AC45&gt;=(1+$FA$6)*INDEX($AC$9:$AC$55,37+1)),"PEAK-",IF($GZ45=1,"γSh Edge",IF($HL45=1,"Trough",IF($HN45=1,"PEAK+",IF($GF45=1,"Cluster","")))))))))),""))</f>
        <v>Cluster</v>
      </c>
      <c r="FB45" t="str">
        <f t="shared" si="70"/>
        <v/>
      </c>
      <c r="FC45" t="str">
        <f t="shared" si="71"/>
        <v/>
      </c>
      <c r="FD45">
        <f>IF(AND(ISNUMBER($AA45),ISNUMBER('King Node Model'!$AP$17),ISNUMBER('King Node Model'!$AQ$17),$AA45&gt;=MIN('King Node Model'!$AP$17,'King Node Model'!$AQ$17),$AA45&lt;=MAX('King Node Model'!$AP$17,'King Node Model'!$AQ$17),IFERROR(INDEX($AC$9:$AC$55,MATCH('King Node Model'!$AL$42,$AA$9:$AA$55,0)),0)&gt;0,$AC45&gt;=(1-$FA$6)*IFERROR(INDEX($AC$9:$AC$55,MATCH('King Node Model'!$AL$42,$AA$9:$AA$55,0)),0),$AC45&lt;=(1+$FA$6)*IFERROR(INDEX($AC$9:$AC$55,MATCH('King Node Model'!$AL$42,$AA$9:$AA$55,0)),0)),1,0)</f>
        <v>0</v>
      </c>
      <c r="FE45">
        <f>IF($AA45='King Node Model'!$AL$42,1,IF(AND($FD45=1,$FE44=1),1,0))</f>
        <v>0</v>
      </c>
      <c r="FF45">
        <f>IF($AA45='King Node Model'!$AL$42,1,IF(AND($FD45=1,$FF46=1),1,0))</f>
        <v>0</v>
      </c>
      <c r="FG45" t="str">
        <f>IF(OR($FE45=1,$FF45=1),37,"")</f>
        <v/>
      </c>
      <c r="FJ45">
        <f>IF(AND($CW$2=1,ISNUMBER($AA45),ISNUMBER($CW$3),ISNUMBER($CW$4),$AA45&gt;=MIN($CW$3,$CW$4),$AA45&lt;=MAX($CW$3,$CW$4),IFERROR(INDEX($AC$9:$AC$55,MATCH('King Node Model'!$AP$67,$AA$9:$AA$55,0)),0)&gt;0,$AC45&gt;=(1-$FA$6)*IFERROR(INDEX($AC$9:$AC$55,MATCH('King Node Model'!$AP$67,$AA$9:$AA$55,0)),0),$AC45&lt;=(1+$FA$6)*IFERROR(INDEX($AC$9:$AC$55,MATCH('King Node Model'!$AP$67,$AA$9:$AA$55,0)),0)),1,0)</f>
        <v>0</v>
      </c>
      <c r="FK45">
        <f>IF(AND($CW$2=1,$AA45='King Node Model'!$AP$67),1,IF(AND($FJ45=1,$FK44=1),1,0))</f>
        <v>0</v>
      </c>
      <c r="FL45">
        <f>IF(AND($CW$2=1,$AA45='King Node Model'!$AP$67),1,IF(AND($FJ45=1,$FL46=1),1,0))</f>
        <v>0</v>
      </c>
      <c r="FM45" t="str">
        <f>IF(OR($FK45=1,$FL45=1),37,"")</f>
        <v/>
      </c>
      <c r="FN45">
        <v>0</v>
      </c>
      <c r="FR45" t="str">
        <f t="shared" si="72"/>
        <v/>
      </c>
      <c r="FS45">
        <f t="shared" si="188"/>
        <v>0</v>
      </c>
      <c r="FT45">
        <f t="shared" si="73"/>
        <v>-0.1760706576449789</v>
      </c>
      <c r="FU45">
        <f t="shared" si="74"/>
        <v>399334</v>
      </c>
      <c r="FV45">
        <f>IF($FW45=0,"",IF(OR($FW44=0,SIGN(IFERROR($BC45*1,0))&lt;&gt;SIGN(IFERROR($BC44*1,0)),$GH45=1,$GH44=1),MAX($FV$9:$FV44)+1,$FV44))</f>
        <v>14</v>
      </c>
      <c r="FW45">
        <f t="shared" si="75"/>
        <v>1</v>
      </c>
      <c r="FX45">
        <f t="shared" si="76"/>
        <v>414842</v>
      </c>
      <c r="FY45">
        <f t="shared" si="77"/>
        <v>1</v>
      </c>
      <c r="FZ45">
        <f t="shared" si="189"/>
        <v>0</v>
      </c>
      <c r="GA45">
        <f t="shared" si="78"/>
        <v>1</v>
      </c>
      <c r="GB45">
        <f t="shared" si="79"/>
        <v>2</v>
      </c>
      <c r="GC45">
        <f t="shared" si="80"/>
        <v>814176</v>
      </c>
      <c r="GD45">
        <f t="shared" si="81"/>
        <v>7700</v>
      </c>
      <c r="GE45">
        <f t="shared" si="82"/>
        <v>7705</v>
      </c>
      <c r="GF45">
        <f t="shared" si="83"/>
        <v>1</v>
      </c>
      <c r="GH45">
        <f>IFERROR(IF(AND($AC45&gt;=(1+$FA$6)*INDEX($AC$9:$AC$55,37-1),$AC45&gt;=(1+$FA$6)*INDEX($AC$9:$AC$55,37+1)),1,0),0)</f>
        <v>0</v>
      </c>
      <c r="GK45">
        <v>0</v>
      </c>
      <c r="GO45">
        <v>0</v>
      </c>
      <c r="GP45">
        <v>0</v>
      </c>
      <c r="GQ45">
        <f t="shared" si="84"/>
        <v>0</v>
      </c>
      <c r="GR45">
        <f t="shared" si="85"/>
        <v>0</v>
      </c>
      <c r="GS45">
        <f>IF(AND($EY45=1,$AA45&lt;&gt;'King Node Model'!$B$23),0,IF(OR($GQ45=1,$GR45=1),1,IF($DC45=1,IF(OR('King Node Model'!$A$8="Neg",N($BG$72)=1),IF(OR(AND($AC45=MAX($AC$9:$AC$55),$AB45=MIN($AB$9:$AB$55)),$AN45=1,$EE45=1,$EF45=1,$EX45=1,$GV45=1),1,0),1),0)))</f>
        <v>0</v>
      </c>
      <c r="GT45">
        <f>IFERROR(IF(AND(OR('King Node Model'!$A$8="Neg",N($BG$72)=1),$EU44=1,$AG45="R",ISNUMBER($AA45),ISNUMBER($AF45),$AF45&lt;&gt;0,$AA45&gt;$B$4-$BG$9,$AA45-$B$4&lt;=$BG$47,IF($KC45="UP",SIGN($AF45),IF($KC45="DOWN",-SIGN($AF45),0))&lt;&gt;1),1,0),0)</f>
        <v>0</v>
      </c>
      <c r="GU45" t="str">
        <f t="shared" si="86"/>
        <v/>
      </c>
      <c r="GV45">
        <f t="shared" si="87"/>
        <v>0</v>
      </c>
      <c r="GW45" t="str">
        <f t="shared" si="88"/>
        <v/>
      </c>
      <c r="GX45">
        <f t="shared" si="89"/>
        <v>70.390000000000327</v>
      </c>
      <c r="GY45">
        <f t="shared" si="90"/>
        <v>0</v>
      </c>
      <c r="GZ45">
        <f t="shared" si="91"/>
        <v>0</v>
      </c>
      <c r="HA45">
        <v>1</v>
      </c>
      <c r="HF45">
        <f>IFERROR(IF(AND($GZ45=1,'King Node Model'!$A$8="Pos",$D$5="UP",$CF45=-1,$AJ45&lt;&gt;1),1,0),0)</f>
        <v>0</v>
      </c>
      <c r="HG45">
        <f t="shared" si="92"/>
        <v>1</v>
      </c>
      <c r="HH45">
        <f>IF($GZ45=1,"",IFERROR(IF(NOT(ISNUMBER($AA45)),"",IF($EY45=1,"",IF($GF45=1,IF($GD45=$GE45,"",$GD45),IF(OR(AND($DC44=1,$DC45=1,$DC46=1,INDEX($AC$9:$AC$55,37-1)&lt;=(1-$FA$6)*$AC45,INDEX($AC$9:$AC$55,37-1)&lt;=(1-$FA$6)*INDEX($AC$9:$AC$55,37-2)),AND($DC46=1,$DC45=1,INDEX($AC$9:$AC$55,37+1)&lt;=(1-$FA$6)*$AC45,INDEX($AC$9:$AC$55,37+1)&lt;=(1-$FA$6)*INDEX($AC$9:$AC$55,37+2)),AND($DC45=1,OR(INDEX($DC$9:$DC$55,37-1)=0,INDEX($DC$9:$DC$55,37+1)=0))),IF(MIN($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MAX($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MIN($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f>
        <v>7700</v>
      </c>
      <c r="HI45">
        <f>IF($GZ45=1,"",IFERROR(IF(NOT(ISNUMBER($AA45)),"",IF($EY45=1,"",IF($GF45=1,IF($GD45=$GE45,"",$GE45),IF(OR(AND($DC44=1,$DC45=1,$DC46=1,INDEX($AC$9:$AC$55,37-1)&lt;=(1-$FA$6)*$AC45,INDEX($AC$9:$AC$55,37-1)&lt;=(1-$FA$6)*INDEX($AC$9:$AC$55,37-2)),AND($DC46=1,$DC45=1,INDEX($AC$9:$AC$55,37+1)&lt;=(1-$FA$6)*$AC45,INDEX($AC$9:$AC$55,37+1)&lt;=(1-$FA$6)*INDEX($AC$9:$AC$55,37+2)),AND($DC45=1,OR(INDEX($DC$9:$DC$55,37-1)=0,INDEX($DC$9:$DC$55,37+1)=0))),IF(MIN($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MAX($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MAX($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f>
        <v>7705</v>
      </c>
      <c r="HL45">
        <f t="shared" si="93"/>
        <v>0</v>
      </c>
      <c r="HM45">
        <f>IFERROR(IF(AND($HL45=1,NOT(OR($AA45='King Node Model'!$T$22,$AA45='King Node Model'!$T$23,$AA45='King Node Model'!$F$24,AND($AG45="S",COUNTIF('Master Dashboard'!$AN$16:$AN$18,$AA45)&gt;0),AND($AG45="R",COUNTIF('Master Dashboard'!$AN$13:$AN$15,$AA45)&gt;0)))),1,0),0)</f>
        <v>0</v>
      </c>
      <c r="HN45">
        <f t="shared" si="94"/>
        <v>0</v>
      </c>
      <c r="HO45">
        <f t="shared" si="95"/>
        <v>0</v>
      </c>
      <c r="HP45">
        <f t="shared" si="96"/>
        <v>1</v>
      </c>
      <c r="HQ45" t="str">
        <f>IF(NOT(ISNUMBER($AA45)),"",IFERROR(TRIM(IF(N($MY45)=1,"DEXLEAN ","")&amp;IF(N($IZ45)=1,"DEXCAP ","")&amp;IF(AND($AG45="S",UPPER('King Node Model'!$L$5)="HIGH",$KC45="DOWN",N($AF45)&gt;0,$AA45='King Node Model'!$AN$70,$IY45="SELL"),"CHOPEDGEIV ","")&amp;IF(N($IS45)=1,"NOREV ","")&amp;IF(N($JY45)=1,"VFLAT ","")&amp;IF(N($KR45)=1,"GDEXVANNA ","")&amp;IF(N($LD45)=1,"KGSUPFAIL ","")&amp;IF(N($LE45)=1,"KGRESLEAK ","")&amp;IF(N($MH45)=1,"ZIGZAG ","")&amp;IF(N($KK45)=1,"DATAGAP ","")&amp;IF(N($KA45)&lt;&gt;0,"ACCUNDERCW ","")&amp;IF(AND($AG45="S",$HF45=1),"EDGE ","")&amp;IF(AND($HM45=1,'King Node Model'!$A$8="Pos",N($BG$72)&lt;&gt;1),"TROUGH ","")&amp;IF(AND($EU45=1,N($JZ45)&lt;&gt;1),"BUMP ","")&amp;IF(AND($GT45=1,N($JZ45)&lt;&gt;1),"SANDWICH ","")&amp;IF(AND($EX45&lt;&gt;1,OR('King Node Model'!$A$8="Neg",N($BG$72)=1),OR(AND(ISNUMBER($AC45),$AC45=MAX($AC$9:$AC$55)),AND(ISNUMBER($AB45),$AB45=MIN($AB$9:$AB$55))),NOT(AND(AND(ISNUMBER($AC45),$AC45=MAX($AC$9:$AC$55)),AND(ISNUMBER($AB45),$AB45=MIN($AB$9:$AB$55)))),$AG45="S",N($AB45)&lt;0,NOT(COUNTIF('Master Dashboard'!$AN$16:$AN$18,$AA45)&gt;0),NOT(AND(OR('King Node Model'!$A$8="Neg",N($BG$72)=1),ISNUMBER($AB45),$AB45=MIN($AB$9:$AB$55),$AA45=$BG$105))),"ACCEL ","")&amp;IF(AND($EX45&lt;&gt;1,ISNUMBER($AA45),OR('King Node Model'!$A$8="Neg",N($BG$72)=1),$EY45=1,NOT(AND($AG45="S",COUNTIF('Master Dashboard'!$AN$16:$AN$18,$AA45)&gt;0)),NOT(AND($AA45='King Node Model'!$B$23,IF($AG45="S",OR($AA45='King Node Model'!$C$24,COUNTIF('Master Dashboard'!$AN$16:$AN$18,$AA45)&gt;0),OR($AA45='King Node Model'!$C$23,COUNTIF('Master Dashboard'!$AN$13:$AN$15,$AA45)&gt;0)))),NOT(AND($EX45&lt;&gt;1,OR('King Node Model'!$A$8="Neg",N($BG$72)=1),OR(AND(ISNUMBER($AC45),$AC45=MAX($AC$9:$AC$55)),AND(ISNUMBER($AB45),$AB45=MIN($AB$9:$AB$55))),NOT(AND(AND(ISNUMBER($AC45),$AC45=MAX($AC$9:$AC$55)),AND(ISNUMBER($AB45),$AB45=MIN($AB$9:$AB$55)))),$AG45="S",N($AB45)&lt;0,NOT(COUNTIF('Master Dashboard'!$AN$16:$AN$18,$AA45)&gt;0)))),"AMPLIFY ","")&amp;IF(AND($AG45="S",OR('King Node Model'!$A$8="Neg",N($BG$72)=1),$AJ45&lt;&gt;1,N($MT45)&lt;&gt;1,NOT(AND(N($LR45)=1,N($MB45)=1)),ISNUMBER(SEARCH("ACCEL building",$CG45))),"ZACCEL ","")&amp;IF(AND($AG45="S",OR('King Node Model'!$A$8="Neg",N($BG$72)=1),$AA45='King Node Model'!$B$23,NOT(AND(AND(ISNUMBER($AC45),$AC45=MAX($AC$9:$AC$55)),AND(ISNUMBER($AB45),$AB45=MIN($AB$9:$AB$55)))),$EJ45&lt;&gt;1),"KINGACC ","")&amp;IF(AND($AG45="S",OR('King Node Model'!$A$8="Neg",N($BG$72)=1),ABS(N($AA45)-N('King Node Model'!$B$23))&lt;=$BG$107,NOT(AND(SUMPRODUCT((ABS($AF$9:$AF$55)&lt;=ABS(N($AF45)))*1)/COUNT($AF$9:$AF$55)&gt;=0.66,OR(ISNUMBER(SEARCH("firmer resistance",$CG45)),ISNUMBER(SEARCH("STRENGTHENING",$CG45)),ISNUMBER(SEARCH("firmer support",$CG45))))),NOT(AND(N($AB45)&gt;0,SUMPRODUCT((ABS($AB$9:$AB$55)&lt;=ABS(N($AB45)))*1)/COUNT($AB$9:$AB$55)&gt;=0.66)),$EJ45&lt;&gt;1,$AJ45&lt;&gt;1,COUNTIF('Master Dashboard'!$AN$16:$AN$18,$AA45)=0,NOT(AND($AG45="S",OR('King Node Model'!$A$8="Neg",N($BG$72)=1),$AA45='King Node Model'!$B$23,NOT(AND(AND(ISNUMBER($AC45),$AC45=MAX($AC$9:$AC$55)),AND(ISNUMBER($AB45),$AB45=MIN($AB$9:$AB$55)))),$EJ45&lt;&gt;1))),"KINGNODE ","")&amp;IF(AND($AG45="R",NOT(AND(AND(ISNUMBER($AC45),$AC45=MAX($AC$9:$AC$55)),AND(ISNUMBER($AB45),$AB45=MIN($AB$9:$AB$55)))),UPPER('King Node Model'!$L$5)="LOW",$KC45="DOWN",N($AF45)&gt;0),"LOWIVFALL ","")&amp;IF(AND($AG45="R",NOT(AND(AND(ISNUMBER($AC45),$AC45=MAX($AC$9:$AC$55)),AND(ISNUMBER($AB45),$AB45=MIN($AB$9:$AB$55)))),UPPER('King Node Model'!$L$5)="HIGH",$KC45="DOWN",N($AF45)&gt;0,IFERROR(MATCH($AA45,$W$9:$W$14,0)&gt;=4,FALSE)),"HIGHIVFALL ","")&amp;IF(AND($AG45="R",N($BG$99)=1),"SPOTUPVOLUP ","")&amp;IF(AND($AG45="R",ISNUMBER(SEARCH("5/5",'Master Dashboard'!$E$29)),OR(ISNUMBER(SEARCH("WEAKENING",$EQ45)),ISNUMBER(SEARCH("Pos gamma ↓",$EQ45)),ISNUMBER(SEARCH("thinning the ceiling",$EQ45)))),"SQUEEZE ","")&amp;IF(N($JU45)=1,"DEDGECLIFF ","")&amp;IF(N($KT45)=1,"DEXDRAIN ","")&amp;IF(N($HW45)&lt;&gt;0,"DEXDROP ","")&amp;IF(N($HX45)&lt;&gt;0,"PEAK+ ","")&amp;IF(N($IF45)=1,"CHOP ","")&amp;IF(N($IQ45)=1,"CONTESTED ","")&amp;IF(N($IW45)=1,"VSELL ","")&amp;IF(N($JK45)=1,"VBUYRES ","")&amp;IF(N($JL45)=1,"DOMFLAT ","")&amp;IF(N($JM45)=1,"DOMPULL ","")&amp;IF(N($JP45)=1,"OIZOMMA ","")&amp;IF(AND(N($JQ45)=1,N($JZ45)&lt;&gt;1),"OIDEX ","")),""))</f>
        <v>NOREV VSELL</v>
      </c>
      <c r="HS45">
        <f>IFERROR(IF(AND($DC45=1,OR(AND($AG45="R",INDEX($DC$9:$DC$55,36)=0,INDEX($DC$9:$DC$55,38)=1,INDEX($DC$9:$DC$55,39)=1),AND($AG45="S",INDEX($DC$9:$DC$55,38)=0,INDEX($DC$9:$DC$55,36)=1,INDEX($DC$9:$DC$55,35)=1))),1,0),0)</f>
        <v>0</v>
      </c>
      <c r="HT45">
        <f t="shared" si="97"/>
        <v>0</v>
      </c>
      <c r="HU45">
        <v>0</v>
      </c>
      <c r="HV45">
        <v>0</v>
      </c>
      <c r="HW45">
        <f>IFERROR(IF(OR(NOT(ISNUMBER($AA45)),'King Node Model'!$A$8&lt;&gt;"Pos",N($BG$72)=1,ABS(N($AE45))&lt;$BG$113,N($AV45)=1,$FA45="DOM",$AA45='King Node Model'!$T$23,AND(N($BG$116)=1,$AA45='King Node Model'!$F$24),NOT(ISNUMBER($KU45)),NOT(ISNUMBER($KV45))),0,IF(AND($AG45="S",COUNTIF('Master Dashboard'!$AN$16:$AN$18,$AA45)=0,$KU45&gt;=$BG$114,$KU45&gt;=$KV45+$BG$115,NOT(AND(N($AN46)=1,N($KV45)&lt;0)),N($AE45)&lt;=0),1,IF(AND($AG45="R",COUNTIF('Master Dashboard'!$AN$13:$AN$15,$AA45)=0,$KV45&gt;=$BG$114,$KV45&gt;=$KU45+$BG$115,NOT(AND(N($AN44)=1,N($KU45)&lt;0))),-1,0))),0)</f>
        <v>0</v>
      </c>
      <c r="HX45">
        <f>IFERROR(IF(AND(ISNUMBER($AA45),$FA45="PEAK+",N($AN45)&lt;&gt;1,NOT(AND('King Node Model'!$A$8="Pos",OR($AA45='King Node Model'!$T$22,$AA45='King Node Model'!$T$23,$AA45='King Node Model'!$F$24))),IF($AG45="S",COUNTIF('Master Dashboard'!$AN$16:$AN$18,$AA45)=0,IF($AG45="R",COUNTIF('Master Dashboard'!$AN$13:$AN$15,$AA45)=0,FALSE))),1,0),0)</f>
        <v>0</v>
      </c>
      <c r="HY45">
        <f t="shared" si="98"/>
        <v>-7.5881894679018203</v>
      </c>
      <c r="HZ45">
        <v>0</v>
      </c>
      <c r="IA45">
        <f>IFERROR(IF(AND(IF($BG$44=1,OR(ISNUMBER(SEARCH("Choppy",'King Node Model'!$S$38)),'King Node Model'!$S$52&lt;&gt;"",'King Node Model'!$A$8="Pos"),TRUE()),OR($DC45=1,$DC44=1,$DC46=1),ABS($AA45-$B$4)&lt;=$BG$7,ABS($AA45-$BG$28)&gt;=$BG$45,OR(AND($AA45&gt;$BG$28,$AG45="R"),AND($AA45&lt;$BG$28,$AG45="S",N($BG$154)=1)),ABS(IF($AA45&gt;$BG$28,$AE46,$AE44))&gt;=$BG$43,ABS(N(IF($AA45&gt;$BG$28,$AE44,$AE46)))&lt;=$BG$153*ABS(IF($AA45&gt;$BG$28,$AE46,$AE44)),IF(ISNUMBER($HZ45),$HZ45=1,AND(ISNUMBER($HY45),$HY45&gt;=$BG$42))),1,0),0)</f>
        <v>0</v>
      </c>
      <c r="IB45">
        <f t="shared" si="99"/>
        <v>0</v>
      </c>
      <c r="IC45" t="str">
        <f>IF(NOT(ISNUMBER($AA45)),"",IFERROR(MID(IF(AND($AC45=MAX($AC$9:$AC$55),$AB45=MIN($AB$9:$AB$55))," · DOM","")&amp;IF(AND($DC44=1,$DC45=1,$DC46=1,INDEX($AC$9:$AC$55,37-1)&lt;=(1-$FA$6)*$AC45,INDEX($AC$9:$AC$55,37-1)&lt;=(1-$FA$6)*INDEX($AC$9:$AC$55,37-2))," · GAP↑ → "&amp;INDEX($AA$9:$AA$55,37-2),"")&amp;IF(AND($DC46=1,$DC45=1,INDEX($AC$9:$AC$55,37+1)&lt;=(1-$FA$6)*$AC45,INDEX($AC$9:$AC$55,37+1)&lt;=(1-$FA$6)*INDEX($AC$9:$AC$55,37+2))," · GAP↓ → "&amp;INDEX($AA$9:$AA$55,37+2),"")&amp;IF($CZ45=1," · dEdge Cliff","")&amp;IF($GY45=1," · γWall","")&amp;IF(AND($DC45=1,$AB45&lt;0,$AC45&gt;=(1+$FA$6)*INDEX($AC$9:$AC$55,37-1),$AC45&gt;=(1+$FA$6)*INDEX($AC$9:$AC$55,37+1))," · PEAK-","")&amp;IF($GZ45=1," · γSh Edge","")&amp;IF($HL45=1," · Trough","")&amp;IF($HN45=1," · PEAK+","")&amp;IF($GF45=1," · Cluster",""),FIND(" · ",IF(AND($AC45=MAX($AC$9:$AC$55),$AB45=MIN($AB$9:$AB$55))," · DOM","")&amp;IF(AND($DC44=1,$DC45=1,$DC46=1,INDEX($AC$9:$AC$55,37-1)&lt;=(1-$FA$6)*$AC45,INDEX($AC$9:$AC$55,37-1)&lt;=(1-$FA$6)*INDEX($AC$9:$AC$55,37-2))," · GAP↑ → "&amp;INDEX($AA$9:$AA$55,37-2),"")&amp;IF(AND($DC46=1,$DC45=1,INDEX($AC$9:$AC$55,37+1)&lt;=(1-$FA$6)*$AC45,INDEX($AC$9:$AC$55,37+1)&lt;=(1-$FA$6)*INDEX($AC$9:$AC$55,37+2))," · GAP↓ → "&amp;INDEX($AA$9:$AA$55,37+2),"")&amp;IF($CZ45=1," · dEdge Cliff","")&amp;IF($GY45=1," · γWall","")&amp;IF(AND($DC45=1,$AB45&lt;0,$AC45&gt;=(1+$FA$6)*INDEX($AC$9:$AC$55,37-1),$AC45&gt;=(1+$FA$6)*INDEX($AC$9:$AC$55,37+1))," · PEAK-","")&amp;IF($GZ45=1," · γSh Edge","")&amp;IF($HL45=1," · Trough","")&amp;IF($HN45=1," · PEAK+","")&amp;IF($GF45=1," · Cluster",""),2),999),""))</f>
        <v/>
      </c>
      <c r="ID45" t="str">
        <f>IF(NOT(ISNUMBER($AA45)),"",IFERROR(MID(IF(AND($AC45=MAX($AC$9:$AC$55),$AB45=MIN($AB$9:$AB$55))," · DOM","")&amp;IF(AND($DC44=1,$DC45=1,$DC46=1,INDEX($AC$9:$AC$55,37-1)&lt;=(1-$FA$6)*$AC45,INDEX($AC$9:$AC$55,37-1)&lt;=(1-$FA$6)*INDEX($AC$9:$AC$55,37-2))," · GAP↑ → "&amp;INDEX($AA$9:$AA$55,37-2),"")&amp;IF(AND($DC46=1,$DC45=1,INDEX($AC$9:$AC$55,37+1)&lt;=(1-$FA$6)*$AC45,INDEX($AC$9:$AC$55,37+1)&lt;=(1-$FA$6)*INDEX($AC$9:$AC$55,37+2))," · GAP↓ → "&amp;INDEX($AA$9:$AA$55,37+2),"")&amp;IF($CZ45=1," · dEdge Cliff","")&amp;IF($GY45=1," · γWall","")&amp;IF(AND($DC45=1,$AB45&lt;0,$AC45&gt;=(1+$FA$6)*INDEX($AC$9:$AC$55,37-1),$AC45&gt;=(1+$FA$6)*INDEX($AC$9:$AC$55,37+1))," · PEAK-","")&amp;IF($GZ45=1," · γSh Edge","")&amp;IF($HL45=1," · Trough","")&amp;IF($HN45=1," · PEAK+","")&amp;IF(AND(NOT($HN45=1),NOT(AND($DC45=1,$AB45&lt;0)),N($GY45)&lt;&gt;1,N($GF45)&lt;&gt;1,N($GZ45)&lt;&gt;1,N($HL45)&lt;&gt;1,N($CZ45)&lt;&gt;1,NOT(AND($AC45=MAX($AC$9:$AC$55),$AB45=MIN($AB$9:$AB$55))),$AC45&gt;=(1+$FA$6)*INDEX($AC$9:$AC$55,37-1),$AC45&gt;=(1+$FA$6)*INDEX($AC$9:$AC$55,37+1))," · Knoll","")&amp;IF($GF45=1," · Cluster",""),4,999),""))</f>
        <v>Cluster</v>
      </c>
      <c r="IF45">
        <f t="shared" si="100"/>
        <v>0</v>
      </c>
      <c r="IG45">
        <f>IFERROR(IF(AND(ISNUMBER($AA45),'King Node Model'!$A$8="Pos",OR($AG45="S",$AG45="R"),$IN45="interior",COUNTIF(IF($AG45="S",'Master Dashboard'!$AN$16:$AN$18,'Master Dashboard'!$AN$13:$AN$15),$AA45)=0,$AA45&lt;&gt;'King Node Model'!$T$22,$AA45&lt;&gt;'King Node Model'!$T$23,$AA45&lt;&gt;'King Node Model'!$F$24),1,0),0)</f>
        <v>0</v>
      </c>
      <c r="IH45">
        <f t="shared" si="101"/>
        <v>0</v>
      </c>
      <c r="II45">
        <f t="shared" si="190"/>
        <v>0</v>
      </c>
      <c r="IJ45">
        <f t="shared" si="102"/>
        <v>0</v>
      </c>
      <c r="IK45">
        <f t="shared" si="103"/>
        <v>0</v>
      </c>
      <c r="IL45">
        <f t="shared" si="191"/>
        <v>0</v>
      </c>
      <c r="IM45">
        <f t="shared" si="104"/>
        <v>0</v>
      </c>
      <c r="IN45" t="str">
        <f t="shared" si="105"/>
        <v/>
      </c>
      <c r="IO45">
        <v>0</v>
      </c>
      <c r="IP45">
        <v>0</v>
      </c>
      <c r="IQ45">
        <f>IFERROR(IF($AG45="S",IF(OR(COUNTIF($W$9:$W$14,$AA45)&gt;0,COUNTIF('King Node Model'!$AL$42:'King Node Model'!$AL$43,$AA45)&gt;0),1,0),IF($AG45="R",IF(OR(COUNTIF($W$18:$W$23,$AA45)&gt;0,COUNTIF('King Node Model'!$AL$49:'King Node Model'!$AL$50,$AA45)&gt;0),1,0),0)),0)</f>
        <v>0</v>
      </c>
      <c r="IS45">
        <f>IF(AND(ISNUMBER($AA45),N($AN45)&lt;&gt;1,N($LR45)&lt;&gt;1,OR(N($EN45)&lt;&gt;1,AND('King Node Model'!$A$8&lt;&gt;"Neg",N($BG$72)&lt;&gt;1)),$AA45&lt;&gt;'King Node Model'!$T$22,$AA45&lt;&gt;'King Node Model'!$T$23,$AA45&lt;&gt;'King Node Model'!$F$24,NOT(AND($AG45="S",COUNTIF('Master Dashboard'!$AN$16:$AN$18,$AA45)&gt;0)),NOT(AND($AG45="R",COUNTIF('Master Dashboard'!$AN$13:$AN$15,$AA45)&gt;0)),NOT(AND('King Node Model'!$A$8&lt;&gt;"Neg",N($BG$72)&lt;&gt;1,COUNTIF('Master Dashboard'!$AN$13:$AN$18,$AA45)&gt;0))),1,0)</f>
        <v>1</v>
      </c>
      <c r="IT45">
        <v>0</v>
      </c>
      <c r="IU45">
        <f>IF(AND(ISNUMBER($AA45),$AA45='King Node Model'!$F$24,$AA45&gt;$GJ$3,N($AD45)&lt;0,$F$4="High"),1,0)</f>
        <v>0</v>
      </c>
      <c r="IV45" t="str">
        <f>""</f>
        <v/>
      </c>
      <c r="IW45">
        <f>IFERROR(IF(AND(ISNUMBER($AA45),NOT(AND(N($LR45)=1,N($MB45)=1)),$AG45="S",OR('King Node Model'!$A$8="Neg",N($BG$72)=1),$JV45="SELL",ABS(N($AD45))&gt;=$BG$94,NOT(AND(N($AD45)&gt;0,N($BG$78)=1,MEDIAN($AA45-$BG$82,$B$4,$AA45+$BG$83)=$B$4))),1,0),0)</f>
        <v>1</v>
      </c>
      <c r="IX45">
        <f>IFERROR(IF(AND(ISNUMBER($AA45),$AG45="S",OR('King Node Model'!$A$8="Neg",N($BG$72)=1),N($AD45)&gt;0,N($BG$78)=1,MEDIAN($AA45-$BG$82,$B$4,$AA45+$BG$83)=$B$4),1,0),0)</f>
        <v>0</v>
      </c>
      <c r="IY45" t="str">
        <f t="shared" si="106"/>
        <v>SELL</v>
      </c>
      <c r="IZ45">
        <f>IFERROR(IF(AND(ISNUMBER($AA45),$FA45&lt;&gt;"DOM",$AA45&lt;&gt;'King Node Model'!$F$24,OR(AND($AG45="S",COUNTIF('Master Dashboard'!$AN$16:$AN$18,$AA45)=0,N(INDEX($AE$9:$AE$55,MATCH($AA45+$BG$84,$AA$9:$AA$55,0)))&lt;=-$BG$85),AND($AG45="R",COUNTIF('Master Dashboard'!$AN$13:$AN$15,$AA45)=0,N(INDEX($AE$9:$AE$55,MATCH($AA45-$BG$84,$AA$9:$AA$55,0)))&gt;=$BG$85))),1,0),0)</f>
        <v>0</v>
      </c>
      <c r="JC45">
        <f t="shared" si="108"/>
        <v>0</v>
      </c>
      <c r="JD45" t="str">
        <f t="shared" si="193"/>
        <v>C</v>
      </c>
      <c r="JE45">
        <f>IF(ISNUMBER($AA45),N(IFERROR(INDEX('King Node Model'!$L$29:$L$75,MATCH($AA45,'King Node Model'!$A$29:$A$75,0)),0)),"")</f>
        <v>3283</v>
      </c>
      <c r="JF45">
        <f>IF(ISNUMBER($AA45),N(IFERROR(INDEX('King Node Model'!$K$29:$K$75,MATCH($AA45,'King Node Model'!$A$29:$A$75,0)),0)),"")</f>
        <v>2300</v>
      </c>
      <c r="JG45">
        <f t="shared" si="109"/>
        <v>1.4273913043478261</v>
      </c>
      <c r="JH45">
        <f t="shared" si="110"/>
        <v>0.70057873895826983</v>
      </c>
      <c r="JI45">
        <f t="shared" si="111"/>
        <v>0</v>
      </c>
      <c r="JJ45" t="str">
        <f t="shared" si="112"/>
        <v/>
      </c>
      <c r="JK45">
        <f t="shared" si="113"/>
        <v>0</v>
      </c>
      <c r="JL45">
        <f t="shared" si="114"/>
        <v>0</v>
      </c>
      <c r="JM45">
        <f t="shared" si="115"/>
        <v>0</v>
      </c>
      <c r="JN45">
        <f t="shared" si="116"/>
        <v>0</v>
      </c>
      <c r="JO45">
        <f t="shared" si="117"/>
        <v>0</v>
      </c>
      <c r="JP45">
        <f t="shared" si="118"/>
        <v>0</v>
      </c>
      <c r="JQ45">
        <f t="shared" si="119"/>
        <v>0</v>
      </c>
      <c r="JR45">
        <v>0</v>
      </c>
      <c r="JS45">
        <f>IFERROR(IF(AND(ISNUMBER($AA45),'King Node Model'!$A$8="Pos",OR($AG45="S",$AG45="R"),N($AB45)&gt;0,N($HP45)&lt;&gt;1,OR(AND($KC45="DOWN",N($AF45)&lt;0,N($AF45)=MIN($AF$9:$AF$55),-N($AF45)&gt;=MAX($AF$9:$AF$55)),AND($KC45="UP",N($AF45)&gt;0,N($AF45)=MAX($AF$9:$AF$55),N($AF45)&gt;=-MIN($AF$9:$AF$55)))),1,0),0)</f>
        <v>0</v>
      </c>
      <c r="JT45">
        <v>0</v>
      </c>
      <c r="JU45">
        <f>IFERROR(IF(AND(N($BG$109)=1,ISNUMBER($AA45),'King Node Model'!$A$8="Pos",N($CZ45)=1,N($AB45)&gt;0),1,0),0)</f>
        <v>0</v>
      </c>
      <c r="JV45" t="str">
        <f t="shared" si="120"/>
        <v>SELL</v>
      </c>
      <c r="JW45">
        <f t="shared" si="121"/>
        <v>0</v>
      </c>
      <c r="JX45">
        <f t="shared" si="122"/>
        <v>0</v>
      </c>
      <c r="JY45">
        <f t="shared" si="123"/>
        <v>0</v>
      </c>
      <c r="JZ45">
        <f t="shared" si="124"/>
        <v>0</v>
      </c>
      <c r="KA45">
        <f t="shared" si="125"/>
        <v>0</v>
      </c>
      <c r="KB45">
        <f t="shared" si="126"/>
        <v>0</v>
      </c>
      <c r="KC45" t="str">
        <f t="shared" si="127"/>
        <v>UP</v>
      </c>
      <c r="KE45" t="str">
        <f t="shared" si="128"/>
        <v>Now: weakening the floor (IV rising) · if IV falls: strengthens the floor · expected on arrival: WEAKENS ✗</v>
      </c>
      <c r="KF45" t="str">
        <f t="shared" si="129"/>
        <v>SELL</v>
      </c>
      <c r="KG45">
        <f t="shared" si="192"/>
        <v>0</v>
      </c>
      <c r="KH45" t="str">
        <f t="shared" si="130"/>
        <v/>
      </c>
      <c r="KI45" t="str">
        <f t="shared" si="131"/>
        <v/>
      </c>
      <c r="KJ45">
        <f t="shared" si="132"/>
        <v>0</v>
      </c>
      <c r="KK45">
        <f t="shared" si="133"/>
        <v>0</v>
      </c>
      <c r="KL45">
        <f t="shared" si="134"/>
        <v>0</v>
      </c>
      <c r="KM45">
        <f t="shared" si="135"/>
        <v>0</v>
      </c>
      <c r="KN45">
        <f t="shared" si="136"/>
        <v>0</v>
      </c>
      <c r="KO45">
        <v>0</v>
      </c>
      <c r="KP45">
        <f t="shared" si="137"/>
        <v>0</v>
      </c>
      <c r="KQ45">
        <f t="shared" si="138"/>
        <v>0</v>
      </c>
      <c r="KR45">
        <f t="shared" si="139"/>
        <v>0</v>
      </c>
      <c r="KS45">
        <f t="shared" si="140"/>
        <v>0</v>
      </c>
      <c r="KT45">
        <f t="shared" si="141"/>
        <v>0</v>
      </c>
      <c r="KU45">
        <f>IF(AND(ISNUMBER($AA45),ISNUMBER($AE45),ISNUMBER($AE44),N($AE45)&lt;&gt;0),($AE45-$AE44)/$AE45,"")</f>
      </c>
      <c r="KV45">
        <f>IF(AND(ISNUMBER($AA45),ISNUMBER($AE45),ISNUMBER($AE46),N($AE45)&lt;&gt;0),($AE45-$AE46)/$AE45,"")</f>
      </c>
      <c r="KW45">
        <f>IFERROR(IF(OR(NOT(ISNUMBER($AA45)),'King Node Model'!$A$8&lt;&gt;"Pos",N($BG$72)=1,ABS(N($AE45))&lt;$BG$113,$FA45="DOM",$AA45='King Node Model'!$T$23,AND(N($BG$116)=1,$AA45='King Node Model'!$F$24),NOT(ISNUMBER($KU45)),NOT(ISNUMBER($KV45))),0,IF(AND($AG45="S",COUNTIF('Master Dashboard'!$AN$16:$AN$18,$AA45)=0,$KU45&gt;=$BG$114,$KU45&gt;=$KV45+$BG$115),1,IF(AND($AG45="R",COUNTIF('Master Dashboard'!$AN$13:$AN$15,$AA45)=0,$KV45&gt;=$BG$114,$KV45&gt;=$KU45+$BG$115),-1,0))),0)</f>
        <v>0</v>
      </c>
      <c r="KX45">
        <f t="shared" si="144"/>
        <v>0</v>
      </c>
      <c r="KY45">
        <f t="shared" si="145"/>
        <v>0</v>
      </c>
      <c r="KZ45">
        <f t="shared" si="146"/>
        <v>0</v>
      </c>
      <c r="LA45">
        <f t="shared" si="147"/>
        <v>0</v>
      </c>
      <c r="LB45">
        <f t="shared" si="148"/>
        <v>0</v>
      </c>
      <c r="LC45">
        <f t="shared" si="149"/>
        <v>0</v>
      </c>
      <c r="LD45">
        <f t="shared" si="150"/>
        <v>0</v>
      </c>
      <c r="LE45">
        <f t="shared" si="151"/>
        <v>0</v>
      </c>
      <c r="LF45">
        <f t="shared" si="152"/>
        <v>0</v>
      </c>
      <c r="LG45" t="str">
        <f t="shared" si="153"/>
        <v/>
      </c>
      <c r="LH45" t="str">
        <f t="shared" si="154"/>
        <v/>
      </c>
      <c r="LI45" t="str">
        <f t="shared" si="155"/>
        <v/>
      </c>
      <c r="LJ45" t="str">
        <f t="shared" si="156"/>
        <v/>
      </c>
      <c r="LK45" t="str">
        <f t="shared" si="157"/>
        <v/>
      </c>
      <c r="LL45">
        <f t="shared" si="158"/>
        <v>0</v>
      </c>
      <c r="LM45">
        <f t="shared" si="159"/>
        <v>0</v>
      </c>
      <c r="LN45">
        <f t="shared" si="160"/>
        <v>0</v>
      </c>
      <c r="LO45">
        <v>0</v>
      </c>
      <c r="LP45">
        <f t="shared" si="161"/>
        <v>0</v>
      </c>
      <c r="LQ45" t="str">
        <f t="shared" si="162"/>
        <v/>
      </c>
      <c r="LR45">
        <f t="shared" si="163"/>
        <v>0</v>
      </c>
      <c r="LS45">
        <f t="shared" si="164"/>
        <v>0</v>
      </c>
      <c r="LT45">
        <f t="shared" si="165"/>
        <v>0</v>
      </c>
      <c r="LU45">
        <f t="shared" si="166"/>
        <v>0</v>
      </c>
      <c r="LV45">
        <f t="shared" si="167"/>
        <v>2</v>
      </c>
      <c r="LW45">
        <f t="shared" si="168"/>
        <v>2533508</v>
      </c>
      <c r="LX45">
        <f t="shared" si="169"/>
        <v>0</v>
      </c>
      <c r="LY45">
        <f t="shared" si="170"/>
        <v>0</v>
      </c>
      <c r="LZ45">
        <f t="shared" si="171"/>
        <v>0</v>
      </c>
      <c r="MA45">
        <f t="shared" si="172"/>
        <v>0</v>
      </c>
      <c r="MB45">
        <v>0</v>
      </c>
      <c r="MC45">
        <f t="shared" si="173"/>
        <v>1</v>
      </c>
      <c r="MD45">
        <f t="shared" si="174"/>
        <v>1</v>
      </c>
      <c r="ME45">
        <f t="shared" si="175"/>
        <v>0</v>
      </c>
      <c r="MF45">
        <f t="shared" si="176"/>
        <v>0</v>
      </c>
      <c r="MG45">
        <f t="shared" si="177"/>
        <v>0</v>
      </c>
      <c r="MH45">
        <f t="shared" si="178"/>
        <v>0</v>
      </c>
      <c r="MI45" t="str">
        <f t="shared" si="179"/>
        <v/>
      </c>
      <c r="MJ45">
        <f t="shared" si="180"/>
        <v>0</v>
      </c>
      <c r="MK45">
        <f t="shared" si="181"/>
        <v>0</v>
      </c>
      <c r="ML45">
        <f>IF(AND(OR('King Node Model'!$A$8="Neg",N($BG$72)=1),ISNUMBER($AA45),$AG45="R",N($AB45)&lt;0),IF(AND($AA44=$AA45+5,N($AB44)&gt;0,$AA43=$AA45+10,N($AB43)&lt;0),1,IF(AND($AA44=$AA45+5,N($AB44)&gt;0,$AA43=$AA45+10,N($AB43)&gt;0,$AA42=$AA45+15,N($AB42)&lt;0),2,IF(AND($AA44=$AA45+5,N($AB44)&gt;0,$AA43=$AA45+10,N($AB43)&gt;0,$AA42=$AA45+15,N($AB42)&gt;0,$AA41=$AA45+20,N($AB41)&lt;0),3,IF(AND($AA44=$AA45+5,N($AB44)&gt;0,$AA43=$AA45+10,N($AB43)&gt;0,$AA42=$AA45+15,N($AB42)&gt;0,$AA41=$AA45+20,N($AB41)&gt;0,$AA40=$AA45+25,N($AB40)&lt;0),4,0)))),0)</f>
      </c>
      <c r="MM45">
        <f>IF(AND(OR('King Node Model'!$A$8="Neg",N($BG$72)=1),ISNUMBER($AA45),$AG45="S",N($AB45)&lt;0),IF(AND($AA46=$AA45-5,N($AB46)&gt;0,$AA47=$AA45-10,N($AB47)&lt;0),1,IF(AND($AA46=$AA45-5,N($AB46)&gt;0,$AA47=$AA45-10,N($AB47)&gt;0,$AA48=$AA45-15,N($AB48)&lt;0),2,IF(AND($AA46=$AA45-5,N($AB46)&gt;0,$AA47=$AA45-10,N($AB47)&gt;0,$AA48=$AA45-15,N($AB48)&gt;0,$AA49=$AA45-20,N($AB49)&lt;0),3,IF(AND($AA46=$AA45-5,N($AB46)&gt;0,$AA47=$AA45-10,N($AB47)&gt;0,$AA48=$AA45-15,N($AB48)&gt;0,$AA49=$AA45-20,N($AB49)&gt;0,$AA50=$AA45-25,N($AB50)&lt;0),4,0)))),0)</f>
      </c>
      <c r="MN45">
        <f>IF(N($ML45)&gt;0,$AA45,0)</f>
      </c>
      <c r="MO45">
        <f>IF(N($MM45)&gt;0,$AA45,0)</f>
      </c>
      <c r="MP45">
        <f>IF(AND(OR('King Node Model'!$A$8="Neg",N($BG$72)=1),ISNUMBER($BG$155),$AA45=$BG$155,N($NC45)=1),2,IF(AND(OR('King Node Model'!$A$8="Neg",N($BG$72)=1),ISNUMBER($BG$156),$AA45=$BG$156,N($ND45)=1),1,0))</f>
      </c>
      <c r="MQ45">
        <f>IF(ABS(AE45)&lt;=0,0,IF($AG45="R",IF(ISNUMBER(AE44),IF((ABS(AE44)-ABS(AE45))/ABS(AE45)&lt;-0.4,1,0),0),IF(ISNUMBER(AE46),IF((ABS(AE46)-ABS(AE45))/ABS(AE45)&lt;-0.4,1,0),0)))</f>
      </c>
      <c r="MR45">
        <f>IF(OR(N($MQ45)&lt;&gt;1,N($BG$157)&lt;&gt;1,NOT(ISNUMBER($KU45)),NOT(ISNUMBER($KV45))),0,IF(OR(AND($AG45="S",OR(AND($KU45&gt;=$BG$114,$KU45&gt;=$KV45+$BG$115),AND($KU45&gt;1,$KV45&lt;=1,$KV45&gt;=$BG$114))),AND($AG45="R",OR(AND($KV45&gt;=$BG$114,$KV45&gt;=$KU45+$BG$115),AND($KV45&gt;1,$KU45&lt;=1,$KU45&gt;=$BG$114)))),1,0))</f>
      </c>
      <c r="MS45" t="str">
        <f>IF(AND(N($MR45)=1,N($NA45)&lt;&gt;1),"• DEX falls off more sharply "&amp;IF($AG45="S","above (","below (")&amp;TEXT(IF($AG45="S",$KU45,$KV45),"0%")&amp;") than "&amp;IF($AG45="S","below (","above (")&amp;TEXT(IF($AG45="S",$KV45,$KU45),"0%")&amp;") — Dex↓ not counted",IF(N($MW45)=1,"• Shoulder of the "&amp;IF($AG45="R",$AA46,$AA44)&amp;" wall — own DEX "&amp;TEXT($AE45/1000,"+#,##0;-#,##0")&amp;"K is "&amp;TEXT(ABS($AE45)/ABS(IF($AG45="R",$AE46,$AE44)),"0%")&amp;" of "&amp;TEXT(IF($AG45="R",$AE46,$AE44)/1000,"+#,##0;-#,##0")&amp;"K, Dex↓ not counted",""))</f>
      </c>
      <c r="MT45">
        <f>IF(AND(ISNUMBER($AA45),$AG45="S",ISNUMBER($AB45),$AB45=MIN($AB$9:$AB$55),$AA45=$BG$105,$JV45="BUY",ABS(N($AD45))&gt;=$BG$158),1,0)</f>
      </c>
      <c r="MU45" t="str">
        <f>IF(N($MY45)=1,"",IF(OR(N($MT45)=1,AND(OR('King Node Model'!$A$8="Neg",N($BG$72)=1),$AG45="S",ISNUMBER($AB45),$AB45=MIN($AB$9:$AB$55),$AA45=$BG$105)),"• Min GEX + Max Zomma (no reversal flag required) — accelerant warning not applied; zomma acceleration warning only within "&amp;$BG$98&amp;" pts of the level, and not when vanna buying is "&amp;TEXT($BG$158/1000,"0")&amp;"K or more"&amp;CHAR(10)&amp;IF(N($MT45)=1,"• Max Zomma and vanna buying ("&amp;TEXT(N($AD45)/1000,"+#,##0;-#,##0")&amp;"K) make this level safe","• Max Zomma is what makes this level safe"),"")&amp;$NB45&amp;$NI45)</f>
      </c>
      <c r="MV45" t="str">
        <f>IF(AND(ISNUMBER($AA45),OR($AA45=$BG$118,$AA45=$BG$119)),IF(N($AZ45)*IF($AG45="R",1,-1)&gt;0,"✓",IF(N($AZ45)*IF($AG45="R",1,-1)&lt;0,"✗","")),"")</f>
      </c>
      <c r="MW45">
        <f>IF(AND(N($MQ45)=1,N($BG$159)&gt;0,ISNUMBER(IF($AG45="R",$AE46,$AE44)),N(IF($AG45="R",$AE46,$AE44))&lt;&gt;0),IF(ABS(N($AE45))&lt;$BG$159*ABS(IF($AG45="R",$AE46,$AE44)),1,0),0)</f>
      </c>
      <c r="MX45">
        <f>IF(AND(ISNUMBER($AA45),$AA45=$BG$121,$AG45="R",N($AE45)&lt;0,OR(COUNTIF('King Node Model'!$AL$42:$AL$44,$AA45)=0,N($HP45)=1),N($NC45)=1),2,IF(AND(ISNUMBER($AA45),$AA45=$BG$120,$AG45="S",N($AE45)&gt;0,OR(COUNTIF('King Node Model'!$AL$49:$AL$51,$AA45)=0,N($HP45)=1),N($ND45)=1),1,0))</f>
      </c>
      <c r="MY45">
        <f>IF(AND(N($NA45)=1,NOT(AND(AND($AG45="S",ISNUMBER($AB45),$AB45=MIN($AB$9:$AB$55),$AA45=$BG$105),IFERROR(INDEX($AG$9:$AG$55,MATCH('King Node Model'!$B$23,$AA$9:$AA$55,0)),"")="R")),N($AV45)&lt;&gt;1),1,0)</f>
      </c>
      <c r="MZ45" t="str">
        <f>IF(N($MY45)&lt;&gt;1,"","• DEX falls off more sharply "&amp;IF($AG45="S","above (","below (")&amp;TEXT(IF($AG45="S",$KU45,$KV45),"0%")&amp;") than "&amp;IF($AG45="S","below (","above (")&amp;TEXT(IF($AG45="S",$KV45,$KU45),"0%")&amp;") — path of least resistance "&amp;IF($AG45="S","down","up")&amp;IF(N($AZ45)*IF($AG45="R",1,-1)&lt;0,CHAR(10)&amp;"• Speed against — GEX gets more negative as price "&amp;IF($AG45="R","rises","falls")&amp;" into it (speed "&amp;TEXT(N($AZ45),"#,##0;−#,##0")&amp;")","")&amp;IF(OR(N($NG45)=1,N($JC45)=1),CHAR(10)&amp;"• "&amp;IF(N($JC45)=1,"DOM with vanna BUY "&amp;TEXT(N($AD45)/1000,"+#,##0;−#,##0")&amp;"K","Put wall + Max Zomma + DOM")&amp;" backs the level, but it does not outweigh DEX"&amp;IF(N($AZ45)*IF($AG45="R",1,-1)&lt;0," and speed",""),IF(AND($AG45="S",ISNUMBER($AB45),$AB45=MIN($AB$9:$AB$55),$AA45=$BG$105),CHAR(10)&amp;"• Min GEX + Max Zomma backs the level, but it does not outweigh DEX"&amp;IF(N($AZ45)*IF($AG45="R",1,-1)&lt;0," and speed",""),IF(OR(N($JI45)=1,AND(N($GV45)=1,N($JK45)&lt;&gt;1,N($IW45)&lt;&gt;1),N($JC45)=1,AND($AA45='King Node Model'!$F$24,N($JN45)&lt;&gt;1,OR($AG45="R",AND($AG45="S",$F$4="High",IF($BG$80&lt;&gt;"",UPPER($BG$80),$D$5)="UP")))),CHAR(10)&amp;"• Vanna "&amp;IF($AG45="S","BUY ","SELL ")&amp;TEXT(N($AD45)/1000,"+#,##0;−#,##0")&amp;"K backs the level, but it does not outweigh DEX"&amp;IF(N($AZ45)*IF($AG45="R",1,-1)&lt;0," and speed",""),"")))&amp;IF(N($NE45)=1,CHAR(10)&amp;"• Buy-lean max-node exemption not applied — DEX leans against the level",""))</f>
      </c>
      <c r="NA45">
        <f>IF(AND(OR('King Node Model'!$A$8="Neg",N($BG$72)=1),ISNUMBER($AA45),ABS(N($AE45))&gt;=$BG$152,ISNUMBER($KU45),ISNUMBER($KV45)),IF(OR(AND($AG45="S",OR(AND($KU45&gt;=$BG$114,$KU45&gt;=$KV45+$BG$115),AND($KU45&gt;1,$KV45&lt;=1,$KV45&gt;=$BG$114))),AND($AG45="R",OR(AND($KV45&gt;=$BG$114,$KV45&gt;=$KU45+$BG$115),AND($KV45&gt;1,$KU45&lt;=1,$KU45&gt;=$BG$114)))),1,0),0)</f>
      </c>
      <c r="NB45" t="str">
        <f>IF(AND(N($NA45)=1,AND(AND($AG45="S",ISNUMBER($AB45),$AB45=MIN($AB$9:$AB$55),$AA45=$BG$105),IFERROR(INDEX($AG$9:$AG$55,MATCH('King Node Model'!$B$23,$AA$9:$AA$55,0)),"")="R")),CHAR(10)&amp;"• DEX falls off more sharply above ("&amp;TEXT($KU45,"0%")&amp;") than below ("&amp;TEXT($KV45,"0%")&amp;") — DEX-lean warning not applied: Min GEX + Max Zomma support with Max Gamma "&amp;'King Node Model'!$B$23&amp;" above (Dex↓ not counted)",IF(AND(OR(N($NA45)=1,N($NF45)=1),N($AV45)=1),IF(AND(OR('King Node Model'!$A$8="Neg",N($BG$72)=1),$AG45="S",ISNUMBER($AB45),$AB45=MIN($AB$9:$AB$55),$AA45=$BG$105),CHAR(10),"")&amp;"• DEX falls off more sharply "&amp;IF($AG45="S","above (","below (")&amp;TEXT(IF($AG45="S",$KU45,$KV45),"0%")&amp;") than "&amp;IF($AG45="S","below (","above (")&amp;TEXT(IF($AG45="S",$KV45,$KU45),"0%")&amp;") — DEX lean does not apply to iDex (isolated DEX)",""))</f>
      </c>
      <c r="NC45">
        <f>IF(OR($BG$163=1,AND($BG$161&gt;0,$BG$162&lt;99999,ISNUMBER($AA45),$AA45&lt;$BG$162)),1,0)</f>
      </c>
      <c r="ND45">
        <f>IF(OR($BG$163=-1,AND($BG$161&gt;0,$BG$162&lt;99999,ISNUMBER($AA45),$AA45&gt;$BG$161)),1,0)</f>
      </c>
      <c r="NE45">
        <f>IF(AND(OR('King Node Model'!$A$8="Neg",N($BG$72)=1),ISNUMBER(SEARCH("LOW",'Master Dashboard'!$M$5)),ISNUMBER(SEARCH("BUY",'Master Dashboard'!$G$8)),'King Node Model'!$T$23='King Node Model'!$B$23,OR($AA45='King Node Model'!$T$23,AND($AG45="R",$AA45='King Node Model'!$T$23+5)),OR(AND($AG45="S",$JV45="BUY"),AND($AG45="R",$JV45="SELL"))),1,0)</f>
      </c>
      <c r="NF45">
        <f>IFERROR(IF(OR(NOT(ISNUMBER($AA45)),'King Node Model'!$A$8&lt;&gt;"Pos",N($BG$72)=1,ABS(N($AE45))&lt;$BG$113,$FA45="DOM",$AA45='King Node Model'!$T$23,AND(N($BG$116)=1,$AA45='King Node Model'!$F$24),NOT(ISNUMBER($KU45)),NOT(ISNUMBER($KV45))),0,IF(AND($AG45="S",COUNTIF('Master Dashboard'!$AN$16:$AN$18,$AA45)=0,$KU45&gt;=$BG$114,$KU45&gt;=$KV45+$BG$115,NOT(AND(N($AN46)=1,N($KV45)&lt;0)),N($AE45)&lt;=0),1,IF(AND($AG45="R",COUNTIF('Master Dashboard'!$AN$13:$AN$15,$AA45)=0,$KV45&gt;=$BG$114,$KV45&gt;=$KU45+$BG$115,NOT(AND(N($AN44)=1,N($KU45)&lt;0))),-1,0))),0)</f>
      </c>
      <c r="NG45">
        <f t="shared" si="202"/>
      </c>
      <c r="NI45" t="str">
        <f>IF(AND(ISNUMBER($BG$165),ISNUMBER($AA45)),IF(OR(AND($AG45="S",$AA45&gt;$BG$165,$AA45-$BG$165&lt;=5),AND($AG45="R",$AA45&lt;$BG$165,$BG$165-$AA45&lt;=5)),IF(OR(AND(OR('King Node Model'!$A$8="Neg",N($BG$72)=1),$AG45="S",ISNUMBER($AB45),$AB45=MIN($AB$9:$AB$55),$AA45=$BG$105),$NB45&lt;&gt;""),CHAR(10),"")&amp;"• DOM forming at "&amp;$BG$165&amp;" (gamma "&amp;TEXT($BG$166,"0%")&amp;" of max) — price may be pulled to the node",""),"")</f>
      </c>
      <c r="NJ45">
        <f>IF(LEN($NI45)&gt;0,1,0)</f>
      </c>
    </row>
    <row r="46" spans="27:349" ht="15" customHeight="1" x14ac:dyDescent="0.25">
      <c r="AA46" s="181">
        <f>'King Node Model'!A66</f>
        <v>7700</v>
      </c>
      <c r="AB46" s="276">
        <f>'King Node Model'!C66</f>
        <v>-274698</v>
      </c>
      <c r="AC46" s="181">
        <f>ABS('King Node Model'!B66)</f>
        <v>414842</v>
      </c>
      <c r="AD46" s="276">
        <f>'King Node Model'!F66</f>
        <v>1178471</v>
      </c>
      <c r="AE46" s="276">
        <f>'King Node Model'!E66</f>
        <v>813766</v>
      </c>
      <c r="AF46" s="276">
        <f>'King Node Model'!D66</f>
        <v>-4539203</v>
      </c>
      <c r="AG46" s="181" t="str">
        <f t="shared" si="6"/>
        <v>S</v>
      </c>
      <c r="AH46" s="181">
        <f t="shared" si="7"/>
        <v>12</v>
      </c>
      <c r="AI46" s="181" t="str">
        <f t="shared" si="8"/>
        <v>SELL</v>
      </c>
      <c r="AJ46" s="181">
        <f t="shared" si="9"/>
        <v>1</v>
      </c>
      <c r="AK46" s="181">
        <f>IF(ABS(N($AE46))&gt;=$BG$85,1,0)</f>
      </c>
      <c r="AL46" s="181">
        <f t="shared" si="10"/>
        <v>0</v>
      </c>
      <c r="AM46" s="181">
        <f t="shared" si="11"/>
        <v>1</v>
      </c>
      <c r="AN46" s="181">
        <f t="shared" si="12"/>
        <v>0</v>
      </c>
      <c r="AO46" s="1" t="str">
        <f t="shared" si="13"/>
        <v/>
      </c>
      <c r="AP46" s="1">
        <f t="shared" si="14"/>
        <v>813766</v>
      </c>
      <c r="AQ46" s="1">
        <f t="shared" si="15"/>
        <v>4539203</v>
      </c>
      <c r="AR46" s="181">
        <f t="shared" si="16"/>
        <v>0.17422077640347466</v>
      </c>
      <c r="AS46" s="181">
        <f t="shared" si="17"/>
        <v>10</v>
      </c>
      <c r="AT46" s="181" t="str">
        <f t="shared" si="18"/>
        <v/>
      </c>
      <c r="AU46" s="181" t="str">
        <f t="shared" si="19"/>
        <v/>
      </c>
      <c r="AV46" s="218">
        <f t="shared" si="183"/>
        <v>0</v>
      </c>
      <c r="AW46" s="181">
        <f>ABS('King Node Model'!G66)</f>
        <v>765</v>
      </c>
      <c r="AX46" s="181">
        <f t="shared" si="20"/>
        <v>0</v>
      </c>
      <c r="AY46" s="181">
        <f t="shared" si="21"/>
        <v>0</v>
      </c>
      <c r="AZ46" s="276">
        <f>'King Node Model'!I66</f>
        <v>4302</v>
      </c>
      <c r="BA46" s="181">
        <f t="shared" si="22"/>
        <v>0</v>
      </c>
      <c r="BB46" s="181" t="str">
        <f t="shared" si="23"/>
        <v>S10</v>
      </c>
      <c r="BC46" s="10">
        <f>'King Node Model'!C66</f>
        <v>-274698</v>
      </c>
      <c r="BD46" s="218">
        <f t="shared" si="184"/>
        <v>0</v>
      </c>
      <c r="BE46" s="218">
        <f t="shared" si="185"/>
        <v>0</v>
      </c>
      <c r="BF46" s="218" t="s">
        <v>1255</v>
      </c>
      <c r="BG46">
        <v>2.5</v>
      </c>
      <c r="BI46" s="218">
        <f t="shared" si="186"/>
        <v>0</v>
      </c>
      <c r="BJ46" s="218">
        <f t="shared" si="187"/>
        <v>0</v>
      </c>
      <c r="BK46" s="218">
        <f t="shared" si="24"/>
        <v>0</v>
      </c>
      <c r="BL46" s="10">
        <f>'King Node Model'!H66</f>
        <v>37</v>
      </c>
      <c r="BM46" s="218">
        <f t="shared" si="25"/>
        <v>19</v>
      </c>
      <c r="BN46" s="218">
        <f t="shared" si="26"/>
        <v>9</v>
      </c>
      <c r="BO46" s="218">
        <f t="shared" si="27"/>
        <v>0</v>
      </c>
      <c r="BP46" s="218">
        <f t="shared" si="28"/>
        <v>0</v>
      </c>
      <c r="BQ46" t="str">
        <f t="shared" si="29"/>
        <v/>
      </c>
      <c r="BR46" t="str">
        <f t="shared" si="30"/>
        <v/>
      </c>
      <c r="BS46" s="218">
        <f t="shared" si="31"/>
        <v>0</v>
      </c>
      <c r="BT46" t="str">
        <f t="shared" si="32"/>
        <v/>
      </c>
      <c r="BU46" t="str">
        <f t="shared" si="33"/>
        <v/>
      </c>
      <c r="BV46" s="218">
        <f t="shared" si="34"/>
        <v>1178471</v>
      </c>
      <c r="BW46" s="218">
        <f t="shared" si="35"/>
        <v>813766</v>
      </c>
      <c r="BX46" s="218">
        <f>IF(AND(ISNUMBER(BC46),BC46&gt;=$BG$160,OR('King Node Model'!$A$8="Neg",N($BG$72)=1)),1,0)</f>
        <v>0</v>
      </c>
      <c r="BY46" s="218">
        <f t="shared" si="36"/>
        <v>0</v>
      </c>
      <c r="BZ46" s="218">
        <f t="shared" si="37"/>
        <v>0</v>
      </c>
      <c r="CA46" t="str">
        <f t="shared" si="38"/>
        <v/>
      </c>
      <c r="CB46" s="218">
        <f>IF(AND(ISNUMBER('King Node Model'!$D$27),AG46&lt;&gt;"",AA46='King Node Model'!$D$27),1,0)</f>
        <v>0</v>
      </c>
      <c r="CC46" s="218">
        <f>IF(OR('King Node Model'!$A$8="Neg",N($BG$72)=1),$BG$14*IF(ISNUMBER('King Node Model'!$D$26),MAX(0,1-ABS(AA46-'King Node Model'!$D$26)/$BG$18),0)+$BG$15*IFERROR(BV46/MAX($BV$9:$BV$55),0)+$BG$16*IFERROR(BW46/MAX($BW$9:$BW$55),0)+$BG$17*IFERROR(AC46/$S$11,0)*MAX(0,1+$BG$21*CF46),AR46)</f>
        <v>0.62650429715833644</v>
      </c>
      <c r="CD46" s="218">
        <f>IF(OR('King Node Model'!$A$8="Neg",N($BG$72)=1),IF(AND(AG46&lt;&gt;"",ABS(AA46-$B$4)&lt;=$BG$7,OR(AX46=0,$D$5&lt;&gt;"UP"),AY46=0,BK46&lt;&gt;1,CI46=0,AM46&gt;=$BG$20,AC46&gt;$BG$19),1,0),IF(AND(BS46=1,(COUNTIF($W$9:$W$14,AA46)+COUNTIF($W$18:$W$23,AA46))&gt;0,CI46=0,AM46&gt;=$BG$20,AC46&gt;$BG$19),1,0))</f>
        <v>0</v>
      </c>
      <c r="CE46" t="str">
        <f t="shared" si="39"/>
        <v/>
      </c>
      <c r="CF46" s="218">
        <f t="shared" si="40"/>
        <v>0</v>
      </c>
      <c r="CG46" t="str">
        <f t="shared" si="41"/>
        <v/>
      </c>
      <c r="CH46" t="str">
        <f t="shared" si="42"/>
        <v>Dormant</v>
      </c>
      <c r="CI46" s="218">
        <f t="shared" si="43"/>
        <v>0</v>
      </c>
      <c r="CJ46" s="218">
        <f t="shared" si="44"/>
        <v>387420489</v>
      </c>
      <c r="CK46" s="218">
        <f t="shared" si="45"/>
        <v>0</v>
      </c>
      <c r="CL46" s="218">
        <f t="shared" si="46"/>
        <v>0</v>
      </c>
      <c r="CR46" t="s">
        <v>1505</v>
      </c>
      <c r="CS46">
        <f>IFERROR(INDEX($AN$9:$AN$55,MATCH($CS$40,$AA$9:$AA$55,0)),"")</f>
        <v>1</v>
      </c>
      <c r="CU46" s="218">
        <f>IF(AND(AND('King Node Model'!$A$8&lt;&gt;"Neg",N($BG$72)&lt;&gt;1),SUMPRODUCT(($AG$9:$AG$55="S")*ISNUMBER($AT$9:$AT$55)*ISNUMBER($AU$9:$AU$55)*($AT$9:$AT$55&lt;&gt;$AU$9:$AU$55)*($AT$9:$AT$55&lt;=$AA46)*($AU$9:$AU$55&gt;=$AA46))&gt;0),0,IF(AND(OR($AA46='King Node Model'!$T$22,$AA46='King Node Model'!$F$24),$AG46="R",COUNTIF($W$9:$W$14,$AA46)&gt;0),1,IF(AND($FN46=1,$EU46&lt;&gt;1,$EM46&lt;&gt;1,$BK46&lt;&gt;1,$DH46&lt;&gt;1,$AG46="R",COUNTIF($W$9:$W$14,$AA46)&gt;0),1,IF($EU46=1,0,IF($EM46=1,0,IF(AND(OR($EE46=1,$GV46=1,AND($EL$7=1,$AA46='King Node Model'!$D$26,$EI46=1),AND(OR($AA46='King Node Model'!$T$22,$AA46='King Node Model'!$T$23),$AN46=1,OR($AX46=0,$D$5&lt;&gt;"UP"))),OR(NOT(OR('King Node Model'!$A$8="Neg",N($BG$72)=1)),$GV46=1,AND(OR($AA46='King Node Model'!$T$22,$AA46='King Node Model'!$T$23),$AN46=1,OR($AX46=0,$D$5&lt;&gt;"UP")),AND($AM46&gt;=$BG$20,$AC46&gt;IF($CZ46=1,$BG$48,$BG$19)))),1,IF($DH46=1,0,IF(AND($DC46=1,$GS46&lt;&gt;1,AND('King Node Model'!$A$8&lt;&gt;"Neg",N($BG$72)&lt;&gt;1)),0,IF(AND($EY46=1,NOT(OR('King Node Model'!$A$8="Neg",$BG$72=1)),$AA46&lt;&gt;'King Node Model'!$B$23),0,IF(AND($GS46=1,$AG46="R",OR($CI46=0,$EE46=1,$EX46=1,$GV46=1),COUNTIF($W$9:$W$14,$AA46)&gt;0,ABS($AA46-$B$4)&lt;=$BG$7,$BK46&lt;&gt;1,$AM46&gt;=$BG$20,$AC46&gt;IF($CZ46=1,$BG$48,$BG$19)),1,IF(OR('King Node Model'!$A$8="Neg",N($BG$72)=1),IF(AND(OR($AM46&gt;=$BG$20,$AA46='King Node Model'!$D$26,$GV46=1),$AG46="R",COUNTIF($W$9:$W$14,$AA46)&gt;0,ABS($AA46-$B$4)&lt;=$BG$7,OR($AX46=0,$D$5&lt;&gt;"UP"),$BK46&lt;&gt;1,OR(OR($CI46=0,$AJ46=1),AND($EI46=1,$LA46=1,COUNTIF($W$9:$W$11,$AA46)&gt;0,$AN46=1,OR($AX46=0,$D$5&lt;&gt;"UP"))),$AM46&gt;=$BG$20,$AC46&gt;IF($CZ46=1,$BG$48,$BG$19),OR($AN46=1,N($LR46)=1,$AA46='King Node Model'!$D$26,AND($BY46=1,$AA46&gt;$B$4),$BX46=1,$CF46=1,$CF46=1,AND(OR($AA46=$CP$4,$AA46=$CP$5,$AA46=$CP$6,$AA46=$CP$7),ABS($AA46-$B$4)&lt;=30),AND($AX46=1,$D$5="DOWN"))),1,0),IF(AND(OR($AM46&gt;=3,$AA46='King Node Model'!$D$26,$GV46=1),$AG46="R",COUNTIF($W$9:$W$14,$AA46)&gt;0,ABS($AA46-$B$4)&lt;=$BG$7,OR($AX46=0,$D$5&lt;&gt;"UP"),$BK46&lt;&gt;1,OR($CI46=0,$AJ46=1),$AM46&gt;=$BG$20,$AC46&gt;IF($CZ46=1,$BG$48,$BG$19),OR($AC46&gt;=MAX($AC$9:$AC$55),$BC46&gt;0,$AA46='King Node Model'!$D$26,AND(OR($AA46=$CP$4,$AA46=$CP$5,$AA46=$CP$6,$AA46=$CP$7),ABS($AA46-$B$4)&lt;=30),$CF46=1,$AN46=1,AND($AX46=1,$D$5="DOWN"))),1,0))))))))))))</f>
        <v>0</v>
      </c>
      <c r="CV46" s="218">
        <f>IF(AND(OR('King Node Model'!$A$8="Neg",N($BG$72)=1),$AG46="S",N($LR46)=1,N($MB46)=1),1,IF(AND(AND('King Node Model'!$A$8&lt;&gt;"Neg",N($BG$72)&lt;&gt;1),SUMPRODUCT(($AG$9:$AG$55="R")*ISNUMBER($AT$9:$AT$55)*ISNUMBER($AU$9:$AU$55)*($AT$9:$AT$55&lt;&gt;$AU$9:$AU$55)*($AT$9:$AT$55&lt;=$AA46)*($AU$9:$AU$55&gt;=$AA46))&gt;0,NOT(AND(N($LC46)=1,$AA46='King Node Model'!$B$23))),0,IF(AND($AA46='King Node Model'!$F$24,$AG46="S",COUNTIF($W$18:$W$23,$AA46)&gt;0),1,IF(AND($FN46=1,$EU46&lt;&gt;1,$EM46&lt;&gt;1,$DH46&lt;&gt;1,$AG46="S",COUNTIF($W$18:$W$23,$AA46)&gt;0),1,IF($EU46=1,0,IF(AND(OR($EF46=1,$GV46=1,AND(OR($AA46='King Node Model'!$T$22,$AA46='King Node Model'!$T$23,AND($AG46="S",COUNTIF('Master Dashboard'!$AN$16:$AN$18,$AA46)&gt;0)),$AN46=1,OR($AX46=0,$D$5&lt;&gt;"UP"))),OR(NOT(OR('King Node Model'!$A$8="Neg",N($BG$72)=1)),$GV46=1,AND(OR($AA46='King Node Model'!$T$22,$AA46='King Node Model'!$T$23,AND($AG46="S",COUNTIF('Master Dashboard'!$AN$16:$AN$18,$AA46)&gt;0)),$AN46=1,OR($AX46=0,$D$5&lt;&gt;"UP")),AND($AM46&gt;=$BG$20,$AC46&gt;IF($CZ46=1,$BG$48,$BG$19)))),1,IF($DH46=1,0,IF(AND($DC46=1,$GS46&lt;&gt;1,AND('King Node Model'!$A$8&lt;&gt;"Neg",N($BG$72)&lt;&gt;1)),0,IF(AND($EY46=1,NOT(OR('King Node Model'!$A$8="Neg",$BG$72=1)),$AA46&lt;&gt;'King Node Model'!$B$23,COUNTIF('Master Dashboard'!$AN$16:$AN$18,$AA46)=0),0,IF(AND($GS46=1,$AG46="S",OR($CI46=0,$EF46=1,$EX46=1,$GV46=1),COUNTIF($W$18:$W$23,$AA46)&gt;0,ABS($AA46-$B$4)&lt;=$BG$7,$BK46&lt;&gt;1,$AM46&gt;=$BG$20,$AC46&gt;IF($CZ46=1,$BG$48,$BG$19)),1,IF(OR('King Node Model'!$A$8="Neg",N($BG$72)=1),IF(AND(OR(OR($AM46&gt;=$BG$20,N($LR46)=1),$AA46='King Node Model'!$D$26,$GV46=1),$AG46="S",COUNTIF($W$18:$W$23,$AA46)&gt;0,ABS($AA46-$B$4)&lt;=$BG$7,OR($AX46=0,$D$5&lt;&gt;"UP"),$BK46&lt;&gt;1,OR($CI46=0,$AJ46=1,AND(N($LR46)=1,N($MB46)=1),N($MT46)=1),OR($AM46&gt;=$BG$20,N($LR46)=1),$AC46&gt;IF($CZ46=1,$BG$48,$BG$19),OR($AB46&gt;0,$AN46=1,N($MT46)=1,N($LR46)=1,$AA46='King Node Model'!$D$26,AND($BY46=1,$AA46&lt;$B$4),$BX46=1,$CF46=1,$CF46=1,AND(OR($AA46=$CP$4,$AA46=$CP$5,$AA46=$CP$6,$AA46=$CP$7),ABS($AA46-$B$4)&lt;=30),AND($AX46=1,$D$5="DOWN"))),1,0),IF(AND(OR($AM46&gt;=3,$AA46='King Node Model'!$D$26,$GV46=1),$AG46="S",COUNTIF($W$18:$W$23,$AA46)&gt;0,ABS($AA46-$B$4)&lt;=$BG$7,OR($AX46=0,$D$5&lt;&gt;"UP"),$BK46&lt;&gt;1,OR($CI46=0,$AJ46=1,AND(N($LR46)=1,N($MB46)=1),N($MT46)=1),$AM46&gt;=$BG$20,$AC46&gt;IF($CZ46=1,$BG$48,$BG$19),OR($AC46&gt;=MAX($AC$9:$AC$55),$BC46&gt;0,N($MT46)=1,$AA46='King Node Model'!$D$26,AND(OR($AA46=$CP$4,$AA46=$CP$5,$AA46=$CP$6,$AA46=$CP$7),ABS($AA46-$B$4)&lt;=30),$CF46=1,$AN46=1,AND($AX46=1,$D$5="DOWN"))),1,0))))))))))))</f>
        <v>0</v>
      </c>
      <c r="CX46" s="218">
        <f t="shared" si="48"/>
        <v>0</v>
      </c>
      <c r="CY46" t="str">
        <f t="shared" si="49"/>
        <v/>
      </c>
      <c r="CZ46" s="218">
        <f t="shared" si="50"/>
        <v>0</v>
      </c>
      <c r="DA46" t="str">
        <f t="shared" si="51"/>
        <v/>
      </c>
      <c r="DB46">
        <f t="shared" si="52"/>
        <v>414842</v>
      </c>
      <c r="DC46" s="218">
        <f t="shared" si="53"/>
        <v>1</v>
      </c>
      <c r="DD46" s="218">
        <f t="shared" si="54"/>
        <v>1</v>
      </c>
      <c r="DE46" s="218">
        <f t="shared" si="55"/>
        <v>1</v>
      </c>
      <c r="DF46">
        <f t="shared" si="56"/>
        <v>7700</v>
      </c>
      <c r="DG46">
        <f t="shared" si="57"/>
        <v>7700</v>
      </c>
      <c r="DH46" s="218">
        <f t="shared" si="58"/>
        <v>0</v>
      </c>
      <c r="DI46">
        <v>1</v>
      </c>
      <c r="DJ46">
        <v>1</v>
      </c>
      <c r="DK46">
        <v>1616063</v>
      </c>
      <c r="DL46">
        <v>0</v>
      </c>
      <c r="DM46" t="str">
        <f>IF(AND($CV46=1,$AG46="S"),IF(AND(OR('King Node Model'!$A$8="Neg",N($BG$72)=1),'King Node Model'!$S$52=""),IF(OR(N($AN46)=1,N($LR46)=1,$AB46&gt;0,$AJ46=1,N($JO46)=1,AND(NOT($AE46&gt;0),NOT(IFERROR(AND(ISNUMBER($BC46),ISNUMBER($BC45),($BC46&gt;=0)&lt;&gt;($BC45&gt;=0)),FALSE())),OR(AND($BM46&lt;=6,$BN46&lt;=6),ABS($AA46-'King Node Model'!$T$23)&lt;=5,$LA46=1))),1,0),1),"")</f>
        <v/>
      </c>
      <c r="DN46" t="str">
        <f t="shared" si="59"/>
        <v/>
      </c>
      <c r="DO46" t="str">
        <f t="shared" si="60"/>
        <v>W-list</v>
      </c>
      <c r="DP46" t="str">
        <f>IF(AND(OR('King Node Model'!$A$8="Neg",N($BG$72)=1),$AG46="S",ISNUMBER($AT46),ISNUMBER($AU46),$AT46&lt;&gt;$AU46,$AA46=$AT46),IF(AND(SUMPRODUCT(($AA$9:$AA$55&gt;=$AT46)*($AA$9:$AA$55&lt;=$AU46)*($AB$9:$AB$55&gt;0))&gt;0,SUMPRODUCT(($AA$9:$AA$55&gt;=$AT46)*($AA$9:$AA$55&lt;=$AU46)*($DM$9:$DM$55=1))&gt;0,SUMPRODUCT(($AA$9:$AA$55&gt;=$AT46)*($AA$9:$AA$55&lt;=$AU46)*(COUNTIF($W$18:$W$20,$AA$9:$AA$55)&gt;0))&gt;0),1,0),"")</f>
        <v/>
      </c>
      <c r="DS46">
        <v>0</v>
      </c>
      <c r="DT46">
        <v>0</v>
      </c>
      <c r="DU46" t="str">
        <f>IF('King Node Model'!$A$8&lt;&gt;"Pos","",IF(OR($AA46="",NOT(ISNUMBER($AA46)),ABS($AA46-$B$4)&gt;$BG$7),"",TEXT($AA46,"0")&amp;" | "&amp;IF($AG46="","unclassified",IF($AG46&lt;&gt;IF($AA46&gt;$B$4,"R","S"),"orphan: in "&amp;$AG46&amp;"-list, "&amp;IF($AA46&lt;$B$4,"below","above")&amp;" spot",IF(IF($AG46="R",COUNTIF($W$9:$W$14,$AA46),COUNTIF($W$18:$W$23,$AA46))=0,"not in "&amp;$AG46&amp;"-list",IF($DH46=1,"absorbed into shelf box",IF($BK46=1,"absorbed: adjacent reversal",IF($CI46=1,"accel-accelerant",IF($AC46&lt;=$BG$19,"below gamma-floor",IF($AM46&lt;$BG$20,"confluence "&amp;TEXT($AM46,"0")&amp;" &lt; "&amp;TEXT($BG$20,"0"),IF(AND($AX46=1,$D$5="UP"),"accelerant in up-move",IF(NOT(OR($AC46&gt;=MAX($AC$9:$AC$55),$BC46&gt;0,$AA46='King Node Model'!$D$26,AND(OR($AA46=$CP$4,$AA46=$CP$5,$AA46=$CP$6,$AA46=$CP$7),ABS($AA46-$B$4)&lt;=30),ISNUMBER(SEARCH("STRENGTHENING",$CG46)),$AN46=1,AND($AX46=1,$D$5="DOWN"))),"no surface flag","-&gt; qualifies"))))))))))))</f>
        <v/>
      </c>
      <c r="DV46" s="218">
        <f t="shared" si="61"/>
        <v>99999</v>
      </c>
      <c r="DW46" s="218">
        <f t="shared" si="62"/>
        <v>99999</v>
      </c>
      <c r="DX46" t="str">
        <f>IF('King Node Model'!$A$8&lt;&gt;"Pos","",IF(AND($DV46&lt;99999,$DV46=MIN($DV$9:$DV$55),$DG46&gt;$AA46),"R-box: "&amp;TEXT($AA46,"0")&amp;"-"&amp;TEXT($DG46,"0"),IF(AND($DW46&lt;99999,$DW46=MIN($DW$9:$DW$55),$DF46&lt;$AA46),"S-box: "&amp;TEXT($DF46,"0")&amp;"-"&amp;TEXT($AA46,"0"),"")))</f>
        <v/>
      </c>
      <c r="EB46">
        <f t="shared" si="63"/>
        <v>75.390000000000327</v>
      </c>
      <c r="EC46">
        <f t="shared" si="64"/>
        <v>538591</v>
      </c>
      <c r="ED46">
        <f t="shared" si="65"/>
        <v>0</v>
      </c>
      <c r="EE46">
        <f>IF(AND(OR('King Node Model'!$A$8="Neg",N($BG$72)=1),$AG46="R",ISNUMBER($EB46),$EB46&lt;=$BG$7,$AB46&gt;0,$EC46&gt;0,$AB46=$EC46),1,0)</f>
        <v>0</v>
      </c>
      <c r="EF46">
        <f>IF(AND(OR('King Node Model'!$A$8="Neg",N($BG$72)=1),$AG46="S",ISNUMBER($EB46),$EB46&lt;=$BG$7,$AB46&gt;0,$ED46&gt;0,$AB46=$ED46),1,0)</f>
        <v>0</v>
      </c>
      <c r="EI46">
        <v>1</v>
      </c>
      <c r="EJ46">
        <f>IF($AA46="",0,IF(SUMPRODUCT(($AA$9:$AA$55&gt;=$AT46)*($AA$9:$AA$55&lt;=$AU46)*($DT$9:$DT$55=1))+SUMPRODUCT(($DT$9:$DT$55=1)*($AT$9:$AT$55&lt;=$AA46)*($AU$9:$AU$55&gt;=$AA46))+($DT46=1)+AND(OR('King Node Model'!$A$8="Neg",N($BG$72)=1),ISNUMBER(SEARCH("LOW",'Master Dashboard'!$M$5)),ISNUMBER(SEARCH("BUY",'Master Dashboard'!$G$8)),'King Node Model'!$T$23='King Node Model'!$B$23,$AA46&gt;='King Node Model'!$T$23,$AA46&lt;='King Node Model'!$T$23+5)*1&gt;0,1,0))</f>
        <v>0</v>
      </c>
      <c r="EM46">
        <f t="shared" si="66"/>
        <v>0</v>
      </c>
      <c r="EN46">
        <v>0</v>
      </c>
      <c r="EO46">
        <f t="shared" si="67"/>
        <v>0</v>
      </c>
      <c r="EP46">
        <f t="shared" si="68"/>
        <v>0</v>
      </c>
      <c r="EQ46" t="str">
        <f t="shared" si="69"/>
        <v>ACCEL building · Neg gamma ↑ (weaker support) (sub-threshold)</v>
      </c>
      <c r="ES46" t="str">
        <f>IF(AND(ISNUMBER(AA46),ISNUMBER(AF46),ABS(AA46-'King Node Model'!$B$4)&lt;=$BG$7),ABS(AF46),"")</f>
        <v/>
      </c>
      <c r="ET46">
        <v>0</v>
      </c>
      <c r="EU46" s="218">
        <f>IF(AND(OR('King Node Model'!$A$8="Neg",N($BG$72)=1),ISNUMBER($AA45),ISNUMBER($AA46),ISNUMBER($AA47),ISNUMBER($AB45),ISNUMBER($AB46),ISNUMBER($AB47),ISNUMBER($AF46),$AB46&gt;0,$AB45&lt;0,$AB47&lt;0,$AF46&lt;0),1,0)</f>
        <v>0</v>
      </c>
      <c r="EW46">
        <f>IF(OR(N($MY46)=1,N($JM46)=1),0,N($NE46))</f>
        <v>0</v>
      </c>
      <c r="EX46">
        <f>IF(AND(OR('King Node Model'!$A$8="Neg",N($BG$72)=1),ISNUMBER($AA46),OR(AND($AA46='King Node Model'!$F$24,OR(AND($AG46="S",$F$4="High",IF($BG$80&lt;&gt;"",UPPER($BG$80),$D$5)="DOWN"),AND($AG46="R",$F$4="Low",IF($BG$80&lt;&gt;"",UPPER($BG$80),$D$5)="UP"))),$GV46=1)),1,0)</f>
        <v>0</v>
      </c>
      <c r="EY46">
        <f>IFERROR(IF(AND($DC46=1,$AB46&lt;0,$AC46&gt;=(1+$FA$6)*INDEX($AC$9:$AC$55,38-1),$AC46&gt;=(1+$FA$6)*INDEX($AC$9:$AC$55,38+1),$AC46&gt;=IFERROR(INDEX($AC$9:$AC$55,38-2),0),$AC46&gt;=IFERROR(INDEX($AC$9:$AC$55,38+2),0)),1,0),0)</f>
        <v>0</v>
      </c>
      <c r="FA46" t="str">
        <f>IF(NOT(ISNUMBER($AA46)),"",IFERROR(IF(AND($AC46=MAX($AC$9:$AC$55),$AB46=MIN($AB$9:$AB$55)),"DOM",IF(AND($DC45=1,$DC46=1,$DC47=1,INDEX($AC$9:$AC$55,38-1)&lt;=(1-$FA$6)*$AC46,INDEX($AC$9:$AC$55,38-1)&lt;=(1-$FA$6)*INDEX($AC$9:$AC$55,38-2)),"GAP↑",IF(AND($DC47=1,$DC46=1,INDEX($AC$9:$AC$55,38+1)&lt;=(1-$FA$6)*$AC46,INDEX($AC$9:$AC$55,38+1)&lt;=(1-$FA$6)*INDEX($AC$9:$AC$55,38+2)),"GAP↓",IF($CZ46=1,"dEdge Cliff",IF($GY46=1,"γWall",IF(AND($DC46=1,$AB46&lt;0,$AC46&gt;=(1+$FA$6)*INDEX($AC$9:$AC$55,38-1),$AC46&gt;=(1+$FA$6)*INDEX($AC$9:$AC$55,38+1)),"PEAK-",IF($GZ46=1,"γSh Edge",IF($HL46=1,"Trough",IF($HN46=1,"PEAK+",IF($GF46=1,"Cluster","")))))))))),""))</f>
        <v>Cluster</v>
      </c>
      <c r="FB46" t="str">
        <f t="shared" si="70"/>
        <v/>
      </c>
      <c r="FC46" t="str">
        <f t="shared" si="71"/>
        <v/>
      </c>
      <c r="FD46">
        <f>IF(AND(ISNUMBER($AA46),ISNUMBER('King Node Model'!$AP$17),ISNUMBER('King Node Model'!$AQ$17),$AA46&gt;=MIN('King Node Model'!$AP$17,'King Node Model'!$AQ$17),$AA46&lt;=MAX('King Node Model'!$AP$17,'King Node Model'!$AQ$17),IFERROR(INDEX($AC$9:$AC$55,MATCH('King Node Model'!$AL$42,$AA$9:$AA$55,0)),0)&gt;0,$AC46&gt;=(1-$FA$6)*IFERROR(INDEX($AC$9:$AC$55,MATCH('King Node Model'!$AL$42,$AA$9:$AA$55,0)),0),$AC46&lt;=(1+$FA$6)*IFERROR(INDEX($AC$9:$AC$55,MATCH('King Node Model'!$AL$42,$AA$9:$AA$55,0)),0)),1,0)</f>
        <v>0</v>
      </c>
      <c r="FE46">
        <f>IF($AA46='King Node Model'!$AL$42,1,IF(AND($FD46=1,$FE45=1),1,0))</f>
        <v>0</v>
      </c>
      <c r="FF46">
        <f>IF($AA46='King Node Model'!$AL$42,1,IF(AND($FD46=1,$FF47=1),1,0))</f>
        <v>0</v>
      </c>
      <c r="FG46" t="str">
        <f>IF(OR($FE46=1,$FF46=1),38,"")</f>
        <v/>
      </c>
      <c r="FJ46">
        <f>IF(AND($CW$2=1,ISNUMBER($AA46),ISNUMBER($CW$3),ISNUMBER($CW$4),$AA46&gt;=MIN($CW$3,$CW$4),$AA46&lt;=MAX($CW$3,$CW$4),IFERROR(INDEX($AC$9:$AC$55,MATCH('King Node Model'!$AP$67,$AA$9:$AA$55,0)),0)&gt;0,$AC46&gt;=(1-$FA$6)*IFERROR(INDEX($AC$9:$AC$55,MATCH('King Node Model'!$AP$67,$AA$9:$AA$55,0)),0),$AC46&lt;=(1+$FA$6)*IFERROR(INDEX($AC$9:$AC$55,MATCH('King Node Model'!$AP$67,$AA$9:$AA$55,0)),0)),1,0)</f>
        <v>0</v>
      </c>
      <c r="FK46">
        <f>IF(AND($CW$2=1,$AA46='King Node Model'!$AP$67),1,IF(AND($FJ46=1,$FK45=1),1,0))</f>
        <v>0</v>
      </c>
      <c r="FL46">
        <f>IF(AND($CW$2=1,$AA46='King Node Model'!$AP$67),1,IF(AND($FJ46=1,$FL47=1),1,0))</f>
        <v>0</v>
      </c>
      <c r="FM46" t="str">
        <f>IF(OR($FK46=1,$FL46=1),38,"")</f>
        <v/>
      </c>
      <c r="FN46">
        <v>0</v>
      </c>
      <c r="FR46" t="str">
        <f t="shared" si="72"/>
        <v/>
      </c>
      <c r="FS46">
        <f t="shared" si="188"/>
        <v>0</v>
      </c>
      <c r="FT46">
        <f t="shared" si="73"/>
        <v>-0.66217499674574898</v>
      </c>
      <c r="FU46">
        <f t="shared" si="74"/>
        <v>414842</v>
      </c>
      <c r="FV46">
        <f>IF($FW46=0,"",IF(OR($FW45=0,SIGN(IFERROR($BC46*1,0))&lt;&gt;SIGN(IFERROR($BC45*1,0)),$GH46=1,$GH45=1),MAX($FV$9:$FV45)+1,$FV45))</f>
        <v>14</v>
      </c>
      <c r="FW46">
        <f t="shared" si="75"/>
        <v>1</v>
      </c>
      <c r="FX46">
        <f t="shared" si="76"/>
        <v>414842</v>
      </c>
      <c r="FY46">
        <f t="shared" si="77"/>
        <v>1</v>
      </c>
      <c r="FZ46">
        <f t="shared" si="189"/>
        <v>1</v>
      </c>
      <c r="GA46">
        <f t="shared" si="78"/>
        <v>1</v>
      </c>
      <c r="GB46">
        <f t="shared" si="79"/>
        <v>2</v>
      </c>
      <c r="GC46">
        <f t="shared" si="80"/>
        <v>814176</v>
      </c>
      <c r="GD46">
        <f t="shared" si="81"/>
        <v>7700</v>
      </c>
      <c r="GE46">
        <f t="shared" si="82"/>
        <v>7705</v>
      </c>
      <c r="GF46">
        <f t="shared" si="83"/>
        <v>1</v>
      </c>
      <c r="GH46">
        <f>IFERROR(IF(AND($AC46&gt;=(1+$FA$6)*INDEX($AC$9:$AC$55,38-1),$AC46&gt;=(1+$FA$6)*INDEX($AC$9:$AC$55,38+1)),1,0),0)</f>
        <v>0</v>
      </c>
      <c r="GK46">
        <v>0</v>
      </c>
      <c r="GO46">
        <v>1</v>
      </c>
      <c r="GP46">
        <v>1</v>
      </c>
      <c r="GQ46">
        <f t="shared" si="84"/>
        <v>0</v>
      </c>
      <c r="GR46">
        <f t="shared" si="85"/>
        <v>1</v>
      </c>
      <c r="GS46">
        <f>IF(AND($EY46=1,$AA46&lt;&gt;'King Node Model'!$B$23),0,IF(OR($GQ46=1,$GR46=1),1,IF($DC46=1,IF(OR('King Node Model'!$A$8="Neg",N($BG$72)=1),IF(OR(AND($AC46=MAX($AC$9:$AC$55),$AB46=MIN($AB$9:$AB$55)),$AN46=1,$EE46=1,$EF46=1,$EX46=1,$GV46=1),1,0),1),0)))</f>
        <v>1</v>
      </c>
      <c r="GT46">
        <f>IFERROR(IF(AND(OR('King Node Model'!$A$8="Neg",N($BG$72)=1),$EU45=1,$AG46="R",ISNUMBER($AA46),ISNUMBER($AF46),$AF46&lt;&gt;0,$AA46&gt;$B$4-$BG$9,$AA46-$B$4&lt;=$BG$47,IF($KC46="UP",SIGN($AF46),IF($KC46="DOWN",-SIGN($AF46),0))&lt;&gt;1),1,0),0)</f>
        <v>0</v>
      </c>
      <c r="GU46" t="str">
        <f t="shared" si="86"/>
        <v/>
      </c>
      <c r="GV46">
        <f t="shared" si="87"/>
        <v>0</v>
      </c>
      <c r="GW46" t="str">
        <f t="shared" si="88"/>
        <v/>
      </c>
      <c r="GX46">
        <f t="shared" si="89"/>
        <v>75.390000000000327</v>
      </c>
      <c r="GY46">
        <f t="shared" si="90"/>
        <v>0</v>
      </c>
      <c r="GZ46">
        <f t="shared" si="91"/>
        <v>0</v>
      </c>
      <c r="HA46">
        <v>1</v>
      </c>
      <c r="HF46">
        <f>IFERROR(IF(AND($GZ46=1,'King Node Model'!$A$8="Pos",$D$5="UP",$CF46=-1,$AJ46&lt;&gt;1),1,0),0)</f>
        <v>0</v>
      </c>
      <c r="HG46">
        <f t="shared" si="92"/>
        <v>1</v>
      </c>
      <c r="HH46">
        <f>IF($GZ46=1,"",IFERROR(IF(NOT(ISNUMBER($AA46)),"",IF($EY46=1,"",IF($GF46=1,IF($GD46=$GE46,"",$GD46),IF(OR(AND($DC45=1,$DC46=1,$DC47=1,INDEX($AC$9:$AC$55,38-1)&lt;=(1-$FA$6)*$AC46,INDEX($AC$9:$AC$55,38-1)&lt;=(1-$FA$6)*INDEX($AC$9:$AC$55,38-2)),AND($DC47=1,$DC46=1,INDEX($AC$9:$AC$55,38+1)&lt;=(1-$FA$6)*$AC46,INDEX($AC$9:$AC$55,38+1)&lt;=(1-$FA$6)*INDEX($AC$9:$AC$55,38+2)),AND($DC46=1,OR(INDEX($DC$9:$DC$55,38-1)=0,INDEX($DC$9:$DC$55,38+1)=0))),IF(MIN($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MAX($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MIN($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f>
        <v>7700</v>
      </c>
      <c r="HI46">
        <f>IF($GZ46=1,"",IFERROR(IF(NOT(ISNUMBER($AA46)),"",IF($EY46=1,"",IF($GF46=1,IF($GD46=$GE46,"",$GE46),IF(OR(AND($DC45=1,$DC46=1,$DC47=1,INDEX($AC$9:$AC$55,38-1)&lt;=(1-$FA$6)*$AC46,INDEX($AC$9:$AC$55,38-1)&lt;=(1-$FA$6)*INDEX($AC$9:$AC$55,38-2)),AND($DC47=1,$DC46=1,INDEX($AC$9:$AC$55,38+1)&lt;=(1-$FA$6)*$AC46,INDEX($AC$9:$AC$55,38+1)&lt;=(1-$FA$6)*INDEX($AC$9:$AC$55,38+2)),AND($DC46=1,OR(INDEX($DC$9:$DC$55,38-1)=0,INDEX($DC$9:$DC$55,38+1)=0))),IF(MIN($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MAX($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MAX($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f>
        <v>7705</v>
      </c>
      <c r="HL46">
        <f t="shared" si="93"/>
        <v>0</v>
      </c>
      <c r="HM46">
        <f>IFERROR(IF(AND($HL46=1,NOT(OR($AA46='King Node Model'!$T$22,$AA46='King Node Model'!$T$23,$AA46='King Node Model'!$F$24,AND($AG46="S",COUNTIF('Master Dashboard'!$AN$16:$AN$18,$AA46)&gt;0),AND($AG46="R",COUNTIF('Master Dashboard'!$AN$13:$AN$15,$AA46)&gt;0)))),1,0),0)</f>
        <v>0</v>
      </c>
      <c r="HN46">
        <f t="shared" si="94"/>
        <v>0</v>
      </c>
      <c r="HO46">
        <f t="shared" si="95"/>
        <v>0</v>
      </c>
      <c r="HP46">
        <f t="shared" si="96"/>
        <v>1</v>
      </c>
      <c r="HQ46" t="str">
        <f>IF(NOT(ISNUMBER($AA46)),"",IFERROR(TRIM(IF(N($MY46)=1,"DEXLEAN ","")&amp;IF(N($IZ46)=1,"DEXCAP ","")&amp;IF(AND($AG46="S",UPPER('King Node Model'!$L$5)="HIGH",$KC46="DOWN",N($AF46)&gt;0,$AA46='King Node Model'!$AN$70,$IY46="SELL"),"CHOPEDGEIV ","")&amp;IF(N($IS46)=1,"NOREV ","")&amp;IF(N($JY46)=1,"VFLAT ","")&amp;IF(N($KR46)=1,"GDEXVANNA ","")&amp;IF(N($LD46)=1,"KGSUPFAIL ","")&amp;IF(N($LE46)=1,"KGRESLEAK ","")&amp;IF(N($MH46)=1,"ZIGZAG ","")&amp;IF(N($KK46)=1,"DATAGAP ","")&amp;IF(N($KA46)&lt;&gt;0,"ACCUNDERCW ","")&amp;IF(AND($AG46="S",$HF46=1),"EDGE ","")&amp;IF(AND($HM46=1,'King Node Model'!$A$8="Pos",N($BG$72)&lt;&gt;1),"TROUGH ","")&amp;IF(AND($EU46=1,N($JZ46)&lt;&gt;1),"BUMP ","")&amp;IF(AND($GT46=1,N($JZ46)&lt;&gt;1),"SANDWICH ","")&amp;IF(AND($EX46&lt;&gt;1,OR('King Node Model'!$A$8="Neg",N($BG$72)=1),OR(AND(ISNUMBER($AC46),$AC46=MAX($AC$9:$AC$55)),AND(ISNUMBER($AB46),$AB46=MIN($AB$9:$AB$55))),NOT(AND(AND(ISNUMBER($AC46),$AC46=MAX($AC$9:$AC$55)),AND(ISNUMBER($AB46),$AB46=MIN($AB$9:$AB$55)))),$AG46="S",N($AB46)&lt;0,NOT(COUNTIF('Master Dashboard'!$AN$16:$AN$18,$AA46)&gt;0),NOT(AND(OR('King Node Model'!$A$8="Neg",N($BG$72)=1),ISNUMBER($AB46),$AB46=MIN($AB$9:$AB$55),$AA46=$BG$105))),"ACCEL ","")&amp;IF(AND($EX46&lt;&gt;1,ISNUMBER($AA46),OR('King Node Model'!$A$8="Neg",N($BG$72)=1),$EY46=1,NOT(AND($AG46="S",COUNTIF('Master Dashboard'!$AN$16:$AN$18,$AA46)&gt;0)),NOT(AND($AA46='King Node Model'!$B$23,IF($AG46="S",OR($AA46='King Node Model'!$C$24,COUNTIF('Master Dashboard'!$AN$16:$AN$18,$AA46)&gt;0),OR($AA46='King Node Model'!$C$23,COUNTIF('Master Dashboard'!$AN$13:$AN$15,$AA46)&gt;0)))),NOT(AND($EX46&lt;&gt;1,OR('King Node Model'!$A$8="Neg",N($BG$72)=1),OR(AND(ISNUMBER($AC46),$AC46=MAX($AC$9:$AC$55)),AND(ISNUMBER($AB46),$AB46=MIN($AB$9:$AB$55))),NOT(AND(AND(ISNUMBER($AC46),$AC46=MAX($AC$9:$AC$55)),AND(ISNUMBER($AB46),$AB46=MIN($AB$9:$AB$55)))),$AG46="S",N($AB46)&lt;0,NOT(COUNTIF('Master Dashboard'!$AN$16:$AN$18,$AA46)&gt;0)))),"AMPLIFY ","")&amp;IF(AND($AG46="S",OR('King Node Model'!$A$8="Neg",N($BG$72)=1),$AJ46&lt;&gt;1,N($MT46)&lt;&gt;1,NOT(AND(N($LR46)=1,N($MB46)=1)),ISNUMBER(SEARCH("ACCEL building",$CG46))),"ZACCEL ","")&amp;IF(AND($AG46="S",OR('King Node Model'!$A$8="Neg",N($BG$72)=1),$AA46='King Node Model'!$B$23,NOT(AND(AND(ISNUMBER($AC46),$AC46=MAX($AC$9:$AC$55)),AND(ISNUMBER($AB46),$AB46=MIN($AB$9:$AB$55)))),$EJ46&lt;&gt;1),"KINGACC ","")&amp;IF(AND($AG46="S",OR('King Node Model'!$A$8="Neg",N($BG$72)=1),ABS(N($AA46)-N('King Node Model'!$B$23))&lt;=$BG$107,NOT(AND(SUMPRODUCT((ABS($AF$9:$AF$55)&lt;=ABS(N($AF46)))*1)/COUNT($AF$9:$AF$55)&gt;=0.66,OR(ISNUMBER(SEARCH("firmer resistance",$CG46)),ISNUMBER(SEARCH("STRENGTHENING",$CG46)),ISNUMBER(SEARCH("firmer support",$CG46))))),NOT(AND(N($AB46)&gt;0,SUMPRODUCT((ABS($AB$9:$AB$55)&lt;=ABS(N($AB46)))*1)/COUNT($AB$9:$AB$55)&gt;=0.66)),$EJ46&lt;&gt;1,$AJ46&lt;&gt;1,COUNTIF('Master Dashboard'!$AN$16:$AN$18,$AA46)=0,NOT(AND($AG46="S",OR('King Node Model'!$A$8="Neg",N($BG$72)=1),$AA46='King Node Model'!$B$23,NOT(AND(AND(ISNUMBER($AC46),$AC46=MAX($AC$9:$AC$55)),AND(ISNUMBER($AB46),$AB46=MIN($AB$9:$AB$55)))),$EJ46&lt;&gt;1))),"KINGNODE ","")&amp;IF(AND($AG46="R",NOT(AND(AND(ISNUMBER($AC46),$AC46=MAX($AC$9:$AC$55)),AND(ISNUMBER($AB46),$AB46=MIN($AB$9:$AB$55)))),UPPER('King Node Model'!$L$5)="LOW",$KC46="DOWN",N($AF46)&gt;0),"LOWIVFALL ","")&amp;IF(AND($AG46="R",NOT(AND(AND(ISNUMBER($AC46),$AC46=MAX($AC$9:$AC$55)),AND(ISNUMBER($AB46),$AB46=MIN($AB$9:$AB$55)))),UPPER('King Node Model'!$L$5)="HIGH",$KC46="DOWN",N($AF46)&gt;0,IFERROR(MATCH($AA46,$W$9:$W$14,0)&gt;=4,FALSE)),"HIGHIVFALL ","")&amp;IF(AND($AG46="R",N($BG$99)=1),"SPOTUPVOLUP ","")&amp;IF(AND($AG46="R",ISNUMBER(SEARCH("5/5",'Master Dashboard'!$E$29)),OR(ISNUMBER(SEARCH("WEAKENING",$EQ46)),ISNUMBER(SEARCH("Pos gamma ↓",$EQ46)),ISNUMBER(SEARCH("thinning the ceiling",$EQ46)))),"SQUEEZE ","")&amp;IF(N($JU46)=1,"DEDGECLIFF ","")&amp;IF(N($KT46)=1,"DEXDRAIN ","")&amp;IF(N($HW46)&lt;&gt;0,"DEXDROP ","")&amp;IF(N($HX46)&lt;&gt;0,"PEAK+ ","")&amp;IF(N($IF46)=1,"CHOP ","")&amp;IF(N($IQ46)=1,"CONTESTED ","")&amp;IF(N($IW46)=1,"VSELL ","")&amp;IF(N($JK46)=1,"VBUYRES ","")&amp;IF(N($JL46)=1,"DOMFLAT ","")&amp;IF(N($JM46)=1,"DOMPULL ","")&amp;IF(N($JP46)=1,"OIZOMMA ","")&amp;IF(AND(N($JQ46)=1,N($JZ46)&lt;&gt;1),"OIDEX ","")),""))</f>
        <v>VSELL</v>
      </c>
      <c r="HS46">
        <f>IFERROR(IF(AND($DC46=1,OR(AND($AG46="R",INDEX($DC$9:$DC$55,37)=0,INDEX($DC$9:$DC$55,39)=1,INDEX($DC$9:$DC$55,40)=1),AND($AG46="S",INDEX($DC$9:$DC$55,39)=0,INDEX($DC$9:$DC$55,37)=1,INDEX($DC$9:$DC$55,36)=1))),1,0),0)</f>
        <v>0</v>
      </c>
      <c r="HT46">
        <f t="shared" si="97"/>
        <v>0</v>
      </c>
      <c r="HU46">
        <v>0</v>
      </c>
      <c r="HV46">
        <v>0</v>
      </c>
      <c r="HW46">
        <f>IFERROR(IF(OR(NOT(ISNUMBER($AA46)),'King Node Model'!$A$8&lt;&gt;"Pos",N($BG$72)=1,ABS(N($AE46))&lt;$BG$113,N($AV46)=1,$FA46="DOM",$AA46='King Node Model'!$T$23,AND(N($BG$116)=1,$AA46='King Node Model'!$F$24),NOT(ISNUMBER($KU46)),NOT(ISNUMBER($KV46))),0,IF(AND($AG46="S",COUNTIF('Master Dashboard'!$AN$16:$AN$18,$AA46)=0,$KU46&gt;=$BG$114,$KU46&gt;=$KV46+$BG$115,NOT(AND(N($AN47)=1,N($KV46)&lt;0)),N($AE46)&lt;=0),1,IF(AND($AG46="R",COUNTIF('Master Dashboard'!$AN$13:$AN$15,$AA46)=0,$KV46&gt;=$BG$114,$KV46&gt;=$KU46+$BG$115,NOT(AND(N($AN45)=1,N($KU46)&lt;0))),-1,0))),0)</f>
        <v>0</v>
      </c>
      <c r="HX46">
        <f>IFERROR(IF(AND(ISNUMBER($AA46),$FA46="PEAK+",N($AN46)&lt;&gt;1,NOT(AND('King Node Model'!$A$8="Pos",OR($AA46='King Node Model'!$T$22,$AA46='King Node Model'!$T$23,$AA46='King Node Model'!$F$24))),IF($AG46="S",COUNTIF('Master Dashboard'!$AN$16:$AN$18,$AA46)=0,IF($AG46="R",COUNTIF('Master Dashboard'!$AN$13:$AN$15,$AA46)=0,FALSE))),1,0),0)</f>
        <v>0</v>
      </c>
      <c r="HY46">
        <f t="shared" si="98"/>
        <v>0.52680925394623146</v>
      </c>
      <c r="HZ46">
        <v>1</v>
      </c>
      <c r="IA46">
        <f>IFERROR(IF(AND(IF($BG$44=1,OR(ISNUMBER(SEARCH("Choppy",'King Node Model'!$S$38)),'King Node Model'!$S$52&lt;&gt;"",'King Node Model'!$A$8="Pos"),TRUE()),OR($DC46=1,$DC45=1,$DC47=1),ABS($AA46-$B$4)&lt;=$BG$7,ABS($AA46-$BG$28)&gt;=$BG$45,OR(AND($AA46&gt;$BG$28,$AG46="R"),AND($AA46&lt;$BG$28,$AG46="S",N($BG$154)=1)),ABS(IF($AA46&gt;$BG$28,$AE47,$AE45))&gt;=$BG$43,ABS(N(IF($AA46&gt;$BG$28,$AE45,$AE47)))&lt;=$BG$153*ABS(IF($AA46&gt;$BG$28,$AE47,$AE45)),IF(ISNUMBER($HZ46),$HZ46=1,AND(ISNUMBER($HY46),$HY46&gt;=$BG$42))),1,0),0)</f>
        <v>0</v>
      </c>
      <c r="IB46">
        <f t="shared" si="99"/>
        <v>0</v>
      </c>
      <c r="IC46" t="str">
        <f>IF(NOT(ISNUMBER($AA46)),"",IFERROR(MID(IF(AND($AC46=MAX($AC$9:$AC$55),$AB46=MIN($AB$9:$AB$55))," · DOM","")&amp;IF(AND($DC45=1,$DC46=1,$DC47=1,INDEX($AC$9:$AC$55,38-1)&lt;=(1-$FA$6)*$AC46,INDEX($AC$9:$AC$55,38-1)&lt;=(1-$FA$6)*INDEX($AC$9:$AC$55,38-2))," · GAP↑ → "&amp;INDEX($AA$9:$AA$55,38-2),"")&amp;IF(AND($DC47=1,$DC46=1,INDEX($AC$9:$AC$55,38+1)&lt;=(1-$FA$6)*$AC46,INDEX($AC$9:$AC$55,38+1)&lt;=(1-$FA$6)*INDEX($AC$9:$AC$55,38+2))," · GAP↓ → "&amp;INDEX($AA$9:$AA$55,38+2),"")&amp;IF($CZ46=1," · dEdge Cliff","")&amp;IF($GY46=1," · γWall","")&amp;IF(AND($DC46=1,$AB46&lt;0,$AC46&gt;=(1+$FA$6)*INDEX($AC$9:$AC$55,38-1),$AC46&gt;=(1+$FA$6)*INDEX($AC$9:$AC$55,38+1))," · PEAK-","")&amp;IF($GZ46=1," · γSh Edge","")&amp;IF($HL46=1," · Trough","")&amp;IF($HN46=1," · PEAK+","")&amp;IF($GF46=1," · Cluster",""),FIND(" · ",IF(AND($AC46=MAX($AC$9:$AC$55),$AB46=MIN($AB$9:$AB$55))," · DOM","")&amp;IF(AND($DC45=1,$DC46=1,$DC47=1,INDEX($AC$9:$AC$55,38-1)&lt;=(1-$FA$6)*$AC46,INDEX($AC$9:$AC$55,38-1)&lt;=(1-$FA$6)*INDEX($AC$9:$AC$55,38-2))," · GAP↑ → "&amp;INDEX($AA$9:$AA$55,38-2),"")&amp;IF(AND($DC47=1,$DC46=1,INDEX($AC$9:$AC$55,38+1)&lt;=(1-$FA$6)*$AC46,INDEX($AC$9:$AC$55,38+1)&lt;=(1-$FA$6)*INDEX($AC$9:$AC$55,38+2))," · GAP↓ → "&amp;INDEX($AA$9:$AA$55,38+2),"")&amp;IF($CZ46=1," · dEdge Cliff","")&amp;IF($GY46=1," · γWall","")&amp;IF(AND($DC46=1,$AB46&lt;0,$AC46&gt;=(1+$FA$6)*INDEX($AC$9:$AC$55,38-1),$AC46&gt;=(1+$FA$6)*INDEX($AC$9:$AC$55,38+1))," · PEAK-","")&amp;IF($GZ46=1," · γSh Edge","")&amp;IF($HL46=1," · Trough","")&amp;IF($HN46=1," · PEAK+","")&amp;IF($GF46=1," · Cluster",""),2),999),""))</f>
        <v/>
      </c>
      <c r="ID46" t="str">
        <f>IF(NOT(ISNUMBER($AA46)),"",IFERROR(MID(IF(AND($AC46=MAX($AC$9:$AC$55),$AB46=MIN($AB$9:$AB$55))," · DOM","")&amp;IF(AND($DC45=1,$DC46=1,$DC47=1,INDEX($AC$9:$AC$55,38-1)&lt;=(1-$FA$6)*$AC46,INDEX($AC$9:$AC$55,38-1)&lt;=(1-$FA$6)*INDEX($AC$9:$AC$55,38-2))," · GAP↑ → "&amp;INDEX($AA$9:$AA$55,38-2),"")&amp;IF(AND($DC47=1,$DC46=1,INDEX($AC$9:$AC$55,38+1)&lt;=(1-$FA$6)*$AC46,INDEX($AC$9:$AC$55,38+1)&lt;=(1-$FA$6)*INDEX($AC$9:$AC$55,38+2))," · GAP↓ → "&amp;INDEX($AA$9:$AA$55,38+2),"")&amp;IF($CZ46=1," · dEdge Cliff","")&amp;IF($GY46=1," · γWall","")&amp;IF(AND($DC46=1,$AB46&lt;0,$AC46&gt;=(1+$FA$6)*INDEX($AC$9:$AC$55,38-1),$AC46&gt;=(1+$FA$6)*INDEX($AC$9:$AC$55,38+1))," · PEAK-","")&amp;IF($GZ46=1," · γSh Edge","")&amp;IF($HL46=1," · Trough","")&amp;IF($HN46=1," · PEAK+","")&amp;IF(AND(NOT($HN46=1),NOT(AND($DC46=1,$AB46&lt;0)),N($GY46)&lt;&gt;1,N($GF46)&lt;&gt;1,N($GZ46)&lt;&gt;1,N($HL46)&lt;&gt;1,N($CZ46)&lt;&gt;1,NOT(AND($AC46=MAX($AC$9:$AC$55),$AB46=MIN($AB$9:$AB$55))),$AC46&gt;=(1+$FA$6)*INDEX($AC$9:$AC$55,38-1),$AC46&gt;=(1+$FA$6)*INDEX($AC$9:$AC$55,38+1))," · Knoll","")&amp;IF($GF46=1," · Cluster",""),4,999),""))</f>
        <v>Cluster</v>
      </c>
      <c r="IF46">
        <f t="shared" si="100"/>
        <v>0</v>
      </c>
      <c r="IG46">
        <f>IFERROR(IF(AND(ISNUMBER($AA46),'King Node Model'!$A$8="Pos",OR($AG46="S",$AG46="R"),$IN46="interior",COUNTIF(IF($AG46="S",'Master Dashboard'!$AN$16:$AN$18,'Master Dashboard'!$AN$13:$AN$15),$AA46)=0,$AA46&lt;&gt;'King Node Model'!$T$22,$AA46&lt;&gt;'King Node Model'!$T$23,$AA46&lt;&gt;'King Node Model'!$F$24),1,0),0)</f>
        <v>0</v>
      </c>
      <c r="IH46">
        <f t="shared" si="101"/>
        <v>0</v>
      </c>
      <c r="II46">
        <f t="shared" si="190"/>
        <v>0</v>
      </c>
      <c r="IJ46">
        <f t="shared" si="102"/>
        <v>0</v>
      </c>
      <c r="IK46">
        <f t="shared" si="103"/>
        <v>0</v>
      </c>
      <c r="IL46">
        <f t="shared" si="191"/>
        <v>0</v>
      </c>
      <c r="IM46">
        <f t="shared" si="104"/>
        <v>0</v>
      </c>
      <c r="IN46" t="str">
        <f t="shared" si="105"/>
        <v/>
      </c>
      <c r="IO46">
        <v>0</v>
      </c>
      <c r="IP46">
        <v>0</v>
      </c>
      <c r="IQ46">
        <f>IFERROR(IF($AG46="S",IF(OR(COUNTIF($W$9:$W$14,$AA46)&gt;0,COUNTIF('King Node Model'!$AL$42:'King Node Model'!$AL$43,$AA46)&gt;0),1,0),IF($AG46="R",IF(OR(COUNTIF($W$18:$W$23,$AA46)&gt;0,COUNTIF('King Node Model'!$AL$49:'King Node Model'!$AL$50,$AA46)&gt;0),1,0),0)),0)</f>
        <v>0</v>
      </c>
      <c r="IS46">
        <f>IF(AND(ISNUMBER($AA46),N($AN46)&lt;&gt;1,N($LR46)&lt;&gt;1,OR(N($EN46)&lt;&gt;1,AND('King Node Model'!$A$8&lt;&gt;"Neg",N($BG$72)&lt;&gt;1)),$AA46&lt;&gt;'King Node Model'!$T$22,$AA46&lt;&gt;'King Node Model'!$T$23,$AA46&lt;&gt;'King Node Model'!$F$24,NOT(AND($AG46="S",COUNTIF('Master Dashboard'!$AN$16:$AN$18,$AA46)&gt;0)),NOT(AND($AG46="R",COUNTIF('Master Dashboard'!$AN$13:$AN$15,$AA46)&gt;0)),NOT(AND('King Node Model'!$A$8&lt;&gt;"Neg",N($BG$72)&lt;&gt;1,COUNTIF('Master Dashboard'!$AN$13:$AN$18,$AA46)&gt;0))),1,0)</f>
        <v>0</v>
      </c>
      <c r="IT46">
        <v>0</v>
      </c>
      <c r="IU46">
        <f>IF(AND(ISNUMBER($AA46),$AA46='King Node Model'!$F$24,$AA46&gt;$GJ$3,N($AD46)&lt;0,$F$4="High"),1,0)</f>
        <v>0</v>
      </c>
      <c r="IV46" t="str">
        <f>""</f>
        <v/>
      </c>
      <c r="IW46">
        <f>IFERROR(IF(AND(ISNUMBER($AA46),NOT(AND(N($LR46)=1,N($MB46)=1)),$AG46="S",OR('King Node Model'!$A$8="Neg",N($BG$72)=1),$JV46="SELL",ABS(N($AD46))&gt;=$BG$94,NOT(AND(N($AD46)&gt;0,N($BG$78)=1,MEDIAN($AA46-$BG$82,$B$4,$AA46+$BG$83)=$B$4))),1,0),0)</f>
        <v>1</v>
      </c>
      <c r="IX46">
        <f>IFERROR(IF(AND(ISNUMBER($AA46),$AG46="S",OR('King Node Model'!$A$8="Neg",N($BG$72)=1),N($AD46)&gt;0,N($BG$78)=1,MEDIAN($AA46-$BG$82,$B$4,$AA46+$BG$83)=$B$4),1,0),0)</f>
        <v>0</v>
      </c>
      <c r="IY46" t="str">
        <f t="shared" si="106"/>
        <v>SELL</v>
      </c>
      <c r="IZ46">
        <f>IFERROR(IF(AND(ISNUMBER($AA46),$FA46&lt;&gt;"DOM",$AA46&lt;&gt;'King Node Model'!$F$24,OR(AND($AG46="S",COUNTIF('Master Dashboard'!$AN$16:$AN$18,$AA46)=0,N(INDEX($AE$9:$AE$55,MATCH($AA46+$BG$84,$AA$9:$AA$55,0)))&lt;=-$BG$85),AND($AG46="R",COUNTIF('Master Dashboard'!$AN$13:$AN$15,$AA46)=0,N(INDEX($AE$9:$AE$55,MATCH($AA46-$BG$84,$AA$9:$AA$55,0)))&gt;=$BG$85))),1,0),0)</f>
        <v>0</v>
      </c>
      <c r="JC46">
        <f t="shared" si="108"/>
        <v>0</v>
      </c>
      <c r="JD46" t="str">
        <f t="shared" si="193"/>
        <v/>
      </c>
      <c r="JE46">
        <f>IF(ISNUMBER($AA46),N(IFERROR(INDEX('King Node Model'!$L$29:$L$75,MATCH($AA46,'King Node Model'!$A$29:$A$75,0)),0)),"")</f>
        <v>5614</v>
      </c>
      <c r="JF46">
        <f>IF(ISNUMBER($AA46),N(IFERROR(INDEX('King Node Model'!$K$29:$K$75,MATCH($AA46,'King Node Model'!$A$29:$A$75,0)),0)),"")</f>
        <v>1141</v>
      </c>
      <c r="JG46">
        <f t="shared" si="109"/>
        <v>4.9202453987730062</v>
      </c>
      <c r="JH46">
        <f t="shared" si="110"/>
        <v>0.20324189526184538</v>
      </c>
      <c r="JI46">
        <f t="shared" si="111"/>
        <v>0</v>
      </c>
      <c r="JJ46" t="str">
        <f t="shared" si="112"/>
        <v/>
      </c>
      <c r="JK46">
        <f t="shared" si="113"/>
        <v>0</v>
      </c>
      <c r="JL46">
        <f t="shared" si="114"/>
        <v>0</v>
      </c>
      <c r="JM46">
        <f t="shared" si="115"/>
        <v>0</v>
      </c>
      <c r="JN46">
        <f t="shared" si="116"/>
        <v>0</v>
      </c>
      <c r="JO46">
        <f t="shared" si="117"/>
        <v>0</v>
      </c>
      <c r="JP46">
        <f t="shared" si="118"/>
        <v>0</v>
      </c>
      <c r="JQ46">
        <f t="shared" si="119"/>
        <v>0</v>
      </c>
      <c r="JR46">
        <v>0</v>
      </c>
      <c r="JS46">
        <f>IFERROR(IF(AND(ISNUMBER($AA46),'King Node Model'!$A$8="Pos",OR($AG46="S",$AG46="R"),N($AB46)&gt;0,N($HP46)&lt;&gt;1,OR(AND($KC46="DOWN",N($AF46)&lt;0,N($AF46)=MIN($AF$9:$AF$55),-N($AF46)&gt;=MAX($AF$9:$AF$55)),AND($KC46="UP",N($AF46)&gt;0,N($AF46)=MAX($AF$9:$AF$55),N($AF46)&gt;=-MIN($AF$9:$AF$55)))),1,0),0)</f>
        <v>0</v>
      </c>
      <c r="JT46">
        <v>0</v>
      </c>
      <c r="JU46">
        <f>IFERROR(IF(AND(N($BG$109)=1,ISNUMBER($AA46),'King Node Model'!$A$8="Pos",N($CZ46)=1,N($AB46)&gt;0),1,0),0)</f>
        <v>0</v>
      </c>
      <c r="JV46" t="str">
        <f t="shared" si="120"/>
        <v>SELL</v>
      </c>
      <c r="JW46">
        <f t="shared" si="121"/>
        <v>0</v>
      </c>
      <c r="JX46">
        <f t="shared" si="122"/>
        <v>0</v>
      </c>
      <c r="JY46">
        <f t="shared" si="123"/>
        <v>0</v>
      </c>
      <c r="JZ46">
        <f t="shared" si="124"/>
        <v>0</v>
      </c>
      <c r="KA46">
        <f t="shared" si="125"/>
        <v>0</v>
      </c>
      <c r="KB46">
        <f t="shared" si="126"/>
        <v>0</v>
      </c>
      <c r="KC46" t="str">
        <f t="shared" si="127"/>
        <v>UP</v>
      </c>
      <c r="KE46" t="str">
        <f t="shared" si="128"/>
        <v>Now: weakening the floor (IV rising) · if IV falls: strengthens the floor · expected on arrival: WEAKENS ✗</v>
      </c>
      <c r="KF46" t="str">
        <f t="shared" si="129"/>
        <v>SELL</v>
      </c>
      <c r="KG46">
        <f t="shared" si="192"/>
        <v>0</v>
      </c>
      <c r="KH46" t="str">
        <f t="shared" si="130"/>
        <v/>
      </c>
      <c r="KI46" t="str">
        <f t="shared" si="131"/>
        <v/>
      </c>
      <c r="KJ46">
        <f t="shared" si="132"/>
        <v>0</v>
      </c>
      <c r="KK46">
        <f t="shared" si="133"/>
        <v>0</v>
      </c>
      <c r="KL46">
        <f t="shared" si="134"/>
        <v>0</v>
      </c>
      <c r="KM46">
        <f t="shared" si="135"/>
        <v>0</v>
      </c>
      <c r="KN46">
        <f t="shared" si="136"/>
        <v>0</v>
      </c>
      <c r="KO46">
        <v>0</v>
      </c>
      <c r="KP46">
        <f t="shared" si="137"/>
        <v>0</v>
      </c>
      <c r="KQ46">
        <f t="shared" si="138"/>
        <v>0</v>
      </c>
      <c r="KR46">
        <f t="shared" si="139"/>
        <v>0</v>
      </c>
      <c r="KS46">
        <f t="shared" si="140"/>
        <v>0</v>
      </c>
      <c r="KT46">
        <f t="shared" si="141"/>
        <v>0</v>
      </c>
      <c r="KU46">
        <f>IF(AND(ISNUMBER($AA46),ISNUMBER($AE46),ISNUMBER($AE45),N($AE46)&lt;&gt;0),($AE46-$AE45)/$AE46,"")</f>
      </c>
      <c r="KV46">
        <f>IF(AND(ISNUMBER($AA46),ISNUMBER($AE46),ISNUMBER($AE47),N($AE46)&lt;&gt;0),($AE46-$AE47)/$AE46,"")</f>
      </c>
      <c r="KW46">
        <f>IFERROR(IF(OR(NOT(ISNUMBER($AA46)),'King Node Model'!$A$8&lt;&gt;"Pos",N($BG$72)=1,ABS(N($AE46))&lt;$BG$113,$FA46="DOM",$AA46='King Node Model'!$T$23,AND(N($BG$116)=1,$AA46='King Node Model'!$F$24),NOT(ISNUMBER($KU46)),NOT(ISNUMBER($KV46))),0,IF(AND($AG46="S",COUNTIF('Master Dashboard'!$AN$16:$AN$18,$AA46)=0,$KU46&gt;=$BG$114,$KU46&gt;=$KV46+$BG$115),1,IF(AND($AG46="R",COUNTIF('Master Dashboard'!$AN$13:$AN$15,$AA46)=0,$KV46&gt;=$BG$114,$KV46&gt;=$KU46+$BG$115),-1,0))),0)</f>
        <v>0</v>
      </c>
      <c r="KX46">
        <f t="shared" si="144"/>
        <v>0</v>
      </c>
      <c r="KY46">
        <f t="shared" si="145"/>
        <v>0</v>
      </c>
      <c r="KZ46">
        <f t="shared" si="146"/>
        <v>0</v>
      </c>
      <c r="LA46">
        <f t="shared" si="147"/>
        <v>0</v>
      </c>
      <c r="LB46">
        <f t="shared" si="148"/>
        <v>0</v>
      </c>
      <c r="LC46">
        <f t="shared" si="149"/>
        <v>0</v>
      </c>
      <c r="LD46">
        <f t="shared" si="150"/>
        <v>0</v>
      </c>
      <c r="LE46">
        <f t="shared" si="151"/>
        <v>0</v>
      </c>
      <c r="LF46">
        <f t="shared" si="152"/>
        <v>0</v>
      </c>
      <c r="LG46" t="str">
        <f t="shared" si="153"/>
        <v/>
      </c>
      <c r="LH46" t="str">
        <f t="shared" si="154"/>
        <v/>
      </c>
      <c r="LI46" t="str">
        <f t="shared" si="155"/>
        <v/>
      </c>
      <c r="LJ46" t="str">
        <f t="shared" si="156"/>
        <v/>
      </c>
      <c r="LK46" t="str">
        <f t="shared" si="157"/>
        <v/>
      </c>
      <c r="LL46">
        <f t="shared" si="158"/>
        <v>0</v>
      </c>
      <c r="LM46">
        <f t="shared" si="159"/>
        <v>0</v>
      </c>
      <c r="LN46">
        <f t="shared" si="160"/>
        <v>0</v>
      </c>
      <c r="LO46">
        <v>0</v>
      </c>
      <c r="LP46">
        <f t="shared" si="161"/>
        <v>0</v>
      </c>
      <c r="LQ46" t="str">
        <f t="shared" si="162"/>
        <v/>
      </c>
      <c r="LR46">
        <f t="shared" si="163"/>
        <v>0</v>
      </c>
      <c r="LS46">
        <f t="shared" si="164"/>
        <v>0</v>
      </c>
      <c r="LT46">
        <f t="shared" si="165"/>
        <v>0</v>
      </c>
      <c r="LU46">
        <f t="shared" si="166"/>
        <v>0</v>
      </c>
      <c r="LV46">
        <f t="shared" si="167"/>
        <v>1</v>
      </c>
      <c r="LW46">
        <f t="shared" si="168"/>
        <v>813766</v>
      </c>
      <c r="LX46">
        <f t="shared" si="169"/>
        <v>0</v>
      </c>
      <c r="LY46">
        <f t="shared" si="170"/>
        <v>0</v>
      </c>
      <c r="LZ46">
        <f t="shared" si="171"/>
        <v>0</v>
      </c>
      <c r="MA46">
        <f t="shared" si="172"/>
        <v>0</v>
      </c>
      <c r="MB46">
        <v>0</v>
      </c>
      <c r="MC46">
        <f t="shared" si="173"/>
        <v>1</v>
      </c>
      <c r="MD46">
        <f t="shared" si="174"/>
        <v>1</v>
      </c>
      <c r="ME46">
        <f t="shared" si="175"/>
        <v>0</v>
      </c>
      <c r="MF46">
        <f t="shared" si="176"/>
        <v>0</v>
      </c>
      <c r="MG46">
        <f t="shared" si="177"/>
        <v>0</v>
      </c>
      <c r="MH46">
        <f t="shared" si="178"/>
        <v>0</v>
      </c>
      <c r="MI46" t="str">
        <f t="shared" si="179"/>
        <v/>
      </c>
      <c r="MJ46">
        <f t="shared" si="180"/>
        <v>0</v>
      </c>
      <c r="MK46">
        <f t="shared" si="181"/>
        <v>0</v>
      </c>
      <c r="ML46">
        <f>IF(AND(OR('King Node Model'!$A$8="Neg",N($BG$72)=1),ISNUMBER($AA46),$AG46="R",N($AB46)&lt;0),IF(AND($AA45=$AA46+5,N($AB45)&gt;0,$AA44=$AA46+10,N($AB44)&lt;0),1,IF(AND($AA45=$AA46+5,N($AB45)&gt;0,$AA44=$AA46+10,N($AB44)&gt;0,$AA43=$AA46+15,N($AB43)&lt;0),2,IF(AND($AA45=$AA46+5,N($AB45)&gt;0,$AA44=$AA46+10,N($AB44)&gt;0,$AA43=$AA46+15,N($AB43)&gt;0,$AA42=$AA46+20,N($AB42)&lt;0),3,IF(AND($AA45=$AA46+5,N($AB45)&gt;0,$AA44=$AA46+10,N($AB44)&gt;0,$AA43=$AA46+15,N($AB43)&gt;0,$AA42=$AA46+20,N($AB42)&gt;0,$AA41=$AA46+25,N($AB41)&lt;0),4,0)))),0)</f>
      </c>
      <c r="MM46">
        <f>IF(AND(OR('King Node Model'!$A$8="Neg",N($BG$72)=1),ISNUMBER($AA46),$AG46="S",N($AB46)&lt;0),IF(AND($AA47=$AA46-5,N($AB47)&gt;0,$AA48=$AA46-10,N($AB48)&lt;0),1,IF(AND($AA47=$AA46-5,N($AB47)&gt;0,$AA48=$AA46-10,N($AB48)&gt;0,$AA49=$AA46-15,N($AB49)&lt;0),2,IF(AND($AA47=$AA46-5,N($AB47)&gt;0,$AA48=$AA46-10,N($AB48)&gt;0,$AA49=$AA46-15,N($AB49)&gt;0,$AA50=$AA46-20,N($AB50)&lt;0),3,IF(AND($AA47=$AA46-5,N($AB47)&gt;0,$AA48=$AA46-10,N($AB48)&gt;0,$AA49=$AA46-15,N($AB49)&gt;0,$AA50=$AA46-20,N($AB50)&gt;0,$AA51=$AA46-25,N($AB51)&lt;0),4,0)))),0)</f>
      </c>
      <c r="MN46">
        <f>IF(N($ML46)&gt;0,$AA46,0)</f>
      </c>
      <c r="MO46">
        <f>IF(N($MM46)&gt;0,$AA46,0)</f>
      </c>
      <c r="MP46">
        <f>IF(AND(OR('King Node Model'!$A$8="Neg",N($BG$72)=1),ISNUMBER($BG$155),$AA46=$BG$155,N($NC46)=1),2,IF(AND(OR('King Node Model'!$A$8="Neg",N($BG$72)=1),ISNUMBER($BG$156),$AA46=$BG$156,N($ND46)=1),1,0))</f>
      </c>
      <c r="MQ46">
        <f>IF(ABS(AE46)&lt;=0,0,IF($AG46="R",IF(ISNUMBER(AE45),IF((ABS(AE45)-ABS(AE46))/ABS(AE46)&lt;-0.4,1,0),0),IF(ISNUMBER(AE47),IF((ABS(AE47)-ABS(AE46))/ABS(AE46)&lt;-0.4,1,0),0)))</f>
      </c>
      <c r="MR46">
        <f>IF(OR(N($MQ46)&lt;&gt;1,N($BG$157)&lt;&gt;1,NOT(ISNUMBER($KU46)),NOT(ISNUMBER($KV46))),0,IF(OR(AND($AG46="S",OR(AND($KU46&gt;=$BG$114,$KU46&gt;=$KV46+$BG$115),AND($KU46&gt;1,$KV46&lt;=1,$KV46&gt;=$BG$114))),AND($AG46="R",OR(AND($KV46&gt;=$BG$114,$KV46&gt;=$KU46+$BG$115),AND($KV46&gt;1,$KU46&lt;=1,$KU46&gt;=$BG$114)))),1,0))</f>
      </c>
      <c r="MS46" t="str">
        <f>IF(AND(N($MR46)=1,N($NA46)&lt;&gt;1),"• DEX falls off more sharply "&amp;IF($AG46="S","above (","below (")&amp;TEXT(IF($AG46="S",$KU46,$KV46),"0%")&amp;") than "&amp;IF($AG46="S","below (","above (")&amp;TEXT(IF($AG46="S",$KV46,$KU46),"0%")&amp;") — Dex↓ not counted",IF(N($MW46)=1,"• Shoulder of the "&amp;IF($AG46="R",$AA47,$AA45)&amp;" wall — own DEX "&amp;TEXT($AE46/1000,"+#,##0;-#,##0")&amp;"K is "&amp;TEXT(ABS($AE46)/ABS(IF($AG46="R",$AE47,$AE45)),"0%")&amp;" of "&amp;TEXT(IF($AG46="R",$AE47,$AE45)/1000,"+#,##0;-#,##0")&amp;"K, Dex↓ not counted",""))</f>
      </c>
      <c r="MT46">
        <f>IF(AND(ISNUMBER($AA46),$AG46="S",ISNUMBER($AB46),$AB46=MIN($AB$9:$AB$55),$AA46=$BG$105,$JV46="BUY",ABS(N($AD46))&gt;=$BG$158),1,0)</f>
      </c>
      <c r="MU46" t="str">
        <f>IF(N($MY46)=1,"",IF(OR(N($MT46)=1,AND(OR('King Node Model'!$A$8="Neg",N($BG$72)=1),$AG46="S",ISNUMBER($AB46),$AB46=MIN($AB$9:$AB$55),$AA46=$BG$105)),"• Min GEX + Max Zomma (no reversal flag required) — accelerant warning not applied; zomma acceleration warning only within "&amp;$BG$98&amp;" pts of the level, and not when vanna buying is "&amp;TEXT($BG$158/1000,"0")&amp;"K or more"&amp;CHAR(10)&amp;IF(N($MT46)=1,"• Max Zomma and vanna buying ("&amp;TEXT(N($AD46)/1000,"+#,##0;-#,##0")&amp;"K) make this level safe","• Max Zomma is what makes this level safe"),"")&amp;$NB46&amp;$NI46)</f>
      </c>
      <c r="MV46" t="str">
        <f>IF(AND(ISNUMBER($AA46),OR($AA46=$BG$118,$AA46=$BG$119)),IF(N($AZ46)*IF($AG46="R",1,-1)&gt;0,"✓",IF(N($AZ46)*IF($AG46="R",1,-1)&lt;0,"✗","")),"")</f>
      </c>
      <c r="MW46">
        <f>IF(AND(N($MQ46)=1,N($BG$159)&gt;0,ISNUMBER(IF($AG46="R",$AE47,$AE45)),N(IF($AG46="R",$AE47,$AE45))&lt;&gt;0),IF(ABS(N($AE46))&lt;$BG$159*ABS(IF($AG46="R",$AE47,$AE45)),1,0),0)</f>
      </c>
      <c r="MX46">
        <f>IF(AND(ISNUMBER($AA46),$AA46=$BG$121,$AG46="R",N($AE46)&lt;0,OR(COUNTIF('King Node Model'!$AL$42:$AL$44,$AA46)=0,N($HP46)=1),N($NC46)=1),2,IF(AND(ISNUMBER($AA46),$AA46=$BG$120,$AG46="S",N($AE46)&gt;0,OR(COUNTIF('King Node Model'!$AL$49:$AL$51,$AA46)=0,N($HP46)=1),N($ND46)=1),1,0))</f>
      </c>
      <c r="MY46">
        <f>IF(AND(N($NA46)=1,NOT(AND(AND($AG46="S",ISNUMBER($AB46),$AB46=MIN($AB$9:$AB$55),$AA46=$BG$105),IFERROR(INDEX($AG$9:$AG$55,MATCH('King Node Model'!$B$23,$AA$9:$AA$55,0)),"")="R")),N($AV46)&lt;&gt;1),1,0)</f>
      </c>
      <c r="MZ46" t="str">
        <f>IF(N($MY46)&lt;&gt;1,"","• DEX falls off more sharply "&amp;IF($AG46="S","above (","below (")&amp;TEXT(IF($AG46="S",$KU46,$KV46),"0%")&amp;") than "&amp;IF($AG46="S","below (","above (")&amp;TEXT(IF($AG46="S",$KV46,$KU46),"0%")&amp;") — path of least resistance "&amp;IF($AG46="S","down","up")&amp;IF(N($AZ46)*IF($AG46="R",1,-1)&lt;0,CHAR(10)&amp;"• Speed against — GEX gets more negative as price "&amp;IF($AG46="R","rises","falls")&amp;" into it (speed "&amp;TEXT(N($AZ46),"#,##0;−#,##0")&amp;")","")&amp;IF(OR(N($NG46)=1,N($JC46)=1),CHAR(10)&amp;"• "&amp;IF(N($JC46)=1,"DOM with vanna BUY "&amp;TEXT(N($AD46)/1000,"+#,##0;−#,##0")&amp;"K","Put wall + Max Zomma + DOM")&amp;" backs the level, but it does not outweigh DEX"&amp;IF(N($AZ46)*IF($AG46="R",1,-1)&lt;0," and speed",""),IF(AND($AG46="S",ISNUMBER($AB46),$AB46=MIN($AB$9:$AB$55),$AA46=$BG$105),CHAR(10)&amp;"• Min GEX + Max Zomma backs the level, but it does not outweigh DEX"&amp;IF(N($AZ46)*IF($AG46="R",1,-1)&lt;0," and speed",""),IF(OR(N($JI46)=1,AND(N($GV46)=1,N($JK46)&lt;&gt;1,N($IW46)&lt;&gt;1),N($JC46)=1,AND($AA46='King Node Model'!$F$24,N($JN46)&lt;&gt;1,OR($AG46="R",AND($AG46="S",$F$4="High",IF($BG$80&lt;&gt;"",UPPER($BG$80),$D$5)="UP")))),CHAR(10)&amp;"• Vanna "&amp;IF($AG46="S","BUY ","SELL ")&amp;TEXT(N($AD46)/1000,"+#,##0;−#,##0")&amp;"K backs the level, but it does not outweigh DEX"&amp;IF(N($AZ46)*IF($AG46="R",1,-1)&lt;0," and speed",""),"")))&amp;IF(N($NE46)=1,CHAR(10)&amp;"• Buy-lean max-node exemption not applied — DEX leans against the level",""))</f>
      </c>
      <c r="NA46">
        <f>IF(AND(OR('King Node Model'!$A$8="Neg",N($BG$72)=1),ISNUMBER($AA46),ABS(N($AE46))&gt;=$BG$152,ISNUMBER($KU46),ISNUMBER($KV46)),IF(OR(AND($AG46="S",OR(AND($KU46&gt;=$BG$114,$KU46&gt;=$KV46+$BG$115),AND($KU46&gt;1,$KV46&lt;=1,$KV46&gt;=$BG$114))),AND($AG46="R",OR(AND($KV46&gt;=$BG$114,$KV46&gt;=$KU46+$BG$115),AND($KV46&gt;1,$KU46&lt;=1,$KU46&gt;=$BG$114)))),1,0),0)</f>
      </c>
      <c r="NB46" t="str">
        <f>IF(AND(N($NA46)=1,AND(AND($AG46="S",ISNUMBER($AB46),$AB46=MIN($AB$9:$AB$55),$AA46=$BG$105),IFERROR(INDEX($AG$9:$AG$55,MATCH('King Node Model'!$B$23,$AA$9:$AA$55,0)),"")="R")),CHAR(10)&amp;"• DEX falls off more sharply above ("&amp;TEXT($KU46,"0%")&amp;") than below ("&amp;TEXT($KV46,"0%")&amp;") — DEX-lean warning not applied: Min GEX + Max Zomma support with Max Gamma "&amp;'King Node Model'!$B$23&amp;" above (Dex↓ not counted)",IF(AND(OR(N($NA46)=1,N($NF46)=1),N($AV46)=1),IF(AND(OR('King Node Model'!$A$8="Neg",N($BG$72)=1),$AG46="S",ISNUMBER($AB46),$AB46=MIN($AB$9:$AB$55),$AA46=$BG$105),CHAR(10),"")&amp;"• DEX falls off more sharply "&amp;IF($AG46="S","above (","below (")&amp;TEXT(IF($AG46="S",$KU46,$KV46),"0%")&amp;") than "&amp;IF($AG46="S","below (","above (")&amp;TEXT(IF($AG46="S",$KV46,$KU46),"0%")&amp;") — DEX lean does not apply to iDex (isolated DEX)",""))</f>
      </c>
      <c r="NC46">
        <f>IF(OR($BG$163=1,AND($BG$161&gt;0,$BG$162&lt;99999,ISNUMBER($AA46),$AA46&lt;$BG$162)),1,0)</f>
      </c>
      <c r="ND46">
        <f>IF(OR($BG$163=-1,AND($BG$161&gt;0,$BG$162&lt;99999,ISNUMBER($AA46),$AA46&gt;$BG$161)),1,0)</f>
      </c>
      <c r="NE46">
        <f>IF(AND(OR('King Node Model'!$A$8="Neg",N($BG$72)=1),ISNUMBER(SEARCH("LOW",'Master Dashboard'!$M$5)),ISNUMBER(SEARCH("BUY",'Master Dashboard'!$G$8)),'King Node Model'!$T$23='King Node Model'!$B$23,OR($AA46='King Node Model'!$T$23,AND($AG46="R",$AA46='King Node Model'!$T$23+5)),OR(AND($AG46="S",$JV46="BUY"),AND($AG46="R",$JV46="SELL"))),1,0)</f>
      </c>
      <c r="NF46">
        <f>IFERROR(IF(OR(NOT(ISNUMBER($AA46)),'King Node Model'!$A$8&lt;&gt;"Pos",N($BG$72)=1,ABS(N($AE46))&lt;$BG$113,$FA46="DOM",$AA46='King Node Model'!$T$23,AND(N($BG$116)=1,$AA46='King Node Model'!$F$24),NOT(ISNUMBER($KU46)),NOT(ISNUMBER($KV46))),0,IF(AND($AG46="S",COUNTIF('Master Dashboard'!$AN$16:$AN$18,$AA46)=0,$KU46&gt;=$BG$114,$KU46&gt;=$KV46+$BG$115,NOT(AND(N($AN47)=1,N($KV46)&lt;0)),N($AE46)&lt;=0),1,IF(AND($AG46="R",COUNTIF('Master Dashboard'!$AN$13:$AN$15,$AA46)=0,$KV46&gt;=$BG$114,$KV46&gt;=$KU46+$BG$115,NOT(AND(N($AN45)=1,N($KU46)&lt;0))),-1,0))),0)</f>
      </c>
      <c r="NG46">
        <f t="shared" si="202"/>
      </c>
      <c r="NI46" t="str">
        <f>IF(AND(ISNUMBER($BG$165),ISNUMBER($AA46)),IF(OR(AND($AG46="S",$AA46&gt;$BG$165,$AA46-$BG$165&lt;=5),AND($AG46="R",$AA46&lt;$BG$165,$BG$165-$AA46&lt;=5)),IF(OR(AND(OR('King Node Model'!$A$8="Neg",N($BG$72)=1),$AG46="S",ISNUMBER($AB46),$AB46=MIN($AB$9:$AB$55),$AA46=$BG$105),$NB46&lt;&gt;""),CHAR(10),"")&amp;"• DOM forming at "&amp;$BG$165&amp;" (gamma "&amp;TEXT($BG$166,"0%")&amp;" of max) — price may be pulled to the node",""),"")</f>
      </c>
      <c r="NJ46">
        <f>IF(LEN($NI46)&gt;0,1,0)</f>
      </c>
    </row>
    <row r="47" spans="27:349" ht="15" customHeight="1" x14ac:dyDescent="0.25">
      <c r="AA47" s="181">
        <f>'King Node Model'!A67</f>
        <v>7695</v>
      </c>
      <c r="AB47" s="276">
        <f>'King Node Model'!C67</f>
        <v>-63476</v>
      </c>
      <c r="AC47" s="181">
        <f>ABS('King Node Model'!B67)</f>
        <v>72674</v>
      </c>
      <c r="AD47" s="276">
        <f>'King Node Model'!F67</f>
        <v>277575</v>
      </c>
      <c r="AE47" s="276">
        <f>'King Node Model'!E67</f>
        <v>53608</v>
      </c>
      <c r="AF47" s="276">
        <f>'King Node Model'!D67</f>
        <v>-1052789</v>
      </c>
      <c r="AG47" s="181" t="str">
        <f t="shared" si="6"/>
        <v>S</v>
      </c>
      <c r="AH47" s="181">
        <f t="shared" si="7"/>
        <v>20</v>
      </c>
      <c r="AI47" s="181" t="str">
        <f t="shared" si="8"/>
        <v>SELL</v>
      </c>
      <c r="AJ47" s="181">
        <f t="shared" si="9"/>
        <v>0</v>
      </c>
      <c r="AK47" s="181">
        <f>IF(ABS(N($AE47))&gt;=$BG$85,1,0)</f>
      </c>
      <c r="AL47" s="181">
        <f t="shared" si="10"/>
        <v>0</v>
      </c>
      <c r="AM47" s="181">
        <f t="shared" si="11"/>
        <v>1</v>
      </c>
      <c r="AN47" s="181">
        <f t="shared" si="12"/>
        <v>0</v>
      </c>
      <c r="AO47" s="1" t="str">
        <f t="shared" si="13"/>
        <v/>
      </c>
      <c r="AP47" s="1">
        <f t="shared" si="14"/>
        <v>53608</v>
      </c>
      <c r="AQ47" s="1">
        <f t="shared" si="15"/>
        <v>1052789</v>
      </c>
      <c r="AR47" s="181">
        <f t="shared" si="16"/>
        <v>0.11300234957971016</v>
      </c>
      <c r="AS47" s="181">
        <f t="shared" si="17"/>
        <v>14</v>
      </c>
      <c r="AT47" s="181" t="str">
        <f t="shared" si="18"/>
        <v/>
      </c>
      <c r="AU47" s="181" t="str">
        <f t="shared" si="19"/>
        <v/>
      </c>
      <c r="AV47" s="218">
        <f t="shared" si="183"/>
        <v>0</v>
      </c>
      <c r="AW47" s="181">
        <f>ABS('King Node Model'!G67)</f>
        <v>139</v>
      </c>
      <c r="AX47" s="181">
        <f t="shared" si="20"/>
        <v>0</v>
      </c>
      <c r="AY47" s="181">
        <f t="shared" si="21"/>
        <v>0</v>
      </c>
      <c r="AZ47" s="276">
        <f>'King Node Model'!I67</f>
        <v>969</v>
      </c>
      <c r="BA47" s="181">
        <f t="shared" si="22"/>
        <v>0</v>
      </c>
      <c r="BB47" s="181" t="str">
        <f t="shared" si="23"/>
        <v>S14</v>
      </c>
      <c r="BC47" s="10">
        <f>'King Node Model'!C67</f>
        <v>-63476</v>
      </c>
      <c r="BD47" s="218">
        <f t="shared" si="184"/>
        <v>0</v>
      </c>
      <c r="BE47" s="218">
        <f t="shared" si="185"/>
        <v>0</v>
      </c>
      <c r="BF47" t="s">
        <v>2007</v>
      </c>
      <c r="BG47">
        <v>10</v>
      </c>
      <c r="BI47" s="218">
        <f t="shared" si="186"/>
        <v>0</v>
      </c>
      <c r="BJ47" s="218">
        <f t="shared" si="187"/>
        <v>0</v>
      </c>
      <c r="BK47" s="218">
        <f t="shared" si="24"/>
        <v>0</v>
      </c>
      <c r="BL47" s="10">
        <f>'King Node Model'!H67</f>
        <v>7</v>
      </c>
      <c r="BM47" s="218">
        <f t="shared" si="25"/>
        <v>40</v>
      </c>
      <c r="BN47" s="218">
        <f t="shared" si="26"/>
        <v>34</v>
      </c>
      <c r="BO47" s="218">
        <f t="shared" si="27"/>
        <v>0</v>
      </c>
      <c r="BP47" s="218">
        <f t="shared" si="28"/>
        <v>0</v>
      </c>
      <c r="BQ47" t="str">
        <f t="shared" si="29"/>
        <v/>
      </c>
      <c r="BR47" t="str">
        <f t="shared" si="30"/>
        <v/>
      </c>
      <c r="BS47" s="218">
        <f t="shared" si="31"/>
        <v>0</v>
      </c>
      <c r="BT47" t="str">
        <f t="shared" si="32"/>
        <v/>
      </c>
      <c r="BU47" t="str">
        <f t="shared" si="33"/>
        <v/>
      </c>
      <c r="BV47" s="218">
        <f t="shared" si="34"/>
        <v>277575</v>
      </c>
      <c r="BW47" s="218">
        <f t="shared" si="35"/>
        <v>53608</v>
      </c>
      <c r="BX47" s="218">
        <f>IF(AND(ISNUMBER(BC47),BC47&gt;=$BG$160,OR('King Node Model'!$A$8="Neg",N($BG$72)=1)),1,0)</f>
        <v>0</v>
      </c>
      <c r="BY47" s="218">
        <f t="shared" si="36"/>
        <v>0</v>
      </c>
      <c r="BZ47" s="218">
        <f t="shared" si="37"/>
        <v>0</v>
      </c>
      <c r="CA47" t="str">
        <f t="shared" si="38"/>
        <v/>
      </c>
      <c r="CB47" s="218">
        <f>IF(AND(ISNUMBER('King Node Model'!$D$27),AG47&lt;&gt;"",AA47='King Node Model'!$D$27),1,0)</f>
        <v>0</v>
      </c>
      <c r="CC47" s="218">
        <f>IF(OR('King Node Model'!$A$8="Neg",N($BG$72)=1),$BG$14*IF(ISNUMBER('King Node Model'!$D$26),MAX(0,1-ABS(AA47-'King Node Model'!$D$26)/$BG$18),0)+$BG$15*IFERROR(BV47/MAX($BV$9:$BV$55),0)+$BG$16*IFERROR(BW47/MAX($BW$9:$BW$55),0)+$BG$17*IFERROR(AC47/$S$11,0)*MAX(0,1+$BG$21*CF47),AR47)</f>
        <v>9.8739839731182874E-2</v>
      </c>
      <c r="CD47" s="218">
        <f>IF(OR('King Node Model'!$A$8="Neg",N($BG$72)=1),IF(AND(AG47&lt;&gt;"",ABS(AA47-$B$4)&lt;=$BG$7,OR(AX47=0,$D$5&lt;&gt;"UP"),AY47=0,BK47&lt;&gt;1,CI47=0,AM47&gt;=$BG$20,AC47&gt;$BG$19),1,0),IF(AND(BS47=1,(COUNTIF($W$9:$W$14,AA47)+COUNTIF($W$18:$W$23,AA47))&gt;0,CI47=0,AM47&gt;=$BG$20,AC47&gt;$BG$19),1,0))</f>
        <v>0</v>
      </c>
      <c r="CE47" t="str">
        <f t="shared" si="39"/>
        <v/>
      </c>
      <c r="CF47" s="218">
        <f t="shared" si="40"/>
        <v>0</v>
      </c>
      <c r="CG47" t="str">
        <f t="shared" si="41"/>
        <v/>
      </c>
      <c r="CH47" t="str">
        <f t="shared" si="42"/>
        <v>Dormant</v>
      </c>
      <c r="CI47" s="218">
        <f t="shared" si="43"/>
        <v>0</v>
      </c>
      <c r="CJ47" s="218">
        <f t="shared" si="44"/>
        <v>387420489</v>
      </c>
      <c r="CK47" s="218">
        <f t="shared" si="45"/>
        <v>0</v>
      </c>
      <c r="CL47" s="218">
        <f t="shared" si="46"/>
        <v>0</v>
      </c>
      <c r="CR47" t="s">
        <v>1506</v>
      </c>
      <c r="CS47" t="str">
        <f>IFERROR(INDEX($CG$9:$CG$55,MATCH($CS$40,$AA$9:$AA$55,0)),"")</f>
        <v>ACCEL fading · Neg gamma ↓ (firmer support)</v>
      </c>
      <c r="CU47" s="218">
        <f>IF(AND(AND('King Node Model'!$A$8&lt;&gt;"Neg",N($BG$72)&lt;&gt;1),SUMPRODUCT(($AG$9:$AG$55="S")*ISNUMBER($AT$9:$AT$55)*ISNUMBER($AU$9:$AU$55)*($AT$9:$AT$55&lt;&gt;$AU$9:$AU$55)*($AT$9:$AT$55&lt;=$AA47)*($AU$9:$AU$55&gt;=$AA47))&gt;0),0,IF(AND(OR($AA47='King Node Model'!$T$22,$AA47='King Node Model'!$F$24),$AG47="R",COUNTIF($W$9:$W$14,$AA47)&gt;0),1,IF(AND($FN47=1,$EU47&lt;&gt;1,$EM47&lt;&gt;1,$BK47&lt;&gt;1,$DH47&lt;&gt;1,$AG47="R",COUNTIF($W$9:$W$14,$AA47)&gt;0),1,IF($EU47=1,0,IF($EM47=1,0,IF(AND(OR($EE47=1,$GV47=1,AND($EL$7=1,$AA47='King Node Model'!$D$26,$EI47=1),AND(OR($AA47='King Node Model'!$T$22,$AA47='King Node Model'!$T$23),$AN47=1,OR($AX47=0,$D$5&lt;&gt;"UP"))),OR(NOT(OR('King Node Model'!$A$8="Neg",N($BG$72)=1)),$GV47=1,AND(OR($AA47='King Node Model'!$T$22,$AA47='King Node Model'!$T$23),$AN47=1,OR($AX47=0,$D$5&lt;&gt;"UP")),AND($AM47&gt;=$BG$20,$AC47&gt;IF($CZ47=1,$BG$48,$BG$19)))),1,IF($DH47=1,0,IF(AND($DC47=1,$GS47&lt;&gt;1,AND('King Node Model'!$A$8&lt;&gt;"Neg",N($BG$72)&lt;&gt;1)),0,IF(AND($EY47=1,NOT(OR('King Node Model'!$A$8="Neg",$BG$72=1)),$AA47&lt;&gt;'King Node Model'!$B$23),0,IF(AND($GS47=1,$AG47="R",OR($CI47=0,$EE47=1,$EX47=1,$GV47=1),COUNTIF($W$9:$W$14,$AA47)&gt;0,ABS($AA47-$B$4)&lt;=$BG$7,$BK47&lt;&gt;1,$AM47&gt;=$BG$20,$AC47&gt;IF($CZ47=1,$BG$48,$BG$19)),1,IF(OR('King Node Model'!$A$8="Neg",N($BG$72)=1),IF(AND(OR($AM47&gt;=$BG$20,$AA47='King Node Model'!$D$26,$GV47=1),$AG47="R",COUNTIF($W$9:$W$14,$AA47)&gt;0,ABS($AA47-$B$4)&lt;=$BG$7,OR($AX47=0,$D$5&lt;&gt;"UP"),$BK47&lt;&gt;1,OR(OR($CI47=0,$AJ47=1),AND($EI47=1,$LA47=1,COUNTIF($W$9:$W$11,$AA47)&gt;0,$AN47=1,OR($AX47=0,$D$5&lt;&gt;"UP"))),$AM47&gt;=$BG$20,$AC47&gt;IF($CZ47=1,$BG$48,$BG$19),OR($AN47=1,N($LR47)=1,$AA47='King Node Model'!$D$26,AND($BY47=1,$AA47&gt;$B$4),$BX47=1,$CF47=1,$CF47=1,AND(OR($AA47=$CP$4,$AA47=$CP$5,$AA47=$CP$6,$AA47=$CP$7),ABS($AA47-$B$4)&lt;=30),AND($AX47=1,$D$5="DOWN"))),1,0),IF(AND(OR($AM47&gt;=3,$AA47='King Node Model'!$D$26,$GV47=1),$AG47="R",COUNTIF($W$9:$W$14,$AA47)&gt;0,ABS($AA47-$B$4)&lt;=$BG$7,OR($AX47=0,$D$5&lt;&gt;"UP"),$BK47&lt;&gt;1,OR($CI47=0,$AJ47=1),$AM47&gt;=$BG$20,$AC47&gt;IF($CZ47=1,$BG$48,$BG$19),OR($AC47&gt;=MAX($AC$9:$AC$55),$BC47&gt;0,$AA47='King Node Model'!$D$26,AND(OR($AA47=$CP$4,$AA47=$CP$5,$AA47=$CP$6,$AA47=$CP$7),ABS($AA47-$B$4)&lt;=30),$CF47=1,$AN47=1,AND($AX47=1,$D$5="DOWN"))),1,0))))))))))))</f>
        <v>0</v>
      </c>
      <c r="CV47" s="218">
        <f>IF(AND(OR('King Node Model'!$A$8="Neg",N($BG$72)=1),$AG47="S",N($LR47)=1,N($MB47)=1),1,IF(AND(AND('King Node Model'!$A$8&lt;&gt;"Neg",N($BG$72)&lt;&gt;1),SUMPRODUCT(($AG$9:$AG$55="R")*ISNUMBER($AT$9:$AT$55)*ISNUMBER($AU$9:$AU$55)*($AT$9:$AT$55&lt;&gt;$AU$9:$AU$55)*($AT$9:$AT$55&lt;=$AA47)*($AU$9:$AU$55&gt;=$AA47))&gt;0,NOT(AND(N($LC47)=1,$AA47='King Node Model'!$B$23))),0,IF(AND($AA47='King Node Model'!$F$24,$AG47="S",COUNTIF($W$18:$W$23,$AA47)&gt;0),1,IF(AND($FN47=1,$EU47&lt;&gt;1,$EM47&lt;&gt;1,$DH47&lt;&gt;1,$AG47="S",COUNTIF($W$18:$W$23,$AA47)&gt;0),1,IF($EU47=1,0,IF(AND(OR($EF47=1,$GV47=1,AND(OR($AA47='King Node Model'!$T$22,$AA47='King Node Model'!$T$23,AND($AG47="S",COUNTIF('Master Dashboard'!$AN$16:$AN$18,$AA47)&gt;0)),$AN47=1,OR($AX47=0,$D$5&lt;&gt;"UP"))),OR(NOT(OR('King Node Model'!$A$8="Neg",N($BG$72)=1)),$GV47=1,AND(OR($AA47='King Node Model'!$T$22,$AA47='King Node Model'!$T$23,AND($AG47="S",COUNTIF('Master Dashboard'!$AN$16:$AN$18,$AA47)&gt;0)),$AN47=1,OR($AX47=0,$D$5&lt;&gt;"UP")),AND($AM47&gt;=$BG$20,$AC47&gt;IF($CZ47=1,$BG$48,$BG$19)))),1,IF($DH47=1,0,IF(AND($DC47=1,$GS47&lt;&gt;1,AND('King Node Model'!$A$8&lt;&gt;"Neg",N($BG$72)&lt;&gt;1)),0,IF(AND($EY47=1,NOT(OR('King Node Model'!$A$8="Neg",$BG$72=1)),$AA47&lt;&gt;'King Node Model'!$B$23,COUNTIF('Master Dashboard'!$AN$16:$AN$18,$AA47)=0),0,IF(AND($GS47=1,$AG47="S",OR($CI47=0,$EF47=1,$EX47=1,$GV47=1),COUNTIF($W$18:$W$23,$AA47)&gt;0,ABS($AA47-$B$4)&lt;=$BG$7,$BK47&lt;&gt;1,$AM47&gt;=$BG$20,$AC47&gt;IF($CZ47=1,$BG$48,$BG$19)),1,IF(OR('King Node Model'!$A$8="Neg",N($BG$72)=1),IF(AND(OR(OR($AM47&gt;=$BG$20,N($LR47)=1),$AA47='King Node Model'!$D$26,$GV47=1),$AG47="S",COUNTIF($W$18:$W$23,$AA47)&gt;0,ABS($AA47-$B$4)&lt;=$BG$7,OR($AX47=0,$D$5&lt;&gt;"UP"),$BK47&lt;&gt;1,OR($CI47=0,$AJ47=1,AND(N($LR47)=1,N($MB47)=1),N($MT47)=1),OR($AM47&gt;=$BG$20,N($LR47)=1),$AC47&gt;IF($CZ47=1,$BG$48,$BG$19),OR($AB47&gt;0,$AN47=1,N($MT47)=1,N($LR47)=1,$AA47='King Node Model'!$D$26,AND($BY47=1,$AA47&lt;$B$4),$BX47=1,$CF47=1,$CF47=1,AND(OR($AA47=$CP$4,$AA47=$CP$5,$AA47=$CP$6,$AA47=$CP$7),ABS($AA47-$B$4)&lt;=30),AND($AX47=1,$D$5="DOWN"))),1,0),IF(AND(OR($AM47&gt;=3,$AA47='King Node Model'!$D$26,$GV47=1),$AG47="S",COUNTIF($W$18:$W$23,$AA47)&gt;0,ABS($AA47-$B$4)&lt;=$BG$7,OR($AX47=0,$D$5&lt;&gt;"UP"),$BK47&lt;&gt;1,OR($CI47=0,$AJ47=1,AND(N($LR47)=1,N($MB47)=1),N($MT47)=1),$AM47&gt;=$BG$20,$AC47&gt;IF($CZ47=1,$BG$48,$BG$19),OR($AC47&gt;=MAX($AC$9:$AC$55),$BC47&gt;0,N($MT47)=1,$AA47='King Node Model'!$D$26,AND(OR($AA47=$CP$4,$AA47=$CP$5,$AA47=$CP$6,$AA47=$CP$7),ABS($AA47-$B$4)&lt;=30),$CF47=1,$AN47=1,AND($AX47=1,$D$5="DOWN"))),1,0))))))))))))</f>
        <v>0</v>
      </c>
      <c r="CX47" s="218">
        <f t="shared" si="48"/>
        <v>0</v>
      </c>
      <c r="CY47" t="str">
        <f t="shared" si="49"/>
        <v/>
      </c>
      <c r="CZ47" s="218">
        <f t="shared" si="50"/>
        <v>0</v>
      </c>
      <c r="DA47" t="str">
        <f t="shared" si="51"/>
        <v/>
      </c>
      <c r="DB47" t="str">
        <f t="shared" si="52"/>
        <v/>
      </c>
      <c r="DC47" s="218">
        <f t="shared" si="53"/>
        <v>0</v>
      </c>
      <c r="DD47" s="218">
        <f t="shared" si="54"/>
        <v>0</v>
      </c>
      <c r="DE47" s="218">
        <f t="shared" si="55"/>
        <v>0</v>
      </c>
      <c r="DF47" t="str">
        <f t="shared" si="56"/>
        <v/>
      </c>
      <c r="DG47" t="str">
        <f t="shared" si="57"/>
        <v/>
      </c>
      <c r="DH47" s="218">
        <f t="shared" si="58"/>
        <v>0</v>
      </c>
      <c r="DI47">
        <v>1</v>
      </c>
      <c r="DJ47">
        <v>1</v>
      </c>
      <c r="DK47">
        <v>667974</v>
      </c>
      <c r="DL47">
        <v>0</v>
      </c>
      <c r="DM47" t="str">
        <f>IF(AND($CV47=1,$AG47="S"),IF(AND(OR('King Node Model'!$A$8="Neg",N($BG$72)=1),'King Node Model'!$S$52=""),IF(OR(N($AN47)=1,N($LR47)=1,$AB47&gt;0,$AJ47=1,N($JO47)=1,AND(NOT($AE47&gt;0),NOT(IFERROR(AND(ISNUMBER($BC47),ISNUMBER($BC46),($BC47&gt;=0)&lt;&gt;($BC46&gt;=0)),FALSE())),OR(AND($BM47&lt;=6,$BN47&lt;=6),ABS($AA47-'King Node Model'!$T$23)&lt;=5,$LA47=1))),1,0),1),"")</f>
        <v/>
      </c>
      <c r="DN47" t="str">
        <f t="shared" si="59"/>
        <v/>
      </c>
      <c r="DO47" t="str">
        <f t="shared" si="60"/>
        <v>W-list</v>
      </c>
      <c r="DP47" t="str">
        <f>IF(AND(OR('King Node Model'!$A$8="Neg",N($BG$72)=1),$AG47="S",ISNUMBER($AT47),ISNUMBER($AU47),$AT47&lt;&gt;$AU47,$AA47=$AT47),IF(AND(SUMPRODUCT(($AA$9:$AA$55&gt;=$AT47)*($AA$9:$AA$55&lt;=$AU47)*($AB$9:$AB$55&gt;0))&gt;0,SUMPRODUCT(($AA$9:$AA$55&gt;=$AT47)*($AA$9:$AA$55&lt;=$AU47)*($DM$9:$DM$55=1))&gt;0,SUMPRODUCT(($AA$9:$AA$55&gt;=$AT47)*($AA$9:$AA$55&lt;=$AU47)*(COUNTIF($W$18:$W$20,$AA$9:$AA$55)&gt;0))&gt;0),1,0),"")</f>
        <v/>
      </c>
      <c r="DS47">
        <v>0</v>
      </c>
      <c r="DT47">
        <v>0</v>
      </c>
      <c r="DU47" t="str">
        <f>IF('King Node Model'!$A$8&lt;&gt;"Pos","",IF(OR($AA47="",NOT(ISNUMBER($AA47)),ABS($AA47-$B$4)&gt;$BG$7),"",TEXT($AA47,"0")&amp;" | "&amp;IF($AG47="","unclassified",IF($AG47&lt;&gt;IF($AA47&gt;$B$4,"R","S"),"orphan: in "&amp;$AG47&amp;"-list, "&amp;IF($AA47&lt;$B$4,"below","above")&amp;" spot",IF(IF($AG47="R",COUNTIF($W$9:$W$14,$AA47),COUNTIF($W$18:$W$23,$AA47))=0,"not in "&amp;$AG47&amp;"-list",IF($DH47=1,"absorbed into shelf box",IF($BK47=1,"absorbed: adjacent reversal",IF($CI47=1,"accel-accelerant",IF($AC47&lt;=$BG$19,"below gamma-floor",IF($AM47&lt;$BG$20,"confluence "&amp;TEXT($AM47,"0")&amp;" &lt; "&amp;TEXT($BG$20,"0"),IF(AND($AX47=1,$D$5="UP"),"accelerant in up-move",IF(NOT(OR($AC47&gt;=MAX($AC$9:$AC$55),$BC47&gt;0,$AA47='King Node Model'!$D$26,AND(OR($AA47=$CP$4,$AA47=$CP$5,$AA47=$CP$6,$AA47=$CP$7),ABS($AA47-$B$4)&lt;=30),ISNUMBER(SEARCH("STRENGTHENING",$CG47)),$AN47=1,AND($AX47=1,$D$5="DOWN"))),"no surface flag","-&gt; qualifies"))))))))))))</f>
        <v/>
      </c>
      <c r="DV47" s="218">
        <f t="shared" si="61"/>
        <v>99999</v>
      </c>
      <c r="DW47" s="218">
        <f t="shared" si="62"/>
        <v>99999</v>
      </c>
      <c r="DX47" t="str">
        <f>IF('King Node Model'!$A$8&lt;&gt;"Pos","",IF(AND($DV47&lt;99999,$DV47=MIN($DV$9:$DV$55),$DG47&gt;$AA47),"R-box: "&amp;TEXT($AA47,"0")&amp;"-"&amp;TEXT($DG47,"0"),IF(AND($DW47&lt;99999,$DW47=MIN($DW$9:$DW$55),$DF47&lt;$AA47),"S-box: "&amp;TEXT($DF47,"0")&amp;"-"&amp;TEXT($AA47,"0"),"")))</f>
        <v/>
      </c>
      <c r="EB47">
        <f t="shared" si="63"/>
        <v>80.390000000000327</v>
      </c>
      <c r="EC47">
        <f t="shared" si="64"/>
        <v>538591</v>
      </c>
      <c r="ED47">
        <f t="shared" si="65"/>
        <v>0</v>
      </c>
      <c r="EE47">
        <f>IF(AND(OR('King Node Model'!$A$8="Neg",N($BG$72)=1),$AG47="R",ISNUMBER($EB47),$EB47&lt;=$BG$7,$AB47&gt;0,$EC47&gt;0,$AB47=$EC47),1,0)</f>
        <v>0</v>
      </c>
      <c r="EF47">
        <f>IF(AND(OR('King Node Model'!$A$8="Neg",N($BG$72)=1),$AG47="S",ISNUMBER($EB47),$EB47&lt;=$BG$7,$AB47&gt;0,$ED47&gt;0,$AB47=$ED47),1,0)</f>
        <v>0</v>
      </c>
      <c r="EI47">
        <v>1</v>
      </c>
      <c r="EJ47">
        <f>IF($AA47="",0,IF(SUMPRODUCT(($AA$9:$AA$55&gt;=$AT47)*($AA$9:$AA$55&lt;=$AU47)*($DT$9:$DT$55=1))+SUMPRODUCT(($DT$9:$DT$55=1)*($AT$9:$AT$55&lt;=$AA47)*($AU$9:$AU$55&gt;=$AA47))+($DT47=1)+AND(OR('King Node Model'!$A$8="Neg",N($BG$72)=1),ISNUMBER(SEARCH("LOW",'Master Dashboard'!$M$5)),ISNUMBER(SEARCH("BUY",'Master Dashboard'!$G$8)),'King Node Model'!$T$23='King Node Model'!$B$23,$AA47&gt;='King Node Model'!$T$23,$AA47&lt;='King Node Model'!$T$23+5)*1&gt;0,1,0))</f>
        <v>0</v>
      </c>
      <c r="EM47">
        <f t="shared" si="66"/>
        <v>0</v>
      </c>
      <c r="EN47">
        <v>0</v>
      </c>
      <c r="EO47">
        <f t="shared" si="67"/>
        <v>0</v>
      </c>
      <c r="EP47">
        <f t="shared" si="68"/>
        <v>0</v>
      </c>
      <c r="EQ47" t="str">
        <f t="shared" si="69"/>
        <v>thinning the floor (magnitude weak)</v>
      </c>
      <c r="ES47" t="str">
        <f>IF(AND(ISNUMBER(AA47),ISNUMBER(AF47),ABS(AA47-'King Node Model'!$B$4)&lt;=$BG$7),ABS(AF47),"")</f>
        <v/>
      </c>
      <c r="ET47">
        <v>0</v>
      </c>
      <c r="EU47" s="218">
        <f>IF(AND(OR('King Node Model'!$A$8="Neg",N($BG$72)=1),ISNUMBER($AA46),ISNUMBER($AA47),ISNUMBER($AA48),ISNUMBER($AB46),ISNUMBER($AB47),ISNUMBER($AB48),ISNUMBER($AF47),$AB47&gt;0,$AB46&lt;0,$AB48&lt;0,$AF47&lt;0),1,0)</f>
        <v>0</v>
      </c>
      <c r="EW47">
        <f>IF(OR(N($MY47)=1,N($JM47)=1),0,N($NE47))</f>
        <v>0</v>
      </c>
      <c r="EX47">
        <f>IF(AND(OR('King Node Model'!$A$8="Neg",N($BG$72)=1),ISNUMBER($AA47),OR(AND($AA47='King Node Model'!$F$24,OR(AND($AG47="S",$F$4="High",IF($BG$80&lt;&gt;"",UPPER($BG$80),$D$5)="DOWN"),AND($AG47="R",$F$4="Low",IF($BG$80&lt;&gt;"",UPPER($BG$80),$D$5)="UP"))),$GV47=1)),1,0)</f>
        <v>0</v>
      </c>
      <c r="EY47">
        <f>IFERROR(IF(AND($DC47=1,$AB47&lt;0,$AC47&gt;=(1+$FA$6)*INDEX($AC$9:$AC$55,39-1),$AC47&gt;=(1+$FA$6)*INDEX($AC$9:$AC$55,39+1),$AC47&gt;=IFERROR(INDEX($AC$9:$AC$55,39-2),0),$AC47&gt;=IFERROR(INDEX($AC$9:$AC$55,39+2),0)),1,0),0)</f>
        <v>0</v>
      </c>
      <c r="FA47" t="str">
        <f>IF(NOT(ISNUMBER($AA47)),"",IFERROR(IF(AND($AC47=MAX($AC$9:$AC$55),$AB47=MIN($AB$9:$AB$55)),"DOM",IF(AND($DC46=1,$DC47=1,$DC48=1,INDEX($AC$9:$AC$55,39-1)&lt;=(1-$FA$6)*$AC47,INDEX($AC$9:$AC$55,39-1)&lt;=(1-$FA$6)*INDEX($AC$9:$AC$55,39-2)),"GAP↑",IF(AND($DC48=1,$DC47=1,INDEX($AC$9:$AC$55,39+1)&lt;=(1-$FA$6)*$AC47,INDEX($AC$9:$AC$55,39+1)&lt;=(1-$FA$6)*INDEX($AC$9:$AC$55,39+2)),"GAP↓",IF($CZ47=1,"dEdge Cliff",IF($GY47=1,"γWall",IF(AND($DC47=1,$AB47&lt;0,$AC47&gt;=(1+$FA$6)*INDEX($AC$9:$AC$55,39-1),$AC47&gt;=(1+$FA$6)*INDEX($AC$9:$AC$55,39+1)),"PEAK-",IF($GZ47=1,"γSh Edge",IF($HL47=1,"Trough",IF($HN47=1,"PEAK+",IF($GF47=1,"Cluster","")))))))))),""))</f>
        <v/>
      </c>
      <c r="FB47" t="str">
        <f t="shared" si="70"/>
        <v/>
      </c>
      <c r="FC47" t="str">
        <f t="shared" si="71"/>
        <v/>
      </c>
      <c r="FD47">
        <f>IF(AND(ISNUMBER($AA47),ISNUMBER('King Node Model'!$AP$17),ISNUMBER('King Node Model'!$AQ$17),$AA47&gt;=MIN('King Node Model'!$AP$17,'King Node Model'!$AQ$17),$AA47&lt;=MAX('King Node Model'!$AP$17,'King Node Model'!$AQ$17),IFERROR(INDEX($AC$9:$AC$55,MATCH('King Node Model'!$AL$42,$AA$9:$AA$55,0)),0)&gt;0,$AC47&gt;=(1-$FA$6)*IFERROR(INDEX($AC$9:$AC$55,MATCH('King Node Model'!$AL$42,$AA$9:$AA$55,0)),0),$AC47&lt;=(1+$FA$6)*IFERROR(INDEX($AC$9:$AC$55,MATCH('King Node Model'!$AL$42,$AA$9:$AA$55,0)),0)),1,0)</f>
        <v>0</v>
      </c>
      <c r="FE47">
        <f>IF($AA47='King Node Model'!$AL$42,1,IF(AND($FD47=1,$FE46=1),1,0))</f>
        <v>0</v>
      </c>
      <c r="FF47">
        <f>IF($AA47='King Node Model'!$AL$42,1,IF(AND($FD47=1,$FF48=1),1,0))</f>
        <v>0</v>
      </c>
      <c r="FG47" t="str">
        <f>IF(OR($FE47=1,$FF47=1),39,"")</f>
        <v/>
      </c>
      <c r="FJ47">
        <f>IF(AND($CW$2=1,ISNUMBER($AA47),ISNUMBER($CW$3),ISNUMBER($CW$4),$AA47&gt;=MIN($CW$3,$CW$4),$AA47&lt;=MAX($CW$3,$CW$4),IFERROR(INDEX($AC$9:$AC$55,MATCH('King Node Model'!$AP$67,$AA$9:$AA$55,0)),0)&gt;0,$AC47&gt;=(1-$FA$6)*IFERROR(INDEX($AC$9:$AC$55,MATCH('King Node Model'!$AP$67,$AA$9:$AA$55,0)),0),$AC47&lt;=(1+$FA$6)*IFERROR(INDEX($AC$9:$AC$55,MATCH('King Node Model'!$AP$67,$AA$9:$AA$55,0)),0)),1,0)</f>
        <v>0</v>
      </c>
      <c r="FK47">
        <f>IF(AND($CW$2=1,$AA47='King Node Model'!$AP$67),1,IF(AND($FJ47=1,$FK46=1),1,0))</f>
        <v>0</v>
      </c>
      <c r="FL47">
        <f>IF(AND($CW$2=1,$AA47='King Node Model'!$AP$67),1,IF(AND($FJ47=1,$FL48=1),1,0))</f>
        <v>0</v>
      </c>
      <c r="FM47" t="str">
        <f>IF(OR($FK47=1,$FL47=1),39,"")</f>
        <v/>
      </c>
      <c r="FN47">
        <v>0</v>
      </c>
      <c r="FR47" t="str">
        <f t="shared" si="72"/>
        <v/>
      </c>
      <c r="FS47">
        <f t="shared" si="188"/>
        <v>0</v>
      </c>
      <c r="FT47">
        <f t="shared" si="73"/>
        <v>-0.87343479098439603</v>
      </c>
      <c r="FU47">
        <f t="shared" si="74"/>
        <v>72674</v>
      </c>
      <c r="FV47" t="str">
        <f>IF($FW47=0,"",IF(OR($FW46=0,SIGN(IFERROR($BC47*1,0))&lt;&gt;SIGN(IFERROR($BC46*1,0)),$GH47=1,$GH46=1),MAX($FV$9:$FV46)+1,$FV46))</f>
        <v/>
      </c>
      <c r="FW47">
        <f t="shared" si="75"/>
        <v>0</v>
      </c>
      <c r="FX47" t="str">
        <f t="shared" si="76"/>
        <v/>
      </c>
      <c r="FY47">
        <f t="shared" si="77"/>
        <v>0</v>
      </c>
      <c r="FZ47">
        <f t="shared" si="189"/>
        <v>0</v>
      </c>
      <c r="GA47">
        <f t="shared" si="78"/>
        <v>0</v>
      </c>
      <c r="GB47" t="str">
        <f t="shared" si="79"/>
        <v/>
      </c>
      <c r="GC47" t="str">
        <f t="shared" si="80"/>
        <v/>
      </c>
      <c r="GD47" t="str">
        <f t="shared" si="81"/>
        <v/>
      </c>
      <c r="GE47" t="str">
        <f t="shared" si="82"/>
        <v/>
      </c>
      <c r="GF47">
        <f t="shared" si="83"/>
        <v>0</v>
      </c>
      <c r="GH47">
        <f>IFERROR(IF(AND($AC47&gt;=(1+$FA$6)*INDEX($AC$9:$AC$55,39-1),$AC47&gt;=(1+$FA$6)*INDEX($AC$9:$AC$55,39+1)),1,0),0)</f>
        <v>0</v>
      </c>
      <c r="GK47">
        <v>0</v>
      </c>
      <c r="GO47">
        <v>0</v>
      </c>
      <c r="GP47">
        <v>0</v>
      </c>
      <c r="GQ47">
        <f t="shared" si="84"/>
        <v>0</v>
      </c>
      <c r="GR47">
        <f t="shared" si="85"/>
        <v>0</v>
      </c>
      <c r="GS47">
        <f>IF(AND($EY47=1,$AA47&lt;&gt;'King Node Model'!$B$23),0,IF(OR($GQ47=1,$GR47=1),1,IF($DC47=1,IF(OR('King Node Model'!$A$8="Neg",N($BG$72)=1),IF(OR(AND($AC47=MAX($AC$9:$AC$55),$AB47=MIN($AB$9:$AB$55)),$AN47=1,$EE47=1,$EF47=1,$EX47=1,$GV47=1),1,0),1),0)))</f>
        <v>0</v>
      </c>
      <c r="GT47">
        <f>IFERROR(IF(AND(OR('King Node Model'!$A$8="Neg",N($BG$72)=1),$EU46=1,$AG47="R",ISNUMBER($AA47),ISNUMBER($AF47),$AF47&lt;&gt;0,$AA47&gt;$B$4-$BG$9,$AA47-$B$4&lt;=$BG$47,IF($KC47="UP",SIGN($AF47),IF($KC47="DOWN",-SIGN($AF47),0))&lt;&gt;1),1,0),0)</f>
        <v>0</v>
      </c>
      <c r="GU47" t="str">
        <f t="shared" si="86"/>
        <v/>
      </c>
      <c r="GV47">
        <f t="shared" si="87"/>
        <v>0</v>
      </c>
      <c r="GW47" t="str">
        <f t="shared" si="88"/>
        <v/>
      </c>
      <c r="GX47">
        <f t="shared" si="89"/>
        <v>80.390000000000327</v>
      </c>
      <c r="GY47">
        <f t="shared" si="90"/>
        <v>0</v>
      </c>
      <c r="GZ47">
        <f t="shared" si="91"/>
        <v>0</v>
      </c>
      <c r="HA47">
        <v>0</v>
      </c>
      <c r="HF47">
        <f>IFERROR(IF(AND($GZ47=1,'King Node Model'!$A$8="Pos",$D$5="UP",$CF47=-1,$AJ47&lt;&gt;1),1,0),0)</f>
        <v>0</v>
      </c>
      <c r="HG47">
        <f t="shared" si="92"/>
        <v>0</v>
      </c>
      <c r="HH47" t="str">
        <f>IF($GZ47=1,"",IFERROR(IF(NOT(ISNUMBER($AA47)),"",IF($EY47=1,"",IF($GF47=1,IF($GD47=$GE47,"",$GD47),IF(OR(AND($DC46=1,$DC47=1,$DC48=1,INDEX($AC$9:$AC$55,39-1)&lt;=(1-$FA$6)*$AC47,INDEX($AC$9:$AC$55,39-1)&lt;=(1-$FA$6)*INDEX($AC$9:$AC$55,39-2)),AND($DC48=1,$DC47=1,INDEX($AC$9:$AC$55,39+1)&lt;=(1-$FA$6)*$AC47,INDEX($AC$9:$AC$55,39+1)&lt;=(1-$FA$6)*INDEX($AC$9:$AC$55,39+2)),AND($DC47=1,OR(INDEX($DC$9:$DC$55,39-1)=0,INDEX($DC$9:$DC$55,39+1)=0))),IF(MIN($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MAX($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MIN($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f>
        <v/>
      </c>
      <c r="HI47" t="str">
        <f>IF($GZ47=1,"",IFERROR(IF(NOT(ISNUMBER($AA47)),"",IF($EY47=1,"",IF($GF47=1,IF($GD47=$GE47,"",$GE47),IF(OR(AND($DC46=1,$DC47=1,$DC48=1,INDEX($AC$9:$AC$55,39-1)&lt;=(1-$FA$6)*$AC47,INDEX($AC$9:$AC$55,39-1)&lt;=(1-$FA$6)*INDEX($AC$9:$AC$55,39-2)),AND($DC48=1,$DC47=1,INDEX($AC$9:$AC$55,39+1)&lt;=(1-$FA$6)*$AC47,INDEX($AC$9:$AC$55,39+1)&lt;=(1-$FA$6)*INDEX($AC$9:$AC$55,39+2)),AND($DC47=1,OR(INDEX($DC$9:$DC$55,39-1)=0,INDEX($DC$9:$DC$55,39+1)=0))),IF(MIN($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MAX($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MAX($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f>
        <v/>
      </c>
      <c r="HL47">
        <f t="shared" si="93"/>
        <v>0</v>
      </c>
      <c r="HM47">
        <f>IFERROR(IF(AND($HL47=1,NOT(OR($AA47='King Node Model'!$T$22,$AA47='King Node Model'!$T$23,$AA47='King Node Model'!$F$24,AND($AG47="S",COUNTIF('Master Dashboard'!$AN$16:$AN$18,$AA47)&gt;0),AND($AG47="R",COUNTIF('Master Dashboard'!$AN$13:$AN$15,$AA47)&gt;0)))),1,0),0)</f>
        <v>0</v>
      </c>
      <c r="HN47">
        <f t="shared" si="94"/>
        <v>0</v>
      </c>
      <c r="HO47">
        <f t="shared" si="95"/>
        <v>0</v>
      </c>
      <c r="HP47">
        <f t="shared" si="96"/>
        <v>1</v>
      </c>
      <c r="HQ47" t="str">
        <f>IF(NOT(ISNUMBER($AA47)),"",IFERROR(TRIM(IF(N($MY47)=1,"DEXLEAN ","")&amp;IF(N($IZ47)=1,"DEXCAP ","")&amp;IF(AND($AG47="S",UPPER('King Node Model'!$L$5)="HIGH",$KC47="DOWN",N($AF47)&gt;0,$AA47='King Node Model'!$AN$70,$IY47="SELL"),"CHOPEDGEIV ","")&amp;IF(N($IS47)=1,"NOREV ","")&amp;IF(N($JY47)=1,"VFLAT ","")&amp;IF(N($KR47)=1,"GDEXVANNA ","")&amp;IF(N($LD47)=1,"KGSUPFAIL ","")&amp;IF(N($LE47)=1,"KGRESLEAK ","")&amp;IF(N($MH47)=1,"ZIGZAG ","")&amp;IF(N($KK47)=1,"DATAGAP ","")&amp;IF(N($KA47)&lt;&gt;0,"ACCUNDERCW ","")&amp;IF(AND($AG47="S",$HF47=1),"EDGE ","")&amp;IF(AND($HM47=1,'King Node Model'!$A$8="Pos",N($BG$72)&lt;&gt;1),"TROUGH ","")&amp;IF(AND($EU47=1,N($JZ47)&lt;&gt;1),"BUMP ","")&amp;IF(AND($GT47=1,N($JZ47)&lt;&gt;1),"SANDWICH ","")&amp;IF(AND($EX47&lt;&gt;1,OR('King Node Model'!$A$8="Neg",N($BG$72)=1),OR(AND(ISNUMBER($AC47),$AC47=MAX($AC$9:$AC$55)),AND(ISNUMBER($AB47),$AB47=MIN($AB$9:$AB$55))),NOT(AND(AND(ISNUMBER($AC47),$AC47=MAX($AC$9:$AC$55)),AND(ISNUMBER($AB47),$AB47=MIN($AB$9:$AB$55)))),$AG47="S",N($AB47)&lt;0,NOT(COUNTIF('Master Dashboard'!$AN$16:$AN$18,$AA47)&gt;0),NOT(AND(OR('King Node Model'!$A$8="Neg",N($BG$72)=1),ISNUMBER($AB47),$AB47=MIN($AB$9:$AB$55),$AA47=$BG$105))),"ACCEL ","")&amp;IF(AND($EX47&lt;&gt;1,ISNUMBER($AA47),OR('King Node Model'!$A$8="Neg",N($BG$72)=1),$EY47=1,NOT(AND($AG47="S",COUNTIF('Master Dashboard'!$AN$16:$AN$18,$AA47)&gt;0)),NOT(AND($AA47='King Node Model'!$B$23,IF($AG47="S",OR($AA47='King Node Model'!$C$24,COUNTIF('Master Dashboard'!$AN$16:$AN$18,$AA47)&gt;0),OR($AA47='King Node Model'!$C$23,COUNTIF('Master Dashboard'!$AN$13:$AN$15,$AA47)&gt;0)))),NOT(AND($EX47&lt;&gt;1,OR('King Node Model'!$A$8="Neg",N($BG$72)=1),OR(AND(ISNUMBER($AC47),$AC47=MAX($AC$9:$AC$55)),AND(ISNUMBER($AB47),$AB47=MIN($AB$9:$AB$55))),NOT(AND(AND(ISNUMBER($AC47),$AC47=MAX($AC$9:$AC$55)),AND(ISNUMBER($AB47),$AB47=MIN($AB$9:$AB$55)))),$AG47="S",N($AB47)&lt;0,NOT(COUNTIF('Master Dashboard'!$AN$16:$AN$18,$AA47)&gt;0)))),"AMPLIFY ","")&amp;IF(AND($AG47="S",OR('King Node Model'!$A$8="Neg",N($BG$72)=1),$AJ47&lt;&gt;1,N($MT47)&lt;&gt;1,NOT(AND(N($LR47)=1,N($MB47)=1)),ISNUMBER(SEARCH("ACCEL building",$CG47))),"ZACCEL ","")&amp;IF(AND($AG47="S",OR('King Node Model'!$A$8="Neg",N($BG$72)=1),$AA47='King Node Model'!$B$23,NOT(AND(AND(ISNUMBER($AC47),$AC47=MAX($AC$9:$AC$55)),AND(ISNUMBER($AB47),$AB47=MIN($AB$9:$AB$55)))),$EJ47&lt;&gt;1),"KINGACC ","")&amp;IF(AND($AG47="S",OR('King Node Model'!$A$8="Neg",N($BG$72)=1),ABS(N($AA47)-N('King Node Model'!$B$23))&lt;=$BG$107,NOT(AND(SUMPRODUCT((ABS($AF$9:$AF$55)&lt;=ABS(N($AF47)))*1)/COUNT($AF$9:$AF$55)&gt;=0.66,OR(ISNUMBER(SEARCH("firmer resistance",$CG47)),ISNUMBER(SEARCH("STRENGTHENING",$CG47)),ISNUMBER(SEARCH("firmer support",$CG47))))),NOT(AND(N($AB47)&gt;0,SUMPRODUCT((ABS($AB$9:$AB$55)&lt;=ABS(N($AB47)))*1)/COUNT($AB$9:$AB$55)&gt;=0.66)),$EJ47&lt;&gt;1,$AJ47&lt;&gt;1,COUNTIF('Master Dashboard'!$AN$16:$AN$18,$AA47)=0,NOT(AND($AG47="S",OR('King Node Model'!$A$8="Neg",N($BG$72)=1),$AA47='King Node Model'!$B$23,NOT(AND(AND(ISNUMBER($AC47),$AC47=MAX($AC$9:$AC$55)),AND(ISNUMBER($AB47),$AB47=MIN($AB$9:$AB$55)))),$EJ47&lt;&gt;1))),"KINGNODE ","")&amp;IF(AND($AG47="R",NOT(AND(AND(ISNUMBER($AC47),$AC47=MAX($AC$9:$AC$55)),AND(ISNUMBER($AB47),$AB47=MIN($AB$9:$AB$55)))),UPPER('King Node Model'!$L$5)="LOW",$KC47="DOWN",N($AF47)&gt;0),"LOWIVFALL ","")&amp;IF(AND($AG47="R",NOT(AND(AND(ISNUMBER($AC47),$AC47=MAX($AC$9:$AC$55)),AND(ISNUMBER($AB47),$AB47=MIN($AB$9:$AB$55)))),UPPER('King Node Model'!$L$5)="HIGH",$KC47="DOWN",N($AF47)&gt;0,IFERROR(MATCH($AA47,$W$9:$W$14,0)&gt;=4,FALSE)),"HIGHIVFALL ","")&amp;IF(AND($AG47="R",N($BG$99)=1),"SPOTUPVOLUP ","")&amp;IF(AND($AG47="R",ISNUMBER(SEARCH("5/5",'Master Dashboard'!$E$29)),OR(ISNUMBER(SEARCH("WEAKENING",$EQ47)),ISNUMBER(SEARCH("Pos gamma ↓",$EQ47)),ISNUMBER(SEARCH("thinning the ceiling",$EQ47)))),"SQUEEZE ","")&amp;IF(N($JU47)=1,"DEDGECLIFF ","")&amp;IF(N($KT47)=1,"DEXDRAIN ","")&amp;IF(N($HW47)&lt;&gt;0,"DEXDROP ","")&amp;IF(N($HX47)&lt;&gt;0,"PEAK+ ","")&amp;IF(N($IF47)=1,"CHOP ","")&amp;IF(N($IQ47)=1,"CONTESTED ","")&amp;IF(N($IW47)=1,"VSELL ","")&amp;IF(N($JK47)=1,"VBUYRES ","")&amp;IF(N($JL47)=1,"DOMFLAT ","")&amp;IF(N($JM47)=1,"DOMPULL ","")&amp;IF(N($JP47)=1,"OIZOMMA ","")&amp;IF(AND(N($JQ47)=1,N($JZ47)&lt;&gt;1),"OIDEX ","")),""))</f>
        <v>NOREV VSELL</v>
      </c>
      <c r="HS47">
        <f>IFERROR(IF(AND($DC47=1,OR(AND($AG47="R",INDEX($DC$9:$DC$55,38)=0,INDEX($DC$9:$DC$55,40)=1,INDEX($DC$9:$DC$55,41)=1),AND($AG47="S",INDEX($DC$9:$DC$55,40)=0,INDEX($DC$9:$DC$55,38)=1,INDEX($DC$9:$DC$55,37)=1))),1,0),0)</f>
        <v>0</v>
      </c>
      <c r="HT47">
        <f t="shared" si="97"/>
        <v>0</v>
      </c>
      <c r="HU47">
        <v>0</v>
      </c>
      <c r="HV47">
        <v>0</v>
      </c>
      <c r="HW47">
        <f>IFERROR(IF(OR(NOT(ISNUMBER($AA47)),'King Node Model'!$A$8&lt;&gt;"Pos",N($BG$72)=1,ABS(N($AE47))&lt;$BG$113,N($AV47)=1,$FA47="DOM",$AA47='King Node Model'!$T$23,AND(N($BG$116)=1,$AA47='King Node Model'!$F$24),NOT(ISNUMBER($KU47)),NOT(ISNUMBER($KV47))),0,IF(AND($AG47="S",COUNTIF('Master Dashboard'!$AN$16:$AN$18,$AA47)=0,$KU47&gt;=$BG$114,$KU47&gt;=$KV47+$BG$115,NOT(AND(N($AN48)=1,N($KV47)&lt;0)),N($AE47)&lt;=0),1,IF(AND($AG47="R",COUNTIF('Master Dashboard'!$AN$13:$AN$15,$AA47)=0,$KV47&gt;=$BG$114,$KV47&gt;=$KU47+$BG$115,NOT(AND(N($AN46)=1,N($KU47)&lt;0))),-1,0))),0)</f>
        <v>0</v>
      </c>
      <c r="HX47">
        <f>IFERROR(IF(AND(ISNUMBER($AA47),$FA47="PEAK+",N($AN47)&lt;&gt;1,NOT(AND('King Node Model'!$A$8="Pos",OR($AA47='King Node Model'!$T$22,$AA47='King Node Model'!$T$23,$AA47='King Node Model'!$F$24))),IF($AG47="S",COUNTIF('Master Dashboard'!$AN$16:$AN$18,$AA47)=0,IF($AG47="R",COUNTIF('Master Dashboard'!$AN$13:$AN$15,$AA47)=0,FALSE))),1,0),0)</f>
        <v>0</v>
      </c>
      <c r="HY47">
        <f t="shared" si="98"/>
        <v>0.93412356869173696</v>
      </c>
      <c r="HZ47">
        <v>1</v>
      </c>
      <c r="IA47">
        <f>IFERROR(IF(AND(IF($BG$44=1,OR(ISNUMBER(SEARCH("Choppy",'King Node Model'!$S$38)),'King Node Model'!$S$52&lt;&gt;"",'King Node Model'!$A$8="Pos"),TRUE()),OR($DC47=1,$DC46=1,$DC48=1),ABS($AA47-$B$4)&lt;=$BG$7,ABS($AA47-$BG$28)&gt;=$BG$45,OR(AND($AA47&gt;$BG$28,$AG47="R"),AND($AA47&lt;$BG$28,$AG47="S",N($BG$154)=1)),ABS(IF($AA47&gt;$BG$28,$AE48,$AE46))&gt;=$BG$43,ABS(N(IF($AA47&gt;$BG$28,$AE46,$AE48)))&lt;=$BG$153*ABS(IF($AA47&gt;$BG$28,$AE48,$AE46)),IF(ISNUMBER($HZ47),$HZ47=1,AND(ISNUMBER($HY47),$HY47&gt;=$BG$42))),1,0),0)</f>
        <v>0</v>
      </c>
      <c r="IB47">
        <f t="shared" si="99"/>
        <v>0</v>
      </c>
      <c r="IC47" t="str">
        <f>IF(NOT(ISNUMBER($AA47)),"",IFERROR(MID(IF(AND($AC47=MAX($AC$9:$AC$55),$AB47=MIN($AB$9:$AB$55))," · DOM","")&amp;IF(AND($DC46=1,$DC47=1,$DC48=1,INDEX($AC$9:$AC$55,39-1)&lt;=(1-$FA$6)*$AC47,INDEX($AC$9:$AC$55,39-1)&lt;=(1-$FA$6)*INDEX($AC$9:$AC$55,39-2))," · GAP↑ → "&amp;INDEX($AA$9:$AA$55,39-2),"")&amp;IF(AND($DC48=1,$DC47=1,INDEX($AC$9:$AC$55,39+1)&lt;=(1-$FA$6)*$AC47,INDEX($AC$9:$AC$55,39+1)&lt;=(1-$FA$6)*INDEX($AC$9:$AC$55,39+2))," · GAP↓ → "&amp;INDEX($AA$9:$AA$55,39+2),"")&amp;IF($CZ47=1," · dEdge Cliff","")&amp;IF($GY47=1," · γWall","")&amp;IF(AND($DC47=1,$AB47&lt;0,$AC47&gt;=(1+$FA$6)*INDEX($AC$9:$AC$55,39-1),$AC47&gt;=(1+$FA$6)*INDEX($AC$9:$AC$55,39+1))," · PEAK-","")&amp;IF($GZ47=1," · γSh Edge","")&amp;IF($HL47=1," · Trough","")&amp;IF($HN47=1," · PEAK+","")&amp;IF($GF47=1," · Cluster",""),FIND(" · ",IF(AND($AC47=MAX($AC$9:$AC$55),$AB47=MIN($AB$9:$AB$55))," · DOM","")&amp;IF(AND($DC46=1,$DC47=1,$DC48=1,INDEX($AC$9:$AC$55,39-1)&lt;=(1-$FA$6)*$AC47,INDEX($AC$9:$AC$55,39-1)&lt;=(1-$FA$6)*INDEX($AC$9:$AC$55,39-2))," · GAP↑ → "&amp;INDEX($AA$9:$AA$55,39-2),"")&amp;IF(AND($DC48=1,$DC47=1,INDEX($AC$9:$AC$55,39+1)&lt;=(1-$FA$6)*$AC47,INDEX($AC$9:$AC$55,39+1)&lt;=(1-$FA$6)*INDEX($AC$9:$AC$55,39+2))," · GAP↓ → "&amp;INDEX($AA$9:$AA$55,39+2),"")&amp;IF($CZ47=1," · dEdge Cliff","")&amp;IF($GY47=1," · γWall","")&amp;IF(AND($DC47=1,$AB47&lt;0,$AC47&gt;=(1+$FA$6)*INDEX($AC$9:$AC$55,39-1),$AC47&gt;=(1+$FA$6)*INDEX($AC$9:$AC$55,39+1))," · PEAK-","")&amp;IF($GZ47=1," · γSh Edge","")&amp;IF($HL47=1," · Trough","")&amp;IF($HN47=1," · PEAK+","")&amp;IF($GF47=1," · Cluster",""),2),999),""))</f>
        <v/>
      </c>
      <c r="ID47" t="str">
        <f>IF(NOT(ISNUMBER($AA47)),"",IFERROR(MID(IF(AND($AC47=MAX($AC$9:$AC$55),$AB47=MIN($AB$9:$AB$55))," · DOM","")&amp;IF(AND($DC46=1,$DC47=1,$DC48=1,INDEX($AC$9:$AC$55,39-1)&lt;=(1-$FA$6)*$AC47,INDEX($AC$9:$AC$55,39-1)&lt;=(1-$FA$6)*INDEX($AC$9:$AC$55,39-2))," · GAP↑ → "&amp;INDEX($AA$9:$AA$55,39-2),"")&amp;IF(AND($DC48=1,$DC47=1,INDEX($AC$9:$AC$55,39+1)&lt;=(1-$FA$6)*$AC47,INDEX($AC$9:$AC$55,39+1)&lt;=(1-$FA$6)*INDEX($AC$9:$AC$55,39+2))," · GAP↓ → "&amp;INDEX($AA$9:$AA$55,39+2),"")&amp;IF($CZ47=1," · dEdge Cliff","")&amp;IF($GY47=1," · γWall","")&amp;IF(AND($DC47=1,$AB47&lt;0,$AC47&gt;=(1+$FA$6)*INDEX($AC$9:$AC$55,39-1),$AC47&gt;=(1+$FA$6)*INDEX($AC$9:$AC$55,39+1))," · PEAK-","")&amp;IF($GZ47=1," · γSh Edge","")&amp;IF($HL47=1," · Trough","")&amp;IF($HN47=1," · PEAK+","")&amp;IF(AND(NOT($HN47=1),NOT(AND($DC47=1,$AB47&lt;0)),N($GY47)&lt;&gt;1,N($GF47)&lt;&gt;1,N($GZ47)&lt;&gt;1,N($HL47)&lt;&gt;1,N($CZ47)&lt;&gt;1,NOT(AND($AC47=MAX($AC$9:$AC$55),$AB47=MIN($AB$9:$AB$55))),$AC47&gt;=(1+$FA$6)*INDEX($AC$9:$AC$55,39-1),$AC47&gt;=(1+$FA$6)*INDEX($AC$9:$AC$55,39+1))," · Knoll","")&amp;IF($GF47=1," · Cluster",""),4,999),""))</f>
        <v/>
      </c>
      <c r="IF47">
        <f t="shared" si="100"/>
        <v>0</v>
      </c>
      <c r="IG47">
        <f>IFERROR(IF(AND(ISNUMBER($AA47),'King Node Model'!$A$8="Pos",OR($AG47="S",$AG47="R"),$IN47="interior",COUNTIF(IF($AG47="S",'Master Dashboard'!$AN$16:$AN$18,'Master Dashboard'!$AN$13:$AN$15),$AA47)=0,$AA47&lt;&gt;'King Node Model'!$T$22,$AA47&lt;&gt;'King Node Model'!$T$23,$AA47&lt;&gt;'King Node Model'!$F$24),1,0),0)</f>
        <v>0</v>
      </c>
      <c r="IH47">
        <f t="shared" si="101"/>
        <v>0</v>
      </c>
      <c r="II47">
        <f t="shared" si="190"/>
        <v>0</v>
      </c>
      <c r="IJ47">
        <f t="shared" si="102"/>
        <v>0</v>
      </c>
      <c r="IK47">
        <f t="shared" si="103"/>
        <v>0</v>
      </c>
      <c r="IL47">
        <f t="shared" si="191"/>
        <v>0</v>
      </c>
      <c r="IM47">
        <f t="shared" si="104"/>
        <v>0</v>
      </c>
      <c r="IN47" t="str">
        <f t="shared" si="105"/>
        <v/>
      </c>
      <c r="IO47">
        <v>0</v>
      </c>
      <c r="IP47">
        <v>0</v>
      </c>
      <c r="IQ47">
        <f>IFERROR(IF($AG47="S",IF(OR(COUNTIF($W$9:$W$14,$AA47)&gt;0,COUNTIF('King Node Model'!$AL$42:'King Node Model'!$AL$43,$AA47)&gt;0),1,0),IF($AG47="R",IF(OR(COUNTIF($W$18:$W$23,$AA47)&gt;0,COUNTIF('King Node Model'!$AL$49:'King Node Model'!$AL$50,$AA47)&gt;0),1,0),0)),0)</f>
        <v>0</v>
      </c>
      <c r="IS47">
        <f>IF(AND(ISNUMBER($AA47),N($AN47)&lt;&gt;1,N($LR47)&lt;&gt;1,OR(N($EN47)&lt;&gt;1,AND('King Node Model'!$A$8&lt;&gt;"Neg",N($BG$72)&lt;&gt;1)),$AA47&lt;&gt;'King Node Model'!$T$22,$AA47&lt;&gt;'King Node Model'!$T$23,$AA47&lt;&gt;'King Node Model'!$F$24,NOT(AND($AG47="S",COUNTIF('Master Dashboard'!$AN$16:$AN$18,$AA47)&gt;0)),NOT(AND($AG47="R",COUNTIF('Master Dashboard'!$AN$13:$AN$15,$AA47)&gt;0)),NOT(AND('King Node Model'!$A$8&lt;&gt;"Neg",N($BG$72)&lt;&gt;1,COUNTIF('Master Dashboard'!$AN$13:$AN$18,$AA47)&gt;0))),1,0)</f>
        <v>1</v>
      </c>
      <c r="IT47">
        <v>0</v>
      </c>
      <c r="IU47">
        <f>IF(AND(ISNUMBER($AA47),$AA47='King Node Model'!$F$24,$AA47&gt;$GJ$3,N($AD47)&lt;0,$F$4="High"),1,0)</f>
        <v>0</v>
      </c>
      <c r="IV47" t="str">
        <f>""</f>
        <v/>
      </c>
      <c r="IW47">
        <f>IFERROR(IF(AND(ISNUMBER($AA47),NOT(AND(N($LR47)=1,N($MB47)=1)),$AG47="S",OR('King Node Model'!$A$8="Neg",N($BG$72)=1),$JV47="SELL",ABS(N($AD47))&gt;=$BG$94,NOT(AND(N($AD47)&gt;0,N($BG$78)=1,MEDIAN($AA47-$BG$82,$B$4,$AA47+$BG$83)=$B$4))),1,0),0)</f>
        <v>1</v>
      </c>
      <c r="IX47">
        <f>IFERROR(IF(AND(ISNUMBER($AA47),$AG47="S",OR('King Node Model'!$A$8="Neg",N($BG$72)=1),N($AD47)&gt;0,N($BG$78)=1,MEDIAN($AA47-$BG$82,$B$4,$AA47+$BG$83)=$B$4),1,0),0)</f>
        <v>0</v>
      </c>
      <c r="IY47" t="str">
        <f t="shared" si="106"/>
        <v>SELL</v>
      </c>
      <c r="IZ47">
        <f>IFERROR(IF(AND(ISNUMBER($AA47),$FA47&lt;&gt;"DOM",$AA47&lt;&gt;'King Node Model'!$F$24,OR(AND($AG47="S",COUNTIF('Master Dashboard'!$AN$16:$AN$18,$AA47)=0,N(INDEX($AE$9:$AE$55,MATCH($AA47+$BG$84,$AA$9:$AA$55,0)))&lt;=-$BG$85),AND($AG47="R",COUNTIF('Master Dashboard'!$AN$13:$AN$15,$AA47)=0,N(INDEX($AE$9:$AE$55,MATCH($AA47-$BG$84,$AA$9:$AA$55,0)))&gt;=$BG$85))),1,0),0)</f>
        <v>0</v>
      </c>
      <c r="JC47">
        <f t="shared" si="108"/>
        <v>0</v>
      </c>
      <c r="JD47" t="str">
        <f t="shared" si="193"/>
        <v>P</v>
      </c>
      <c r="JE47">
        <f>IF(ISNUMBER($AA47),N(IFERROR(INDEX('King Node Model'!$L$29:$L$75,MATCH($AA47,'King Node Model'!$A$29:$A$75,0)),0)),"")</f>
        <v>1273</v>
      </c>
      <c r="JF47">
        <f>IF(ISNUMBER($AA47),N(IFERROR(INDEX('King Node Model'!$K$29:$K$75,MATCH($AA47,'King Node Model'!$A$29:$A$75,0)),0)),"")</f>
        <v>86</v>
      </c>
      <c r="JG47">
        <f t="shared" si="109"/>
        <v>14.802325581395349</v>
      </c>
      <c r="JH47">
        <f t="shared" si="110"/>
        <v>6.7556952081696778E-2</v>
      </c>
      <c r="JI47">
        <f t="shared" si="111"/>
        <v>0</v>
      </c>
      <c r="JJ47" t="str">
        <f t="shared" si="112"/>
        <v>Hollow</v>
      </c>
      <c r="JK47">
        <f t="shared" si="113"/>
        <v>0</v>
      </c>
      <c r="JL47">
        <f t="shared" si="114"/>
        <v>0</v>
      </c>
      <c r="JM47">
        <f t="shared" si="115"/>
        <v>0</v>
      </c>
      <c r="JN47">
        <f t="shared" si="116"/>
        <v>0</v>
      </c>
      <c r="JO47">
        <f t="shared" si="117"/>
        <v>0</v>
      </c>
      <c r="JP47">
        <f t="shared" si="118"/>
        <v>0</v>
      </c>
      <c r="JQ47">
        <f t="shared" si="119"/>
        <v>0</v>
      </c>
      <c r="JR47">
        <v>0</v>
      </c>
      <c r="JS47">
        <f>IFERROR(IF(AND(ISNUMBER($AA47),'King Node Model'!$A$8="Pos",OR($AG47="S",$AG47="R"),N($AB47)&gt;0,N($HP47)&lt;&gt;1,OR(AND($KC47="DOWN",N($AF47)&lt;0,N($AF47)=MIN($AF$9:$AF$55),-N($AF47)&gt;=MAX($AF$9:$AF$55)),AND($KC47="UP",N($AF47)&gt;0,N($AF47)=MAX($AF$9:$AF$55),N($AF47)&gt;=-MIN($AF$9:$AF$55)))),1,0),0)</f>
        <v>0</v>
      </c>
      <c r="JT47">
        <v>0</v>
      </c>
      <c r="JU47">
        <f>IFERROR(IF(AND(N($BG$109)=1,ISNUMBER($AA47),'King Node Model'!$A$8="Pos",N($CZ47)=1,N($AB47)&gt;0),1,0),0)</f>
        <v>0</v>
      </c>
      <c r="JV47" t="str">
        <f t="shared" si="120"/>
        <v>SELL</v>
      </c>
      <c r="JW47">
        <f t="shared" si="121"/>
        <v>0</v>
      </c>
      <c r="JX47">
        <f t="shared" si="122"/>
        <v>0</v>
      </c>
      <c r="JY47">
        <f t="shared" si="123"/>
        <v>0</v>
      </c>
      <c r="JZ47">
        <f t="shared" si="124"/>
        <v>0</v>
      </c>
      <c r="KA47">
        <f t="shared" si="125"/>
        <v>0</v>
      </c>
      <c r="KB47">
        <f t="shared" si="126"/>
        <v>0</v>
      </c>
      <c r="KC47" t="str">
        <f t="shared" si="127"/>
        <v>UP</v>
      </c>
      <c r="KE47" t="str">
        <f t="shared" si="128"/>
        <v>Now: weakening the floor (IV rising) · if IV falls: strengthens the floor · expected on arrival: WEAKENS ✗</v>
      </c>
      <c r="KF47" t="str">
        <f t="shared" si="129"/>
        <v>SELL</v>
      </c>
      <c r="KG47">
        <f t="shared" si="192"/>
        <v>0</v>
      </c>
      <c r="KH47" t="str">
        <f t="shared" si="130"/>
        <v/>
      </c>
      <c r="KI47" t="str">
        <f t="shared" si="131"/>
        <v/>
      </c>
      <c r="KJ47">
        <f t="shared" si="132"/>
        <v>0</v>
      </c>
      <c r="KK47">
        <f t="shared" si="133"/>
        <v>0</v>
      </c>
      <c r="KL47">
        <f t="shared" si="134"/>
        <v>0</v>
      </c>
      <c r="KM47">
        <f t="shared" si="135"/>
        <v>0</v>
      </c>
      <c r="KN47">
        <f t="shared" si="136"/>
        <v>0</v>
      </c>
      <c r="KO47">
        <v>0</v>
      </c>
      <c r="KP47">
        <f t="shared" si="137"/>
        <v>0</v>
      </c>
      <c r="KQ47">
        <f t="shared" si="138"/>
        <v>0</v>
      </c>
      <c r="KR47">
        <f t="shared" si="139"/>
        <v>0</v>
      </c>
      <c r="KS47">
        <f t="shared" si="140"/>
        <v>0</v>
      </c>
      <c r="KT47">
        <f t="shared" si="141"/>
        <v>0</v>
      </c>
      <c r="KU47">
        <f>IF(AND(ISNUMBER($AA47),ISNUMBER($AE47),ISNUMBER($AE46),N($AE47)&lt;&gt;0),($AE47-$AE46)/$AE47,"")</f>
      </c>
      <c r="KV47">
        <f>IF(AND(ISNUMBER($AA47),ISNUMBER($AE47),ISNUMBER($AE48),N($AE47)&lt;&gt;0),($AE47-$AE48)/$AE47,"")</f>
      </c>
      <c r="KW47">
        <f>IFERROR(IF(OR(NOT(ISNUMBER($AA47)),'King Node Model'!$A$8&lt;&gt;"Pos",N($BG$72)=1,ABS(N($AE47))&lt;$BG$113,$FA47="DOM",$AA47='King Node Model'!$T$23,AND(N($BG$116)=1,$AA47='King Node Model'!$F$24),NOT(ISNUMBER($KU47)),NOT(ISNUMBER($KV47))),0,IF(AND($AG47="S",COUNTIF('Master Dashboard'!$AN$16:$AN$18,$AA47)=0,$KU47&gt;=$BG$114,$KU47&gt;=$KV47+$BG$115),1,IF(AND($AG47="R",COUNTIF('Master Dashboard'!$AN$13:$AN$15,$AA47)=0,$KV47&gt;=$BG$114,$KV47&gt;=$KU47+$BG$115),-1,0))),0)</f>
        <v>0</v>
      </c>
      <c r="KX47">
        <f t="shared" si="144"/>
        <v>0</v>
      </c>
      <c r="KY47">
        <f t="shared" si="145"/>
        <v>0</v>
      </c>
      <c r="KZ47">
        <f t="shared" si="146"/>
        <v>0</v>
      </c>
      <c r="LA47">
        <f t="shared" si="147"/>
        <v>0</v>
      </c>
      <c r="LB47">
        <f t="shared" si="148"/>
        <v>0</v>
      </c>
      <c r="LC47">
        <f t="shared" si="149"/>
        <v>0</v>
      </c>
      <c r="LD47">
        <f t="shared" si="150"/>
        <v>0</v>
      </c>
      <c r="LE47">
        <f t="shared" si="151"/>
        <v>0</v>
      </c>
      <c r="LF47">
        <f t="shared" si="152"/>
        <v>0</v>
      </c>
      <c r="LG47" t="str">
        <f t="shared" si="153"/>
        <v/>
      </c>
      <c r="LH47" t="str">
        <f t="shared" si="154"/>
        <v/>
      </c>
      <c r="LI47" t="str">
        <f t="shared" si="155"/>
        <v/>
      </c>
      <c r="LJ47" t="str">
        <f t="shared" si="156"/>
        <v/>
      </c>
      <c r="LK47" t="str">
        <f t="shared" si="157"/>
        <v/>
      </c>
      <c r="LL47">
        <f t="shared" si="158"/>
        <v>0</v>
      </c>
      <c r="LM47">
        <f t="shared" si="159"/>
        <v>0</v>
      </c>
      <c r="LN47">
        <f t="shared" si="160"/>
        <v>0</v>
      </c>
      <c r="LO47">
        <v>0</v>
      </c>
      <c r="LP47">
        <f t="shared" si="161"/>
        <v>0</v>
      </c>
      <c r="LQ47" t="str">
        <f t="shared" si="162"/>
        <v/>
      </c>
      <c r="LR47">
        <f t="shared" si="163"/>
        <v>0</v>
      </c>
      <c r="LS47">
        <f t="shared" si="164"/>
        <v>0</v>
      </c>
      <c r="LT47">
        <f t="shared" si="165"/>
        <v>0</v>
      </c>
      <c r="LU47">
        <f t="shared" si="166"/>
        <v>0</v>
      </c>
      <c r="LV47">
        <f t="shared" si="167"/>
        <v>0</v>
      </c>
      <c r="LW47">
        <f t="shared" si="168"/>
        <v>0</v>
      </c>
      <c r="LX47">
        <f t="shared" si="169"/>
        <v>0</v>
      </c>
      <c r="LY47">
        <f t="shared" si="170"/>
        <v>0</v>
      </c>
      <c r="LZ47">
        <f t="shared" si="171"/>
        <v>0</v>
      </c>
      <c r="MA47">
        <f t="shared" si="172"/>
        <v>0</v>
      </c>
      <c r="MB47">
        <v>0</v>
      </c>
      <c r="MC47">
        <f t="shared" si="173"/>
        <v>1</v>
      </c>
      <c r="MD47">
        <f t="shared" si="174"/>
        <v>1</v>
      </c>
      <c r="ME47">
        <f t="shared" si="175"/>
        <v>0</v>
      </c>
      <c r="MF47">
        <f t="shared" si="176"/>
        <v>0</v>
      </c>
      <c r="MG47">
        <f t="shared" si="177"/>
        <v>0</v>
      </c>
      <c r="MH47">
        <f t="shared" si="178"/>
        <v>0</v>
      </c>
      <c r="MI47" t="str">
        <f t="shared" si="179"/>
        <v/>
      </c>
      <c r="MJ47">
        <f t="shared" si="180"/>
        <v>0</v>
      </c>
      <c r="MK47">
        <f t="shared" si="181"/>
        <v>0</v>
      </c>
      <c r="ML47">
        <f>IF(AND(OR('King Node Model'!$A$8="Neg",N($BG$72)=1),ISNUMBER($AA47),$AG47="R",N($AB47)&lt;0),IF(AND($AA46=$AA47+5,N($AB46)&gt;0,$AA45=$AA47+10,N($AB45)&lt;0),1,IF(AND($AA46=$AA47+5,N($AB46)&gt;0,$AA45=$AA47+10,N($AB45)&gt;0,$AA44=$AA47+15,N($AB44)&lt;0),2,IF(AND($AA46=$AA47+5,N($AB46)&gt;0,$AA45=$AA47+10,N($AB45)&gt;0,$AA44=$AA47+15,N($AB44)&gt;0,$AA43=$AA47+20,N($AB43)&lt;0),3,IF(AND($AA46=$AA47+5,N($AB46)&gt;0,$AA45=$AA47+10,N($AB45)&gt;0,$AA44=$AA47+15,N($AB44)&gt;0,$AA43=$AA47+20,N($AB43)&gt;0,$AA42=$AA47+25,N($AB42)&lt;0),4,0)))),0)</f>
      </c>
      <c r="MM47">
        <f>IF(AND(OR('King Node Model'!$A$8="Neg",N($BG$72)=1),ISNUMBER($AA47),$AG47="S",N($AB47)&lt;0),IF(AND($AA48=$AA47-5,N($AB48)&gt;0,$AA49=$AA47-10,N($AB49)&lt;0),1,IF(AND($AA48=$AA47-5,N($AB48)&gt;0,$AA49=$AA47-10,N($AB49)&gt;0,$AA50=$AA47-15,N($AB50)&lt;0),2,IF(AND($AA48=$AA47-5,N($AB48)&gt;0,$AA49=$AA47-10,N($AB49)&gt;0,$AA50=$AA47-15,N($AB50)&gt;0,$AA51=$AA47-20,N($AB51)&lt;0),3,IF(AND($AA48=$AA47-5,N($AB48)&gt;0,$AA49=$AA47-10,N($AB49)&gt;0,$AA50=$AA47-15,N($AB50)&gt;0,$AA51=$AA47-20,N($AB51)&gt;0,$AA52=$AA47-25,N($AB52)&lt;0),4,0)))),0)</f>
      </c>
      <c r="MN47">
        <f>IF(N($ML47)&gt;0,$AA47,0)</f>
      </c>
      <c r="MO47">
        <f>IF(N($MM47)&gt;0,$AA47,0)</f>
      </c>
      <c r="MP47">
        <f>IF(AND(OR('King Node Model'!$A$8="Neg",N($BG$72)=1),ISNUMBER($BG$155),$AA47=$BG$155,N($NC47)=1),2,IF(AND(OR('King Node Model'!$A$8="Neg",N($BG$72)=1),ISNUMBER($BG$156),$AA47=$BG$156,N($ND47)=1),1,0))</f>
      </c>
      <c r="MQ47">
        <f>IF(ABS(AE47)&lt;=0,0,IF($AG47="R",IF(ISNUMBER(AE46),IF((ABS(AE46)-ABS(AE47))/ABS(AE47)&lt;-0.4,1,0),0),IF(ISNUMBER(AE48),IF((ABS(AE48)-ABS(AE47))/ABS(AE47)&lt;-0.4,1,0),0)))</f>
      </c>
      <c r="MR47">
        <f>IF(OR(N($MQ47)&lt;&gt;1,N($BG$157)&lt;&gt;1,NOT(ISNUMBER($KU47)),NOT(ISNUMBER($KV47))),0,IF(OR(AND($AG47="S",OR(AND($KU47&gt;=$BG$114,$KU47&gt;=$KV47+$BG$115),AND($KU47&gt;1,$KV47&lt;=1,$KV47&gt;=$BG$114))),AND($AG47="R",OR(AND($KV47&gt;=$BG$114,$KV47&gt;=$KU47+$BG$115),AND($KV47&gt;1,$KU47&lt;=1,$KU47&gt;=$BG$114)))),1,0))</f>
      </c>
      <c r="MS47" t="str">
        <f>IF(AND(N($MR47)=1,N($NA47)&lt;&gt;1),"• DEX falls off more sharply "&amp;IF($AG47="S","above (","below (")&amp;TEXT(IF($AG47="S",$KU47,$KV47),"0%")&amp;") than "&amp;IF($AG47="S","below (","above (")&amp;TEXT(IF($AG47="S",$KV47,$KU47),"0%")&amp;") — Dex↓ not counted",IF(N($MW47)=1,"• Shoulder of the "&amp;IF($AG47="R",$AA48,$AA46)&amp;" wall — own DEX "&amp;TEXT($AE47/1000,"+#,##0;-#,##0")&amp;"K is "&amp;TEXT(ABS($AE47)/ABS(IF($AG47="R",$AE48,$AE46)),"0%")&amp;" of "&amp;TEXT(IF($AG47="R",$AE48,$AE46)/1000,"+#,##0;-#,##0")&amp;"K, Dex↓ not counted",""))</f>
      </c>
      <c r="MT47">
        <f>IF(AND(ISNUMBER($AA47),$AG47="S",ISNUMBER($AB47),$AB47=MIN($AB$9:$AB$55),$AA47=$BG$105,$JV47="BUY",ABS(N($AD47))&gt;=$BG$158),1,0)</f>
      </c>
      <c r="MU47" t="str">
        <f>IF(N($MY47)=1,"",IF(OR(N($MT47)=1,AND(OR('King Node Model'!$A$8="Neg",N($BG$72)=1),$AG47="S",ISNUMBER($AB47),$AB47=MIN($AB$9:$AB$55),$AA47=$BG$105)),"• Min GEX + Max Zomma (no reversal flag required) — accelerant warning not applied; zomma acceleration warning only within "&amp;$BG$98&amp;" pts of the level, and not when vanna buying is "&amp;TEXT($BG$158/1000,"0")&amp;"K or more"&amp;CHAR(10)&amp;IF(N($MT47)=1,"• Max Zomma and vanna buying ("&amp;TEXT(N($AD47)/1000,"+#,##0;-#,##0")&amp;"K) make this level safe","• Max Zomma is what makes this level safe"),"")&amp;$NB47&amp;$NI47)</f>
      </c>
      <c r="MV47" t="str">
        <f>IF(AND(ISNUMBER($AA47),OR($AA47=$BG$118,$AA47=$BG$119)),IF(N($AZ47)*IF($AG47="R",1,-1)&gt;0,"✓",IF(N($AZ47)*IF($AG47="R",1,-1)&lt;0,"✗","")),"")</f>
      </c>
      <c r="MW47">
        <f>IF(AND(N($MQ47)=1,N($BG$159)&gt;0,ISNUMBER(IF($AG47="R",$AE48,$AE46)),N(IF($AG47="R",$AE48,$AE46))&lt;&gt;0),IF(ABS(N($AE47))&lt;$BG$159*ABS(IF($AG47="R",$AE48,$AE46)),1,0),0)</f>
      </c>
      <c r="MX47">
        <f>IF(AND(ISNUMBER($AA47),$AA47=$BG$121,$AG47="R",N($AE47)&lt;0,OR(COUNTIF('King Node Model'!$AL$42:$AL$44,$AA47)=0,N($HP47)=1),N($NC47)=1),2,IF(AND(ISNUMBER($AA47),$AA47=$BG$120,$AG47="S",N($AE47)&gt;0,OR(COUNTIF('King Node Model'!$AL$49:$AL$51,$AA47)=0,N($HP47)=1),N($ND47)=1),1,0))</f>
      </c>
      <c r="MY47">
        <f>IF(AND(N($NA47)=1,NOT(AND(AND($AG47="S",ISNUMBER($AB47),$AB47=MIN($AB$9:$AB$55),$AA47=$BG$105),IFERROR(INDEX($AG$9:$AG$55,MATCH('King Node Model'!$B$23,$AA$9:$AA$55,0)),"")="R")),N($AV47)&lt;&gt;1),1,0)</f>
      </c>
      <c r="MZ47" t="str">
        <f>IF(N($MY47)&lt;&gt;1,"","• DEX falls off more sharply "&amp;IF($AG47="S","above (","below (")&amp;TEXT(IF($AG47="S",$KU47,$KV47),"0%")&amp;") than "&amp;IF($AG47="S","below (","above (")&amp;TEXT(IF($AG47="S",$KV47,$KU47),"0%")&amp;") — path of least resistance "&amp;IF($AG47="S","down","up")&amp;IF(N($AZ47)*IF($AG47="R",1,-1)&lt;0,CHAR(10)&amp;"• Speed against — GEX gets more negative as price "&amp;IF($AG47="R","rises","falls")&amp;" into it (speed "&amp;TEXT(N($AZ47),"#,##0;−#,##0")&amp;")","")&amp;IF(OR(N($NG47)=1,N($JC47)=1),CHAR(10)&amp;"• "&amp;IF(N($JC47)=1,"DOM with vanna BUY "&amp;TEXT(N($AD47)/1000,"+#,##0;−#,##0")&amp;"K","Put wall + Max Zomma + DOM")&amp;" backs the level, but it does not outweigh DEX"&amp;IF(N($AZ47)*IF($AG47="R",1,-1)&lt;0," and speed",""),IF(AND($AG47="S",ISNUMBER($AB47),$AB47=MIN($AB$9:$AB$55),$AA47=$BG$105),CHAR(10)&amp;"• Min GEX + Max Zomma backs the level, but it does not outweigh DEX"&amp;IF(N($AZ47)*IF($AG47="R",1,-1)&lt;0," and speed",""),IF(OR(N($JI47)=1,AND(N($GV47)=1,N($JK47)&lt;&gt;1,N($IW47)&lt;&gt;1),N($JC47)=1,AND($AA47='King Node Model'!$F$24,N($JN47)&lt;&gt;1,OR($AG47="R",AND($AG47="S",$F$4="High",IF($BG$80&lt;&gt;"",UPPER($BG$80),$D$5)="UP")))),CHAR(10)&amp;"• Vanna "&amp;IF($AG47="S","BUY ","SELL ")&amp;TEXT(N($AD47)/1000,"+#,##0;−#,##0")&amp;"K backs the level, but it does not outweigh DEX"&amp;IF(N($AZ47)*IF($AG47="R",1,-1)&lt;0," and speed",""),"")))&amp;IF(N($NE47)=1,CHAR(10)&amp;"• Buy-lean max-node exemption not applied — DEX leans against the level",""))</f>
      </c>
      <c r="NA47">
        <f>IF(AND(OR('King Node Model'!$A$8="Neg",N($BG$72)=1),ISNUMBER($AA47),ABS(N($AE47))&gt;=$BG$152,ISNUMBER($KU47),ISNUMBER($KV47)),IF(OR(AND($AG47="S",OR(AND($KU47&gt;=$BG$114,$KU47&gt;=$KV47+$BG$115),AND($KU47&gt;1,$KV47&lt;=1,$KV47&gt;=$BG$114))),AND($AG47="R",OR(AND($KV47&gt;=$BG$114,$KV47&gt;=$KU47+$BG$115),AND($KV47&gt;1,$KU47&lt;=1,$KU47&gt;=$BG$114)))),1,0),0)</f>
      </c>
      <c r="NB47" t="str">
        <f>IF(AND(N($NA47)=1,AND(AND($AG47="S",ISNUMBER($AB47),$AB47=MIN($AB$9:$AB$55),$AA47=$BG$105),IFERROR(INDEX($AG$9:$AG$55,MATCH('King Node Model'!$B$23,$AA$9:$AA$55,0)),"")="R")),CHAR(10)&amp;"• DEX falls off more sharply above ("&amp;TEXT($KU47,"0%")&amp;") than below ("&amp;TEXT($KV47,"0%")&amp;") — DEX-lean warning not applied: Min GEX + Max Zomma support with Max Gamma "&amp;'King Node Model'!$B$23&amp;" above (Dex↓ not counted)",IF(AND(OR(N($NA47)=1,N($NF47)=1),N($AV47)=1),IF(AND(OR('King Node Model'!$A$8="Neg",N($BG$72)=1),$AG47="S",ISNUMBER($AB47),$AB47=MIN($AB$9:$AB$55),$AA47=$BG$105),CHAR(10),"")&amp;"• DEX falls off more sharply "&amp;IF($AG47="S","above (","below (")&amp;TEXT(IF($AG47="S",$KU47,$KV47),"0%")&amp;") than "&amp;IF($AG47="S","below (","above (")&amp;TEXT(IF($AG47="S",$KV47,$KU47),"0%")&amp;") — DEX lean does not apply to iDex (isolated DEX)",""))</f>
      </c>
      <c r="NC47">
        <f>IF(OR($BG$163=1,AND($BG$161&gt;0,$BG$162&lt;99999,ISNUMBER($AA47),$AA47&lt;$BG$162)),1,0)</f>
      </c>
      <c r="ND47">
        <f>IF(OR($BG$163=-1,AND($BG$161&gt;0,$BG$162&lt;99999,ISNUMBER($AA47),$AA47&gt;$BG$161)),1,0)</f>
      </c>
      <c r="NE47">
        <f>IF(AND(OR('King Node Model'!$A$8="Neg",N($BG$72)=1),ISNUMBER(SEARCH("LOW",'Master Dashboard'!$M$5)),ISNUMBER(SEARCH("BUY",'Master Dashboard'!$G$8)),'King Node Model'!$T$23='King Node Model'!$B$23,OR($AA47='King Node Model'!$T$23,AND($AG47="R",$AA47='King Node Model'!$T$23+5)),OR(AND($AG47="S",$JV47="BUY"),AND($AG47="R",$JV47="SELL"))),1,0)</f>
      </c>
      <c r="NF47">
        <f>IFERROR(IF(OR(NOT(ISNUMBER($AA47)),'King Node Model'!$A$8&lt;&gt;"Pos",N($BG$72)=1,ABS(N($AE47))&lt;$BG$113,$FA47="DOM",$AA47='King Node Model'!$T$23,AND(N($BG$116)=1,$AA47='King Node Model'!$F$24),NOT(ISNUMBER($KU47)),NOT(ISNUMBER($KV47))),0,IF(AND($AG47="S",COUNTIF('Master Dashboard'!$AN$16:$AN$18,$AA47)=0,$KU47&gt;=$BG$114,$KU47&gt;=$KV47+$BG$115,NOT(AND(N($AN48)=1,N($KV47)&lt;0)),N($AE47)&lt;=0),1,IF(AND($AG47="R",COUNTIF('Master Dashboard'!$AN$13:$AN$15,$AA47)=0,$KV47&gt;=$BG$114,$KV47&gt;=$KU47+$BG$115,NOT(AND(N($AN46)=1,N($KU47)&lt;0))),-1,0))),0)</f>
      </c>
      <c r="NG47">
        <f t="shared" si="202"/>
      </c>
      <c r="NI47" t="str">
        <f>IF(AND(ISNUMBER($BG$165),ISNUMBER($AA47)),IF(OR(AND($AG47="S",$AA47&gt;$BG$165,$AA47-$BG$165&lt;=5),AND($AG47="R",$AA47&lt;$BG$165,$BG$165-$AA47&lt;=5)),IF(OR(AND(OR('King Node Model'!$A$8="Neg",N($BG$72)=1),$AG47="S",ISNUMBER($AB47),$AB47=MIN($AB$9:$AB$55),$AA47=$BG$105),$NB47&lt;&gt;""),CHAR(10),"")&amp;"• DOM forming at "&amp;$BG$165&amp;" (gamma "&amp;TEXT($BG$166,"0%")&amp;" of max) — price may be pulled to the node",""),"")</f>
      </c>
      <c r="NJ47">
        <f>IF(LEN($NI47)&gt;0,1,0)</f>
      </c>
    </row>
    <row r="48" spans="27:349" ht="15" customHeight="1" x14ac:dyDescent="0.25">
      <c r="AA48" s="181">
        <f>'King Node Model'!A68</f>
        <v>7690</v>
      </c>
      <c r="AB48" s="276">
        <f>'King Node Model'!C68</f>
        <v>-58328</v>
      </c>
      <c r="AC48" s="181">
        <f>ABS('King Node Model'!B68)</f>
        <v>74724</v>
      </c>
      <c r="AD48" s="276">
        <f>'King Node Model'!F68</f>
        <v>259265</v>
      </c>
      <c r="AE48" s="276">
        <f>'King Node Model'!E68</f>
        <v>121244</v>
      </c>
      <c r="AF48" s="276">
        <f>'King Node Model'!D68</f>
        <v>-964803</v>
      </c>
      <c r="AG48" s="181" t="str">
        <f t="shared" si="6"/>
        <v>S</v>
      </c>
      <c r="AH48" s="181">
        <f t="shared" si="7"/>
        <v>19</v>
      </c>
      <c r="AI48" s="181" t="str">
        <f t="shared" si="8"/>
        <v>SELL</v>
      </c>
      <c r="AJ48" s="181">
        <f t="shared" si="9"/>
        <v>1</v>
      </c>
      <c r="AK48" s="181">
        <f>IF(ABS(N($AE48))&gt;=$BG$85,1,0)</f>
      </c>
      <c r="AL48" s="181">
        <f t="shared" si="10"/>
        <v>0</v>
      </c>
      <c r="AM48" s="181">
        <f t="shared" si="11"/>
        <v>1</v>
      </c>
      <c r="AN48" s="181">
        <f t="shared" si="12"/>
        <v>0</v>
      </c>
      <c r="AO48" s="1" t="str">
        <f t="shared" si="13"/>
        <v/>
      </c>
      <c r="AP48" s="1">
        <f t="shared" si="14"/>
        <v>121244</v>
      </c>
      <c r="AQ48" s="1">
        <f t="shared" si="15"/>
        <v>964803</v>
      </c>
      <c r="AR48" s="181">
        <f t="shared" si="16"/>
        <v>0.11336912196926359</v>
      </c>
      <c r="AS48" s="181">
        <f t="shared" si="17"/>
        <v>13</v>
      </c>
      <c r="AT48" s="181" t="str">
        <f t="shared" si="18"/>
        <v/>
      </c>
      <c r="AU48" s="181" t="str">
        <f t="shared" si="19"/>
        <v/>
      </c>
      <c r="AV48" s="218">
        <f t="shared" si="183"/>
        <v>0</v>
      </c>
      <c r="AW48" s="181">
        <f>ABS('King Node Model'!G68)</f>
        <v>148</v>
      </c>
      <c r="AX48" s="181">
        <f t="shared" si="20"/>
        <v>0</v>
      </c>
      <c r="AY48" s="181">
        <f t="shared" si="21"/>
        <v>0</v>
      </c>
      <c r="AZ48" s="276">
        <f>'King Node Model'!I68</f>
        <v>867</v>
      </c>
      <c r="BA48" s="181">
        <f t="shared" si="22"/>
        <v>0</v>
      </c>
      <c r="BB48" s="181" t="str">
        <f t="shared" si="23"/>
        <v>S13</v>
      </c>
      <c r="BC48" s="10">
        <f>'King Node Model'!C68</f>
        <v>-58328</v>
      </c>
      <c r="BD48" s="218">
        <f t="shared" si="184"/>
        <v>0</v>
      </c>
      <c r="BE48" s="218">
        <f t="shared" si="185"/>
        <v>0</v>
      </c>
      <c r="BF48" t="s">
        <v>2041</v>
      </c>
      <c r="BG48">
        <v>800000</v>
      </c>
      <c r="BI48" s="218">
        <f t="shared" si="186"/>
        <v>0</v>
      </c>
      <c r="BJ48" s="218">
        <f t="shared" si="187"/>
        <v>0</v>
      </c>
      <c r="BK48" s="218">
        <f t="shared" si="24"/>
        <v>0</v>
      </c>
      <c r="BL48" s="10">
        <f>'King Node Model'!H68</f>
        <v>7</v>
      </c>
      <c r="BM48" s="218">
        <f t="shared" si="25"/>
        <v>40</v>
      </c>
      <c r="BN48" s="218">
        <f t="shared" si="26"/>
        <v>38</v>
      </c>
      <c r="BO48" s="218">
        <f t="shared" si="27"/>
        <v>0</v>
      </c>
      <c r="BP48" s="218">
        <f t="shared" si="28"/>
        <v>0</v>
      </c>
      <c r="BQ48" t="str">
        <f t="shared" si="29"/>
        <v/>
      </c>
      <c r="BR48" t="str">
        <f t="shared" si="30"/>
        <v/>
      </c>
      <c r="BS48" s="218">
        <f t="shared" si="31"/>
        <v>0</v>
      </c>
      <c r="BT48" t="str">
        <f t="shared" si="32"/>
        <v/>
      </c>
      <c r="BU48" t="str">
        <f t="shared" si="33"/>
        <v/>
      </c>
      <c r="BV48" s="218">
        <f t="shared" si="34"/>
        <v>259265</v>
      </c>
      <c r="BW48" s="218">
        <f t="shared" si="35"/>
        <v>121244</v>
      </c>
      <c r="BX48" s="218">
        <f>IF(AND(ISNUMBER(BC48),BC48&gt;=$BG$160,OR('King Node Model'!$A$8="Neg",N($BG$72)=1)),1,0)</f>
        <v>0</v>
      </c>
      <c r="BY48" s="218">
        <f t="shared" si="36"/>
        <v>0</v>
      </c>
      <c r="BZ48" s="218">
        <f t="shared" si="37"/>
        <v>0</v>
      </c>
      <c r="CA48" t="str">
        <f t="shared" si="38"/>
        <v/>
      </c>
      <c r="CB48" s="218">
        <f>IF(AND(ISNUMBER('King Node Model'!$D$27),AG48&lt;&gt;"",AA48='King Node Model'!$D$27),1,0)</f>
        <v>0</v>
      </c>
      <c r="CC48" s="218">
        <f>IF(OR('King Node Model'!$A$8="Neg",N($BG$72)=1),$BG$14*IF(ISNUMBER('King Node Model'!$D$26),MAX(0,1-ABS(AA48-'King Node Model'!$D$26)/$BG$18),0)+$BG$15*IFERROR(BV48/MAX($BV$9:$BV$55),0)+$BG$16*IFERROR(BW48/MAX($BW$9:$BW$55),0)+$BG$17*IFERROR(AC48/$S$11,0)*MAX(0,1+$BG$21*CF48),AR48)</f>
        <v>0.11698942126353033</v>
      </c>
      <c r="CD48" s="218">
        <f>IF(OR('King Node Model'!$A$8="Neg",N($BG$72)=1),IF(AND(AG48&lt;&gt;"",ABS(AA48-$B$4)&lt;=$BG$7,OR(AX48=0,$D$5&lt;&gt;"UP"),AY48=0,BK48&lt;&gt;1,CI48=0,AM48&gt;=$BG$20,AC48&gt;$BG$19),1,0),IF(AND(BS48=1,(COUNTIF($W$9:$W$14,AA48)+COUNTIF($W$18:$W$23,AA48))&gt;0,CI48=0,AM48&gt;=$BG$20,AC48&gt;$BG$19),1,0))</f>
        <v>0</v>
      </c>
      <c r="CE48" t="str">
        <f t="shared" si="39"/>
        <v/>
      </c>
      <c r="CF48" s="218">
        <f t="shared" si="40"/>
        <v>0</v>
      </c>
      <c r="CG48" t="str">
        <f t="shared" si="41"/>
        <v/>
      </c>
      <c r="CH48" t="str">
        <f t="shared" si="42"/>
        <v>Dormant</v>
      </c>
      <c r="CI48" s="218">
        <f t="shared" si="43"/>
        <v>0</v>
      </c>
      <c r="CJ48" s="218">
        <f t="shared" si="44"/>
        <v>387420489</v>
      </c>
      <c r="CK48" s="218">
        <f t="shared" si="45"/>
        <v>0</v>
      </c>
      <c r="CL48" s="218">
        <f t="shared" si="46"/>
        <v>0</v>
      </c>
      <c r="CR48" t="s">
        <v>1507</v>
      </c>
      <c r="CS48">
        <f>IFERROR(INDEX($AR$9:$AR$55,MATCH($CS$40,$AA$9:$AA$55,0)),"")</f>
        <v>1.62</v>
      </c>
      <c r="CU48" s="218">
        <f>IF(AND(AND('King Node Model'!$A$8&lt;&gt;"Neg",N($BG$72)&lt;&gt;1),SUMPRODUCT(($AG$9:$AG$55="S")*ISNUMBER($AT$9:$AT$55)*ISNUMBER($AU$9:$AU$55)*($AT$9:$AT$55&lt;&gt;$AU$9:$AU$55)*($AT$9:$AT$55&lt;=$AA48)*($AU$9:$AU$55&gt;=$AA48))&gt;0),0,IF(AND(OR($AA48='King Node Model'!$T$22,$AA48='King Node Model'!$F$24),$AG48="R",COUNTIF($W$9:$W$14,$AA48)&gt;0),1,IF(AND($FN48=1,$EU48&lt;&gt;1,$EM48&lt;&gt;1,$BK48&lt;&gt;1,$DH48&lt;&gt;1,$AG48="R",COUNTIF($W$9:$W$14,$AA48)&gt;0),1,IF($EU48=1,0,IF($EM48=1,0,IF(AND(OR($EE48=1,$GV48=1,AND($EL$7=1,$AA48='King Node Model'!$D$26,$EI48=1),AND(OR($AA48='King Node Model'!$T$22,$AA48='King Node Model'!$T$23),$AN48=1,OR($AX48=0,$D$5&lt;&gt;"UP"))),OR(NOT(OR('King Node Model'!$A$8="Neg",N($BG$72)=1)),$GV48=1,AND(OR($AA48='King Node Model'!$T$22,$AA48='King Node Model'!$T$23),$AN48=1,OR($AX48=0,$D$5&lt;&gt;"UP")),AND($AM48&gt;=$BG$20,$AC48&gt;IF($CZ48=1,$BG$48,$BG$19)))),1,IF($DH48=1,0,IF(AND($DC48=1,$GS48&lt;&gt;1,AND('King Node Model'!$A$8&lt;&gt;"Neg",N($BG$72)&lt;&gt;1)),0,IF(AND($EY48=1,NOT(OR('King Node Model'!$A$8="Neg",$BG$72=1)),$AA48&lt;&gt;'King Node Model'!$B$23),0,IF(AND($GS48=1,$AG48="R",OR($CI48=0,$EE48=1,$EX48=1,$GV48=1),COUNTIF($W$9:$W$14,$AA48)&gt;0,ABS($AA48-$B$4)&lt;=$BG$7,$BK48&lt;&gt;1,$AM48&gt;=$BG$20,$AC48&gt;IF($CZ48=1,$BG$48,$BG$19)),1,IF(OR('King Node Model'!$A$8="Neg",N($BG$72)=1),IF(AND(OR($AM48&gt;=$BG$20,$AA48='King Node Model'!$D$26,$GV48=1),$AG48="R",COUNTIF($W$9:$W$14,$AA48)&gt;0,ABS($AA48-$B$4)&lt;=$BG$7,OR($AX48=0,$D$5&lt;&gt;"UP"),$BK48&lt;&gt;1,OR(OR($CI48=0,$AJ48=1),AND($EI48=1,$LA48=1,COUNTIF($W$9:$W$11,$AA48)&gt;0,$AN48=1,OR($AX48=0,$D$5&lt;&gt;"UP"))),$AM48&gt;=$BG$20,$AC48&gt;IF($CZ48=1,$BG$48,$BG$19),OR($AN48=1,N($LR48)=1,$AA48='King Node Model'!$D$26,AND($BY48=1,$AA48&gt;$B$4),$BX48=1,$CF48=1,$CF48=1,AND(OR($AA48=$CP$4,$AA48=$CP$5,$AA48=$CP$6,$AA48=$CP$7),ABS($AA48-$B$4)&lt;=30),AND($AX48=1,$D$5="DOWN"))),1,0),IF(AND(OR($AM48&gt;=3,$AA48='King Node Model'!$D$26,$GV48=1),$AG48="R",COUNTIF($W$9:$W$14,$AA48)&gt;0,ABS($AA48-$B$4)&lt;=$BG$7,OR($AX48=0,$D$5&lt;&gt;"UP"),$BK48&lt;&gt;1,OR($CI48=0,$AJ48=1),$AM48&gt;=$BG$20,$AC48&gt;IF($CZ48=1,$BG$48,$BG$19),OR($AC48&gt;=MAX($AC$9:$AC$55),$BC48&gt;0,$AA48='King Node Model'!$D$26,AND(OR($AA48=$CP$4,$AA48=$CP$5,$AA48=$CP$6,$AA48=$CP$7),ABS($AA48-$B$4)&lt;=30),$CF48=1,$AN48=1,AND($AX48=1,$D$5="DOWN"))),1,0))))))))))))</f>
        <v>0</v>
      </c>
      <c r="CV48" s="218">
        <f>IF(AND(OR('King Node Model'!$A$8="Neg",N($BG$72)=1),$AG48="S",N($LR48)=1,N($MB48)=1),1,IF(AND(AND('King Node Model'!$A$8&lt;&gt;"Neg",N($BG$72)&lt;&gt;1),SUMPRODUCT(($AG$9:$AG$55="R")*ISNUMBER($AT$9:$AT$55)*ISNUMBER($AU$9:$AU$55)*($AT$9:$AT$55&lt;&gt;$AU$9:$AU$55)*($AT$9:$AT$55&lt;=$AA48)*($AU$9:$AU$55&gt;=$AA48))&gt;0,NOT(AND(N($LC48)=1,$AA48='King Node Model'!$B$23))),0,IF(AND($AA48='King Node Model'!$F$24,$AG48="S",COUNTIF($W$18:$W$23,$AA48)&gt;0),1,IF(AND($FN48=1,$EU48&lt;&gt;1,$EM48&lt;&gt;1,$DH48&lt;&gt;1,$AG48="S",COUNTIF($W$18:$W$23,$AA48)&gt;0),1,IF($EU48=1,0,IF(AND(OR($EF48=1,$GV48=1,AND(OR($AA48='King Node Model'!$T$22,$AA48='King Node Model'!$T$23,AND($AG48="S",COUNTIF('Master Dashboard'!$AN$16:$AN$18,$AA48)&gt;0)),$AN48=1,OR($AX48=0,$D$5&lt;&gt;"UP"))),OR(NOT(OR('King Node Model'!$A$8="Neg",N($BG$72)=1)),$GV48=1,AND(OR($AA48='King Node Model'!$T$22,$AA48='King Node Model'!$T$23,AND($AG48="S",COUNTIF('Master Dashboard'!$AN$16:$AN$18,$AA48)&gt;0)),$AN48=1,OR($AX48=0,$D$5&lt;&gt;"UP")),AND($AM48&gt;=$BG$20,$AC48&gt;IF($CZ48=1,$BG$48,$BG$19)))),1,IF($DH48=1,0,IF(AND($DC48=1,$GS48&lt;&gt;1,AND('King Node Model'!$A$8&lt;&gt;"Neg",N($BG$72)&lt;&gt;1)),0,IF(AND($EY48=1,NOT(OR('King Node Model'!$A$8="Neg",$BG$72=1)),$AA48&lt;&gt;'King Node Model'!$B$23,COUNTIF('Master Dashboard'!$AN$16:$AN$18,$AA48)=0),0,IF(AND($GS48=1,$AG48="S",OR($CI48=0,$EF48=1,$EX48=1,$GV48=1),COUNTIF($W$18:$W$23,$AA48)&gt;0,ABS($AA48-$B$4)&lt;=$BG$7,$BK48&lt;&gt;1,$AM48&gt;=$BG$20,$AC48&gt;IF($CZ48=1,$BG$48,$BG$19)),1,IF(OR('King Node Model'!$A$8="Neg",N($BG$72)=1),IF(AND(OR(OR($AM48&gt;=$BG$20,N($LR48)=1),$AA48='King Node Model'!$D$26,$GV48=1),$AG48="S",COUNTIF($W$18:$W$23,$AA48)&gt;0,ABS($AA48-$B$4)&lt;=$BG$7,OR($AX48=0,$D$5&lt;&gt;"UP"),$BK48&lt;&gt;1,OR($CI48=0,$AJ48=1,AND(N($LR48)=1,N($MB48)=1),N($MT48)=1),OR($AM48&gt;=$BG$20,N($LR48)=1),$AC48&gt;IF($CZ48=1,$BG$48,$BG$19),OR($AB48&gt;0,$AN48=1,N($MT48)=1,N($LR48)=1,$AA48='King Node Model'!$D$26,AND($BY48=1,$AA48&lt;$B$4),$BX48=1,$CF48=1,$CF48=1,AND(OR($AA48=$CP$4,$AA48=$CP$5,$AA48=$CP$6,$AA48=$CP$7),ABS($AA48-$B$4)&lt;=30),AND($AX48=1,$D$5="DOWN"))),1,0),IF(AND(OR($AM48&gt;=3,$AA48='King Node Model'!$D$26,$GV48=1),$AG48="S",COUNTIF($W$18:$W$23,$AA48)&gt;0,ABS($AA48-$B$4)&lt;=$BG$7,OR($AX48=0,$D$5&lt;&gt;"UP"),$BK48&lt;&gt;1,OR($CI48=0,$AJ48=1,AND(N($LR48)=1,N($MB48)=1),N($MT48)=1),$AM48&gt;=$BG$20,$AC48&gt;IF($CZ48=1,$BG$48,$BG$19),OR($AC48&gt;=MAX($AC$9:$AC$55),$BC48&gt;0,N($MT48)=1,$AA48='King Node Model'!$D$26,AND(OR($AA48=$CP$4,$AA48=$CP$5,$AA48=$CP$6,$AA48=$CP$7),ABS($AA48-$B$4)&lt;=30),$CF48=1,$AN48=1,AND($AX48=1,$D$5="DOWN"))),1,0))))))))))))</f>
        <v>0</v>
      </c>
      <c r="CX48" s="218">
        <f t="shared" si="48"/>
        <v>0</v>
      </c>
      <c r="CY48" t="str">
        <f t="shared" si="49"/>
        <v/>
      </c>
      <c r="CZ48" s="218">
        <f t="shared" si="50"/>
        <v>0</v>
      </c>
      <c r="DA48" t="str">
        <f t="shared" si="51"/>
        <v/>
      </c>
      <c r="DB48" t="str">
        <f t="shared" si="52"/>
        <v/>
      </c>
      <c r="DC48" s="218">
        <f t="shared" si="53"/>
        <v>0</v>
      </c>
      <c r="DD48" s="218">
        <f t="shared" si="54"/>
        <v>0</v>
      </c>
      <c r="DE48" s="218">
        <f t="shared" si="55"/>
        <v>0</v>
      </c>
      <c r="DF48" t="str">
        <f t="shared" si="56"/>
        <v/>
      </c>
      <c r="DG48" t="str">
        <f t="shared" si="57"/>
        <v/>
      </c>
      <c r="DH48" s="218">
        <f t="shared" si="58"/>
        <v>0</v>
      </c>
      <c r="DI48">
        <v>1</v>
      </c>
      <c r="DJ48">
        <v>1</v>
      </c>
      <c r="DK48">
        <v>1372729</v>
      </c>
      <c r="DL48">
        <v>0</v>
      </c>
      <c r="DM48" t="str">
        <f>IF(AND($CV48=1,$AG48="S"),IF(AND(OR('King Node Model'!$A$8="Neg",N($BG$72)=1),'King Node Model'!$S$52=""),IF(OR(N($AN48)=1,N($LR48)=1,$AB48&gt;0,$AJ48=1,N($JO48)=1,AND(NOT($AE48&gt;0),NOT(IFERROR(AND(ISNUMBER($BC48),ISNUMBER($BC47),($BC48&gt;=0)&lt;&gt;($BC47&gt;=0)),FALSE())),OR(AND($BM48&lt;=6,$BN48&lt;=6),ABS($AA48-'King Node Model'!$T$23)&lt;=5,$LA48=1))),1,0),1),"")</f>
        <v/>
      </c>
      <c r="DN48" t="str">
        <f t="shared" si="59"/>
        <v/>
      </c>
      <c r="DO48" t="str">
        <f t="shared" si="60"/>
        <v>W-list</v>
      </c>
      <c r="DP48" t="str">
        <f>IF(AND(OR('King Node Model'!$A$8="Neg",N($BG$72)=1),$AG48="S",ISNUMBER($AT48),ISNUMBER($AU48),$AT48&lt;&gt;$AU48,$AA48=$AT48),IF(AND(SUMPRODUCT(($AA$9:$AA$55&gt;=$AT48)*($AA$9:$AA$55&lt;=$AU48)*($AB$9:$AB$55&gt;0))&gt;0,SUMPRODUCT(($AA$9:$AA$55&gt;=$AT48)*($AA$9:$AA$55&lt;=$AU48)*($DM$9:$DM$55=1))&gt;0,SUMPRODUCT(($AA$9:$AA$55&gt;=$AT48)*($AA$9:$AA$55&lt;=$AU48)*(COUNTIF($W$18:$W$20,$AA$9:$AA$55)&gt;0))&gt;0),1,0),"")</f>
        <v/>
      </c>
      <c r="DS48">
        <v>0</v>
      </c>
      <c r="DT48">
        <v>0</v>
      </c>
      <c r="DU48" t="str">
        <f>IF('King Node Model'!$A$8&lt;&gt;"Pos","",IF(OR($AA48="",NOT(ISNUMBER($AA48)),ABS($AA48-$B$4)&gt;$BG$7),"",TEXT($AA48,"0")&amp;" | "&amp;IF($AG48="","unclassified",IF($AG48&lt;&gt;IF($AA48&gt;$B$4,"R","S"),"orphan: in "&amp;$AG48&amp;"-list, "&amp;IF($AA48&lt;$B$4,"below","above")&amp;" spot",IF(IF($AG48="R",COUNTIF($W$9:$W$14,$AA48),COUNTIF($W$18:$W$23,$AA48))=0,"not in "&amp;$AG48&amp;"-list",IF($DH48=1,"absorbed into shelf box",IF($BK48=1,"absorbed: adjacent reversal",IF($CI48=1,"accel-accelerant",IF($AC48&lt;=$BG$19,"below gamma-floor",IF($AM48&lt;$BG$20,"confluence "&amp;TEXT($AM48,"0")&amp;" &lt; "&amp;TEXT($BG$20,"0"),IF(AND($AX48=1,$D$5="UP"),"accelerant in up-move",IF(NOT(OR($AC48&gt;=MAX($AC$9:$AC$55),$BC48&gt;0,$AA48='King Node Model'!$D$26,AND(OR($AA48=$CP$4,$AA48=$CP$5,$AA48=$CP$6,$AA48=$CP$7),ABS($AA48-$B$4)&lt;=30),ISNUMBER(SEARCH("STRENGTHENING",$CG48)),$AN48=1,AND($AX48=1,$D$5="DOWN"))),"no surface flag","-&gt; qualifies"))))))))))))</f>
        <v/>
      </c>
      <c r="DV48" s="218">
        <f t="shared" si="61"/>
        <v>99999</v>
      </c>
      <c r="DW48" s="218">
        <f t="shared" si="62"/>
        <v>99999</v>
      </c>
      <c r="DX48" t="str">
        <f>IF('King Node Model'!$A$8&lt;&gt;"Pos","",IF(AND($DV48&lt;99999,$DV48=MIN($DV$9:$DV$55),$DG48&gt;$AA48),"R-box: "&amp;TEXT($AA48,"0")&amp;"-"&amp;TEXT($DG48,"0"),IF(AND($DW48&lt;99999,$DW48=MIN($DW$9:$DW$55),$DF48&lt;$AA48),"S-box: "&amp;TEXT($DF48,"0")&amp;"-"&amp;TEXT($AA48,"0"),"")))</f>
        <v/>
      </c>
      <c r="EB48">
        <f t="shared" si="63"/>
        <v>85.390000000000327</v>
      </c>
      <c r="EC48">
        <f t="shared" si="64"/>
        <v>538591</v>
      </c>
      <c r="ED48">
        <f t="shared" si="65"/>
        <v>0</v>
      </c>
      <c r="EE48">
        <f>IF(AND(OR('King Node Model'!$A$8="Neg",N($BG$72)=1),$AG48="R",ISNUMBER($EB48),$EB48&lt;=$BG$7,$AB48&gt;0,$EC48&gt;0,$AB48=$EC48),1,0)</f>
        <v>0</v>
      </c>
      <c r="EF48">
        <f>IF(AND(OR('King Node Model'!$A$8="Neg",N($BG$72)=1),$AG48="S",ISNUMBER($EB48),$EB48&lt;=$BG$7,$AB48&gt;0,$ED48&gt;0,$AB48=$ED48),1,0)</f>
        <v>0</v>
      </c>
      <c r="EI48">
        <v>1</v>
      </c>
      <c r="EJ48">
        <f>IF($AA48="",0,IF(SUMPRODUCT(($AA$9:$AA$55&gt;=$AT48)*($AA$9:$AA$55&lt;=$AU48)*($DT$9:$DT$55=1))+SUMPRODUCT(($DT$9:$DT$55=1)*($AT$9:$AT$55&lt;=$AA48)*($AU$9:$AU$55&gt;=$AA48))+($DT48=1)+AND(OR('King Node Model'!$A$8="Neg",N($BG$72)=1),ISNUMBER(SEARCH("LOW",'Master Dashboard'!$M$5)),ISNUMBER(SEARCH("BUY",'Master Dashboard'!$G$8)),'King Node Model'!$T$23='King Node Model'!$B$23,$AA48&gt;='King Node Model'!$T$23,$AA48&lt;='King Node Model'!$T$23+5)*1&gt;0,1,0))</f>
        <v>0</v>
      </c>
      <c r="EM48">
        <f t="shared" si="66"/>
        <v>0</v>
      </c>
      <c r="EN48">
        <v>0</v>
      </c>
      <c r="EO48">
        <f t="shared" si="67"/>
        <v>0</v>
      </c>
      <c r="EP48">
        <f t="shared" si="68"/>
        <v>0</v>
      </c>
      <c r="EQ48" t="str">
        <f t="shared" si="69"/>
        <v>thinning the floor (magnitude weak)</v>
      </c>
      <c r="ES48" t="str">
        <f>IF(AND(ISNUMBER(AA48),ISNUMBER(AF48),ABS(AA48-'King Node Model'!$B$4)&lt;=$BG$7),ABS(AF48),"")</f>
        <v/>
      </c>
      <c r="ET48">
        <v>0</v>
      </c>
      <c r="EU48" s="218">
        <f>IF(AND(OR('King Node Model'!$A$8="Neg",N($BG$72)=1),ISNUMBER($AA47),ISNUMBER($AA48),ISNUMBER($AA49),ISNUMBER($AB47),ISNUMBER($AB48),ISNUMBER($AB49),ISNUMBER($AF48),$AB48&gt;0,$AB47&lt;0,$AB49&lt;0,$AF48&lt;0),1,0)</f>
        <v>0</v>
      </c>
      <c r="EW48">
        <f>IF(OR(N($MY48)=1,N($JM48)=1),0,N($NE48))</f>
        <v>0</v>
      </c>
      <c r="EX48">
        <f>IF(AND(OR('King Node Model'!$A$8="Neg",N($BG$72)=1),ISNUMBER($AA48),OR(AND($AA48='King Node Model'!$F$24,OR(AND($AG48="S",$F$4="High",IF($BG$80&lt;&gt;"",UPPER($BG$80),$D$5)="DOWN"),AND($AG48="R",$F$4="Low",IF($BG$80&lt;&gt;"",UPPER($BG$80),$D$5)="UP"))),$GV48=1)),1,0)</f>
        <v>0</v>
      </c>
      <c r="EY48">
        <f>IFERROR(IF(AND($DC48=1,$AB48&lt;0,$AC48&gt;=(1+$FA$6)*INDEX($AC$9:$AC$55,40-1),$AC48&gt;=(1+$FA$6)*INDEX($AC$9:$AC$55,40+1),$AC48&gt;=IFERROR(INDEX($AC$9:$AC$55,40-2),0),$AC48&gt;=IFERROR(INDEX($AC$9:$AC$55,40+2),0)),1,0),0)</f>
        <v>0</v>
      </c>
      <c r="FA48" t="str">
        <f>IF(NOT(ISNUMBER($AA48)),"",IFERROR(IF(AND($AC48=MAX($AC$9:$AC$55),$AB48=MIN($AB$9:$AB$55)),"DOM",IF(AND($DC47=1,$DC48=1,$DC49=1,INDEX($AC$9:$AC$55,40-1)&lt;=(1-$FA$6)*$AC48,INDEX($AC$9:$AC$55,40-1)&lt;=(1-$FA$6)*INDEX($AC$9:$AC$55,40-2)),"GAP↑",IF(AND($DC49=1,$DC48=1,INDEX($AC$9:$AC$55,40+1)&lt;=(1-$FA$6)*$AC48,INDEX($AC$9:$AC$55,40+1)&lt;=(1-$FA$6)*INDEX($AC$9:$AC$55,40+2)),"GAP↓",IF($CZ48=1,"dEdge Cliff",IF($GY48=1,"γWall",IF(AND($DC48=1,$AB48&lt;0,$AC48&gt;=(1+$FA$6)*INDEX($AC$9:$AC$55,40-1),$AC48&gt;=(1+$FA$6)*INDEX($AC$9:$AC$55,40+1)),"PEAK-",IF($GZ48=1,"γSh Edge",IF($HL48=1,"Trough",IF($HN48=1,"PEAK+",IF($GF48=1,"Cluster","")))))))))),""))</f>
        <v/>
      </c>
      <c r="FB48" t="str">
        <f t="shared" si="70"/>
        <v/>
      </c>
      <c r="FC48" t="str">
        <f t="shared" si="71"/>
        <v/>
      </c>
      <c r="FD48">
        <f>IF(AND(ISNUMBER($AA48),ISNUMBER('King Node Model'!$AP$17),ISNUMBER('King Node Model'!$AQ$17),$AA48&gt;=MIN('King Node Model'!$AP$17,'King Node Model'!$AQ$17),$AA48&lt;=MAX('King Node Model'!$AP$17,'King Node Model'!$AQ$17),IFERROR(INDEX($AC$9:$AC$55,MATCH('King Node Model'!$AL$42,$AA$9:$AA$55,0)),0)&gt;0,$AC48&gt;=(1-$FA$6)*IFERROR(INDEX($AC$9:$AC$55,MATCH('King Node Model'!$AL$42,$AA$9:$AA$55,0)),0),$AC48&lt;=(1+$FA$6)*IFERROR(INDEX($AC$9:$AC$55,MATCH('King Node Model'!$AL$42,$AA$9:$AA$55,0)),0)),1,0)</f>
        <v>0</v>
      </c>
      <c r="FE48">
        <f>IF($AA48='King Node Model'!$AL$42,1,IF(AND($FD48=1,$FE47=1),1,0))</f>
        <v>0</v>
      </c>
      <c r="FF48">
        <f>IF($AA48='King Node Model'!$AL$42,1,IF(AND($FD48=1,$FF49=1),1,0))</f>
        <v>0</v>
      </c>
      <c r="FG48" t="str">
        <f>IF(OR($FE48=1,$FF48=1),40,"")</f>
        <v/>
      </c>
      <c r="FJ48">
        <f>IF(AND($CW$2=1,ISNUMBER($AA48),ISNUMBER($CW$3),ISNUMBER($CW$4),$AA48&gt;=MIN($CW$3,$CW$4),$AA48&lt;=MAX($CW$3,$CW$4),IFERROR(INDEX($AC$9:$AC$55,MATCH('King Node Model'!$AP$67,$AA$9:$AA$55,0)),0)&gt;0,$AC48&gt;=(1-$FA$6)*IFERROR(INDEX($AC$9:$AC$55,MATCH('King Node Model'!$AP$67,$AA$9:$AA$55,0)),0),$AC48&lt;=(1+$FA$6)*IFERROR(INDEX($AC$9:$AC$55,MATCH('King Node Model'!$AP$67,$AA$9:$AA$55,0)),0)),1,0)</f>
        <v>0</v>
      </c>
      <c r="FK48">
        <f>IF(AND($CW$2=1,$AA48='King Node Model'!$AP$67),1,IF(AND($FJ48=1,$FK47=1),1,0))</f>
        <v>0</v>
      </c>
      <c r="FL48">
        <f>IF(AND($CW$2=1,$AA48='King Node Model'!$AP$67),1,IF(AND($FJ48=1,$FL49=1),1,0))</f>
        <v>0</v>
      </c>
      <c r="FM48" t="str">
        <f>IF(OR($FK48=1,$FL48=1),40,"")</f>
        <v/>
      </c>
      <c r="FN48">
        <v>0</v>
      </c>
      <c r="FR48" t="str">
        <f t="shared" si="72"/>
        <v/>
      </c>
      <c r="FS48">
        <f t="shared" si="188"/>
        <v>0</v>
      </c>
      <c r="FT48">
        <f t="shared" si="73"/>
        <v>-0.78057919811573251</v>
      </c>
      <c r="FU48">
        <f t="shared" si="74"/>
        <v>74724</v>
      </c>
      <c r="FV48" t="str">
        <f>IF($FW48=0,"",IF(OR($FW47=0,SIGN(IFERROR($BC48*1,0))&lt;&gt;SIGN(IFERROR($BC47*1,0)),$GH48=1,$GH47=1),MAX($FV$9:$FV47)+1,$FV47))</f>
        <v/>
      </c>
      <c r="FW48">
        <f t="shared" si="75"/>
        <v>0</v>
      </c>
      <c r="FX48" t="str">
        <f t="shared" si="76"/>
        <v/>
      </c>
      <c r="FY48">
        <f t="shared" si="77"/>
        <v>0</v>
      </c>
      <c r="FZ48">
        <f t="shared" si="189"/>
        <v>0</v>
      </c>
      <c r="GA48">
        <f t="shared" si="78"/>
        <v>0</v>
      </c>
      <c r="GB48" t="str">
        <f t="shared" si="79"/>
        <v/>
      </c>
      <c r="GC48" t="str">
        <f t="shared" si="80"/>
        <v/>
      </c>
      <c r="GD48" t="str">
        <f t="shared" si="81"/>
        <v/>
      </c>
      <c r="GE48" t="str">
        <f t="shared" si="82"/>
        <v/>
      </c>
      <c r="GF48">
        <f t="shared" si="83"/>
        <v>0</v>
      </c>
      <c r="GH48">
        <f>IFERROR(IF(AND($AC48&gt;=(1+$FA$6)*INDEX($AC$9:$AC$55,40-1),$AC48&gt;=(1+$FA$6)*INDEX($AC$9:$AC$55,40+1)),1,0),0)</f>
        <v>0</v>
      </c>
      <c r="GK48">
        <v>0</v>
      </c>
      <c r="GO48">
        <v>0</v>
      </c>
      <c r="GP48">
        <v>0</v>
      </c>
      <c r="GQ48">
        <f t="shared" si="84"/>
        <v>0</v>
      </c>
      <c r="GR48">
        <f t="shared" si="85"/>
        <v>0</v>
      </c>
      <c r="GS48">
        <f>IF(AND($EY48=1,$AA48&lt;&gt;'King Node Model'!$B$23),0,IF(OR($GQ48=1,$GR48=1),1,IF($DC48=1,IF(OR('King Node Model'!$A$8="Neg",N($BG$72)=1),IF(OR(AND($AC48=MAX($AC$9:$AC$55),$AB48=MIN($AB$9:$AB$55)),$AN48=1,$EE48=1,$EF48=1,$EX48=1,$GV48=1),1,0),1),0)))</f>
        <v>0</v>
      </c>
      <c r="GT48">
        <f>IFERROR(IF(AND(OR('King Node Model'!$A$8="Neg",N($BG$72)=1),$EU47=1,$AG48="R",ISNUMBER($AA48),ISNUMBER($AF48),$AF48&lt;&gt;0,$AA48&gt;$B$4-$BG$9,$AA48-$B$4&lt;=$BG$47,IF($KC48="UP",SIGN($AF48),IF($KC48="DOWN",-SIGN($AF48),0))&lt;&gt;1),1,0),0)</f>
        <v>0</v>
      </c>
      <c r="GU48" t="str">
        <f t="shared" si="86"/>
        <v/>
      </c>
      <c r="GV48">
        <f t="shared" si="87"/>
        <v>0</v>
      </c>
      <c r="GW48" t="str">
        <f t="shared" si="88"/>
        <v/>
      </c>
      <c r="GX48">
        <f t="shared" si="89"/>
        <v>85.390000000000327</v>
      </c>
      <c r="GY48">
        <f t="shared" si="90"/>
        <v>0</v>
      </c>
      <c r="GZ48">
        <f t="shared" si="91"/>
        <v>0</v>
      </c>
      <c r="HA48">
        <v>0</v>
      </c>
      <c r="HF48">
        <f>IFERROR(IF(AND($GZ48=1,'King Node Model'!$A$8="Pos",$D$5="UP",$CF48=-1,$AJ48&lt;&gt;1),1,0),0)</f>
        <v>0</v>
      </c>
      <c r="HG48">
        <f t="shared" si="92"/>
        <v>0</v>
      </c>
      <c r="HH48" t="str">
        <f>IF($GZ48=1,"",IFERROR(IF(NOT(ISNUMBER($AA48)),"",IF($EY48=1,"",IF($GF48=1,IF($GD48=$GE48,"",$GD48),IF(OR(AND($DC47=1,$DC48=1,$DC49=1,INDEX($AC$9:$AC$55,40-1)&lt;=(1-$FA$6)*$AC48,INDEX($AC$9:$AC$55,40-1)&lt;=(1-$FA$6)*INDEX($AC$9:$AC$55,40-2)),AND($DC49=1,$DC48=1,INDEX($AC$9:$AC$55,40+1)&lt;=(1-$FA$6)*$AC48,INDEX($AC$9:$AC$55,40+1)&lt;=(1-$FA$6)*INDEX($AC$9:$AC$55,40+2)),AND($DC48=1,OR(INDEX($DC$9:$DC$55,40-1)=0,INDEX($DC$9:$DC$55,40+1)=0))),IF(MIN($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MAX($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MIN($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f>
        <v/>
      </c>
      <c r="HI48" t="str">
        <f>IF($GZ48=1,"",IFERROR(IF(NOT(ISNUMBER($AA48)),"",IF($EY48=1,"",IF($GF48=1,IF($GD48=$GE48,"",$GE48),IF(OR(AND($DC47=1,$DC48=1,$DC49=1,INDEX($AC$9:$AC$55,40-1)&lt;=(1-$FA$6)*$AC48,INDEX($AC$9:$AC$55,40-1)&lt;=(1-$FA$6)*INDEX($AC$9:$AC$55,40-2)),AND($DC49=1,$DC48=1,INDEX($AC$9:$AC$55,40+1)&lt;=(1-$FA$6)*$AC48,INDEX($AC$9:$AC$55,40+1)&lt;=(1-$FA$6)*INDEX($AC$9:$AC$55,40+2)),AND($DC48=1,OR(INDEX($DC$9:$DC$55,40-1)=0,INDEX($DC$9:$DC$55,40+1)=0))),IF(MIN($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MAX($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MAX($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f>
        <v/>
      </c>
      <c r="HL48">
        <f t="shared" si="93"/>
        <v>0</v>
      </c>
      <c r="HM48">
        <f>IFERROR(IF(AND($HL48=1,NOT(OR($AA48='King Node Model'!$T$22,$AA48='King Node Model'!$T$23,$AA48='King Node Model'!$F$24,AND($AG48="S",COUNTIF('Master Dashboard'!$AN$16:$AN$18,$AA48)&gt;0),AND($AG48="R",COUNTIF('Master Dashboard'!$AN$13:$AN$15,$AA48)&gt;0)))),1,0),0)</f>
        <v>0</v>
      </c>
      <c r="HN48">
        <f t="shared" si="94"/>
        <v>0</v>
      </c>
      <c r="HO48">
        <f t="shared" si="95"/>
        <v>0</v>
      </c>
      <c r="HP48">
        <f t="shared" si="96"/>
        <v>1</v>
      </c>
      <c r="HQ48" t="str">
        <f>IF(NOT(ISNUMBER($AA48)),"",IFERROR(TRIM(IF(N($MY48)=1,"DEXLEAN ","")&amp;IF(N($IZ48)=1,"DEXCAP ","")&amp;IF(AND($AG48="S",UPPER('King Node Model'!$L$5)="HIGH",$KC48="DOWN",N($AF48)&gt;0,$AA48='King Node Model'!$AN$70,$IY48="SELL"),"CHOPEDGEIV ","")&amp;IF(N($IS48)=1,"NOREV ","")&amp;IF(N($JY48)=1,"VFLAT ","")&amp;IF(N($KR48)=1,"GDEXVANNA ","")&amp;IF(N($LD48)=1,"KGSUPFAIL ","")&amp;IF(N($LE48)=1,"KGRESLEAK ","")&amp;IF(N($MH48)=1,"ZIGZAG ","")&amp;IF(N($KK48)=1,"DATAGAP ","")&amp;IF(N($KA48)&lt;&gt;0,"ACCUNDERCW ","")&amp;IF(AND($AG48="S",$HF48=1),"EDGE ","")&amp;IF(AND($HM48=1,'King Node Model'!$A$8="Pos",N($BG$72)&lt;&gt;1),"TROUGH ","")&amp;IF(AND($EU48=1,N($JZ48)&lt;&gt;1),"BUMP ","")&amp;IF(AND($GT48=1,N($JZ48)&lt;&gt;1),"SANDWICH ","")&amp;IF(AND($EX48&lt;&gt;1,OR('King Node Model'!$A$8="Neg",N($BG$72)=1),OR(AND(ISNUMBER($AC48),$AC48=MAX($AC$9:$AC$55)),AND(ISNUMBER($AB48),$AB48=MIN($AB$9:$AB$55))),NOT(AND(AND(ISNUMBER($AC48),$AC48=MAX($AC$9:$AC$55)),AND(ISNUMBER($AB48),$AB48=MIN($AB$9:$AB$55)))),$AG48="S",N($AB48)&lt;0,NOT(COUNTIF('Master Dashboard'!$AN$16:$AN$18,$AA48)&gt;0),NOT(AND(OR('King Node Model'!$A$8="Neg",N($BG$72)=1),ISNUMBER($AB48),$AB48=MIN($AB$9:$AB$55),$AA48=$BG$105))),"ACCEL ","")&amp;IF(AND($EX48&lt;&gt;1,ISNUMBER($AA48),OR('King Node Model'!$A$8="Neg",N($BG$72)=1),$EY48=1,NOT(AND($AG48="S",COUNTIF('Master Dashboard'!$AN$16:$AN$18,$AA48)&gt;0)),NOT(AND($AA48='King Node Model'!$B$23,IF($AG48="S",OR($AA48='King Node Model'!$C$24,COUNTIF('Master Dashboard'!$AN$16:$AN$18,$AA48)&gt;0),OR($AA48='King Node Model'!$C$23,COUNTIF('Master Dashboard'!$AN$13:$AN$15,$AA48)&gt;0)))),NOT(AND($EX48&lt;&gt;1,OR('King Node Model'!$A$8="Neg",N($BG$72)=1),OR(AND(ISNUMBER($AC48),$AC48=MAX($AC$9:$AC$55)),AND(ISNUMBER($AB48),$AB48=MIN($AB$9:$AB$55))),NOT(AND(AND(ISNUMBER($AC48),$AC48=MAX($AC$9:$AC$55)),AND(ISNUMBER($AB48),$AB48=MIN($AB$9:$AB$55)))),$AG48="S",N($AB48)&lt;0,NOT(COUNTIF('Master Dashboard'!$AN$16:$AN$18,$AA48)&gt;0)))),"AMPLIFY ","")&amp;IF(AND($AG48="S",OR('King Node Model'!$A$8="Neg",N($BG$72)=1),$AJ48&lt;&gt;1,N($MT48)&lt;&gt;1,NOT(AND(N($LR48)=1,N($MB48)=1)),ISNUMBER(SEARCH("ACCEL building",$CG48))),"ZACCEL ","")&amp;IF(AND($AG48="S",OR('King Node Model'!$A$8="Neg",N($BG$72)=1),$AA48='King Node Model'!$B$23,NOT(AND(AND(ISNUMBER($AC48),$AC48=MAX($AC$9:$AC$55)),AND(ISNUMBER($AB48),$AB48=MIN($AB$9:$AB$55)))),$EJ48&lt;&gt;1),"KINGACC ","")&amp;IF(AND($AG48="S",OR('King Node Model'!$A$8="Neg",N($BG$72)=1),ABS(N($AA48)-N('King Node Model'!$B$23))&lt;=$BG$107,NOT(AND(SUMPRODUCT((ABS($AF$9:$AF$55)&lt;=ABS(N($AF48)))*1)/COUNT($AF$9:$AF$55)&gt;=0.66,OR(ISNUMBER(SEARCH("firmer resistance",$CG48)),ISNUMBER(SEARCH("STRENGTHENING",$CG48)),ISNUMBER(SEARCH("firmer support",$CG48))))),NOT(AND(N($AB48)&gt;0,SUMPRODUCT((ABS($AB$9:$AB$55)&lt;=ABS(N($AB48)))*1)/COUNT($AB$9:$AB$55)&gt;=0.66)),$EJ48&lt;&gt;1,$AJ48&lt;&gt;1,COUNTIF('Master Dashboard'!$AN$16:$AN$18,$AA48)=0,NOT(AND($AG48="S",OR('King Node Model'!$A$8="Neg",N($BG$72)=1),$AA48='King Node Model'!$B$23,NOT(AND(AND(ISNUMBER($AC48),$AC48=MAX($AC$9:$AC$55)),AND(ISNUMBER($AB48),$AB48=MIN($AB$9:$AB$55)))),$EJ48&lt;&gt;1))),"KINGNODE ","")&amp;IF(AND($AG48="R",NOT(AND(AND(ISNUMBER($AC48),$AC48=MAX($AC$9:$AC$55)),AND(ISNUMBER($AB48),$AB48=MIN($AB$9:$AB$55)))),UPPER('King Node Model'!$L$5)="LOW",$KC48="DOWN",N($AF48)&gt;0),"LOWIVFALL ","")&amp;IF(AND($AG48="R",NOT(AND(AND(ISNUMBER($AC48),$AC48=MAX($AC$9:$AC$55)),AND(ISNUMBER($AB48),$AB48=MIN($AB$9:$AB$55)))),UPPER('King Node Model'!$L$5)="HIGH",$KC48="DOWN",N($AF48)&gt;0,IFERROR(MATCH($AA48,$W$9:$W$14,0)&gt;=4,FALSE)),"HIGHIVFALL ","")&amp;IF(AND($AG48="R",N($BG$99)=1),"SPOTUPVOLUP ","")&amp;IF(AND($AG48="R",ISNUMBER(SEARCH("5/5",'Master Dashboard'!$E$29)),OR(ISNUMBER(SEARCH("WEAKENING",$EQ48)),ISNUMBER(SEARCH("Pos gamma ↓",$EQ48)),ISNUMBER(SEARCH("thinning the ceiling",$EQ48)))),"SQUEEZE ","")&amp;IF(N($JU48)=1,"DEDGECLIFF ","")&amp;IF(N($KT48)=1,"DEXDRAIN ","")&amp;IF(N($HW48)&lt;&gt;0,"DEXDROP ","")&amp;IF(N($HX48)&lt;&gt;0,"PEAK+ ","")&amp;IF(N($IF48)=1,"CHOP ","")&amp;IF(N($IQ48)=1,"CONTESTED ","")&amp;IF(N($IW48)=1,"VSELL ","")&amp;IF(N($JK48)=1,"VBUYRES ","")&amp;IF(N($JL48)=1,"DOMFLAT ","")&amp;IF(N($JM48)=1,"DOMPULL ","")&amp;IF(N($JP48)=1,"OIZOMMA ","")&amp;IF(AND(N($JQ48)=1,N($JZ48)&lt;&gt;1),"OIDEX ","")),""))</f>
        <v>NOREV VSELL</v>
      </c>
      <c r="HS48">
        <f>IFERROR(IF(AND($DC48=1,OR(AND($AG48="R",INDEX($DC$9:$DC$55,39)=0,INDEX($DC$9:$DC$55,41)=1,INDEX($DC$9:$DC$55,42)=1),AND($AG48="S",INDEX($DC$9:$DC$55,41)=0,INDEX($DC$9:$DC$55,39)=1,INDEX($DC$9:$DC$55,38)=1))),1,0),0)</f>
        <v>0</v>
      </c>
      <c r="HT48">
        <f t="shared" si="97"/>
        <v>0</v>
      </c>
      <c r="HU48">
        <v>0</v>
      </c>
      <c r="HV48">
        <v>0</v>
      </c>
      <c r="HW48">
        <f>IFERROR(IF(OR(NOT(ISNUMBER($AA48)),'King Node Model'!$A$8&lt;&gt;"Pos",N($BG$72)=1,ABS(N($AE48))&lt;$BG$113,N($AV48)=1,$FA48="DOM",$AA48='King Node Model'!$T$23,AND(N($BG$116)=1,$AA48='King Node Model'!$F$24),NOT(ISNUMBER($KU48)),NOT(ISNUMBER($KV48))),0,IF(AND($AG48="S",COUNTIF('Master Dashboard'!$AN$16:$AN$18,$AA48)=0,$KU48&gt;=$BG$114,$KU48&gt;=$KV48+$BG$115,NOT(AND(N($AN49)=1,N($KV48)&lt;0)),N($AE48)&lt;=0),1,IF(AND($AG48="R",COUNTIF('Master Dashboard'!$AN$13:$AN$15,$AA48)=0,$KV48&gt;=$BG$114,$KV48&gt;=$KU48+$BG$115,NOT(AND(N($AN47)=1,N($KU48)&lt;0))),-1,0))),0)</f>
        <v>0</v>
      </c>
      <c r="HX48">
        <f>IFERROR(IF(AND(ISNUMBER($AA48),$FA48="PEAK+",N($AN48)&lt;&gt;1,NOT(AND('King Node Model'!$A$8="Pos",OR($AA48='King Node Model'!$T$22,$AA48='King Node Model'!$T$23,$AA48='King Node Model'!$F$24))),IF($AG48="S",COUNTIF('Master Dashboard'!$AN$16:$AN$18,$AA48)=0,IF($AG48="R",COUNTIF('Master Dashboard'!$AN$13:$AN$15,$AA48)=0,FALSE))),1,0),0)</f>
        <v>0</v>
      </c>
      <c r="HY48">
        <f t="shared" si="98"/>
        <v>-1.2616773615878227</v>
      </c>
      <c r="HZ48">
        <v>0</v>
      </c>
      <c r="IA48">
        <f>IFERROR(IF(AND(IF($BG$44=1,OR(ISNUMBER(SEARCH("Choppy",'King Node Model'!$S$38)),'King Node Model'!$S$52&lt;&gt;"",'King Node Model'!$A$8="Pos"),TRUE()),OR($DC48=1,$DC47=1,$DC49=1),ABS($AA48-$B$4)&lt;=$BG$7,ABS($AA48-$BG$28)&gt;=$BG$45,OR(AND($AA48&gt;$BG$28,$AG48="R"),AND($AA48&lt;$BG$28,$AG48="S",N($BG$154)=1)),ABS(IF($AA48&gt;$BG$28,$AE49,$AE47))&gt;=$BG$43,ABS(N(IF($AA48&gt;$BG$28,$AE47,$AE49)))&lt;=$BG$153*ABS(IF($AA48&gt;$BG$28,$AE49,$AE47)),IF(ISNUMBER($HZ48),$HZ48=1,AND(ISNUMBER($HY48),$HY48&gt;=$BG$42))),1,0),0)</f>
        <v>0</v>
      </c>
      <c r="IB48">
        <f t="shared" si="99"/>
        <v>0</v>
      </c>
      <c r="IC48" t="str">
        <f>IF(NOT(ISNUMBER($AA48)),"",IFERROR(MID(IF(AND($AC48=MAX($AC$9:$AC$55),$AB48=MIN($AB$9:$AB$55))," · DOM","")&amp;IF(AND($DC47=1,$DC48=1,$DC49=1,INDEX($AC$9:$AC$55,40-1)&lt;=(1-$FA$6)*$AC48,INDEX($AC$9:$AC$55,40-1)&lt;=(1-$FA$6)*INDEX($AC$9:$AC$55,40-2))," · GAP↑ → "&amp;INDEX($AA$9:$AA$55,40-2),"")&amp;IF(AND($DC49=1,$DC48=1,INDEX($AC$9:$AC$55,40+1)&lt;=(1-$FA$6)*$AC48,INDEX($AC$9:$AC$55,40+1)&lt;=(1-$FA$6)*INDEX($AC$9:$AC$55,40+2))," · GAP↓ → "&amp;INDEX($AA$9:$AA$55,40+2),"")&amp;IF($CZ48=1," · dEdge Cliff","")&amp;IF($GY48=1," · γWall","")&amp;IF(AND($DC48=1,$AB48&lt;0,$AC48&gt;=(1+$FA$6)*INDEX($AC$9:$AC$55,40-1),$AC48&gt;=(1+$FA$6)*INDEX($AC$9:$AC$55,40+1))," · PEAK-","")&amp;IF($GZ48=1," · γSh Edge","")&amp;IF($HL48=1," · Trough","")&amp;IF($HN48=1," · PEAK+","")&amp;IF($GF48=1," · Cluster",""),FIND(" · ",IF(AND($AC48=MAX($AC$9:$AC$55),$AB48=MIN($AB$9:$AB$55))," · DOM","")&amp;IF(AND($DC47=1,$DC48=1,$DC49=1,INDEX($AC$9:$AC$55,40-1)&lt;=(1-$FA$6)*$AC48,INDEX($AC$9:$AC$55,40-1)&lt;=(1-$FA$6)*INDEX($AC$9:$AC$55,40-2))," · GAP↑ → "&amp;INDEX($AA$9:$AA$55,40-2),"")&amp;IF(AND($DC49=1,$DC48=1,INDEX($AC$9:$AC$55,40+1)&lt;=(1-$FA$6)*$AC48,INDEX($AC$9:$AC$55,40+1)&lt;=(1-$FA$6)*INDEX($AC$9:$AC$55,40+2))," · GAP↓ → "&amp;INDEX($AA$9:$AA$55,40+2),"")&amp;IF($CZ48=1," · dEdge Cliff","")&amp;IF($GY48=1," · γWall","")&amp;IF(AND($DC48=1,$AB48&lt;0,$AC48&gt;=(1+$FA$6)*INDEX($AC$9:$AC$55,40-1),$AC48&gt;=(1+$FA$6)*INDEX($AC$9:$AC$55,40+1))," · PEAK-","")&amp;IF($GZ48=1," · γSh Edge","")&amp;IF($HL48=1," · Trough","")&amp;IF($HN48=1," · PEAK+","")&amp;IF($GF48=1," · Cluster",""),2),999),""))</f>
        <v/>
      </c>
      <c r="ID48" t="str">
        <f>IF(NOT(ISNUMBER($AA48)),"",IFERROR(MID(IF(AND($AC48=MAX($AC$9:$AC$55),$AB48=MIN($AB$9:$AB$55))," · DOM","")&amp;IF(AND($DC47=1,$DC48=1,$DC49=1,INDEX($AC$9:$AC$55,40-1)&lt;=(1-$FA$6)*$AC48,INDEX($AC$9:$AC$55,40-1)&lt;=(1-$FA$6)*INDEX($AC$9:$AC$55,40-2))," · GAP↑ → "&amp;INDEX($AA$9:$AA$55,40-2),"")&amp;IF(AND($DC49=1,$DC48=1,INDEX($AC$9:$AC$55,40+1)&lt;=(1-$FA$6)*$AC48,INDEX($AC$9:$AC$55,40+1)&lt;=(1-$FA$6)*INDEX($AC$9:$AC$55,40+2))," · GAP↓ → "&amp;INDEX($AA$9:$AA$55,40+2),"")&amp;IF($CZ48=1," · dEdge Cliff","")&amp;IF($GY48=1," · γWall","")&amp;IF(AND($DC48=1,$AB48&lt;0,$AC48&gt;=(1+$FA$6)*INDEX($AC$9:$AC$55,40-1),$AC48&gt;=(1+$FA$6)*INDEX($AC$9:$AC$55,40+1))," · PEAK-","")&amp;IF($GZ48=1," · γSh Edge","")&amp;IF($HL48=1," · Trough","")&amp;IF($HN48=1," · PEAK+","")&amp;IF(AND(NOT($HN48=1),NOT(AND($DC48=1,$AB48&lt;0)),N($GY48)&lt;&gt;1,N($GF48)&lt;&gt;1,N($GZ48)&lt;&gt;1,N($HL48)&lt;&gt;1,N($CZ48)&lt;&gt;1,NOT(AND($AC48=MAX($AC$9:$AC$55),$AB48=MIN($AB$9:$AB$55))),$AC48&gt;=(1+$FA$6)*INDEX($AC$9:$AC$55,40-1),$AC48&gt;=(1+$FA$6)*INDEX($AC$9:$AC$55,40+1))," · Knoll","")&amp;IF($GF48=1," · Cluster",""),4,999),""))</f>
        <v/>
      </c>
      <c r="IF48">
        <f t="shared" si="100"/>
        <v>0</v>
      </c>
      <c r="IG48">
        <f>IFERROR(IF(AND(ISNUMBER($AA48),'King Node Model'!$A$8="Pos",OR($AG48="S",$AG48="R"),$IN48="interior",COUNTIF(IF($AG48="S",'Master Dashboard'!$AN$16:$AN$18,'Master Dashboard'!$AN$13:$AN$15),$AA48)=0,$AA48&lt;&gt;'King Node Model'!$T$22,$AA48&lt;&gt;'King Node Model'!$T$23,$AA48&lt;&gt;'King Node Model'!$F$24),1,0),0)</f>
        <v>0</v>
      </c>
      <c r="IH48">
        <f t="shared" si="101"/>
        <v>0</v>
      </c>
      <c r="II48">
        <f t="shared" si="190"/>
        <v>0</v>
      </c>
      <c r="IJ48">
        <f t="shared" si="102"/>
        <v>0</v>
      </c>
      <c r="IK48">
        <f t="shared" si="103"/>
        <v>0</v>
      </c>
      <c r="IL48">
        <f t="shared" si="191"/>
        <v>0</v>
      </c>
      <c r="IM48">
        <f t="shared" si="104"/>
        <v>0</v>
      </c>
      <c r="IN48" t="str">
        <f t="shared" si="105"/>
        <v/>
      </c>
      <c r="IO48">
        <v>0</v>
      </c>
      <c r="IP48">
        <v>0</v>
      </c>
      <c r="IQ48">
        <f>IFERROR(IF($AG48="S",IF(OR(COUNTIF($W$9:$W$14,$AA48)&gt;0,COUNTIF('King Node Model'!$AL$42:'King Node Model'!$AL$43,$AA48)&gt;0),1,0),IF($AG48="R",IF(OR(COUNTIF($W$18:$W$23,$AA48)&gt;0,COUNTIF('King Node Model'!$AL$49:'King Node Model'!$AL$50,$AA48)&gt;0),1,0),0)),0)</f>
        <v>0</v>
      </c>
      <c r="IS48">
        <f>IF(AND(ISNUMBER($AA48),N($AN48)&lt;&gt;1,N($LR48)&lt;&gt;1,OR(N($EN48)&lt;&gt;1,AND('King Node Model'!$A$8&lt;&gt;"Neg",N($BG$72)&lt;&gt;1)),$AA48&lt;&gt;'King Node Model'!$T$22,$AA48&lt;&gt;'King Node Model'!$T$23,$AA48&lt;&gt;'King Node Model'!$F$24,NOT(AND($AG48="S",COUNTIF('Master Dashboard'!$AN$16:$AN$18,$AA48)&gt;0)),NOT(AND($AG48="R",COUNTIF('Master Dashboard'!$AN$13:$AN$15,$AA48)&gt;0)),NOT(AND('King Node Model'!$A$8&lt;&gt;"Neg",N($BG$72)&lt;&gt;1,COUNTIF('Master Dashboard'!$AN$13:$AN$18,$AA48)&gt;0))),1,0)</f>
        <v>1</v>
      </c>
      <c r="IT48">
        <v>0</v>
      </c>
      <c r="IU48">
        <f>IF(AND(ISNUMBER($AA48),$AA48='King Node Model'!$F$24,$AA48&gt;$GJ$3,N($AD48)&lt;0,$F$4="High"),1,0)</f>
        <v>0</v>
      </c>
      <c r="IV48" t="str">
        <f>""</f>
        <v/>
      </c>
      <c r="IW48">
        <f>IFERROR(IF(AND(ISNUMBER($AA48),NOT(AND(N($LR48)=1,N($MB48)=1)),$AG48="S",OR('King Node Model'!$A$8="Neg",N($BG$72)=1),$JV48="SELL",ABS(N($AD48))&gt;=$BG$94,NOT(AND(N($AD48)&gt;0,N($BG$78)=1,MEDIAN($AA48-$BG$82,$B$4,$AA48+$BG$83)=$B$4))),1,0),0)</f>
        <v>1</v>
      </c>
      <c r="IX48">
        <f>IFERROR(IF(AND(ISNUMBER($AA48),$AG48="S",OR('King Node Model'!$A$8="Neg",N($BG$72)=1),N($AD48)&gt;0,N($BG$78)=1,MEDIAN($AA48-$BG$82,$B$4,$AA48+$BG$83)=$B$4),1,0),0)</f>
        <v>0</v>
      </c>
      <c r="IY48" t="str">
        <f t="shared" si="106"/>
        <v>SELL</v>
      </c>
      <c r="IZ48">
        <f>IFERROR(IF(AND(ISNUMBER($AA48),$FA48&lt;&gt;"DOM",$AA48&lt;&gt;'King Node Model'!$F$24,OR(AND($AG48="S",COUNTIF('Master Dashboard'!$AN$16:$AN$18,$AA48)=0,N(INDEX($AE$9:$AE$55,MATCH($AA48+$BG$84,$AA$9:$AA$55,0)))&lt;=-$BG$85),AND($AG48="R",COUNTIF('Master Dashboard'!$AN$13:$AN$15,$AA48)=0,N(INDEX($AE$9:$AE$55,MATCH($AA48-$BG$84,$AA$9:$AA$55,0)))&gt;=$BG$85))),1,0),0)</f>
        <v>0</v>
      </c>
      <c r="JC48">
        <f t="shared" si="108"/>
        <v>0</v>
      </c>
      <c r="JD48" t="str">
        <f t="shared" si="193"/>
        <v/>
      </c>
      <c r="JE48">
        <f>IF(ISNUMBER($AA48),N(IFERROR(INDEX('King Node Model'!$L$29:$L$75,MATCH($AA48,'King Node Model'!$A$29:$A$75,0)),0)),"")</f>
        <v>1412</v>
      </c>
      <c r="JF48">
        <f>IF(ISNUMBER($AA48),N(IFERROR(INDEX('King Node Model'!$K$29:$K$75,MATCH($AA48,'King Node Model'!$A$29:$A$75,0)),0)),"")</f>
        <v>174</v>
      </c>
      <c r="JG48">
        <f t="shared" si="109"/>
        <v>8.1149425287356323</v>
      </c>
      <c r="JH48">
        <f t="shared" si="110"/>
        <v>0.12322946175637393</v>
      </c>
      <c r="JI48">
        <f t="shared" si="111"/>
        <v>0</v>
      </c>
      <c r="JJ48" t="str">
        <f t="shared" si="112"/>
        <v>Crest</v>
      </c>
      <c r="JK48">
        <f t="shared" si="113"/>
        <v>0</v>
      </c>
      <c r="JL48">
        <f t="shared" si="114"/>
        <v>0</v>
      </c>
      <c r="JM48">
        <f t="shared" si="115"/>
        <v>0</v>
      </c>
      <c r="JN48">
        <f t="shared" si="116"/>
        <v>0</v>
      </c>
      <c r="JO48">
        <f t="shared" si="117"/>
        <v>0</v>
      </c>
      <c r="JP48">
        <f t="shared" si="118"/>
        <v>0</v>
      </c>
      <c r="JQ48">
        <f t="shared" si="119"/>
        <v>0</v>
      </c>
      <c r="JR48">
        <v>0</v>
      </c>
      <c r="JS48">
        <f>IFERROR(IF(AND(ISNUMBER($AA48),'King Node Model'!$A$8="Pos",OR($AG48="S",$AG48="R"),N($AB48)&gt;0,N($HP48)&lt;&gt;1,OR(AND($KC48="DOWN",N($AF48)&lt;0,N($AF48)=MIN($AF$9:$AF$55),-N($AF48)&gt;=MAX($AF$9:$AF$55)),AND($KC48="UP",N($AF48)&gt;0,N($AF48)=MAX($AF$9:$AF$55),N($AF48)&gt;=-MIN($AF$9:$AF$55)))),1,0),0)</f>
        <v>0</v>
      </c>
      <c r="JT48">
        <v>0</v>
      </c>
      <c r="JU48">
        <f>IFERROR(IF(AND(N($BG$109)=1,ISNUMBER($AA48),'King Node Model'!$A$8="Pos",N($CZ48)=1,N($AB48)&gt;0),1,0),0)</f>
        <v>0</v>
      </c>
      <c r="JV48" t="str">
        <f t="shared" si="120"/>
        <v>SELL</v>
      </c>
      <c r="JW48">
        <f t="shared" si="121"/>
        <v>0</v>
      </c>
      <c r="JX48">
        <f t="shared" si="122"/>
        <v>0</v>
      </c>
      <c r="JY48">
        <f t="shared" si="123"/>
        <v>0</v>
      </c>
      <c r="JZ48">
        <f t="shared" si="124"/>
        <v>0</v>
      </c>
      <c r="KA48">
        <f t="shared" si="125"/>
        <v>0</v>
      </c>
      <c r="KB48">
        <f t="shared" si="126"/>
        <v>0</v>
      </c>
      <c r="KC48" t="str">
        <f t="shared" si="127"/>
        <v>UP</v>
      </c>
      <c r="KE48" t="str">
        <f t="shared" si="128"/>
        <v>Now: weakening the floor (IV rising) · if IV falls: strengthens the floor · expected on arrival: WEAKENS ✗</v>
      </c>
      <c r="KF48" t="str">
        <f t="shared" si="129"/>
        <v>SELL</v>
      </c>
      <c r="KG48">
        <f t="shared" si="192"/>
        <v>0</v>
      </c>
      <c r="KH48" t="str">
        <f t="shared" si="130"/>
        <v/>
      </c>
      <c r="KI48" t="str">
        <f t="shared" si="131"/>
        <v/>
      </c>
      <c r="KJ48">
        <f t="shared" si="132"/>
        <v>0</v>
      </c>
      <c r="KK48">
        <f t="shared" si="133"/>
        <v>0</v>
      </c>
      <c r="KL48">
        <f t="shared" si="134"/>
        <v>0</v>
      </c>
      <c r="KM48">
        <f t="shared" si="135"/>
        <v>0</v>
      </c>
      <c r="KN48">
        <f t="shared" si="136"/>
        <v>0</v>
      </c>
      <c r="KO48">
        <v>0</v>
      </c>
      <c r="KP48">
        <f t="shared" si="137"/>
        <v>0</v>
      </c>
      <c r="KQ48">
        <f t="shared" si="138"/>
        <v>0</v>
      </c>
      <c r="KR48">
        <f t="shared" si="139"/>
        <v>0</v>
      </c>
      <c r="KS48">
        <f t="shared" si="140"/>
        <v>0</v>
      </c>
      <c r="KT48">
        <f t="shared" si="141"/>
        <v>0</v>
      </c>
      <c r="KU48">
        <f>IF(AND(ISNUMBER($AA48),ISNUMBER($AE48),ISNUMBER($AE47),N($AE48)&lt;&gt;0),($AE48-$AE47)/$AE48,"")</f>
      </c>
      <c r="KV48">
        <f>IF(AND(ISNUMBER($AA48),ISNUMBER($AE48),ISNUMBER($AE49),N($AE48)&lt;&gt;0),($AE48-$AE49)/$AE48,"")</f>
      </c>
      <c r="KW48">
        <f>IFERROR(IF(OR(NOT(ISNUMBER($AA48)),'King Node Model'!$A$8&lt;&gt;"Pos",N($BG$72)=1,ABS(N($AE48))&lt;$BG$113,$FA48="DOM",$AA48='King Node Model'!$T$23,AND(N($BG$116)=1,$AA48='King Node Model'!$F$24),NOT(ISNUMBER($KU48)),NOT(ISNUMBER($KV48))),0,IF(AND($AG48="S",COUNTIF('Master Dashboard'!$AN$16:$AN$18,$AA48)=0,$KU48&gt;=$BG$114,$KU48&gt;=$KV48+$BG$115),1,IF(AND($AG48="R",COUNTIF('Master Dashboard'!$AN$13:$AN$15,$AA48)=0,$KV48&gt;=$BG$114,$KV48&gt;=$KU48+$BG$115),-1,0))),0)</f>
        <v>0</v>
      </c>
      <c r="KX48">
        <f t="shared" si="144"/>
        <v>0</v>
      </c>
      <c r="KY48">
        <f t="shared" si="145"/>
        <v>0</v>
      </c>
      <c r="KZ48">
        <f t="shared" si="146"/>
        <v>0</v>
      </c>
      <c r="LA48">
        <f t="shared" si="147"/>
        <v>0</v>
      </c>
      <c r="LB48">
        <f t="shared" si="148"/>
        <v>0</v>
      </c>
      <c r="LC48">
        <f t="shared" si="149"/>
        <v>0</v>
      </c>
      <c r="LD48">
        <f t="shared" si="150"/>
        <v>0</v>
      </c>
      <c r="LE48">
        <f t="shared" si="151"/>
        <v>0</v>
      </c>
      <c r="LF48">
        <f t="shared" si="152"/>
        <v>0</v>
      </c>
      <c r="LG48" t="str">
        <f t="shared" si="153"/>
        <v/>
      </c>
      <c r="LH48" t="str">
        <f t="shared" si="154"/>
        <v/>
      </c>
      <c r="LI48" t="str">
        <f t="shared" si="155"/>
        <v/>
      </c>
      <c r="LJ48" t="str">
        <f t="shared" si="156"/>
        <v/>
      </c>
      <c r="LK48" t="str">
        <f t="shared" si="157"/>
        <v/>
      </c>
      <c r="LL48">
        <f t="shared" si="158"/>
        <v>0</v>
      </c>
      <c r="LM48">
        <f t="shared" si="159"/>
        <v>0</v>
      </c>
      <c r="LN48">
        <f t="shared" si="160"/>
        <v>0</v>
      </c>
      <c r="LO48">
        <v>0</v>
      </c>
      <c r="LP48">
        <f t="shared" si="161"/>
        <v>0</v>
      </c>
      <c r="LQ48" t="str">
        <f t="shared" si="162"/>
        <v/>
      </c>
      <c r="LR48">
        <f t="shared" si="163"/>
        <v>0</v>
      </c>
      <c r="LS48">
        <f t="shared" si="164"/>
        <v>0</v>
      </c>
      <c r="LT48">
        <f t="shared" si="165"/>
        <v>0</v>
      </c>
      <c r="LU48">
        <f t="shared" si="166"/>
        <v>0</v>
      </c>
      <c r="LV48">
        <f t="shared" si="167"/>
        <v>0</v>
      </c>
      <c r="LW48">
        <f t="shared" si="168"/>
        <v>0</v>
      </c>
      <c r="LX48">
        <f t="shared" si="169"/>
        <v>0</v>
      </c>
      <c r="LY48">
        <f t="shared" si="170"/>
        <v>0</v>
      </c>
      <c r="LZ48">
        <f t="shared" si="171"/>
        <v>0</v>
      </c>
      <c r="MA48">
        <f t="shared" si="172"/>
        <v>0</v>
      </c>
      <c r="MB48">
        <v>0</v>
      </c>
      <c r="MC48">
        <f t="shared" si="173"/>
        <v>1</v>
      </c>
      <c r="MD48">
        <f t="shared" si="174"/>
        <v>1</v>
      </c>
      <c r="ME48">
        <f t="shared" si="175"/>
        <v>0</v>
      </c>
      <c r="MF48">
        <f t="shared" si="176"/>
        <v>0</v>
      </c>
      <c r="MG48">
        <f t="shared" si="177"/>
        <v>0</v>
      </c>
      <c r="MH48">
        <f t="shared" si="178"/>
        <v>0</v>
      </c>
      <c r="MI48" t="str">
        <f t="shared" si="179"/>
        <v/>
      </c>
      <c r="MJ48">
        <f t="shared" si="180"/>
        <v>0</v>
      </c>
      <c r="MK48">
        <f t="shared" si="181"/>
        <v>0</v>
      </c>
      <c r="ML48">
        <f>IF(AND(OR('King Node Model'!$A$8="Neg",N($BG$72)=1),ISNUMBER($AA48),$AG48="R",N($AB48)&lt;0),IF(AND($AA47=$AA48+5,N($AB47)&gt;0,$AA46=$AA48+10,N($AB46)&lt;0),1,IF(AND($AA47=$AA48+5,N($AB47)&gt;0,$AA46=$AA48+10,N($AB46)&gt;0,$AA45=$AA48+15,N($AB45)&lt;0),2,IF(AND($AA47=$AA48+5,N($AB47)&gt;0,$AA46=$AA48+10,N($AB46)&gt;0,$AA45=$AA48+15,N($AB45)&gt;0,$AA44=$AA48+20,N($AB44)&lt;0),3,IF(AND($AA47=$AA48+5,N($AB47)&gt;0,$AA46=$AA48+10,N($AB46)&gt;0,$AA45=$AA48+15,N($AB45)&gt;0,$AA44=$AA48+20,N($AB44)&gt;0,$AA43=$AA48+25,N($AB43)&lt;0),4,0)))),0)</f>
      </c>
      <c r="MM48">
        <f>IF(AND(OR('King Node Model'!$A$8="Neg",N($BG$72)=1),ISNUMBER($AA48),$AG48="S",N($AB48)&lt;0),IF(AND($AA49=$AA48-5,N($AB49)&gt;0,$AA50=$AA48-10,N($AB50)&lt;0),1,IF(AND($AA49=$AA48-5,N($AB49)&gt;0,$AA50=$AA48-10,N($AB50)&gt;0,$AA51=$AA48-15,N($AB51)&lt;0),2,IF(AND($AA49=$AA48-5,N($AB49)&gt;0,$AA50=$AA48-10,N($AB50)&gt;0,$AA51=$AA48-15,N($AB51)&gt;0,$AA52=$AA48-20,N($AB52)&lt;0),3,IF(AND($AA49=$AA48-5,N($AB49)&gt;0,$AA50=$AA48-10,N($AB50)&gt;0,$AA51=$AA48-15,N($AB51)&gt;0,$AA52=$AA48-20,N($AB52)&gt;0,$AA53=$AA48-25,N($AB53)&lt;0),4,0)))),0)</f>
      </c>
      <c r="MN48">
        <f>IF(N($ML48)&gt;0,$AA48,0)</f>
      </c>
      <c r="MO48">
        <f>IF(N($MM48)&gt;0,$AA48,0)</f>
      </c>
      <c r="MP48">
        <f>IF(AND(OR('King Node Model'!$A$8="Neg",N($BG$72)=1),ISNUMBER($BG$155),$AA48=$BG$155,N($NC48)=1),2,IF(AND(OR('King Node Model'!$A$8="Neg",N($BG$72)=1),ISNUMBER($BG$156),$AA48=$BG$156,N($ND48)=1),1,0))</f>
      </c>
      <c r="MQ48">
        <f>IF(ABS(AE48)&lt;=0,0,IF($AG48="R",IF(ISNUMBER(AE47),IF((ABS(AE47)-ABS(AE48))/ABS(AE48)&lt;-0.4,1,0),0),IF(ISNUMBER(AE49),IF((ABS(AE49)-ABS(AE48))/ABS(AE48)&lt;-0.4,1,0),0)))</f>
      </c>
      <c r="MR48">
        <f>IF(OR(N($MQ48)&lt;&gt;1,N($BG$157)&lt;&gt;1,NOT(ISNUMBER($KU48)),NOT(ISNUMBER($KV48))),0,IF(OR(AND($AG48="S",OR(AND($KU48&gt;=$BG$114,$KU48&gt;=$KV48+$BG$115),AND($KU48&gt;1,$KV48&lt;=1,$KV48&gt;=$BG$114))),AND($AG48="R",OR(AND($KV48&gt;=$BG$114,$KV48&gt;=$KU48+$BG$115),AND($KV48&gt;1,$KU48&lt;=1,$KU48&gt;=$BG$114)))),1,0))</f>
      </c>
      <c r="MS48" t="str">
        <f>IF(AND(N($MR48)=1,N($NA48)&lt;&gt;1),"• DEX falls off more sharply "&amp;IF($AG48="S","above (","below (")&amp;TEXT(IF($AG48="S",$KU48,$KV48),"0%")&amp;") than "&amp;IF($AG48="S","below (","above (")&amp;TEXT(IF($AG48="S",$KV48,$KU48),"0%")&amp;") — Dex↓ not counted",IF(N($MW48)=1,"• Shoulder of the "&amp;IF($AG48="R",$AA49,$AA47)&amp;" wall — own DEX "&amp;TEXT($AE48/1000,"+#,##0;-#,##0")&amp;"K is "&amp;TEXT(ABS($AE48)/ABS(IF($AG48="R",$AE49,$AE47)),"0%")&amp;" of "&amp;TEXT(IF($AG48="R",$AE49,$AE47)/1000,"+#,##0;-#,##0")&amp;"K, Dex↓ not counted",""))</f>
      </c>
      <c r="MT48">
        <f>IF(AND(ISNUMBER($AA48),$AG48="S",ISNUMBER($AB48),$AB48=MIN($AB$9:$AB$55),$AA48=$BG$105,$JV48="BUY",ABS(N($AD48))&gt;=$BG$158),1,0)</f>
      </c>
      <c r="MU48" t="str">
        <f>IF(N($MY48)=1,"",IF(OR(N($MT48)=1,AND(OR('King Node Model'!$A$8="Neg",N($BG$72)=1),$AG48="S",ISNUMBER($AB48),$AB48=MIN($AB$9:$AB$55),$AA48=$BG$105)),"• Min GEX + Max Zomma (no reversal flag required) — accelerant warning not applied; zomma acceleration warning only within "&amp;$BG$98&amp;" pts of the level, and not when vanna buying is "&amp;TEXT($BG$158/1000,"0")&amp;"K or more"&amp;CHAR(10)&amp;IF(N($MT48)=1,"• Max Zomma and vanna buying ("&amp;TEXT(N($AD48)/1000,"+#,##0;-#,##0")&amp;"K) make this level safe","• Max Zomma is what makes this level safe"),"")&amp;$NB48&amp;$NI48)</f>
      </c>
      <c r="MV48" t="str">
        <f>IF(AND(ISNUMBER($AA48),OR($AA48=$BG$118,$AA48=$BG$119)),IF(N($AZ48)*IF($AG48="R",1,-1)&gt;0,"✓",IF(N($AZ48)*IF($AG48="R",1,-1)&lt;0,"✗","")),"")</f>
      </c>
      <c r="MW48">
        <f>IF(AND(N($MQ48)=1,N($BG$159)&gt;0,ISNUMBER(IF($AG48="R",$AE49,$AE47)),N(IF($AG48="R",$AE49,$AE47))&lt;&gt;0),IF(ABS(N($AE48))&lt;$BG$159*ABS(IF($AG48="R",$AE49,$AE47)),1,0),0)</f>
      </c>
      <c r="MX48">
        <f>IF(AND(ISNUMBER($AA48),$AA48=$BG$121,$AG48="R",N($AE48)&lt;0,OR(COUNTIF('King Node Model'!$AL$42:$AL$44,$AA48)=0,N($HP48)=1),N($NC48)=1),2,IF(AND(ISNUMBER($AA48),$AA48=$BG$120,$AG48="S",N($AE48)&gt;0,OR(COUNTIF('King Node Model'!$AL$49:$AL$51,$AA48)=0,N($HP48)=1),N($ND48)=1),1,0))</f>
      </c>
      <c r="MY48">
        <f>IF(AND(N($NA48)=1,NOT(AND(AND($AG48="S",ISNUMBER($AB48),$AB48=MIN($AB$9:$AB$55),$AA48=$BG$105),IFERROR(INDEX($AG$9:$AG$55,MATCH('King Node Model'!$B$23,$AA$9:$AA$55,0)),"")="R")),N($AV48)&lt;&gt;1),1,0)</f>
      </c>
      <c r="MZ48" t="str">
        <f>IF(N($MY48)&lt;&gt;1,"","• DEX falls off more sharply "&amp;IF($AG48="S","above (","below (")&amp;TEXT(IF($AG48="S",$KU48,$KV48),"0%")&amp;") than "&amp;IF($AG48="S","below (","above (")&amp;TEXT(IF($AG48="S",$KV48,$KU48),"0%")&amp;") — path of least resistance "&amp;IF($AG48="S","down","up")&amp;IF(N($AZ48)*IF($AG48="R",1,-1)&lt;0,CHAR(10)&amp;"• Speed against — GEX gets more negative as price "&amp;IF($AG48="R","rises","falls")&amp;" into it (speed "&amp;TEXT(N($AZ48),"#,##0;−#,##0")&amp;")","")&amp;IF(OR(N($NG48)=1,N($JC48)=1),CHAR(10)&amp;"• "&amp;IF(N($JC48)=1,"DOM with vanna BUY "&amp;TEXT(N($AD48)/1000,"+#,##0;−#,##0")&amp;"K","Put wall + Max Zomma + DOM")&amp;" backs the level, but it does not outweigh DEX"&amp;IF(N($AZ48)*IF($AG48="R",1,-1)&lt;0," and speed",""),IF(AND($AG48="S",ISNUMBER($AB48),$AB48=MIN($AB$9:$AB$55),$AA48=$BG$105),CHAR(10)&amp;"• Min GEX + Max Zomma backs the level, but it does not outweigh DEX"&amp;IF(N($AZ48)*IF($AG48="R",1,-1)&lt;0," and speed",""),IF(OR(N($JI48)=1,AND(N($GV48)=1,N($JK48)&lt;&gt;1,N($IW48)&lt;&gt;1),N($JC48)=1,AND($AA48='King Node Model'!$F$24,N($JN48)&lt;&gt;1,OR($AG48="R",AND($AG48="S",$F$4="High",IF($BG$80&lt;&gt;"",UPPER($BG$80),$D$5)="UP")))),CHAR(10)&amp;"• Vanna "&amp;IF($AG48="S","BUY ","SELL ")&amp;TEXT(N($AD48)/1000,"+#,##0;−#,##0")&amp;"K backs the level, but it does not outweigh DEX"&amp;IF(N($AZ48)*IF($AG48="R",1,-1)&lt;0," and speed",""),"")))&amp;IF(N($NE48)=1,CHAR(10)&amp;"• Buy-lean max-node exemption not applied — DEX leans against the level",""))</f>
      </c>
      <c r="NA48">
        <f>IF(AND(OR('King Node Model'!$A$8="Neg",N($BG$72)=1),ISNUMBER($AA48),ABS(N($AE48))&gt;=$BG$152,ISNUMBER($KU48),ISNUMBER($KV48)),IF(OR(AND($AG48="S",OR(AND($KU48&gt;=$BG$114,$KU48&gt;=$KV48+$BG$115),AND($KU48&gt;1,$KV48&lt;=1,$KV48&gt;=$BG$114))),AND($AG48="R",OR(AND($KV48&gt;=$BG$114,$KV48&gt;=$KU48+$BG$115),AND($KV48&gt;1,$KU48&lt;=1,$KU48&gt;=$BG$114)))),1,0),0)</f>
      </c>
      <c r="NB48" t="str">
        <f>IF(AND(N($NA48)=1,AND(AND($AG48="S",ISNUMBER($AB48),$AB48=MIN($AB$9:$AB$55),$AA48=$BG$105),IFERROR(INDEX($AG$9:$AG$55,MATCH('King Node Model'!$B$23,$AA$9:$AA$55,0)),"")="R")),CHAR(10)&amp;"• DEX falls off more sharply above ("&amp;TEXT($KU48,"0%")&amp;") than below ("&amp;TEXT($KV48,"0%")&amp;") — DEX-lean warning not applied: Min GEX + Max Zomma support with Max Gamma "&amp;'King Node Model'!$B$23&amp;" above (Dex↓ not counted)",IF(AND(OR(N($NA48)=1,N($NF48)=1),N($AV48)=1),IF(AND(OR('King Node Model'!$A$8="Neg",N($BG$72)=1),$AG48="S",ISNUMBER($AB48),$AB48=MIN($AB$9:$AB$55),$AA48=$BG$105),CHAR(10),"")&amp;"• DEX falls off more sharply "&amp;IF($AG48="S","above (","below (")&amp;TEXT(IF($AG48="S",$KU48,$KV48),"0%")&amp;") than "&amp;IF($AG48="S","below (","above (")&amp;TEXT(IF($AG48="S",$KV48,$KU48),"0%")&amp;") — DEX lean does not apply to iDex (isolated DEX)",""))</f>
      </c>
      <c r="NC48">
        <f>IF(OR($BG$163=1,AND($BG$161&gt;0,$BG$162&lt;99999,ISNUMBER($AA48),$AA48&lt;$BG$162)),1,0)</f>
      </c>
      <c r="ND48">
        <f>IF(OR($BG$163=-1,AND($BG$161&gt;0,$BG$162&lt;99999,ISNUMBER($AA48),$AA48&gt;$BG$161)),1,0)</f>
      </c>
      <c r="NE48">
        <f>IF(AND(OR('King Node Model'!$A$8="Neg",N($BG$72)=1),ISNUMBER(SEARCH("LOW",'Master Dashboard'!$M$5)),ISNUMBER(SEARCH("BUY",'Master Dashboard'!$G$8)),'King Node Model'!$T$23='King Node Model'!$B$23,OR($AA48='King Node Model'!$T$23,AND($AG48="R",$AA48='King Node Model'!$T$23+5)),OR(AND($AG48="S",$JV48="BUY"),AND($AG48="R",$JV48="SELL"))),1,0)</f>
      </c>
      <c r="NF48">
        <f>IFERROR(IF(OR(NOT(ISNUMBER($AA48)),'King Node Model'!$A$8&lt;&gt;"Pos",N($BG$72)=1,ABS(N($AE48))&lt;$BG$113,$FA48="DOM",$AA48='King Node Model'!$T$23,AND(N($BG$116)=1,$AA48='King Node Model'!$F$24),NOT(ISNUMBER($KU48)),NOT(ISNUMBER($KV48))),0,IF(AND($AG48="S",COUNTIF('Master Dashboard'!$AN$16:$AN$18,$AA48)=0,$KU48&gt;=$BG$114,$KU48&gt;=$KV48+$BG$115,NOT(AND(N($AN49)=1,N($KV48)&lt;0)),N($AE48)&lt;=0),1,IF(AND($AG48="R",COUNTIF('Master Dashboard'!$AN$13:$AN$15,$AA48)=0,$KV48&gt;=$BG$114,$KV48&gt;=$KU48+$BG$115,NOT(AND(N($AN47)=1,N($KU48)&lt;0))),-1,0))),0)</f>
      </c>
      <c r="NG48">
        <f t="shared" si="202"/>
      </c>
      <c r="NI48" t="str">
        <f>IF(AND(ISNUMBER($BG$165),ISNUMBER($AA48)),IF(OR(AND($AG48="S",$AA48&gt;$BG$165,$AA48-$BG$165&lt;=5),AND($AG48="R",$AA48&lt;$BG$165,$BG$165-$AA48&lt;=5)),IF(OR(AND(OR('King Node Model'!$A$8="Neg",N($BG$72)=1),$AG48="S",ISNUMBER($AB48),$AB48=MIN($AB$9:$AB$55),$AA48=$BG$105),$NB48&lt;&gt;""),CHAR(10),"")&amp;"• DOM forming at "&amp;$BG$165&amp;" (gamma "&amp;TEXT($BG$166,"0%")&amp;" of max) — price may be pulled to the node",""),"")</f>
      </c>
      <c r="NJ48">
        <f>IF(LEN($NI48)&gt;0,1,0)</f>
      </c>
    </row>
    <row r="49" spans="27:349" ht="15" customHeight="1" x14ac:dyDescent="0.25">
      <c r="AA49" s="181">
        <f>'King Node Model'!A69</f>
        <v>7685</v>
      </c>
      <c r="AB49" s="276">
        <f>'King Node Model'!C69</f>
        <v>-63513</v>
      </c>
      <c r="AC49" s="181">
        <f>ABS('King Node Model'!B69)</f>
        <v>67289</v>
      </c>
      <c r="AD49" s="276">
        <f>'King Node Model'!F69</f>
        <v>286299</v>
      </c>
      <c r="AE49" s="276">
        <f>'King Node Model'!E69</f>
        <v>21921</v>
      </c>
      <c r="AF49" s="276">
        <f>'King Node Model'!D69</f>
        <v>-1042521</v>
      </c>
      <c r="AG49" s="181" t="str">
        <f t="shared" si="6"/>
        <v>S</v>
      </c>
      <c r="AH49" s="181">
        <f t="shared" si="7"/>
        <v>22</v>
      </c>
      <c r="AI49" s="181" t="str">
        <f t="shared" si="8"/>
        <v>SELL</v>
      </c>
      <c r="AJ49" s="181">
        <f t="shared" si="9"/>
        <v>0</v>
      </c>
      <c r="AK49" s="181">
        <f>IF(ABS(N($AE49))&gt;=$BG$85,1,0)</f>
      </c>
      <c r="AL49" s="181">
        <f t="shared" si="10"/>
        <v>0</v>
      </c>
      <c r="AM49" s="181">
        <f t="shared" si="11"/>
        <v>1</v>
      </c>
      <c r="AN49" s="181">
        <f t="shared" si="12"/>
        <v>0</v>
      </c>
      <c r="AO49" s="1" t="str">
        <f t="shared" si="13"/>
        <v/>
      </c>
      <c r="AP49" s="1">
        <f t="shared" si="14"/>
        <v>21921</v>
      </c>
      <c r="AQ49" s="1">
        <f t="shared" si="15"/>
        <v>1042521</v>
      </c>
      <c r="AR49" s="181">
        <f t="shared" si="16"/>
        <v>0.11203890113202956</v>
      </c>
      <c r="AS49" s="181">
        <f t="shared" si="17"/>
        <v>16</v>
      </c>
      <c r="AT49" s="181" t="str">
        <f t="shared" si="18"/>
        <v/>
      </c>
      <c r="AU49" s="181" t="str">
        <f t="shared" si="19"/>
        <v/>
      </c>
      <c r="AV49" s="218">
        <f t="shared" si="183"/>
        <v>0</v>
      </c>
      <c r="AW49" s="181">
        <f>ABS('King Node Model'!G69)</f>
        <v>137</v>
      </c>
      <c r="AX49" s="181">
        <f t="shared" si="20"/>
        <v>0</v>
      </c>
      <c r="AY49" s="181">
        <f t="shared" si="21"/>
        <v>0</v>
      </c>
      <c r="AZ49" s="276">
        <f>'King Node Model'!I69</f>
        <v>918</v>
      </c>
      <c r="BA49" s="181">
        <f t="shared" si="22"/>
        <v>0</v>
      </c>
      <c r="BB49" s="181" t="str">
        <f t="shared" si="23"/>
        <v>S16</v>
      </c>
      <c r="BC49" s="10">
        <f>'King Node Model'!C69</f>
        <v>-63513</v>
      </c>
      <c r="BD49" s="218">
        <f t="shared" si="184"/>
        <v>0</v>
      </c>
      <c r="BE49" s="218">
        <f t="shared" si="185"/>
        <v>0</v>
      </c>
      <c r="BF49" t="s">
        <v>2042</v>
      </c>
      <c r="BG49">
        <v>6</v>
      </c>
      <c r="BI49" s="218">
        <f t="shared" si="186"/>
        <v>0</v>
      </c>
      <c r="BJ49" s="218">
        <f t="shared" si="187"/>
        <v>0</v>
      </c>
      <c r="BK49" s="218">
        <f t="shared" si="24"/>
        <v>0</v>
      </c>
      <c r="BL49" s="10">
        <f>'King Node Model'!H69</f>
        <v>7</v>
      </c>
      <c r="BM49" s="218">
        <f t="shared" si="25"/>
        <v>40</v>
      </c>
      <c r="BN49" s="218">
        <f t="shared" si="26"/>
        <v>33</v>
      </c>
      <c r="BO49" s="218">
        <f t="shared" si="27"/>
        <v>0</v>
      </c>
      <c r="BP49" s="218">
        <f t="shared" si="28"/>
        <v>0</v>
      </c>
      <c r="BQ49" t="str">
        <f t="shared" si="29"/>
        <v/>
      </c>
      <c r="BR49" t="str">
        <f t="shared" si="30"/>
        <v/>
      </c>
      <c r="BS49" s="218">
        <f t="shared" si="31"/>
        <v>0</v>
      </c>
      <c r="BT49" t="str">
        <f t="shared" si="32"/>
        <v/>
      </c>
      <c r="BU49" t="str">
        <f t="shared" si="33"/>
        <v/>
      </c>
      <c r="BV49" s="218">
        <f t="shared" si="34"/>
        <v>286299</v>
      </c>
      <c r="BW49" s="218">
        <f t="shared" si="35"/>
        <v>21921</v>
      </c>
      <c r="BX49" s="218">
        <f>IF(AND(ISNUMBER(BC49),BC49&gt;=$BG$160,OR('King Node Model'!$A$8="Neg",N($BG$72)=1)),1,0)</f>
        <v>0</v>
      </c>
      <c r="BY49" s="218">
        <f t="shared" si="36"/>
        <v>0</v>
      </c>
      <c r="BZ49" s="218">
        <f t="shared" si="37"/>
        <v>0</v>
      </c>
      <c r="CA49" t="str">
        <f t="shared" si="38"/>
        <v/>
      </c>
      <c r="CB49" s="218">
        <f>IF(AND(ISNUMBER('King Node Model'!$D$27),AG49&lt;&gt;"",AA49='King Node Model'!$D$27),1,0)</f>
        <v>0</v>
      </c>
      <c r="CC49" s="218">
        <f>IF(OR('King Node Model'!$A$8="Neg",N($BG$72)=1),$BG$14*IF(ISNUMBER('King Node Model'!$D$26),MAX(0,1-ABS(AA49-'King Node Model'!$D$26)/$BG$18),0)+$BG$15*IFERROR(BV49/MAX($BV$9:$BV$55),0)+$BG$16*IFERROR(BW49/MAX($BW$9:$BW$55),0)+$BG$17*IFERROR(AC49/$S$11,0)*MAX(0,1+$BG$21*CF49),AR49)</f>
        <v>8.9932892416595037E-2</v>
      </c>
      <c r="CD49" s="218">
        <f>IF(OR('King Node Model'!$A$8="Neg",N($BG$72)=1),IF(AND(AG49&lt;&gt;"",ABS(AA49-$B$4)&lt;=$BG$7,OR(AX49=0,$D$5&lt;&gt;"UP"),AY49=0,BK49&lt;&gt;1,CI49=0,AM49&gt;=$BG$20,AC49&gt;$BG$19),1,0),IF(AND(BS49=1,(COUNTIF($W$9:$W$14,AA49)+COUNTIF($W$18:$W$23,AA49))&gt;0,CI49=0,AM49&gt;=$BG$20,AC49&gt;$BG$19),1,0))</f>
        <v>0</v>
      </c>
      <c r="CE49" t="str">
        <f t="shared" si="39"/>
        <v/>
      </c>
      <c r="CF49" s="218">
        <f t="shared" si="40"/>
        <v>0</v>
      </c>
      <c r="CG49" t="str">
        <f t="shared" si="41"/>
        <v/>
      </c>
      <c r="CH49" t="str">
        <f t="shared" si="42"/>
        <v>Dormant</v>
      </c>
      <c r="CI49" s="218">
        <f t="shared" si="43"/>
        <v>0</v>
      </c>
      <c r="CJ49" s="218">
        <f t="shared" si="44"/>
        <v>387420489</v>
      </c>
      <c r="CK49" s="218">
        <f t="shared" si="45"/>
        <v>0</v>
      </c>
      <c r="CL49" s="218">
        <f t="shared" si="46"/>
        <v>0</v>
      </c>
      <c r="CR49" t="s">
        <v>1508</v>
      </c>
      <c r="CS49">
        <f>IFERROR(INDEX($BK$9:$BK$55,MATCH($CS$40,$AA$9:$AA$55,0)),"")</f>
        <v>1</v>
      </c>
      <c r="CU49" s="218">
        <f>IF(AND(AND('King Node Model'!$A$8&lt;&gt;"Neg",N($BG$72)&lt;&gt;1),SUMPRODUCT(($AG$9:$AG$55="S")*ISNUMBER($AT$9:$AT$55)*ISNUMBER($AU$9:$AU$55)*($AT$9:$AT$55&lt;&gt;$AU$9:$AU$55)*($AT$9:$AT$55&lt;=$AA49)*($AU$9:$AU$55&gt;=$AA49))&gt;0),0,IF(AND(OR($AA49='King Node Model'!$T$22,$AA49='King Node Model'!$F$24),$AG49="R",COUNTIF($W$9:$W$14,$AA49)&gt;0),1,IF(AND($FN49=1,$EU49&lt;&gt;1,$EM49&lt;&gt;1,$BK49&lt;&gt;1,$DH49&lt;&gt;1,$AG49="R",COUNTIF($W$9:$W$14,$AA49)&gt;0),1,IF($EU49=1,0,IF($EM49=1,0,IF(AND(OR($EE49=1,$GV49=1,AND($EL$7=1,$AA49='King Node Model'!$D$26,$EI49=1),AND(OR($AA49='King Node Model'!$T$22,$AA49='King Node Model'!$T$23),$AN49=1,OR($AX49=0,$D$5&lt;&gt;"UP"))),OR(NOT(OR('King Node Model'!$A$8="Neg",N($BG$72)=1)),$GV49=1,AND(OR($AA49='King Node Model'!$T$22,$AA49='King Node Model'!$T$23),$AN49=1,OR($AX49=0,$D$5&lt;&gt;"UP")),AND($AM49&gt;=$BG$20,$AC49&gt;IF($CZ49=1,$BG$48,$BG$19)))),1,IF($DH49=1,0,IF(AND($DC49=1,$GS49&lt;&gt;1,AND('King Node Model'!$A$8&lt;&gt;"Neg",N($BG$72)&lt;&gt;1)),0,IF(AND($EY49=1,NOT(OR('King Node Model'!$A$8="Neg",$BG$72=1)),$AA49&lt;&gt;'King Node Model'!$B$23),0,IF(AND($GS49=1,$AG49="R",OR($CI49=0,$EE49=1,$EX49=1,$GV49=1),COUNTIF($W$9:$W$14,$AA49)&gt;0,ABS($AA49-$B$4)&lt;=$BG$7,$BK49&lt;&gt;1,$AM49&gt;=$BG$20,$AC49&gt;IF($CZ49=1,$BG$48,$BG$19)),1,IF(OR('King Node Model'!$A$8="Neg",N($BG$72)=1),IF(AND(OR($AM49&gt;=$BG$20,$AA49='King Node Model'!$D$26,$GV49=1),$AG49="R",COUNTIF($W$9:$W$14,$AA49)&gt;0,ABS($AA49-$B$4)&lt;=$BG$7,OR($AX49=0,$D$5&lt;&gt;"UP"),$BK49&lt;&gt;1,OR(OR($CI49=0,$AJ49=1),AND($EI49=1,$LA49=1,COUNTIF($W$9:$W$11,$AA49)&gt;0,$AN49=1,OR($AX49=0,$D$5&lt;&gt;"UP"))),$AM49&gt;=$BG$20,$AC49&gt;IF($CZ49=1,$BG$48,$BG$19),OR($AN49=1,N($LR49)=1,$AA49='King Node Model'!$D$26,AND($BY49=1,$AA49&gt;$B$4),$BX49=1,$CF49=1,$CF49=1,AND(OR($AA49=$CP$4,$AA49=$CP$5,$AA49=$CP$6,$AA49=$CP$7),ABS($AA49-$B$4)&lt;=30),AND($AX49=1,$D$5="DOWN"))),1,0),IF(AND(OR($AM49&gt;=3,$AA49='King Node Model'!$D$26,$GV49=1),$AG49="R",COUNTIF($W$9:$W$14,$AA49)&gt;0,ABS($AA49-$B$4)&lt;=$BG$7,OR($AX49=0,$D$5&lt;&gt;"UP"),$BK49&lt;&gt;1,OR($CI49=0,$AJ49=1),$AM49&gt;=$BG$20,$AC49&gt;IF($CZ49=1,$BG$48,$BG$19),OR($AC49&gt;=MAX($AC$9:$AC$55),$BC49&gt;0,$AA49='King Node Model'!$D$26,AND(OR($AA49=$CP$4,$AA49=$CP$5,$AA49=$CP$6,$AA49=$CP$7),ABS($AA49-$B$4)&lt;=30),$CF49=1,$AN49=1,AND($AX49=1,$D$5="DOWN"))),1,0))))))))))))</f>
        <v>0</v>
      </c>
      <c r="CV49" s="218">
        <f>IF(AND(OR('King Node Model'!$A$8="Neg",N($BG$72)=1),$AG49="S",N($LR49)=1,N($MB49)=1),1,IF(AND(AND('King Node Model'!$A$8&lt;&gt;"Neg",N($BG$72)&lt;&gt;1),SUMPRODUCT(($AG$9:$AG$55="R")*ISNUMBER($AT$9:$AT$55)*ISNUMBER($AU$9:$AU$55)*($AT$9:$AT$55&lt;&gt;$AU$9:$AU$55)*($AT$9:$AT$55&lt;=$AA49)*($AU$9:$AU$55&gt;=$AA49))&gt;0,NOT(AND(N($LC49)=1,$AA49='King Node Model'!$B$23))),0,IF(AND($AA49='King Node Model'!$F$24,$AG49="S",COUNTIF($W$18:$W$23,$AA49)&gt;0),1,IF(AND($FN49=1,$EU49&lt;&gt;1,$EM49&lt;&gt;1,$DH49&lt;&gt;1,$AG49="S",COUNTIF($W$18:$W$23,$AA49)&gt;0),1,IF($EU49=1,0,IF(AND(OR($EF49=1,$GV49=1,AND(OR($AA49='King Node Model'!$T$22,$AA49='King Node Model'!$T$23,AND($AG49="S",COUNTIF('Master Dashboard'!$AN$16:$AN$18,$AA49)&gt;0)),$AN49=1,OR($AX49=0,$D$5&lt;&gt;"UP"))),OR(NOT(OR('King Node Model'!$A$8="Neg",N($BG$72)=1)),$GV49=1,AND(OR($AA49='King Node Model'!$T$22,$AA49='King Node Model'!$T$23,AND($AG49="S",COUNTIF('Master Dashboard'!$AN$16:$AN$18,$AA49)&gt;0)),$AN49=1,OR($AX49=0,$D$5&lt;&gt;"UP")),AND($AM49&gt;=$BG$20,$AC49&gt;IF($CZ49=1,$BG$48,$BG$19)))),1,IF($DH49=1,0,IF(AND($DC49=1,$GS49&lt;&gt;1,AND('King Node Model'!$A$8&lt;&gt;"Neg",N($BG$72)&lt;&gt;1)),0,IF(AND($EY49=1,NOT(OR('King Node Model'!$A$8="Neg",$BG$72=1)),$AA49&lt;&gt;'King Node Model'!$B$23,COUNTIF('Master Dashboard'!$AN$16:$AN$18,$AA49)=0),0,IF(AND($GS49=1,$AG49="S",OR($CI49=0,$EF49=1,$EX49=1,$GV49=1),COUNTIF($W$18:$W$23,$AA49)&gt;0,ABS($AA49-$B$4)&lt;=$BG$7,$BK49&lt;&gt;1,$AM49&gt;=$BG$20,$AC49&gt;IF($CZ49=1,$BG$48,$BG$19)),1,IF(OR('King Node Model'!$A$8="Neg",N($BG$72)=1),IF(AND(OR(OR($AM49&gt;=$BG$20,N($LR49)=1),$AA49='King Node Model'!$D$26,$GV49=1),$AG49="S",COUNTIF($W$18:$W$23,$AA49)&gt;0,ABS($AA49-$B$4)&lt;=$BG$7,OR($AX49=0,$D$5&lt;&gt;"UP"),$BK49&lt;&gt;1,OR($CI49=0,$AJ49=1,AND(N($LR49)=1,N($MB49)=1),N($MT49)=1),OR($AM49&gt;=$BG$20,N($LR49)=1),$AC49&gt;IF($CZ49=1,$BG$48,$BG$19),OR($AB49&gt;0,$AN49=1,N($MT49)=1,N($LR49)=1,$AA49='King Node Model'!$D$26,AND($BY49=1,$AA49&lt;$B$4),$BX49=1,$CF49=1,$CF49=1,AND(OR($AA49=$CP$4,$AA49=$CP$5,$AA49=$CP$6,$AA49=$CP$7),ABS($AA49-$B$4)&lt;=30),AND($AX49=1,$D$5="DOWN"))),1,0),IF(AND(OR($AM49&gt;=3,$AA49='King Node Model'!$D$26,$GV49=1),$AG49="S",COUNTIF($W$18:$W$23,$AA49)&gt;0,ABS($AA49-$B$4)&lt;=$BG$7,OR($AX49=0,$D$5&lt;&gt;"UP"),$BK49&lt;&gt;1,OR($CI49=0,$AJ49=1,AND(N($LR49)=1,N($MB49)=1),N($MT49)=1),$AM49&gt;=$BG$20,$AC49&gt;IF($CZ49=1,$BG$48,$BG$19),OR($AC49&gt;=MAX($AC$9:$AC$55),$BC49&gt;0,N($MT49)=1,$AA49='King Node Model'!$D$26,AND(OR($AA49=$CP$4,$AA49=$CP$5,$AA49=$CP$6,$AA49=$CP$7),ABS($AA49-$B$4)&lt;=30),$CF49=1,$AN49=1,AND($AX49=1,$D$5="DOWN"))),1,0))))))))))))</f>
        <v>0</v>
      </c>
      <c r="CX49" s="218">
        <f t="shared" si="48"/>
        <v>0</v>
      </c>
      <c r="CY49" t="str">
        <f t="shared" si="49"/>
        <v/>
      </c>
      <c r="CZ49" s="218">
        <f t="shared" si="50"/>
        <v>0</v>
      </c>
      <c r="DA49" t="str">
        <f t="shared" si="51"/>
        <v/>
      </c>
      <c r="DB49" t="str">
        <f t="shared" si="52"/>
        <v/>
      </c>
      <c r="DC49" s="218">
        <f t="shared" si="53"/>
        <v>0</v>
      </c>
      <c r="DD49" s="218">
        <f t="shared" si="54"/>
        <v>0</v>
      </c>
      <c r="DE49" s="218">
        <f t="shared" si="55"/>
        <v>0</v>
      </c>
      <c r="DF49" t="str">
        <f t="shared" si="56"/>
        <v/>
      </c>
      <c r="DG49" t="str">
        <f t="shared" si="57"/>
        <v/>
      </c>
      <c r="DH49" s="218">
        <f t="shared" si="58"/>
        <v>0</v>
      </c>
      <c r="DI49">
        <v>1</v>
      </c>
      <c r="DJ49">
        <v>1</v>
      </c>
      <c r="DK49">
        <v>2077129</v>
      </c>
      <c r="DL49">
        <v>0</v>
      </c>
      <c r="DM49" t="str">
        <f>IF(AND($CV49=1,$AG49="S"),IF(AND(OR('King Node Model'!$A$8="Neg",N($BG$72)=1),'King Node Model'!$S$52=""),IF(OR(N($AN49)=1,N($LR49)=1,$AB49&gt;0,$AJ49=1,N($JO49)=1,AND(NOT($AE49&gt;0),NOT(IFERROR(AND(ISNUMBER($BC49),ISNUMBER($BC48),($BC49&gt;=0)&lt;&gt;($BC48&gt;=0)),FALSE())),OR(AND($BM49&lt;=6,$BN49&lt;=6),ABS($AA49-'King Node Model'!$T$23)&lt;=5,$LA49=1))),1,0),1),"")</f>
        <v/>
      </c>
      <c r="DN49" t="str">
        <f t="shared" si="59"/>
        <v/>
      </c>
      <c r="DO49" t="str">
        <f t="shared" si="60"/>
        <v>W-list</v>
      </c>
      <c r="DP49" t="str">
        <f>IF(AND(OR('King Node Model'!$A$8="Neg",N($BG$72)=1),$AG49="S",ISNUMBER($AT49),ISNUMBER($AU49),$AT49&lt;&gt;$AU49,$AA49=$AT49),IF(AND(SUMPRODUCT(($AA$9:$AA$55&gt;=$AT49)*($AA$9:$AA$55&lt;=$AU49)*($AB$9:$AB$55&gt;0))&gt;0,SUMPRODUCT(($AA$9:$AA$55&gt;=$AT49)*($AA$9:$AA$55&lt;=$AU49)*($DM$9:$DM$55=1))&gt;0,SUMPRODUCT(($AA$9:$AA$55&gt;=$AT49)*($AA$9:$AA$55&lt;=$AU49)*(COUNTIF($W$18:$W$20,$AA$9:$AA$55)&gt;0))&gt;0),1,0),"")</f>
        <v/>
      </c>
      <c r="DS49">
        <v>0</v>
      </c>
      <c r="DT49">
        <v>0</v>
      </c>
      <c r="DU49" t="str">
        <f>IF('King Node Model'!$A$8&lt;&gt;"Pos","",IF(OR($AA49="",NOT(ISNUMBER($AA49)),ABS($AA49-$B$4)&gt;$BG$7),"",TEXT($AA49,"0")&amp;" | "&amp;IF($AG49="","unclassified",IF($AG49&lt;&gt;IF($AA49&gt;$B$4,"R","S"),"orphan: in "&amp;$AG49&amp;"-list, "&amp;IF($AA49&lt;$B$4,"below","above")&amp;" spot",IF(IF($AG49="R",COUNTIF($W$9:$W$14,$AA49),COUNTIF($W$18:$W$23,$AA49))=0,"not in "&amp;$AG49&amp;"-list",IF($DH49=1,"absorbed into shelf box",IF($BK49=1,"absorbed: adjacent reversal",IF($CI49=1,"accel-accelerant",IF($AC49&lt;=$BG$19,"below gamma-floor",IF($AM49&lt;$BG$20,"confluence "&amp;TEXT($AM49,"0")&amp;" &lt; "&amp;TEXT($BG$20,"0"),IF(AND($AX49=1,$D$5="UP"),"accelerant in up-move",IF(NOT(OR($AC49&gt;=MAX($AC$9:$AC$55),$BC49&gt;0,$AA49='King Node Model'!$D$26,AND(OR($AA49=$CP$4,$AA49=$CP$5,$AA49=$CP$6,$AA49=$CP$7),ABS($AA49-$B$4)&lt;=30),ISNUMBER(SEARCH("STRENGTHENING",$CG49)),$AN49=1,AND($AX49=1,$D$5="DOWN"))),"no surface flag","-&gt; qualifies"))))))))))))</f>
        <v/>
      </c>
      <c r="DV49" s="218">
        <f t="shared" si="61"/>
        <v>99999</v>
      </c>
      <c r="DW49" s="218">
        <f t="shared" si="62"/>
        <v>99999</v>
      </c>
      <c r="DX49" t="str">
        <f>IF('King Node Model'!$A$8&lt;&gt;"Pos","",IF(AND($DV49&lt;99999,$DV49=MIN($DV$9:$DV$55),$DG49&gt;$AA49),"R-box: "&amp;TEXT($AA49,"0")&amp;"-"&amp;TEXT($DG49,"0"),IF(AND($DW49&lt;99999,$DW49=MIN($DW$9:$DW$55),$DF49&lt;$AA49),"S-box: "&amp;TEXT($DF49,"0")&amp;"-"&amp;TEXT($AA49,"0"),"")))</f>
        <v/>
      </c>
      <c r="EB49">
        <f t="shared" si="63"/>
        <v>90.390000000000327</v>
      </c>
      <c r="EC49">
        <f t="shared" si="64"/>
        <v>538591</v>
      </c>
      <c r="ED49">
        <f t="shared" si="65"/>
        <v>0</v>
      </c>
      <c r="EE49">
        <f>IF(AND(OR('King Node Model'!$A$8="Neg",N($BG$72)=1),$AG49="R",ISNUMBER($EB49),$EB49&lt;=$BG$7,$AB49&gt;0,$EC49&gt;0,$AB49=$EC49),1,0)</f>
        <v>0</v>
      </c>
      <c r="EF49">
        <f>IF(AND(OR('King Node Model'!$A$8="Neg",N($BG$72)=1),$AG49="S",ISNUMBER($EB49),$EB49&lt;=$BG$7,$AB49&gt;0,$ED49&gt;0,$AB49=$ED49),1,0)</f>
        <v>0</v>
      </c>
      <c r="EI49">
        <v>1</v>
      </c>
      <c r="EJ49">
        <f>IF($AA49="",0,IF(SUMPRODUCT(($AA$9:$AA$55&gt;=$AT49)*($AA$9:$AA$55&lt;=$AU49)*($DT$9:$DT$55=1))+SUMPRODUCT(($DT$9:$DT$55=1)*($AT$9:$AT$55&lt;=$AA49)*($AU$9:$AU$55&gt;=$AA49))+($DT49=1)+AND(OR('King Node Model'!$A$8="Neg",N($BG$72)=1),ISNUMBER(SEARCH("LOW",'Master Dashboard'!$M$5)),ISNUMBER(SEARCH("BUY",'Master Dashboard'!$G$8)),'King Node Model'!$T$23='King Node Model'!$B$23,$AA49&gt;='King Node Model'!$T$23,$AA49&lt;='King Node Model'!$T$23+5)*1&gt;0,1,0))</f>
        <v>0</v>
      </c>
      <c r="EM49">
        <f t="shared" si="66"/>
        <v>0</v>
      </c>
      <c r="EN49">
        <v>0</v>
      </c>
      <c r="EO49">
        <f t="shared" si="67"/>
        <v>0</v>
      </c>
      <c r="EP49">
        <f t="shared" si="68"/>
        <v>0</v>
      </c>
      <c r="EQ49" t="str">
        <f t="shared" si="69"/>
        <v>thinning the floor (magnitude weak)</v>
      </c>
      <c r="ES49" t="str">
        <f>IF(AND(ISNUMBER(AA49),ISNUMBER(AF49),ABS(AA49-'King Node Model'!$B$4)&lt;=$BG$7),ABS(AF49),"")</f>
        <v/>
      </c>
      <c r="ET49">
        <v>0</v>
      </c>
      <c r="EU49" s="218">
        <f>IF(AND(OR('King Node Model'!$A$8="Neg",N($BG$72)=1),ISNUMBER($AA48),ISNUMBER($AA49),ISNUMBER($AA50),ISNUMBER($AB48),ISNUMBER($AB49),ISNUMBER($AB50),ISNUMBER($AF49),$AB49&gt;0,$AB48&lt;0,$AB50&lt;0,$AF49&lt;0),1,0)</f>
        <v>0</v>
      </c>
      <c r="EW49">
        <f>IF(OR(N($MY49)=1,N($JM49)=1),0,N($NE49))</f>
        <v>0</v>
      </c>
      <c r="EX49">
        <f>IF(AND(OR('King Node Model'!$A$8="Neg",N($BG$72)=1),ISNUMBER($AA49),OR(AND($AA49='King Node Model'!$F$24,OR(AND($AG49="S",$F$4="High",IF($BG$80&lt;&gt;"",UPPER($BG$80),$D$5)="DOWN"),AND($AG49="R",$F$4="Low",IF($BG$80&lt;&gt;"",UPPER($BG$80),$D$5)="UP"))),$GV49=1)),1,0)</f>
        <v>0</v>
      </c>
      <c r="EY49">
        <f>IFERROR(IF(AND($DC49=1,$AB49&lt;0,$AC49&gt;=(1+$FA$6)*INDEX($AC$9:$AC$55,41-1),$AC49&gt;=(1+$FA$6)*INDEX($AC$9:$AC$55,41+1),$AC49&gt;=IFERROR(INDEX($AC$9:$AC$55,41-2),0),$AC49&gt;=IFERROR(INDEX($AC$9:$AC$55,41+2),0)),1,0),0)</f>
        <v>0</v>
      </c>
      <c r="FA49" t="str">
        <f>IF(NOT(ISNUMBER($AA49)),"",IFERROR(IF(AND($AC49=MAX($AC$9:$AC$55),$AB49=MIN($AB$9:$AB$55)),"DOM",IF(AND($DC48=1,$DC49=1,$DC50=1,INDEX($AC$9:$AC$55,41-1)&lt;=(1-$FA$6)*$AC49,INDEX($AC$9:$AC$55,41-1)&lt;=(1-$FA$6)*INDEX($AC$9:$AC$55,41-2)),"GAP↑",IF(AND($DC50=1,$DC49=1,INDEX($AC$9:$AC$55,41+1)&lt;=(1-$FA$6)*$AC49,INDEX($AC$9:$AC$55,41+1)&lt;=(1-$FA$6)*INDEX($AC$9:$AC$55,41+2)),"GAP↓",IF($CZ49=1,"dEdge Cliff",IF($GY49=1,"γWall",IF(AND($DC49=1,$AB49&lt;0,$AC49&gt;=(1+$FA$6)*INDEX($AC$9:$AC$55,41-1),$AC49&gt;=(1+$FA$6)*INDEX($AC$9:$AC$55,41+1)),"PEAK-",IF($GZ49=1,"γSh Edge",IF($HL49=1,"Trough",IF($HN49=1,"PEAK+",IF($GF49=1,"Cluster","")))))))))),""))</f>
        <v/>
      </c>
      <c r="FB49" t="str">
        <f t="shared" si="70"/>
        <v/>
      </c>
      <c r="FC49" t="str">
        <f t="shared" si="71"/>
        <v/>
      </c>
      <c r="FD49">
        <f>IF(AND(ISNUMBER($AA49),ISNUMBER('King Node Model'!$AP$17),ISNUMBER('King Node Model'!$AQ$17),$AA49&gt;=MIN('King Node Model'!$AP$17,'King Node Model'!$AQ$17),$AA49&lt;=MAX('King Node Model'!$AP$17,'King Node Model'!$AQ$17),IFERROR(INDEX($AC$9:$AC$55,MATCH('King Node Model'!$AL$42,$AA$9:$AA$55,0)),0)&gt;0,$AC49&gt;=(1-$FA$6)*IFERROR(INDEX($AC$9:$AC$55,MATCH('King Node Model'!$AL$42,$AA$9:$AA$55,0)),0),$AC49&lt;=(1+$FA$6)*IFERROR(INDEX($AC$9:$AC$55,MATCH('King Node Model'!$AL$42,$AA$9:$AA$55,0)),0)),1,0)</f>
        <v>0</v>
      </c>
      <c r="FE49">
        <f>IF($AA49='King Node Model'!$AL$42,1,IF(AND($FD49=1,$FE48=1),1,0))</f>
        <v>0</v>
      </c>
      <c r="FF49">
        <f>IF($AA49='King Node Model'!$AL$42,1,IF(AND($FD49=1,$FF50=1),1,0))</f>
        <v>0</v>
      </c>
      <c r="FG49" t="str">
        <f>IF(OR($FE49=1,$FF49=1),41,"")</f>
        <v/>
      </c>
      <c r="FJ49">
        <f>IF(AND($CW$2=1,ISNUMBER($AA49),ISNUMBER($CW$3),ISNUMBER($CW$4),$AA49&gt;=MIN($CW$3,$CW$4),$AA49&lt;=MAX($CW$3,$CW$4),IFERROR(INDEX($AC$9:$AC$55,MATCH('King Node Model'!$AP$67,$AA$9:$AA$55,0)),0)&gt;0,$AC49&gt;=(1-$FA$6)*IFERROR(INDEX($AC$9:$AC$55,MATCH('King Node Model'!$AP$67,$AA$9:$AA$55,0)),0),$AC49&lt;=(1+$FA$6)*IFERROR(INDEX($AC$9:$AC$55,MATCH('King Node Model'!$AP$67,$AA$9:$AA$55,0)),0)),1,0)</f>
        <v>0</v>
      </c>
      <c r="FK49">
        <f>IF(AND($CW$2=1,$AA49='King Node Model'!$AP$67),1,IF(AND($FJ49=1,$FK48=1),1,0))</f>
        <v>0</v>
      </c>
      <c r="FL49">
        <f>IF(AND($CW$2=1,$AA49='King Node Model'!$AP$67),1,IF(AND($FJ49=1,$FL50=1),1,0))</f>
        <v>0</v>
      </c>
      <c r="FM49" t="str">
        <f>IF(OR($FK49=1,$FL49=1),41,"")</f>
        <v/>
      </c>
      <c r="FN49">
        <v>0</v>
      </c>
      <c r="FR49" t="str">
        <f t="shared" si="72"/>
        <v/>
      </c>
      <c r="FS49">
        <f t="shared" si="188"/>
        <v>0</v>
      </c>
      <c r="FT49">
        <f t="shared" si="73"/>
        <v>-0.94388384431333505</v>
      </c>
      <c r="FU49">
        <f t="shared" si="74"/>
        <v>67289</v>
      </c>
      <c r="FV49" t="str">
        <f>IF($FW49=0,"",IF(OR($FW48=0,SIGN(IFERROR($BC49*1,0))&lt;&gt;SIGN(IFERROR($BC48*1,0)),$GH49=1,$GH48=1),MAX($FV$9:$FV48)+1,$FV48))</f>
        <v/>
      </c>
      <c r="FW49">
        <f t="shared" si="75"/>
        <v>0</v>
      </c>
      <c r="FX49" t="str">
        <f t="shared" si="76"/>
        <v/>
      </c>
      <c r="FY49">
        <f t="shared" si="77"/>
        <v>0</v>
      </c>
      <c r="FZ49">
        <f t="shared" si="189"/>
        <v>0</v>
      </c>
      <c r="GA49">
        <f t="shared" si="78"/>
        <v>0</v>
      </c>
      <c r="GB49" t="str">
        <f t="shared" si="79"/>
        <v/>
      </c>
      <c r="GC49" t="str">
        <f t="shared" si="80"/>
        <v/>
      </c>
      <c r="GD49" t="str">
        <f t="shared" si="81"/>
        <v/>
      </c>
      <c r="GE49" t="str">
        <f t="shared" si="82"/>
        <v/>
      </c>
      <c r="GF49">
        <f t="shared" si="83"/>
        <v>0</v>
      </c>
      <c r="GH49">
        <f>IFERROR(IF(AND($AC49&gt;=(1+$FA$6)*INDEX($AC$9:$AC$55,41-1),$AC49&gt;=(1+$FA$6)*INDEX($AC$9:$AC$55,41+1)),1,0),0)</f>
        <v>0</v>
      </c>
      <c r="GK49">
        <v>0</v>
      </c>
      <c r="GO49">
        <v>0</v>
      </c>
      <c r="GP49">
        <v>0</v>
      </c>
      <c r="GQ49">
        <f t="shared" si="84"/>
        <v>0</v>
      </c>
      <c r="GR49">
        <f t="shared" si="85"/>
        <v>0</v>
      </c>
      <c r="GS49">
        <f>IF(AND($EY49=1,$AA49&lt;&gt;'King Node Model'!$B$23),0,IF(OR($GQ49=1,$GR49=1),1,IF($DC49=1,IF(OR('King Node Model'!$A$8="Neg",N($BG$72)=1),IF(OR(AND($AC49=MAX($AC$9:$AC$55),$AB49=MIN($AB$9:$AB$55)),$AN49=1,$EE49=1,$EF49=1,$EX49=1,$GV49=1),1,0),1),0)))</f>
        <v>0</v>
      </c>
      <c r="GT49">
        <f>IFERROR(IF(AND(OR('King Node Model'!$A$8="Neg",N($BG$72)=1),$EU48=1,$AG49="R",ISNUMBER($AA49),ISNUMBER($AF49),$AF49&lt;&gt;0,$AA49&gt;$B$4-$BG$9,$AA49-$B$4&lt;=$BG$47,IF($KC49="UP",SIGN($AF49),IF($KC49="DOWN",-SIGN($AF49),0))&lt;&gt;1),1,0),0)</f>
        <v>0</v>
      </c>
      <c r="GU49" t="str">
        <f t="shared" si="86"/>
        <v/>
      </c>
      <c r="GV49">
        <f t="shared" si="87"/>
        <v>0</v>
      </c>
      <c r="GW49" t="str">
        <f t="shared" si="88"/>
        <v/>
      </c>
      <c r="GX49">
        <f t="shared" si="89"/>
        <v>90.390000000000327</v>
      </c>
      <c r="GY49">
        <f t="shared" si="90"/>
        <v>0</v>
      </c>
      <c r="GZ49">
        <f t="shared" si="91"/>
        <v>0</v>
      </c>
      <c r="HA49">
        <v>0</v>
      </c>
      <c r="HF49">
        <f>IFERROR(IF(AND($GZ49=1,'King Node Model'!$A$8="Pos",$D$5="UP",$CF49=-1,$AJ49&lt;&gt;1),1,0),0)</f>
        <v>0</v>
      </c>
      <c r="HG49">
        <f t="shared" si="92"/>
        <v>0</v>
      </c>
      <c r="HH49" t="str">
        <f>IF($GZ49=1,"",IFERROR(IF(NOT(ISNUMBER($AA49)),"",IF($EY49=1,"",IF($GF49=1,IF($GD49=$GE49,"",$GD49),IF(OR(AND($DC48=1,$DC49=1,$DC50=1,INDEX($AC$9:$AC$55,41-1)&lt;=(1-$FA$6)*$AC49,INDEX($AC$9:$AC$55,41-1)&lt;=(1-$FA$6)*INDEX($AC$9:$AC$55,41-2)),AND($DC50=1,$DC49=1,INDEX($AC$9:$AC$55,41+1)&lt;=(1-$FA$6)*$AC49,INDEX($AC$9:$AC$55,41+1)&lt;=(1-$FA$6)*INDEX($AC$9:$AC$55,41+2)),AND($DC49=1,OR(INDEX($DC$9:$DC$55,41-1)=0,INDEX($DC$9:$DC$55,41+1)=0))),IF(MIN($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MAX($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MIN($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f>
        <v/>
      </c>
      <c r="HI49" t="str">
        <f>IF($GZ49=1,"",IFERROR(IF(NOT(ISNUMBER($AA49)),"",IF($EY49=1,"",IF($GF49=1,IF($GD49=$GE49,"",$GE49),IF(OR(AND($DC48=1,$DC49=1,$DC50=1,INDEX($AC$9:$AC$55,41-1)&lt;=(1-$FA$6)*$AC49,INDEX($AC$9:$AC$55,41-1)&lt;=(1-$FA$6)*INDEX($AC$9:$AC$55,41-2)),AND($DC50=1,$DC49=1,INDEX($AC$9:$AC$55,41+1)&lt;=(1-$FA$6)*$AC49,INDEX($AC$9:$AC$55,41+1)&lt;=(1-$FA$6)*INDEX($AC$9:$AC$55,41+2)),AND($DC49=1,OR(INDEX($DC$9:$DC$55,41-1)=0,INDEX($DC$9:$DC$55,41+1)=0))),IF(MIN($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MAX($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MAX($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f>
        <v/>
      </c>
      <c r="HL49">
        <f t="shared" si="93"/>
        <v>0</v>
      </c>
      <c r="HM49">
        <f>IFERROR(IF(AND($HL49=1,NOT(OR($AA49='King Node Model'!$T$22,$AA49='King Node Model'!$T$23,$AA49='King Node Model'!$F$24,AND($AG49="S",COUNTIF('Master Dashboard'!$AN$16:$AN$18,$AA49)&gt;0),AND($AG49="R",COUNTIF('Master Dashboard'!$AN$13:$AN$15,$AA49)&gt;0)))),1,0),0)</f>
        <v>0</v>
      </c>
      <c r="HN49">
        <f t="shared" si="94"/>
        <v>0</v>
      </c>
      <c r="HO49">
        <f t="shared" si="95"/>
        <v>0</v>
      </c>
      <c r="HP49">
        <f t="shared" si="96"/>
        <v>1</v>
      </c>
      <c r="HQ49" t="str">
        <f>IF(NOT(ISNUMBER($AA49)),"",IFERROR(TRIM(IF(N($MY49)=1,"DEXLEAN ","")&amp;IF(N($IZ49)=1,"DEXCAP ","")&amp;IF(AND($AG49="S",UPPER('King Node Model'!$L$5)="HIGH",$KC49="DOWN",N($AF49)&gt;0,$AA49='King Node Model'!$AN$70,$IY49="SELL"),"CHOPEDGEIV ","")&amp;IF(N($IS49)=1,"NOREV ","")&amp;IF(N($JY49)=1,"VFLAT ","")&amp;IF(N($KR49)=1,"GDEXVANNA ","")&amp;IF(N($LD49)=1,"KGSUPFAIL ","")&amp;IF(N($LE49)=1,"KGRESLEAK ","")&amp;IF(N($MH49)=1,"ZIGZAG ","")&amp;IF(N($KK49)=1,"DATAGAP ","")&amp;IF(N($KA49)&lt;&gt;0,"ACCUNDERCW ","")&amp;IF(AND($AG49="S",$HF49=1),"EDGE ","")&amp;IF(AND($HM49=1,'King Node Model'!$A$8="Pos",N($BG$72)&lt;&gt;1),"TROUGH ","")&amp;IF(AND($EU49=1,N($JZ49)&lt;&gt;1),"BUMP ","")&amp;IF(AND($GT49=1,N($JZ49)&lt;&gt;1),"SANDWICH ","")&amp;IF(AND($EX49&lt;&gt;1,OR('King Node Model'!$A$8="Neg",N($BG$72)=1),OR(AND(ISNUMBER($AC49),$AC49=MAX($AC$9:$AC$55)),AND(ISNUMBER($AB49),$AB49=MIN($AB$9:$AB$55))),NOT(AND(AND(ISNUMBER($AC49),$AC49=MAX($AC$9:$AC$55)),AND(ISNUMBER($AB49),$AB49=MIN($AB$9:$AB$55)))),$AG49="S",N($AB49)&lt;0,NOT(COUNTIF('Master Dashboard'!$AN$16:$AN$18,$AA49)&gt;0),NOT(AND(OR('King Node Model'!$A$8="Neg",N($BG$72)=1),ISNUMBER($AB49),$AB49=MIN($AB$9:$AB$55),$AA49=$BG$105))),"ACCEL ","")&amp;IF(AND($EX49&lt;&gt;1,ISNUMBER($AA49),OR('King Node Model'!$A$8="Neg",N($BG$72)=1),$EY49=1,NOT(AND($AG49="S",COUNTIF('Master Dashboard'!$AN$16:$AN$18,$AA49)&gt;0)),NOT(AND($AA49='King Node Model'!$B$23,IF($AG49="S",OR($AA49='King Node Model'!$C$24,COUNTIF('Master Dashboard'!$AN$16:$AN$18,$AA49)&gt;0),OR($AA49='King Node Model'!$C$23,COUNTIF('Master Dashboard'!$AN$13:$AN$15,$AA49)&gt;0)))),NOT(AND($EX49&lt;&gt;1,OR('King Node Model'!$A$8="Neg",N($BG$72)=1),OR(AND(ISNUMBER($AC49),$AC49=MAX($AC$9:$AC$55)),AND(ISNUMBER($AB49),$AB49=MIN($AB$9:$AB$55))),NOT(AND(AND(ISNUMBER($AC49),$AC49=MAX($AC$9:$AC$55)),AND(ISNUMBER($AB49),$AB49=MIN($AB$9:$AB$55)))),$AG49="S",N($AB49)&lt;0,NOT(COUNTIF('Master Dashboard'!$AN$16:$AN$18,$AA49)&gt;0)))),"AMPLIFY ","")&amp;IF(AND($AG49="S",OR('King Node Model'!$A$8="Neg",N($BG$72)=1),$AJ49&lt;&gt;1,N($MT49)&lt;&gt;1,NOT(AND(N($LR49)=1,N($MB49)=1)),ISNUMBER(SEARCH("ACCEL building",$CG49))),"ZACCEL ","")&amp;IF(AND($AG49="S",OR('King Node Model'!$A$8="Neg",N($BG$72)=1),$AA49='King Node Model'!$B$23,NOT(AND(AND(ISNUMBER($AC49),$AC49=MAX($AC$9:$AC$55)),AND(ISNUMBER($AB49),$AB49=MIN($AB$9:$AB$55)))),$EJ49&lt;&gt;1),"KINGACC ","")&amp;IF(AND($AG49="S",OR('King Node Model'!$A$8="Neg",N($BG$72)=1),ABS(N($AA49)-N('King Node Model'!$B$23))&lt;=$BG$107,NOT(AND(SUMPRODUCT((ABS($AF$9:$AF$55)&lt;=ABS(N($AF49)))*1)/COUNT($AF$9:$AF$55)&gt;=0.66,OR(ISNUMBER(SEARCH("firmer resistance",$CG49)),ISNUMBER(SEARCH("STRENGTHENING",$CG49)),ISNUMBER(SEARCH("firmer support",$CG49))))),NOT(AND(N($AB49)&gt;0,SUMPRODUCT((ABS($AB$9:$AB$55)&lt;=ABS(N($AB49)))*1)/COUNT($AB$9:$AB$55)&gt;=0.66)),$EJ49&lt;&gt;1,$AJ49&lt;&gt;1,COUNTIF('Master Dashboard'!$AN$16:$AN$18,$AA49)=0,NOT(AND($AG49="S",OR('King Node Model'!$A$8="Neg",N($BG$72)=1),$AA49='King Node Model'!$B$23,NOT(AND(AND(ISNUMBER($AC49),$AC49=MAX($AC$9:$AC$55)),AND(ISNUMBER($AB49),$AB49=MIN($AB$9:$AB$55)))),$EJ49&lt;&gt;1))),"KINGNODE ","")&amp;IF(AND($AG49="R",NOT(AND(AND(ISNUMBER($AC49),$AC49=MAX($AC$9:$AC$55)),AND(ISNUMBER($AB49),$AB49=MIN($AB$9:$AB$55)))),UPPER('King Node Model'!$L$5)="LOW",$KC49="DOWN",N($AF49)&gt;0),"LOWIVFALL ","")&amp;IF(AND($AG49="R",NOT(AND(AND(ISNUMBER($AC49),$AC49=MAX($AC$9:$AC$55)),AND(ISNUMBER($AB49),$AB49=MIN($AB$9:$AB$55)))),UPPER('King Node Model'!$L$5)="HIGH",$KC49="DOWN",N($AF49)&gt;0,IFERROR(MATCH($AA49,$W$9:$W$14,0)&gt;=4,FALSE)),"HIGHIVFALL ","")&amp;IF(AND($AG49="R",N($BG$99)=1),"SPOTUPVOLUP ","")&amp;IF(AND($AG49="R",ISNUMBER(SEARCH("5/5",'Master Dashboard'!$E$29)),OR(ISNUMBER(SEARCH("WEAKENING",$EQ49)),ISNUMBER(SEARCH("Pos gamma ↓",$EQ49)),ISNUMBER(SEARCH("thinning the ceiling",$EQ49)))),"SQUEEZE ","")&amp;IF(N($JU49)=1,"DEDGECLIFF ","")&amp;IF(N($KT49)=1,"DEXDRAIN ","")&amp;IF(N($HW49)&lt;&gt;0,"DEXDROP ","")&amp;IF(N($HX49)&lt;&gt;0,"PEAK+ ","")&amp;IF(N($IF49)=1,"CHOP ","")&amp;IF(N($IQ49)=1,"CONTESTED ","")&amp;IF(N($IW49)=1,"VSELL ","")&amp;IF(N($JK49)=1,"VBUYRES ","")&amp;IF(N($JL49)=1,"DOMFLAT ","")&amp;IF(N($JM49)=1,"DOMPULL ","")&amp;IF(N($JP49)=1,"OIZOMMA ","")&amp;IF(AND(N($JQ49)=1,N($JZ49)&lt;&gt;1),"OIDEX ","")),""))</f>
        <v>NOREV VSELL</v>
      </c>
      <c r="HS49">
        <f>IFERROR(IF(AND($DC49=1,OR(AND($AG49="R",INDEX($DC$9:$DC$55,40)=0,INDEX($DC$9:$DC$55,42)=1,INDEX($DC$9:$DC$55,43)=1),AND($AG49="S",INDEX($DC$9:$DC$55,42)=0,INDEX($DC$9:$DC$55,40)=1,INDEX($DC$9:$DC$55,39)=1))),1,0),0)</f>
        <v>0</v>
      </c>
      <c r="HT49">
        <f t="shared" si="97"/>
        <v>0</v>
      </c>
      <c r="HU49">
        <v>0</v>
      </c>
      <c r="HV49">
        <v>0</v>
      </c>
      <c r="HW49">
        <f>IFERROR(IF(OR(NOT(ISNUMBER($AA49)),'King Node Model'!$A$8&lt;&gt;"Pos",N($BG$72)=1,ABS(N($AE49))&lt;$BG$113,N($AV49)=1,$FA49="DOM",$AA49='King Node Model'!$T$23,AND(N($BG$116)=1,$AA49='King Node Model'!$F$24),NOT(ISNUMBER($KU49)),NOT(ISNUMBER($KV49))),0,IF(AND($AG49="S",COUNTIF('Master Dashboard'!$AN$16:$AN$18,$AA49)=0,$KU49&gt;=$BG$114,$KU49&gt;=$KV49+$BG$115,NOT(AND(N($AN50)=1,N($KV49)&lt;0)),N($AE49)&lt;=0),1,IF(AND($AG49="R",COUNTIF('Master Dashboard'!$AN$13:$AN$15,$AA49)=0,$KV49&gt;=$BG$114,$KV49&gt;=$KU49+$BG$115,NOT(AND(N($AN48)=1,N($KU49)&lt;0))),-1,0))),0)</f>
        <v>0</v>
      </c>
      <c r="HX49">
        <f>IFERROR(IF(AND(ISNUMBER($AA49),$FA49="PEAK+",N($AN49)&lt;&gt;1,NOT(AND('King Node Model'!$A$8="Pos",OR($AA49='King Node Model'!$T$22,$AA49='King Node Model'!$T$23,$AA49='King Node Model'!$F$24))),IF($AG49="S",COUNTIF('Master Dashboard'!$AN$16:$AN$18,$AA49)=0,IF($AG49="R",COUNTIF('Master Dashboard'!$AN$13:$AN$15,$AA49)=0,FALSE))),1,0),0)</f>
        <v>0</v>
      </c>
      <c r="HY49">
        <f t="shared" si="98"/>
        <v>0.81919930058394641</v>
      </c>
      <c r="HZ49">
        <v>1</v>
      </c>
      <c r="IA49">
        <f>IFERROR(IF(AND(IF($BG$44=1,OR(ISNUMBER(SEARCH("Choppy",'King Node Model'!$S$38)),'King Node Model'!$S$52&lt;&gt;"",'King Node Model'!$A$8="Pos"),TRUE()),OR($DC49=1,$DC48=1,$DC50=1),ABS($AA49-$B$4)&lt;=$BG$7,ABS($AA49-$BG$28)&gt;=$BG$45,OR(AND($AA49&gt;$BG$28,$AG49="R"),AND($AA49&lt;$BG$28,$AG49="S",N($BG$154)=1)),ABS(IF($AA49&gt;$BG$28,$AE50,$AE48))&gt;=$BG$43,ABS(N(IF($AA49&gt;$BG$28,$AE48,$AE50)))&lt;=$BG$153*ABS(IF($AA49&gt;$BG$28,$AE50,$AE48)),IF(ISNUMBER($HZ49),$HZ49=1,AND(ISNUMBER($HY49),$HY49&gt;=$BG$42))),1,0),0)</f>
        <v>0</v>
      </c>
      <c r="IB49">
        <f t="shared" si="99"/>
        <v>0</v>
      </c>
      <c r="IC49" t="str">
        <f>IF(NOT(ISNUMBER($AA49)),"",IFERROR(MID(IF(AND($AC49=MAX($AC$9:$AC$55),$AB49=MIN($AB$9:$AB$55))," · DOM","")&amp;IF(AND($DC48=1,$DC49=1,$DC50=1,INDEX($AC$9:$AC$55,41-1)&lt;=(1-$FA$6)*$AC49,INDEX($AC$9:$AC$55,41-1)&lt;=(1-$FA$6)*INDEX($AC$9:$AC$55,41-2))," · GAP↑ → "&amp;INDEX($AA$9:$AA$55,41-2),"")&amp;IF(AND($DC50=1,$DC49=1,INDEX($AC$9:$AC$55,41+1)&lt;=(1-$FA$6)*$AC49,INDEX($AC$9:$AC$55,41+1)&lt;=(1-$FA$6)*INDEX($AC$9:$AC$55,41+2))," · GAP↓ → "&amp;INDEX($AA$9:$AA$55,41+2),"")&amp;IF($CZ49=1," · dEdge Cliff","")&amp;IF($GY49=1," · γWall","")&amp;IF(AND($DC49=1,$AB49&lt;0,$AC49&gt;=(1+$FA$6)*INDEX($AC$9:$AC$55,41-1),$AC49&gt;=(1+$FA$6)*INDEX($AC$9:$AC$55,41+1))," · PEAK-","")&amp;IF($GZ49=1," · γSh Edge","")&amp;IF($HL49=1," · Trough","")&amp;IF($HN49=1," · PEAK+","")&amp;IF($GF49=1," · Cluster",""),FIND(" · ",IF(AND($AC49=MAX($AC$9:$AC$55),$AB49=MIN($AB$9:$AB$55))," · DOM","")&amp;IF(AND($DC48=1,$DC49=1,$DC50=1,INDEX($AC$9:$AC$55,41-1)&lt;=(1-$FA$6)*$AC49,INDEX($AC$9:$AC$55,41-1)&lt;=(1-$FA$6)*INDEX($AC$9:$AC$55,41-2))," · GAP↑ → "&amp;INDEX($AA$9:$AA$55,41-2),"")&amp;IF(AND($DC50=1,$DC49=1,INDEX($AC$9:$AC$55,41+1)&lt;=(1-$FA$6)*$AC49,INDEX($AC$9:$AC$55,41+1)&lt;=(1-$FA$6)*INDEX($AC$9:$AC$55,41+2))," · GAP↓ → "&amp;INDEX($AA$9:$AA$55,41+2),"")&amp;IF($CZ49=1," · dEdge Cliff","")&amp;IF($GY49=1," · γWall","")&amp;IF(AND($DC49=1,$AB49&lt;0,$AC49&gt;=(1+$FA$6)*INDEX($AC$9:$AC$55,41-1),$AC49&gt;=(1+$FA$6)*INDEX($AC$9:$AC$55,41+1))," · PEAK-","")&amp;IF($GZ49=1," · γSh Edge","")&amp;IF($HL49=1," · Trough","")&amp;IF($HN49=1," · PEAK+","")&amp;IF($GF49=1," · Cluster",""),2),999),""))</f>
        <v/>
      </c>
      <c r="ID49" t="str">
        <f>IF(NOT(ISNUMBER($AA49)),"",IFERROR(MID(IF(AND($AC49=MAX($AC$9:$AC$55),$AB49=MIN($AB$9:$AB$55))," · DOM","")&amp;IF(AND($DC48=1,$DC49=1,$DC50=1,INDEX($AC$9:$AC$55,41-1)&lt;=(1-$FA$6)*$AC49,INDEX($AC$9:$AC$55,41-1)&lt;=(1-$FA$6)*INDEX($AC$9:$AC$55,41-2))," · GAP↑ → "&amp;INDEX($AA$9:$AA$55,41-2),"")&amp;IF(AND($DC50=1,$DC49=1,INDEX($AC$9:$AC$55,41+1)&lt;=(1-$FA$6)*$AC49,INDEX($AC$9:$AC$55,41+1)&lt;=(1-$FA$6)*INDEX($AC$9:$AC$55,41+2))," · GAP↓ → "&amp;INDEX($AA$9:$AA$55,41+2),"")&amp;IF($CZ49=1," · dEdge Cliff","")&amp;IF($GY49=1," · γWall","")&amp;IF(AND($DC49=1,$AB49&lt;0,$AC49&gt;=(1+$FA$6)*INDEX($AC$9:$AC$55,41-1),$AC49&gt;=(1+$FA$6)*INDEX($AC$9:$AC$55,41+1))," · PEAK-","")&amp;IF($GZ49=1," · γSh Edge","")&amp;IF($HL49=1," · Trough","")&amp;IF($HN49=1," · PEAK+","")&amp;IF(AND(NOT($HN49=1),NOT(AND($DC49=1,$AB49&lt;0)),N($GY49)&lt;&gt;1,N($GF49)&lt;&gt;1,N($GZ49)&lt;&gt;1,N($HL49)&lt;&gt;1,N($CZ49)&lt;&gt;1,NOT(AND($AC49=MAX($AC$9:$AC$55),$AB49=MIN($AB$9:$AB$55))),$AC49&gt;=(1+$FA$6)*INDEX($AC$9:$AC$55,41-1),$AC49&gt;=(1+$FA$6)*INDEX($AC$9:$AC$55,41+1))," · Knoll","")&amp;IF($GF49=1," · Cluster",""),4,999),""))</f>
        <v/>
      </c>
      <c r="IF49">
        <f t="shared" si="100"/>
        <v>0</v>
      </c>
      <c r="IG49">
        <f>IFERROR(IF(AND(ISNUMBER($AA49),'King Node Model'!$A$8="Pos",OR($AG49="S",$AG49="R"),$IN49="interior",COUNTIF(IF($AG49="S",'Master Dashboard'!$AN$16:$AN$18,'Master Dashboard'!$AN$13:$AN$15),$AA49)=0,$AA49&lt;&gt;'King Node Model'!$T$22,$AA49&lt;&gt;'King Node Model'!$T$23,$AA49&lt;&gt;'King Node Model'!$F$24),1,0),0)</f>
        <v>0</v>
      </c>
      <c r="IH49">
        <f t="shared" si="101"/>
        <v>0</v>
      </c>
      <c r="II49">
        <f t="shared" si="190"/>
        <v>0</v>
      </c>
      <c r="IJ49">
        <f t="shared" si="102"/>
        <v>0</v>
      </c>
      <c r="IK49">
        <f t="shared" si="103"/>
        <v>0</v>
      </c>
      <c r="IL49">
        <f t="shared" si="191"/>
        <v>0</v>
      </c>
      <c r="IM49">
        <f t="shared" si="104"/>
        <v>0</v>
      </c>
      <c r="IN49" t="str">
        <f t="shared" si="105"/>
        <v/>
      </c>
      <c r="IO49">
        <v>0</v>
      </c>
      <c r="IP49">
        <v>0</v>
      </c>
      <c r="IQ49">
        <f>IFERROR(IF($AG49="S",IF(OR(COUNTIF($W$9:$W$14,$AA49)&gt;0,COUNTIF('King Node Model'!$AL$42:'King Node Model'!$AL$43,$AA49)&gt;0),1,0),IF($AG49="R",IF(OR(COUNTIF($W$18:$W$23,$AA49)&gt;0,COUNTIF('King Node Model'!$AL$49:'King Node Model'!$AL$50,$AA49)&gt;0),1,0),0)),0)</f>
        <v>0</v>
      </c>
      <c r="IS49">
        <f>IF(AND(ISNUMBER($AA49),N($AN49)&lt;&gt;1,N($LR49)&lt;&gt;1,OR(N($EN49)&lt;&gt;1,AND('King Node Model'!$A$8&lt;&gt;"Neg",N($BG$72)&lt;&gt;1)),$AA49&lt;&gt;'King Node Model'!$T$22,$AA49&lt;&gt;'King Node Model'!$T$23,$AA49&lt;&gt;'King Node Model'!$F$24,NOT(AND($AG49="S",COUNTIF('Master Dashboard'!$AN$16:$AN$18,$AA49)&gt;0)),NOT(AND($AG49="R",COUNTIF('Master Dashboard'!$AN$13:$AN$15,$AA49)&gt;0)),NOT(AND('King Node Model'!$A$8&lt;&gt;"Neg",N($BG$72)&lt;&gt;1,COUNTIF('Master Dashboard'!$AN$13:$AN$18,$AA49)&gt;0))),1,0)</f>
        <v>1</v>
      </c>
      <c r="IT49">
        <v>0</v>
      </c>
      <c r="IU49">
        <f>IF(AND(ISNUMBER($AA49),$AA49='King Node Model'!$F$24,$AA49&gt;$GJ$3,N($AD49)&lt;0,$F$4="High"),1,0)</f>
        <v>0</v>
      </c>
      <c r="IV49" t="str">
        <f>""</f>
        <v/>
      </c>
      <c r="IW49">
        <f>IFERROR(IF(AND(ISNUMBER($AA49),NOT(AND(N($LR49)=1,N($MB49)=1)),$AG49="S",OR('King Node Model'!$A$8="Neg",N($BG$72)=1),$JV49="SELL",ABS(N($AD49))&gt;=$BG$94,NOT(AND(N($AD49)&gt;0,N($BG$78)=1,MEDIAN($AA49-$BG$82,$B$4,$AA49+$BG$83)=$B$4))),1,0),0)</f>
        <v>1</v>
      </c>
      <c r="IX49">
        <f>IFERROR(IF(AND(ISNUMBER($AA49),$AG49="S",OR('King Node Model'!$A$8="Neg",N($BG$72)=1),N($AD49)&gt;0,N($BG$78)=1,MEDIAN($AA49-$BG$82,$B$4,$AA49+$BG$83)=$B$4),1,0),0)</f>
        <v>0</v>
      </c>
      <c r="IY49" t="str">
        <f t="shared" si="106"/>
        <v>SELL</v>
      </c>
      <c r="IZ49">
        <f>IFERROR(IF(AND(ISNUMBER($AA49),$FA49&lt;&gt;"DOM",$AA49&lt;&gt;'King Node Model'!$F$24,OR(AND($AG49="S",COUNTIF('Master Dashboard'!$AN$16:$AN$18,$AA49)=0,N(INDEX($AE$9:$AE$55,MATCH($AA49+$BG$84,$AA$9:$AA$55,0)))&lt;=-$BG$85),AND($AG49="R",COUNTIF('Master Dashboard'!$AN$13:$AN$15,$AA49)=0,N(INDEX($AE$9:$AE$55,MATCH($AA49-$BG$84,$AA$9:$AA$55,0)))&gt;=$BG$85))),1,0),0)</f>
        <v>0</v>
      </c>
      <c r="JC49">
        <f t="shared" si="108"/>
        <v>0</v>
      </c>
      <c r="JD49" t="str">
        <f t="shared" si="193"/>
        <v>P</v>
      </c>
      <c r="JE49">
        <f>IF(ISNUMBER($AA49),N(IFERROR(INDEX('King Node Model'!$L$29:$L$75,MATCH($AA49,'King Node Model'!$A$29:$A$75,0)),0)),"")</f>
        <v>1559</v>
      </c>
      <c r="JF49">
        <f>IF(ISNUMBER($AA49),N(IFERROR(INDEX('King Node Model'!$K$29:$K$75,MATCH($AA49,'King Node Model'!$A$29:$A$75,0)),0)),"")</f>
        <v>45</v>
      </c>
      <c r="JG49">
        <f t="shared" si="109"/>
        <v>34.644444444444446</v>
      </c>
      <c r="JH49">
        <f t="shared" si="110"/>
        <v>2.8864656831302116E-2</v>
      </c>
      <c r="JI49">
        <f t="shared" si="111"/>
        <v>0</v>
      </c>
      <c r="JJ49" t="str">
        <f t="shared" si="112"/>
        <v>Hollow</v>
      </c>
      <c r="JK49">
        <f t="shared" si="113"/>
        <v>0</v>
      </c>
      <c r="JL49">
        <f t="shared" si="114"/>
        <v>0</v>
      </c>
      <c r="JM49">
        <f t="shared" si="115"/>
        <v>0</v>
      </c>
      <c r="JN49">
        <f t="shared" si="116"/>
        <v>0</v>
      </c>
      <c r="JO49">
        <f t="shared" si="117"/>
        <v>0</v>
      </c>
      <c r="JP49">
        <f t="shared" si="118"/>
        <v>0</v>
      </c>
      <c r="JQ49">
        <f t="shared" si="119"/>
        <v>0</v>
      </c>
      <c r="JR49">
        <v>0</v>
      </c>
      <c r="JS49">
        <f>IFERROR(IF(AND(ISNUMBER($AA49),'King Node Model'!$A$8="Pos",OR($AG49="S",$AG49="R"),N($AB49)&gt;0,N($HP49)&lt;&gt;1,OR(AND($KC49="DOWN",N($AF49)&lt;0,N($AF49)=MIN($AF$9:$AF$55),-N($AF49)&gt;=MAX($AF$9:$AF$55)),AND($KC49="UP",N($AF49)&gt;0,N($AF49)=MAX($AF$9:$AF$55),N($AF49)&gt;=-MIN($AF$9:$AF$55)))),1,0),0)</f>
        <v>0</v>
      </c>
      <c r="JT49">
        <v>0</v>
      </c>
      <c r="JU49">
        <f>IFERROR(IF(AND(N($BG$109)=1,ISNUMBER($AA49),'King Node Model'!$A$8="Pos",N($CZ49)=1,N($AB49)&gt;0),1,0),0)</f>
        <v>0</v>
      </c>
      <c r="JV49" t="str">
        <f t="shared" si="120"/>
        <v>SELL</v>
      </c>
      <c r="JW49">
        <f t="shared" si="121"/>
        <v>0</v>
      </c>
      <c r="JX49">
        <f t="shared" si="122"/>
        <v>0</v>
      </c>
      <c r="JY49">
        <f t="shared" si="123"/>
        <v>0</v>
      </c>
      <c r="JZ49">
        <f t="shared" si="124"/>
        <v>0</v>
      </c>
      <c r="KA49">
        <f t="shared" si="125"/>
        <v>0</v>
      </c>
      <c r="KB49">
        <f t="shared" si="126"/>
        <v>0</v>
      </c>
      <c r="KC49" t="str">
        <f t="shared" si="127"/>
        <v>UP</v>
      </c>
      <c r="KE49" t="str">
        <f t="shared" si="128"/>
        <v>Now: weakening the floor (IV rising) · if IV falls: strengthens the floor · expected on arrival: WEAKENS ✗</v>
      </c>
      <c r="KF49" t="str">
        <f t="shared" si="129"/>
        <v>SELL</v>
      </c>
      <c r="KG49">
        <f t="shared" si="192"/>
        <v>0</v>
      </c>
      <c r="KH49" t="str">
        <f t="shared" si="130"/>
        <v/>
      </c>
      <c r="KI49" t="str">
        <f t="shared" si="131"/>
        <v/>
      </c>
      <c r="KJ49">
        <f t="shared" si="132"/>
        <v>0</v>
      </c>
      <c r="KK49">
        <f t="shared" si="133"/>
        <v>0</v>
      </c>
      <c r="KL49">
        <f t="shared" si="134"/>
        <v>0</v>
      </c>
      <c r="KM49">
        <f t="shared" si="135"/>
        <v>0</v>
      </c>
      <c r="KN49">
        <f t="shared" si="136"/>
        <v>0</v>
      </c>
      <c r="KO49">
        <v>0</v>
      </c>
      <c r="KP49">
        <f t="shared" si="137"/>
        <v>0</v>
      </c>
      <c r="KQ49">
        <f t="shared" si="138"/>
        <v>0</v>
      </c>
      <c r="KR49">
        <f t="shared" si="139"/>
        <v>0</v>
      </c>
      <c r="KS49">
        <f t="shared" si="140"/>
        <v>0</v>
      </c>
      <c r="KT49">
        <f t="shared" si="141"/>
        <v>0</v>
      </c>
      <c r="KU49">
        <f>IF(AND(ISNUMBER($AA49),ISNUMBER($AE49),ISNUMBER($AE48),N($AE49)&lt;&gt;0),($AE49-$AE48)/$AE49,"")</f>
      </c>
      <c r="KV49">
        <f>IF(AND(ISNUMBER($AA49),ISNUMBER($AE49),ISNUMBER($AE50),N($AE49)&lt;&gt;0),($AE49-$AE50)/$AE49,"")</f>
      </c>
      <c r="KW49">
        <f>IFERROR(IF(OR(NOT(ISNUMBER($AA49)),'King Node Model'!$A$8&lt;&gt;"Pos",N($BG$72)=1,ABS(N($AE49))&lt;$BG$113,$FA49="DOM",$AA49='King Node Model'!$T$23,AND(N($BG$116)=1,$AA49='King Node Model'!$F$24),NOT(ISNUMBER($KU49)),NOT(ISNUMBER($KV49))),0,IF(AND($AG49="S",COUNTIF('Master Dashboard'!$AN$16:$AN$18,$AA49)=0,$KU49&gt;=$BG$114,$KU49&gt;=$KV49+$BG$115),1,IF(AND($AG49="R",COUNTIF('Master Dashboard'!$AN$13:$AN$15,$AA49)=0,$KV49&gt;=$BG$114,$KV49&gt;=$KU49+$BG$115),-1,0))),0)</f>
        <v>0</v>
      </c>
      <c r="KX49">
        <f t="shared" si="144"/>
        <v>0</v>
      </c>
      <c r="KY49">
        <f t="shared" si="145"/>
        <v>0</v>
      </c>
      <c r="KZ49">
        <f t="shared" si="146"/>
        <v>0</v>
      </c>
      <c r="LA49">
        <f t="shared" si="147"/>
        <v>0</v>
      </c>
      <c r="LB49">
        <f t="shared" si="148"/>
        <v>0</v>
      </c>
      <c r="LC49">
        <f t="shared" si="149"/>
        <v>0</v>
      </c>
      <c r="LD49">
        <f t="shared" si="150"/>
        <v>0</v>
      </c>
      <c r="LE49">
        <f t="shared" si="151"/>
        <v>0</v>
      </c>
      <c r="LF49">
        <f t="shared" si="152"/>
        <v>0</v>
      </c>
      <c r="LG49" t="str">
        <f t="shared" si="153"/>
        <v/>
      </c>
      <c r="LH49" t="str">
        <f t="shared" si="154"/>
        <v/>
      </c>
      <c r="LI49" t="str">
        <f t="shared" si="155"/>
        <v/>
      </c>
      <c r="LJ49" t="str">
        <f t="shared" si="156"/>
        <v/>
      </c>
      <c r="LK49" t="str">
        <f t="shared" si="157"/>
        <v/>
      </c>
      <c r="LL49">
        <f t="shared" si="158"/>
        <v>0</v>
      </c>
      <c r="LM49">
        <f t="shared" si="159"/>
        <v>0</v>
      </c>
      <c r="LN49">
        <f t="shared" si="160"/>
        <v>0</v>
      </c>
      <c r="LO49">
        <v>0</v>
      </c>
      <c r="LP49">
        <f t="shared" si="161"/>
        <v>0</v>
      </c>
      <c r="LQ49" t="str">
        <f t="shared" si="162"/>
        <v/>
      </c>
      <c r="LR49">
        <f t="shared" si="163"/>
        <v>0</v>
      </c>
      <c r="LS49">
        <f t="shared" si="164"/>
        <v>0</v>
      </c>
      <c r="LT49">
        <f t="shared" si="165"/>
        <v>0</v>
      </c>
      <c r="LU49">
        <f t="shared" si="166"/>
        <v>0</v>
      </c>
      <c r="LV49">
        <f t="shared" si="167"/>
        <v>0</v>
      </c>
      <c r="LW49">
        <f t="shared" si="168"/>
        <v>0</v>
      </c>
      <c r="LX49">
        <f t="shared" si="169"/>
        <v>0</v>
      </c>
      <c r="LY49">
        <f t="shared" si="170"/>
        <v>0</v>
      </c>
      <c r="LZ49">
        <f t="shared" si="171"/>
        <v>0</v>
      </c>
      <c r="MA49">
        <f t="shared" si="172"/>
        <v>0</v>
      </c>
      <c r="MB49">
        <v>0</v>
      </c>
      <c r="MC49">
        <f t="shared" si="173"/>
        <v>1</v>
      </c>
      <c r="MD49">
        <f t="shared" si="174"/>
        <v>1</v>
      </c>
      <c r="ME49">
        <f t="shared" si="175"/>
        <v>0</v>
      </c>
      <c r="MF49">
        <f t="shared" si="176"/>
        <v>0</v>
      </c>
      <c r="MG49">
        <f t="shared" si="177"/>
        <v>0</v>
      </c>
      <c r="MH49">
        <f t="shared" si="178"/>
        <v>0</v>
      </c>
      <c r="MI49" t="str">
        <f t="shared" si="179"/>
        <v/>
      </c>
      <c r="MJ49">
        <f t="shared" si="180"/>
        <v>0</v>
      </c>
      <c r="MK49">
        <f t="shared" si="181"/>
        <v>0</v>
      </c>
      <c r="ML49">
        <f>IF(AND(OR('King Node Model'!$A$8="Neg",N($BG$72)=1),ISNUMBER($AA49),$AG49="R",N($AB49)&lt;0),IF(AND($AA48=$AA49+5,N($AB48)&gt;0,$AA47=$AA49+10,N($AB47)&lt;0),1,IF(AND($AA48=$AA49+5,N($AB48)&gt;0,$AA47=$AA49+10,N($AB47)&gt;0,$AA46=$AA49+15,N($AB46)&lt;0),2,IF(AND($AA48=$AA49+5,N($AB48)&gt;0,$AA47=$AA49+10,N($AB47)&gt;0,$AA46=$AA49+15,N($AB46)&gt;0,$AA45=$AA49+20,N($AB45)&lt;0),3,IF(AND($AA48=$AA49+5,N($AB48)&gt;0,$AA47=$AA49+10,N($AB47)&gt;0,$AA46=$AA49+15,N($AB46)&gt;0,$AA45=$AA49+20,N($AB45)&gt;0,$AA44=$AA49+25,N($AB44)&lt;0),4,0)))),0)</f>
      </c>
      <c r="MM49">
        <f>IF(AND(OR('King Node Model'!$A$8="Neg",N($BG$72)=1),ISNUMBER($AA49),$AG49="S",N($AB49)&lt;0),IF(AND($AA50=$AA49-5,N($AB50)&gt;0,$AA51=$AA49-10,N($AB51)&lt;0),1,IF(AND($AA50=$AA49-5,N($AB50)&gt;0,$AA51=$AA49-10,N($AB51)&gt;0,$AA52=$AA49-15,N($AB52)&lt;0),2,IF(AND($AA50=$AA49-5,N($AB50)&gt;0,$AA51=$AA49-10,N($AB51)&gt;0,$AA52=$AA49-15,N($AB52)&gt;0,$AA53=$AA49-20,N($AB53)&lt;0),3,IF(AND($AA50=$AA49-5,N($AB50)&gt;0,$AA51=$AA49-10,N($AB51)&gt;0,$AA52=$AA49-15,N($AB52)&gt;0,$AA53=$AA49-20,N($AB53)&gt;0,$AA54=$AA49-25,N($AB54)&lt;0),4,0)))),0)</f>
      </c>
      <c r="MN49">
        <f>IF(N($ML49)&gt;0,$AA49,0)</f>
      </c>
      <c r="MO49">
        <f>IF(N($MM49)&gt;0,$AA49,0)</f>
      </c>
      <c r="MP49">
        <f>IF(AND(OR('King Node Model'!$A$8="Neg",N($BG$72)=1),ISNUMBER($BG$155),$AA49=$BG$155,N($NC49)=1),2,IF(AND(OR('King Node Model'!$A$8="Neg",N($BG$72)=1),ISNUMBER($BG$156),$AA49=$BG$156,N($ND49)=1),1,0))</f>
      </c>
      <c r="MQ49">
        <f>IF(ABS(AE49)&lt;=0,0,IF($AG49="R",IF(ISNUMBER(AE48),IF((ABS(AE48)-ABS(AE49))/ABS(AE49)&lt;-0.4,1,0),0),IF(ISNUMBER(AE50),IF((ABS(AE50)-ABS(AE49))/ABS(AE49)&lt;-0.4,1,0),0)))</f>
      </c>
      <c r="MR49">
        <f>IF(OR(N($MQ49)&lt;&gt;1,N($BG$157)&lt;&gt;1,NOT(ISNUMBER($KU49)),NOT(ISNUMBER($KV49))),0,IF(OR(AND($AG49="S",OR(AND($KU49&gt;=$BG$114,$KU49&gt;=$KV49+$BG$115),AND($KU49&gt;1,$KV49&lt;=1,$KV49&gt;=$BG$114))),AND($AG49="R",OR(AND($KV49&gt;=$BG$114,$KV49&gt;=$KU49+$BG$115),AND($KV49&gt;1,$KU49&lt;=1,$KU49&gt;=$BG$114)))),1,0))</f>
      </c>
      <c r="MS49" t="str">
        <f>IF(AND(N($MR49)=1,N($NA49)&lt;&gt;1),"• DEX falls off more sharply "&amp;IF($AG49="S","above (","below (")&amp;TEXT(IF($AG49="S",$KU49,$KV49),"0%")&amp;") than "&amp;IF($AG49="S","below (","above (")&amp;TEXT(IF($AG49="S",$KV49,$KU49),"0%")&amp;") — Dex↓ not counted",IF(N($MW49)=1,"• Shoulder of the "&amp;IF($AG49="R",$AA50,$AA48)&amp;" wall — own DEX "&amp;TEXT($AE49/1000,"+#,##0;-#,##0")&amp;"K is "&amp;TEXT(ABS($AE49)/ABS(IF($AG49="R",$AE50,$AE48)),"0%")&amp;" of "&amp;TEXT(IF($AG49="R",$AE50,$AE48)/1000,"+#,##0;-#,##0")&amp;"K, Dex↓ not counted",""))</f>
      </c>
      <c r="MT49">
        <f>IF(AND(ISNUMBER($AA49),$AG49="S",ISNUMBER($AB49),$AB49=MIN($AB$9:$AB$55),$AA49=$BG$105,$JV49="BUY",ABS(N($AD49))&gt;=$BG$158),1,0)</f>
      </c>
      <c r="MU49" t="str">
        <f>IF(N($MY49)=1,"",IF(OR(N($MT49)=1,AND(OR('King Node Model'!$A$8="Neg",N($BG$72)=1),$AG49="S",ISNUMBER($AB49),$AB49=MIN($AB$9:$AB$55),$AA49=$BG$105)),"• Min GEX + Max Zomma (no reversal flag required) — accelerant warning not applied; zomma acceleration warning only within "&amp;$BG$98&amp;" pts of the level, and not when vanna buying is "&amp;TEXT($BG$158/1000,"0")&amp;"K or more"&amp;CHAR(10)&amp;IF(N($MT49)=1,"• Max Zomma and vanna buying ("&amp;TEXT(N($AD49)/1000,"+#,##0;-#,##0")&amp;"K) make this level safe","• Max Zomma is what makes this level safe"),"")&amp;$NB49&amp;$NI49)</f>
      </c>
      <c r="MV49" t="str">
        <f>IF(AND(ISNUMBER($AA49),OR($AA49=$BG$118,$AA49=$BG$119)),IF(N($AZ49)*IF($AG49="R",1,-1)&gt;0,"✓",IF(N($AZ49)*IF($AG49="R",1,-1)&lt;0,"✗","")),"")</f>
      </c>
      <c r="MW49">
        <f>IF(AND(N($MQ49)=1,N($BG$159)&gt;0,ISNUMBER(IF($AG49="R",$AE50,$AE48)),N(IF($AG49="R",$AE50,$AE48))&lt;&gt;0),IF(ABS(N($AE49))&lt;$BG$159*ABS(IF($AG49="R",$AE50,$AE48)),1,0),0)</f>
      </c>
      <c r="MX49">
        <f>IF(AND(ISNUMBER($AA49),$AA49=$BG$121,$AG49="R",N($AE49)&lt;0,OR(COUNTIF('King Node Model'!$AL$42:$AL$44,$AA49)=0,N($HP49)=1),N($NC49)=1),2,IF(AND(ISNUMBER($AA49),$AA49=$BG$120,$AG49="S",N($AE49)&gt;0,OR(COUNTIF('King Node Model'!$AL$49:$AL$51,$AA49)=0,N($HP49)=1),N($ND49)=1),1,0))</f>
      </c>
      <c r="MY49">
        <f>IF(AND(N($NA49)=1,NOT(AND(AND($AG49="S",ISNUMBER($AB49),$AB49=MIN($AB$9:$AB$55),$AA49=$BG$105),IFERROR(INDEX($AG$9:$AG$55,MATCH('King Node Model'!$B$23,$AA$9:$AA$55,0)),"")="R")),N($AV49)&lt;&gt;1),1,0)</f>
      </c>
      <c r="MZ49" t="str">
        <f>IF(N($MY49)&lt;&gt;1,"","• DEX falls off more sharply "&amp;IF($AG49="S","above (","below (")&amp;TEXT(IF($AG49="S",$KU49,$KV49),"0%")&amp;") than "&amp;IF($AG49="S","below (","above (")&amp;TEXT(IF($AG49="S",$KV49,$KU49),"0%")&amp;") — path of least resistance "&amp;IF($AG49="S","down","up")&amp;IF(N($AZ49)*IF($AG49="R",1,-1)&lt;0,CHAR(10)&amp;"• Speed against — GEX gets more negative as price "&amp;IF($AG49="R","rises","falls")&amp;" into it (speed "&amp;TEXT(N($AZ49),"#,##0;−#,##0")&amp;")","")&amp;IF(OR(N($NG49)=1,N($JC49)=1),CHAR(10)&amp;"• "&amp;IF(N($JC49)=1,"DOM with vanna BUY "&amp;TEXT(N($AD49)/1000,"+#,##0;−#,##0")&amp;"K","Put wall + Max Zomma + DOM")&amp;" backs the level, but it does not outweigh DEX"&amp;IF(N($AZ49)*IF($AG49="R",1,-1)&lt;0," and speed",""),IF(AND($AG49="S",ISNUMBER($AB49),$AB49=MIN($AB$9:$AB$55),$AA49=$BG$105),CHAR(10)&amp;"• Min GEX + Max Zomma backs the level, but it does not outweigh DEX"&amp;IF(N($AZ49)*IF($AG49="R",1,-1)&lt;0," and speed",""),IF(OR(N($JI49)=1,AND(N($GV49)=1,N($JK49)&lt;&gt;1,N($IW49)&lt;&gt;1),N($JC49)=1,AND($AA49='King Node Model'!$F$24,N($JN49)&lt;&gt;1,OR($AG49="R",AND($AG49="S",$F$4="High",IF($BG$80&lt;&gt;"",UPPER($BG$80),$D$5)="UP")))),CHAR(10)&amp;"• Vanna "&amp;IF($AG49="S","BUY ","SELL ")&amp;TEXT(N($AD49)/1000,"+#,##0;−#,##0")&amp;"K backs the level, but it does not outweigh DEX"&amp;IF(N($AZ49)*IF($AG49="R",1,-1)&lt;0," and speed",""),"")))&amp;IF(N($NE49)=1,CHAR(10)&amp;"• Buy-lean max-node exemption not applied — DEX leans against the level",""))</f>
      </c>
      <c r="NA49">
        <f>IF(AND(OR('King Node Model'!$A$8="Neg",N($BG$72)=1),ISNUMBER($AA49),ABS(N($AE49))&gt;=$BG$152,ISNUMBER($KU49),ISNUMBER($KV49)),IF(OR(AND($AG49="S",OR(AND($KU49&gt;=$BG$114,$KU49&gt;=$KV49+$BG$115),AND($KU49&gt;1,$KV49&lt;=1,$KV49&gt;=$BG$114))),AND($AG49="R",OR(AND($KV49&gt;=$BG$114,$KV49&gt;=$KU49+$BG$115),AND($KV49&gt;1,$KU49&lt;=1,$KU49&gt;=$BG$114)))),1,0),0)</f>
      </c>
      <c r="NB49" t="str">
        <f>IF(AND(N($NA49)=1,AND(AND($AG49="S",ISNUMBER($AB49),$AB49=MIN($AB$9:$AB$55),$AA49=$BG$105),IFERROR(INDEX($AG$9:$AG$55,MATCH('King Node Model'!$B$23,$AA$9:$AA$55,0)),"")="R")),CHAR(10)&amp;"• DEX falls off more sharply above ("&amp;TEXT($KU49,"0%")&amp;") than below ("&amp;TEXT($KV49,"0%")&amp;") — DEX-lean warning not applied: Min GEX + Max Zomma support with Max Gamma "&amp;'King Node Model'!$B$23&amp;" above (Dex↓ not counted)",IF(AND(OR(N($NA49)=1,N($NF49)=1),N($AV49)=1),IF(AND(OR('King Node Model'!$A$8="Neg",N($BG$72)=1),$AG49="S",ISNUMBER($AB49),$AB49=MIN($AB$9:$AB$55),$AA49=$BG$105),CHAR(10),"")&amp;"• DEX falls off more sharply "&amp;IF($AG49="S","above (","below (")&amp;TEXT(IF($AG49="S",$KU49,$KV49),"0%")&amp;") than "&amp;IF($AG49="S","below (","above (")&amp;TEXT(IF($AG49="S",$KV49,$KU49),"0%")&amp;") — DEX lean does not apply to iDex (isolated DEX)",""))</f>
      </c>
      <c r="NC49">
        <f>IF(OR($BG$163=1,AND($BG$161&gt;0,$BG$162&lt;99999,ISNUMBER($AA49),$AA49&lt;$BG$162)),1,0)</f>
      </c>
      <c r="ND49">
        <f>IF(OR($BG$163=-1,AND($BG$161&gt;0,$BG$162&lt;99999,ISNUMBER($AA49),$AA49&gt;$BG$161)),1,0)</f>
      </c>
      <c r="NE49">
        <f>IF(AND(OR('King Node Model'!$A$8="Neg",N($BG$72)=1),ISNUMBER(SEARCH("LOW",'Master Dashboard'!$M$5)),ISNUMBER(SEARCH("BUY",'Master Dashboard'!$G$8)),'King Node Model'!$T$23='King Node Model'!$B$23,OR($AA49='King Node Model'!$T$23,AND($AG49="R",$AA49='King Node Model'!$T$23+5)),OR(AND($AG49="S",$JV49="BUY"),AND($AG49="R",$JV49="SELL"))),1,0)</f>
      </c>
      <c r="NF49">
        <f>IFERROR(IF(OR(NOT(ISNUMBER($AA49)),'King Node Model'!$A$8&lt;&gt;"Pos",N($BG$72)=1,ABS(N($AE49))&lt;$BG$113,$FA49="DOM",$AA49='King Node Model'!$T$23,AND(N($BG$116)=1,$AA49='King Node Model'!$F$24),NOT(ISNUMBER($KU49)),NOT(ISNUMBER($KV49))),0,IF(AND($AG49="S",COUNTIF('Master Dashboard'!$AN$16:$AN$18,$AA49)=0,$KU49&gt;=$BG$114,$KU49&gt;=$KV49+$BG$115,NOT(AND(N($AN50)=1,N($KV49)&lt;0)),N($AE49)&lt;=0),1,IF(AND($AG49="R",COUNTIF('Master Dashboard'!$AN$13:$AN$15,$AA49)=0,$KV49&gt;=$BG$114,$KV49&gt;=$KU49+$BG$115,NOT(AND(N($AN48)=1,N($KU49)&lt;0))),-1,0))),0)</f>
      </c>
      <c r="NG49">
        <f t="shared" si="202"/>
      </c>
      <c r="NI49" t="str">
        <f>IF(AND(ISNUMBER($BG$165),ISNUMBER($AA49)),IF(OR(AND($AG49="S",$AA49&gt;$BG$165,$AA49-$BG$165&lt;=5),AND($AG49="R",$AA49&lt;$BG$165,$BG$165-$AA49&lt;=5)),IF(OR(AND(OR('King Node Model'!$A$8="Neg",N($BG$72)=1),$AG49="S",ISNUMBER($AB49),$AB49=MIN($AB$9:$AB$55),$AA49=$BG$105),$NB49&lt;&gt;""),CHAR(10),"")&amp;"• DOM forming at "&amp;$BG$165&amp;" (gamma "&amp;TEXT($BG$166,"0%")&amp;" of max) — price may be pulled to the node",""),"")</f>
      </c>
      <c r="NJ49">
        <f>IF(LEN($NI49)&gt;0,1,0)</f>
      </c>
    </row>
    <row r="50" spans="27:349" ht="15" customHeight="1" x14ac:dyDescent="0.25">
      <c r="AA50" s="181">
        <f>'King Node Model'!A70</f>
        <v>7680</v>
      </c>
      <c r="AB50" s="276">
        <f>'King Node Model'!C70</f>
        <v>-113930</v>
      </c>
      <c r="AC50" s="181">
        <f>ABS('King Node Model'!B70)</f>
        <v>128040</v>
      </c>
      <c r="AD50" s="276">
        <f>'King Node Model'!F70</f>
        <v>519752</v>
      </c>
      <c r="AE50" s="276">
        <f>'King Node Model'!E70</f>
        <v>119737</v>
      </c>
      <c r="AF50" s="276">
        <f>'King Node Model'!D70</f>
        <v>-1847842</v>
      </c>
      <c r="AG50" s="181" t="str">
        <f t="shared" si="6"/>
        <v>S</v>
      </c>
      <c r="AH50" s="181">
        <f t="shared" si="7"/>
        <v>17</v>
      </c>
      <c r="AI50" s="181" t="str">
        <f t="shared" si="8"/>
        <v>SELL</v>
      </c>
      <c r="AJ50" s="181">
        <f t="shared" si="9"/>
        <v>0</v>
      </c>
      <c r="AK50" s="181">
        <f>IF(ABS(N($AE50))&gt;=$BG$85,1,0)</f>
      </c>
      <c r="AL50" s="181">
        <f t="shared" si="10"/>
        <v>0</v>
      </c>
      <c r="AM50" s="181">
        <f t="shared" si="11"/>
        <v>0</v>
      </c>
      <c r="AN50" s="181">
        <f t="shared" si="12"/>
        <v>0</v>
      </c>
      <c r="AO50" s="1" t="str">
        <f t="shared" si="13"/>
        <v/>
      </c>
      <c r="AP50" s="1">
        <f t="shared" si="14"/>
        <v>119737</v>
      </c>
      <c r="AQ50" s="1">
        <f t="shared" si="15"/>
        <v>1847842</v>
      </c>
      <c r="AR50" s="181">
        <f t="shared" si="16"/>
        <v>2.2908066711424827E-2</v>
      </c>
      <c r="AS50" s="181">
        <f t="shared" si="17"/>
        <v>18</v>
      </c>
      <c r="AT50" s="181" t="str">
        <f t="shared" si="18"/>
        <v/>
      </c>
      <c r="AU50" s="181" t="str">
        <f t="shared" si="19"/>
        <v/>
      </c>
      <c r="AV50" s="218">
        <f t="shared" si="183"/>
        <v>0</v>
      </c>
      <c r="AW50" s="181">
        <f>ABS('King Node Model'!G70)</f>
        <v>267</v>
      </c>
      <c r="AX50" s="181">
        <f t="shared" si="20"/>
        <v>0</v>
      </c>
      <c r="AY50" s="181">
        <f t="shared" si="21"/>
        <v>0</v>
      </c>
      <c r="AZ50" s="276">
        <f>'King Node Model'!I70</f>
        <v>1599</v>
      </c>
      <c r="BA50" s="181">
        <f t="shared" si="22"/>
        <v>0</v>
      </c>
      <c r="BB50" s="181" t="str">
        <f t="shared" si="23"/>
        <v>S18</v>
      </c>
      <c r="BC50" s="10">
        <f>'King Node Model'!C70</f>
        <v>-113930</v>
      </c>
      <c r="BD50" s="218">
        <f t="shared" si="184"/>
        <v>0</v>
      </c>
      <c r="BE50" s="218">
        <f t="shared" si="185"/>
        <v>0</v>
      </c>
      <c r="BF50" t="s">
        <v>2043</v>
      </c>
      <c r="BG50">
        <v>1</v>
      </c>
      <c r="BI50" s="218">
        <f t="shared" si="186"/>
        <v>0</v>
      </c>
      <c r="BJ50" s="218">
        <f t="shared" si="187"/>
        <v>0</v>
      </c>
      <c r="BK50" s="218">
        <f t="shared" si="24"/>
        <v>0</v>
      </c>
      <c r="BL50" s="10">
        <f>'King Node Model'!H70</f>
        <v>13</v>
      </c>
      <c r="BM50" s="218">
        <f t="shared" si="25"/>
        <v>31</v>
      </c>
      <c r="BN50" s="218">
        <f t="shared" si="26"/>
        <v>22</v>
      </c>
      <c r="BO50" s="218">
        <f t="shared" si="27"/>
        <v>0</v>
      </c>
      <c r="BP50" s="218">
        <f t="shared" si="28"/>
        <v>0</v>
      </c>
      <c r="BQ50" t="str">
        <f t="shared" si="29"/>
        <v/>
      </c>
      <c r="BR50" t="str">
        <f t="shared" si="30"/>
        <v/>
      </c>
      <c r="BS50" s="218">
        <f t="shared" si="31"/>
        <v>0</v>
      </c>
      <c r="BT50" t="str">
        <f t="shared" si="32"/>
        <v/>
      </c>
      <c r="BU50" t="str">
        <f t="shared" si="33"/>
        <v/>
      </c>
      <c r="BV50" s="218">
        <f t="shared" si="34"/>
        <v>519752</v>
      </c>
      <c r="BW50" s="218">
        <f t="shared" si="35"/>
        <v>119737</v>
      </c>
      <c r="BX50" s="218">
        <f>IF(AND(ISNUMBER(BC50),BC50&gt;=$BG$160,OR('King Node Model'!$A$8="Neg",N($BG$72)=1)),1,0)</f>
        <v>0</v>
      </c>
      <c r="BY50" s="218">
        <f t="shared" si="36"/>
        <v>0</v>
      </c>
      <c r="BZ50" s="218">
        <f t="shared" si="37"/>
        <v>0</v>
      </c>
      <c r="CA50" t="str">
        <f t="shared" si="38"/>
        <v/>
      </c>
      <c r="CB50" s="218">
        <f>IF(AND(ISNUMBER('King Node Model'!$D$27),AG50&lt;&gt;"",AA50='King Node Model'!$D$27),1,0)</f>
        <v>0</v>
      </c>
      <c r="CC50" s="218">
        <f>IF(OR('King Node Model'!$A$8="Neg",N($BG$72)=1),$BG$14*IF(ISNUMBER('King Node Model'!$D$26),MAX(0,1-ABS(AA50-'King Node Model'!$D$26)/$BG$18),0)+$BG$15*IFERROR(BV50/MAX($BV$9:$BV$55),0)+$BG$16*IFERROR(BW50/MAX($BW$9:$BW$55),0)+$BG$17*IFERROR(AC50/$S$11,0)*MAX(0,1+$BG$21*CF50),AR50)</f>
        <v>0.19095847405512398</v>
      </c>
      <c r="CD50" s="218">
        <f>IF(OR('King Node Model'!$A$8="Neg",N($BG$72)=1),IF(AND(AG50&lt;&gt;"",ABS(AA50-$B$4)&lt;=$BG$7,OR(AX50=0,$D$5&lt;&gt;"UP"),AY50=0,BK50&lt;&gt;1,CI50=0,AM50&gt;=$BG$20,AC50&gt;$BG$19),1,0),IF(AND(BS50=1,(COUNTIF($W$9:$W$14,AA50)+COUNTIF($W$18:$W$23,AA50))&gt;0,CI50=0,AM50&gt;=$BG$20,AC50&gt;$BG$19),1,0))</f>
        <v>0</v>
      </c>
      <c r="CE50" t="str">
        <f t="shared" si="39"/>
        <v/>
      </c>
      <c r="CF50" s="218">
        <f t="shared" si="40"/>
        <v>0</v>
      </c>
      <c r="CG50" t="str">
        <f t="shared" si="41"/>
        <v/>
      </c>
      <c r="CH50" t="str">
        <f t="shared" si="42"/>
        <v>Dormant</v>
      </c>
      <c r="CI50" s="218">
        <f t="shared" si="43"/>
        <v>0</v>
      </c>
      <c r="CJ50" s="218">
        <f t="shared" si="44"/>
        <v>387420489</v>
      </c>
      <c r="CK50" s="218">
        <f t="shared" si="45"/>
        <v>0</v>
      </c>
      <c r="CL50" s="218">
        <f t="shared" si="46"/>
        <v>0</v>
      </c>
      <c r="CR50" t="s">
        <v>1509</v>
      </c>
      <c r="CS50">
        <f>IF($CS$42="R",$CS$40-5,$CS$40+5)</f>
        <v>7775</v>
      </c>
      <c r="CU50" s="218">
        <f>IF(AND(AND('King Node Model'!$A$8&lt;&gt;"Neg",N($BG$72)&lt;&gt;1),SUMPRODUCT(($AG$9:$AG$55="S")*ISNUMBER($AT$9:$AT$55)*ISNUMBER($AU$9:$AU$55)*($AT$9:$AT$55&lt;&gt;$AU$9:$AU$55)*($AT$9:$AT$55&lt;=$AA50)*($AU$9:$AU$55&gt;=$AA50))&gt;0),0,IF(AND(OR($AA50='King Node Model'!$T$22,$AA50='King Node Model'!$F$24),$AG50="R",COUNTIF($W$9:$W$14,$AA50)&gt;0),1,IF(AND($FN50=1,$EU50&lt;&gt;1,$EM50&lt;&gt;1,$BK50&lt;&gt;1,$DH50&lt;&gt;1,$AG50="R",COUNTIF($W$9:$W$14,$AA50)&gt;0),1,IF($EU50=1,0,IF($EM50=1,0,IF(AND(OR($EE50=1,$GV50=1,AND($EL$7=1,$AA50='King Node Model'!$D$26,$EI50=1),AND(OR($AA50='King Node Model'!$T$22,$AA50='King Node Model'!$T$23),$AN50=1,OR($AX50=0,$D$5&lt;&gt;"UP"))),OR(NOT(OR('King Node Model'!$A$8="Neg",N($BG$72)=1)),$GV50=1,AND(OR($AA50='King Node Model'!$T$22,$AA50='King Node Model'!$T$23),$AN50=1,OR($AX50=0,$D$5&lt;&gt;"UP")),AND($AM50&gt;=$BG$20,$AC50&gt;IF($CZ50=1,$BG$48,$BG$19)))),1,IF($DH50=1,0,IF(AND($DC50=1,$GS50&lt;&gt;1,AND('King Node Model'!$A$8&lt;&gt;"Neg",N($BG$72)&lt;&gt;1)),0,IF(AND($EY50=1,NOT(OR('King Node Model'!$A$8="Neg",$BG$72=1)),$AA50&lt;&gt;'King Node Model'!$B$23),0,IF(AND($GS50=1,$AG50="R",OR($CI50=0,$EE50=1,$EX50=1,$GV50=1),COUNTIF($W$9:$W$14,$AA50)&gt;0,ABS($AA50-$B$4)&lt;=$BG$7,$BK50&lt;&gt;1,$AM50&gt;=$BG$20,$AC50&gt;IF($CZ50=1,$BG$48,$BG$19)),1,IF(OR('King Node Model'!$A$8="Neg",N($BG$72)=1),IF(AND(OR($AM50&gt;=$BG$20,$AA50='King Node Model'!$D$26,$GV50=1),$AG50="R",COUNTIF($W$9:$W$14,$AA50)&gt;0,ABS($AA50-$B$4)&lt;=$BG$7,OR($AX50=0,$D$5&lt;&gt;"UP"),$BK50&lt;&gt;1,OR(OR($CI50=0,$AJ50=1),AND($EI50=1,$LA50=1,COUNTIF($W$9:$W$11,$AA50)&gt;0,$AN50=1,OR($AX50=0,$D$5&lt;&gt;"UP"))),$AM50&gt;=$BG$20,$AC50&gt;IF($CZ50=1,$BG$48,$BG$19),OR($AN50=1,N($LR50)=1,$AA50='King Node Model'!$D$26,AND($BY50=1,$AA50&gt;$B$4),$BX50=1,$CF50=1,$CF50=1,AND(OR($AA50=$CP$4,$AA50=$CP$5,$AA50=$CP$6,$AA50=$CP$7),ABS($AA50-$B$4)&lt;=30),AND($AX50=1,$D$5="DOWN"))),1,0),IF(AND(OR($AM50&gt;=3,$AA50='King Node Model'!$D$26,$GV50=1),$AG50="R",COUNTIF($W$9:$W$14,$AA50)&gt;0,ABS($AA50-$B$4)&lt;=$BG$7,OR($AX50=0,$D$5&lt;&gt;"UP"),$BK50&lt;&gt;1,OR($CI50=0,$AJ50=1),$AM50&gt;=$BG$20,$AC50&gt;IF($CZ50=1,$BG$48,$BG$19),OR($AC50&gt;=MAX($AC$9:$AC$55),$BC50&gt;0,$AA50='King Node Model'!$D$26,AND(OR($AA50=$CP$4,$AA50=$CP$5,$AA50=$CP$6,$AA50=$CP$7),ABS($AA50-$B$4)&lt;=30),$CF50=1,$AN50=1,AND($AX50=1,$D$5="DOWN"))),1,0))))))))))))</f>
        <v>0</v>
      </c>
      <c r="CV50" s="218">
        <f>IF(AND(OR('King Node Model'!$A$8="Neg",N($BG$72)=1),$AG50="S",N($LR50)=1,N($MB50)=1),1,IF(AND(AND('King Node Model'!$A$8&lt;&gt;"Neg",N($BG$72)&lt;&gt;1),SUMPRODUCT(($AG$9:$AG$55="R")*ISNUMBER($AT$9:$AT$55)*ISNUMBER($AU$9:$AU$55)*($AT$9:$AT$55&lt;&gt;$AU$9:$AU$55)*($AT$9:$AT$55&lt;=$AA50)*($AU$9:$AU$55&gt;=$AA50))&gt;0,NOT(AND(N($LC50)=1,$AA50='King Node Model'!$B$23))),0,IF(AND($AA50='King Node Model'!$F$24,$AG50="S",COUNTIF($W$18:$W$23,$AA50)&gt;0),1,IF(AND($FN50=1,$EU50&lt;&gt;1,$EM50&lt;&gt;1,$DH50&lt;&gt;1,$AG50="S",COUNTIF($W$18:$W$23,$AA50)&gt;0),1,IF($EU50=1,0,IF(AND(OR($EF50=1,$GV50=1,AND(OR($AA50='King Node Model'!$T$22,$AA50='King Node Model'!$T$23,AND($AG50="S",COUNTIF('Master Dashboard'!$AN$16:$AN$18,$AA50)&gt;0)),$AN50=1,OR($AX50=0,$D$5&lt;&gt;"UP"))),OR(NOT(OR('King Node Model'!$A$8="Neg",N($BG$72)=1)),$GV50=1,AND(OR($AA50='King Node Model'!$T$22,$AA50='King Node Model'!$T$23,AND($AG50="S",COUNTIF('Master Dashboard'!$AN$16:$AN$18,$AA50)&gt;0)),$AN50=1,OR($AX50=0,$D$5&lt;&gt;"UP")),AND($AM50&gt;=$BG$20,$AC50&gt;IF($CZ50=1,$BG$48,$BG$19)))),1,IF($DH50=1,0,IF(AND($DC50=1,$GS50&lt;&gt;1,AND('King Node Model'!$A$8&lt;&gt;"Neg",N($BG$72)&lt;&gt;1)),0,IF(AND($EY50=1,NOT(OR('King Node Model'!$A$8="Neg",$BG$72=1)),$AA50&lt;&gt;'King Node Model'!$B$23,COUNTIF('Master Dashboard'!$AN$16:$AN$18,$AA50)=0),0,IF(AND($GS50=1,$AG50="S",OR($CI50=0,$EF50=1,$EX50=1,$GV50=1),COUNTIF($W$18:$W$23,$AA50)&gt;0,ABS($AA50-$B$4)&lt;=$BG$7,$BK50&lt;&gt;1,$AM50&gt;=$BG$20,$AC50&gt;IF($CZ50=1,$BG$48,$BG$19)),1,IF(OR('King Node Model'!$A$8="Neg",N($BG$72)=1),IF(AND(OR(OR($AM50&gt;=$BG$20,N($LR50)=1),$AA50='King Node Model'!$D$26,$GV50=1),$AG50="S",COUNTIF($W$18:$W$23,$AA50)&gt;0,ABS($AA50-$B$4)&lt;=$BG$7,OR($AX50=0,$D$5&lt;&gt;"UP"),$BK50&lt;&gt;1,OR($CI50=0,$AJ50=1,AND(N($LR50)=1,N($MB50)=1),N($MT50)=1),OR($AM50&gt;=$BG$20,N($LR50)=1),$AC50&gt;IF($CZ50=1,$BG$48,$BG$19),OR($AB50&gt;0,$AN50=1,N($MT50)=1,N($LR50)=1,$AA50='King Node Model'!$D$26,AND($BY50=1,$AA50&lt;$B$4),$BX50=1,$CF50=1,$CF50=1,AND(OR($AA50=$CP$4,$AA50=$CP$5,$AA50=$CP$6,$AA50=$CP$7),ABS($AA50-$B$4)&lt;=30),AND($AX50=1,$D$5="DOWN"))),1,0),IF(AND(OR($AM50&gt;=3,$AA50='King Node Model'!$D$26,$GV50=1),$AG50="S",COUNTIF($W$18:$W$23,$AA50)&gt;0,ABS($AA50-$B$4)&lt;=$BG$7,OR($AX50=0,$D$5&lt;&gt;"UP"),$BK50&lt;&gt;1,OR($CI50=0,$AJ50=1,AND(N($LR50)=1,N($MB50)=1),N($MT50)=1),$AM50&gt;=$BG$20,$AC50&gt;IF($CZ50=1,$BG$48,$BG$19),OR($AC50&gt;=MAX($AC$9:$AC$55),$BC50&gt;0,N($MT50)=1,$AA50='King Node Model'!$D$26,AND(OR($AA50=$CP$4,$AA50=$CP$5,$AA50=$CP$6,$AA50=$CP$7),ABS($AA50-$B$4)&lt;=30),$CF50=1,$AN50=1,AND($AX50=1,$D$5="DOWN"))),1,0))))))))))))</f>
        <v>0</v>
      </c>
      <c r="CX50" s="218">
        <f t="shared" si="48"/>
        <v>0</v>
      </c>
      <c r="CY50" t="str">
        <f t="shared" si="49"/>
        <v/>
      </c>
      <c r="CZ50" s="218">
        <f t="shared" si="50"/>
        <v>0</v>
      </c>
      <c r="DA50" t="str">
        <f t="shared" si="51"/>
        <v/>
      </c>
      <c r="DB50" t="str">
        <f t="shared" si="52"/>
        <v/>
      </c>
      <c r="DC50" s="218">
        <f t="shared" si="53"/>
        <v>0</v>
      </c>
      <c r="DD50" s="218">
        <f t="shared" si="54"/>
        <v>0</v>
      </c>
      <c r="DE50" s="218">
        <f t="shared" si="55"/>
        <v>0</v>
      </c>
      <c r="DF50" t="str">
        <f t="shared" si="56"/>
        <v/>
      </c>
      <c r="DG50" t="str">
        <f t="shared" si="57"/>
        <v/>
      </c>
      <c r="DH50" s="218">
        <f t="shared" si="58"/>
        <v>0</v>
      </c>
      <c r="DI50">
        <v>1</v>
      </c>
      <c r="DJ50">
        <v>1</v>
      </c>
      <c r="DK50">
        <v>697195</v>
      </c>
      <c r="DL50">
        <v>0</v>
      </c>
      <c r="DM50" t="str">
        <f>IF(AND($CV50=1,$AG50="S"),IF(AND(OR('King Node Model'!$A$8="Neg",N($BG$72)=1),'King Node Model'!$S$52=""),IF(OR(N($AN50)=1,N($LR50)=1,$AB50&gt;0,$AJ50=1,N($JO50)=1,AND(NOT($AE50&gt;0),NOT(IFERROR(AND(ISNUMBER($BC50),ISNUMBER($BC49),($BC50&gt;=0)&lt;&gt;($BC49&gt;=0)),FALSE())),OR(AND($BM50&lt;=6,$BN50&lt;=6),ABS($AA50-'King Node Model'!$T$23)&lt;=5,$LA50=1))),1,0),1),"")</f>
        <v/>
      </c>
      <c r="DN50" t="str">
        <f t="shared" si="59"/>
        <v/>
      </c>
      <c r="DO50" t="str">
        <f t="shared" si="60"/>
        <v>W-list</v>
      </c>
      <c r="DP50" t="str">
        <f>IF(AND(OR('King Node Model'!$A$8="Neg",N($BG$72)=1),$AG50="S",ISNUMBER($AT50),ISNUMBER($AU50),$AT50&lt;&gt;$AU50,$AA50=$AT50),IF(AND(SUMPRODUCT(($AA$9:$AA$55&gt;=$AT50)*($AA$9:$AA$55&lt;=$AU50)*($AB$9:$AB$55&gt;0))&gt;0,SUMPRODUCT(($AA$9:$AA$55&gt;=$AT50)*($AA$9:$AA$55&lt;=$AU50)*($DM$9:$DM$55=1))&gt;0,SUMPRODUCT(($AA$9:$AA$55&gt;=$AT50)*($AA$9:$AA$55&lt;=$AU50)*(COUNTIF($W$18:$W$20,$AA$9:$AA$55)&gt;0))&gt;0),1,0),"")</f>
        <v/>
      </c>
      <c r="DS50">
        <v>0</v>
      </c>
      <c r="DT50">
        <v>0</v>
      </c>
      <c r="DU50" t="str">
        <f>IF('King Node Model'!$A$8&lt;&gt;"Pos","",IF(OR($AA50="",NOT(ISNUMBER($AA50)),ABS($AA50-$B$4)&gt;$BG$7),"",TEXT($AA50,"0")&amp;" | "&amp;IF($AG50="","unclassified",IF($AG50&lt;&gt;IF($AA50&gt;$B$4,"R","S"),"orphan: in "&amp;$AG50&amp;"-list, "&amp;IF($AA50&lt;$B$4,"below","above")&amp;" spot",IF(IF($AG50="R",COUNTIF($W$9:$W$14,$AA50),COUNTIF($W$18:$W$23,$AA50))=0,"not in "&amp;$AG50&amp;"-list",IF($DH50=1,"absorbed into shelf box",IF($BK50=1,"absorbed: adjacent reversal",IF($CI50=1,"accel-accelerant",IF($AC50&lt;=$BG$19,"below gamma-floor",IF($AM50&lt;$BG$20,"confluence "&amp;TEXT($AM50,"0")&amp;" &lt; "&amp;TEXT($BG$20,"0"),IF(AND($AX50=1,$D$5="UP"),"accelerant in up-move",IF(NOT(OR($AC50&gt;=MAX($AC$9:$AC$55),$BC50&gt;0,$AA50='King Node Model'!$D$26,AND(OR($AA50=$CP$4,$AA50=$CP$5,$AA50=$CP$6,$AA50=$CP$7),ABS($AA50-$B$4)&lt;=30),ISNUMBER(SEARCH("STRENGTHENING",$CG50)),$AN50=1,AND($AX50=1,$D$5="DOWN"))),"no surface flag","-&gt; qualifies"))))))))))))</f>
        <v/>
      </c>
      <c r="DV50" s="218">
        <f t="shared" si="61"/>
        <v>99999</v>
      </c>
      <c r="DW50" s="218">
        <f t="shared" si="62"/>
        <v>99999</v>
      </c>
      <c r="DX50" t="str">
        <f>IF('King Node Model'!$A$8&lt;&gt;"Pos","",IF(AND($DV50&lt;99999,$DV50=MIN($DV$9:$DV$55),$DG50&gt;$AA50),"R-box: "&amp;TEXT($AA50,"0")&amp;"-"&amp;TEXT($DG50,"0"),IF(AND($DW50&lt;99999,$DW50=MIN($DW$9:$DW$55),$DF50&lt;$AA50),"S-box: "&amp;TEXT($DF50,"0")&amp;"-"&amp;TEXT($AA50,"0"),"")))</f>
        <v/>
      </c>
      <c r="EB50">
        <f t="shared" si="63"/>
        <v>95.390000000000327</v>
      </c>
      <c r="EC50">
        <f t="shared" si="64"/>
        <v>538591</v>
      </c>
      <c r="ED50">
        <f t="shared" si="65"/>
        <v>0</v>
      </c>
      <c r="EE50">
        <f>IF(AND(OR('King Node Model'!$A$8="Neg",N($BG$72)=1),$AG50="R",ISNUMBER($EB50),$EB50&lt;=$BG$7,$AB50&gt;0,$EC50&gt;0,$AB50=$EC50),1,0)</f>
        <v>0</v>
      </c>
      <c r="EF50">
        <f>IF(AND(OR('King Node Model'!$A$8="Neg",N($BG$72)=1),$AG50="S",ISNUMBER($EB50),$EB50&lt;=$BG$7,$AB50&gt;0,$ED50&gt;0,$AB50=$ED50),1,0)</f>
        <v>0</v>
      </c>
      <c r="EI50">
        <v>1</v>
      </c>
      <c r="EJ50">
        <f>IF($AA50="",0,IF(SUMPRODUCT(($AA$9:$AA$55&gt;=$AT50)*($AA$9:$AA$55&lt;=$AU50)*($DT$9:$DT$55=1))+SUMPRODUCT(($DT$9:$DT$55=1)*($AT$9:$AT$55&lt;=$AA50)*($AU$9:$AU$55&gt;=$AA50))+($DT50=1)+AND(OR('King Node Model'!$A$8="Neg",N($BG$72)=1),ISNUMBER(SEARCH("LOW",'Master Dashboard'!$M$5)),ISNUMBER(SEARCH("BUY",'Master Dashboard'!$G$8)),'King Node Model'!$T$23='King Node Model'!$B$23,$AA50&gt;='King Node Model'!$T$23,$AA50&lt;='King Node Model'!$T$23+5)*1&gt;0,1,0))</f>
        <v>0</v>
      </c>
      <c r="EM50">
        <f t="shared" si="66"/>
        <v>0</v>
      </c>
      <c r="EN50">
        <v>0</v>
      </c>
      <c r="EO50">
        <f t="shared" si="67"/>
        <v>0</v>
      </c>
      <c r="EP50">
        <f t="shared" si="68"/>
        <v>0</v>
      </c>
      <c r="EQ50" t="str">
        <f t="shared" si="69"/>
        <v>thinning the floor (magnitude weak)</v>
      </c>
      <c r="ES50" t="str">
        <f>IF(AND(ISNUMBER(AA50),ISNUMBER(AF50),ABS(AA50-'King Node Model'!$B$4)&lt;=$BG$7),ABS(AF50),"")</f>
        <v/>
      </c>
      <c r="ET50">
        <v>0</v>
      </c>
      <c r="EU50" s="218">
        <f>IF(AND(OR('King Node Model'!$A$8="Neg",N($BG$72)=1),ISNUMBER($AA49),ISNUMBER($AA50),ISNUMBER($AA51),ISNUMBER($AB49),ISNUMBER($AB50),ISNUMBER($AB51),ISNUMBER($AF50),$AB50&gt;0,$AB49&lt;0,$AB51&lt;0,$AF50&lt;0),1,0)</f>
        <v>0</v>
      </c>
      <c r="EW50">
        <f>IF(OR(N($MY50)=1,N($JM50)=1),0,N($NE50))</f>
        <v>0</v>
      </c>
      <c r="EX50">
        <f>IF(AND(OR('King Node Model'!$A$8="Neg",N($BG$72)=1),ISNUMBER($AA50),OR(AND($AA50='King Node Model'!$F$24,OR(AND($AG50="S",$F$4="High",IF($BG$80&lt;&gt;"",UPPER($BG$80),$D$5)="DOWN"),AND($AG50="R",$F$4="Low",IF($BG$80&lt;&gt;"",UPPER($BG$80),$D$5)="UP"))),$GV50=1)),1,0)</f>
        <v>0</v>
      </c>
      <c r="EY50">
        <f>IFERROR(IF(AND($DC50=1,$AB50&lt;0,$AC50&gt;=(1+$FA$6)*INDEX($AC$9:$AC$55,42-1),$AC50&gt;=(1+$FA$6)*INDEX($AC$9:$AC$55,42+1),$AC50&gt;=IFERROR(INDEX($AC$9:$AC$55,42-2),0),$AC50&gt;=IFERROR(INDEX($AC$9:$AC$55,42+2),0)),1,0),0)</f>
        <v>0</v>
      </c>
      <c r="FA50" t="str">
        <f>IF(NOT(ISNUMBER($AA50)),"",IFERROR(IF(AND($AC50=MAX($AC$9:$AC$55),$AB50=MIN($AB$9:$AB$55)),"DOM",IF(AND($DC49=1,$DC50=1,$DC51=1,INDEX($AC$9:$AC$55,42-1)&lt;=(1-$FA$6)*$AC50,INDEX($AC$9:$AC$55,42-1)&lt;=(1-$FA$6)*INDEX($AC$9:$AC$55,42-2)),"GAP↑",IF(AND($DC51=1,$DC50=1,INDEX($AC$9:$AC$55,42+1)&lt;=(1-$FA$6)*$AC50,INDEX($AC$9:$AC$55,42+1)&lt;=(1-$FA$6)*INDEX($AC$9:$AC$55,42+2)),"GAP↓",IF($CZ50=1,"dEdge Cliff",IF($GY50=1,"γWall",IF(AND($DC50=1,$AB50&lt;0,$AC50&gt;=(1+$FA$6)*INDEX($AC$9:$AC$55,42-1),$AC50&gt;=(1+$FA$6)*INDEX($AC$9:$AC$55,42+1)),"PEAK-",IF($GZ50=1,"γSh Edge",IF($HL50=1,"Trough",IF($HN50=1,"PEAK+",IF($GF50=1,"Cluster","")))))))))),""))</f>
        <v/>
      </c>
      <c r="FB50" t="str">
        <f t="shared" si="70"/>
        <v/>
      </c>
      <c r="FC50" t="str">
        <f t="shared" si="71"/>
        <v/>
      </c>
      <c r="FD50">
        <f>IF(AND(ISNUMBER($AA50),ISNUMBER('King Node Model'!$AP$17),ISNUMBER('King Node Model'!$AQ$17),$AA50&gt;=MIN('King Node Model'!$AP$17,'King Node Model'!$AQ$17),$AA50&lt;=MAX('King Node Model'!$AP$17,'King Node Model'!$AQ$17),IFERROR(INDEX($AC$9:$AC$55,MATCH('King Node Model'!$AL$42,$AA$9:$AA$55,0)),0)&gt;0,$AC50&gt;=(1-$FA$6)*IFERROR(INDEX($AC$9:$AC$55,MATCH('King Node Model'!$AL$42,$AA$9:$AA$55,0)),0),$AC50&lt;=(1+$FA$6)*IFERROR(INDEX($AC$9:$AC$55,MATCH('King Node Model'!$AL$42,$AA$9:$AA$55,0)),0)),1,0)</f>
        <v>0</v>
      </c>
      <c r="FE50">
        <f>IF($AA50='King Node Model'!$AL$42,1,IF(AND($FD50=1,$FE49=1),1,0))</f>
        <v>0</v>
      </c>
      <c r="FF50">
        <f>IF($AA50='King Node Model'!$AL$42,1,IF(AND($FD50=1,$FF51=1),1,0))</f>
        <v>0</v>
      </c>
      <c r="FG50" t="str">
        <f>IF(OR($FE50=1,$FF50=1),42,"")</f>
        <v/>
      </c>
      <c r="FJ50">
        <f>IF(AND($CW$2=1,ISNUMBER($AA50),ISNUMBER($CW$3),ISNUMBER($CW$4),$AA50&gt;=MIN($CW$3,$CW$4),$AA50&lt;=MAX($CW$3,$CW$4),IFERROR(INDEX($AC$9:$AC$55,MATCH('King Node Model'!$AP$67,$AA$9:$AA$55,0)),0)&gt;0,$AC50&gt;=(1-$FA$6)*IFERROR(INDEX($AC$9:$AC$55,MATCH('King Node Model'!$AP$67,$AA$9:$AA$55,0)),0),$AC50&lt;=(1+$FA$6)*IFERROR(INDEX($AC$9:$AC$55,MATCH('King Node Model'!$AP$67,$AA$9:$AA$55,0)),0)),1,0)</f>
        <v>0</v>
      </c>
      <c r="FK50">
        <f>IF(AND($CW$2=1,$AA50='King Node Model'!$AP$67),1,IF(AND($FJ50=1,$FK49=1),1,0))</f>
        <v>0</v>
      </c>
      <c r="FL50">
        <f>IF(AND($CW$2=1,$AA50='King Node Model'!$AP$67),1,IF(AND($FJ50=1,$FL51=1),1,0))</f>
        <v>0</v>
      </c>
      <c r="FM50" t="str">
        <f>IF(OR($FK50=1,$FL50=1),42,"")</f>
        <v/>
      </c>
      <c r="FN50">
        <v>0</v>
      </c>
      <c r="FR50" t="str">
        <f t="shared" si="72"/>
        <v/>
      </c>
      <c r="FS50">
        <f t="shared" si="188"/>
        <v>0</v>
      </c>
      <c r="FT50">
        <f t="shared" si="73"/>
        <v>-0.88980006248047483</v>
      </c>
      <c r="FU50">
        <f t="shared" si="74"/>
        <v>128040</v>
      </c>
      <c r="FV50" t="str">
        <f>IF($FW50=0,"",IF(OR($FW49=0,SIGN(IFERROR($BC50*1,0))&lt;&gt;SIGN(IFERROR($BC49*1,0)),$GH50=1,$GH49=1),MAX($FV$9:$FV49)+1,$FV49))</f>
        <v/>
      </c>
      <c r="FW50">
        <f t="shared" si="75"/>
        <v>0</v>
      </c>
      <c r="FX50" t="str">
        <f t="shared" si="76"/>
        <v/>
      </c>
      <c r="FY50">
        <f t="shared" si="77"/>
        <v>0</v>
      </c>
      <c r="FZ50">
        <f t="shared" si="189"/>
        <v>0</v>
      </c>
      <c r="GA50">
        <f t="shared" si="78"/>
        <v>0</v>
      </c>
      <c r="GB50" t="str">
        <f t="shared" si="79"/>
        <v/>
      </c>
      <c r="GC50" t="str">
        <f t="shared" si="80"/>
        <v/>
      </c>
      <c r="GD50" t="str">
        <f t="shared" si="81"/>
        <v/>
      </c>
      <c r="GE50" t="str">
        <f t="shared" si="82"/>
        <v/>
      </c>
      <c r="GF50">
        <f t="shared" si="83"/>
        <v>0</v>
      </c>
      <c r="GH50">
        <f>IFERROR(IF(AND($AC50&gt;=(1+$FA$6)*INDEX($AC$9:$AC$55,42-1),$AC50&gt;=(1+$FA$6)*INDEX($AC$9:$AC$55,42+1)),1,0),0)</f>
        <v>1</v>
      </c>
      <c r="GK50">
        <v>0</v>
      </c>
      <c r="GO50">
        <v>0</v>
      </c>
      <c r="GP50">
        <v>0</v>
      </c>
      <c r="GQ50">
        <f t="shared" si="84"/>
        <v>0</v>
      </c>
      <c r="GR50">
        <f t="shared" si="85"/>
        <v>0</v>
      </c>
      <c r="GS50">
        <f>IF(AND($EY50=1,$AA50&lt;&gt;'King Node Model'!$B$23),0,IF(OR($GQ50=1,$GR50=1),1,IF($DC50=1,IF(OR('King Node Model'!$A$8="Neg",N($BG$72)=1),IF(OR(AND($AC50=MAX($AC$9:$AC$55),$AB50=MIN($AB$9:$AB$55)),$AN50=1,$EE50=1,$EF50=1,$EX50=1,$GV50=1),1,0),1),0)))</f>
        <v>0</v>
      </c>
      <c r="GT50">
        <f>IFERROR(IF(AND(OR('King Node Model'!$A$8="Neg",N($BG$72)=1),$EU49=1,$AG50="R",ISNUMBER($AA50),ISNUMBER($AF50),$AF50&lt;&gt;0,$AA50&gt;$B$4-$BG$9,$AA50-$B$4&lt;=$BG$47,IF($KC50="UP",SIGN($AF50),IF($KC50="DOWN",-SIGN($AF50),0))&lt;&gt;1),1,0),0)</f>
        <v>0</v>
      </c>
      <c r="GU50" t="str">
        <f t="shared" si="86"/>
        <v/>
      </c>
      <c r="GV50">
        <f t="shared" si="87"/>
        <v>0</v>
      </c>
      <c r="GW50" t="str">
        <f t="shared" si="88"/>
        <v/>
      </c>
      <c r="GX50">
        <f t="shared" si="89"/>
        <v>95.390000000000327</v>
      </c>
      <c r="GY50">
        <f t="shared" si="90"/>
        <v>0</v>
      </c>
      <c r="GZ50">
        <f t="shared" si="91"/>
        <v>0</v>
      </c>
      <c r="HA50">
        <v>0</v>
      </c>
      <c r="HF50">
        <f>IFERROR(IF(AND($GZ50=1,'King Node Model'!$A$8="Pos",$D$5="UP",$CF50=-1,$AJ50&lt;&gt;1),1,0),0)</f>
        <v>0</v>
      </c>
      <c r="HG50">
        <f t="shared" si="92"/>
        <v>0</v>
      </c>
      <c r="HH50" t="str">
        <f>IF($GZ50=1,"",IFERROR(IF(NOT(ISNUMBER($AA50)),"",IF($EY50=1,"",IF($GF50=1,IF($GD50=$GE50,"",$GD50),IF(OR(AND($DC49=1,$DC50=1,$DC51=1,INDEX($AC$9:$AC$55,42-1)&lt;=(1-$FA$6)*$AC50,INDEX($AC$9:$AC$55,42-1)&lt;=(1-$FA$6)*INDEX($AC$9:$AC$55,42-2)),AND($DC51=1,$DC50=1,INDEX($AC$9:$AC$55,42+1)&lt;=(1-$FA$6)*$AC50,INDEX($AC$9:$AC$55,42+1)&lt;=(1-$FA$6)*INDEX($AC$9:$AC$55,42+2)),AND($DC50=1,OR(INDEX($DC$9:$DC$55,42-1)=0,INDEX($DC$9:$DC$55,42+1)=0))),IF(MIN($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MAX($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MIN($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f>
        <v/>
      </c>
      <c r="HI50" t="str">
        <f>IF($GZ50=1,"",IFERROR(IF(NOT(ISNUMBER($AA50)),"",IF($EY50=1,"",IF($GF50=1,IF($GD50=$GE50,"",$GE50),IF(OR(AND($DC49=1,$DC50=1,$DC51=1,INDEX($AC$9:$AC$55,42-1)&lt;=(1-$FA$6)*$AC50,INDEX($AC$9:$AC$55,42-1)&lt;=(1-$FA$6)*INDEX($AC$9:$AC$55,42-2)),AND($DC51=1,$DC50=1,INDEX($AC$9:$AC$55,42+1)&lt;=(1-$FA$6)*$AC50,INDEX($AC$9:$AC$55,42+1)&lt;=(1-$FA$6)*INDEX($AC$9:$AC$55,42+2)),AND($DC50=1,OR(INDEX($DC$9:$DC$55,42-1)=0,INDEX($DC$9:$DC$55,42+1)=0))),IF(MIN($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MAX($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MAX($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f>
        <v/>
      </c>
      <c r="HL50">
        <f t="shared" si="93"/>
        <v>0</v>
      </c>
      <c r="HM50">
        <f>IFERROR(IF(AND($HL50=1,NOT(OR($AA50='King Node Model'!$T$22,$AA50='King Node Model'!$T$23,$AA50='King Node Model'!$F$24,AND($AG50="S",COUNTIF('Master Dashboard'!$AN$16:$AN$18,$AA50)&gt;0),AND($AG50="R",COUNTIF('Master Dashboard'!$AN$13:$AN$15,$AA50)&gt;0)))),1,0),0)</f>
        <v>0</v>
      </c>
      <c r="HN50">
        <f t="shared" si="94"/>
        <v>0</v>
      </c>
      <c r="HO50">
        <f t="shared" si="95"/>
        <v>0</v>
      </c>
      <c r="HP50">
        <f t="shared" si="96"/>
        <v>1</v>
      </c>
      <c r="HQ50" t="str">
        <f>IF(NOT(ISNUMBER($AA50)),"",IFERROR(TRIM(IF(N($MY50)=1,"DEXLEAN ","")&amp;IF(N($IZ50)=1,"DEXCAP ","")&amp;IF(AND($AG50="S",UPPER('King Node Model'!$L$5)="HIGH",$KC50="DOWN",N($AF50)&gt;0,$AA50='King Node Model'!$AN$70,$IY50="SELL"),"CHOPEDGEIV ","")&amp;IF(N($IS50)=1,"NOREV ","")&amp;IF(N($JY50)=1,"VFLAT ","")&amp;IF(N($KR50)=1,"GDEXVANNA ","")&amp;IF(N($LD50)=1,"KGSUPFAIL ","")&amp;IF(N($LE50)=1,"KGRESLEAK ","")&amp;IF(N($MH50)=1,"ZIGZAG ","")&amp;IF(N($KK50)=1,"DATAGAP ","")&amp;IF(N($KA50)&lt;&gt;0,"ACCUNDERCW ","")&amp;IF(AND($AG50="S",$HF50=1),"EDGE ","")&amp;IF(AND($HM50=1,'King Node Model'!$A$8="Pos",N($BG$72)&lt;&gt;1),"TROUGH ","")&amp;IF(AND($EU50=1,N($JZ50)&lt;&gt;1),"BUMP ","")&amp;IF(AND($GT50=1,N($JZ50)&lt;&gt;1),"SANDWICH ","")&amp;IF(AND($EX50&lt;&gt;1,OR('King Node Model'!$A$8="Neg",N($BG$72)=1),OR(AND(ISNUMBER($AC50),$AC50=MAX($AC$9:$AC$55)),AND(ISNUMBER($AB50),$AB50=MIN($AB$9:$AB$55))),NOT(AND(AND(ISNUMBER($AC50),$AC50=MAX($AC$9:$AC$55)),AND(ISNUMBER($AB50),$AB50=MIN($AB$9:$AB$55)))),$AG50="S",N($AB50)&lt;0,NOT(COUNTIF('Master Dashboard'!$AN$16:$AN$18,$AA50)&gt;0),NOT(AND(OR('King Node Model'!$A$8="Neg",N($BG$72)=1),ISNUMBER($AB50),$AB50=MIN($AB$9:$AB$55),$AA50=$BG$105))),"ACCEL ","")&amp;IF(AND($EX50&lt;&gt;1,ISNUMBER($AA50),OR('King Node Model'!$A$8="Neg",N($BG$72)=1),$EY50=1,NOT(AND($AG50="S",COUNTIF('Master Dashboard'!$AN$16:$AN$18,$AA50)&gt;0)),NOT(AND($AA50='King Node Model'!$B$23,IF($AG50="S",OR($AA50='King Node Model'!$C$24,COUNTIF('Master Dashboard'!$AN$16:$AN$18,$AA50)&gt;0),OR($AA50='King Node Model'!$C$23,COUNTIF('Master Dashboard'!$AN$13:$AN$15,$AA50)&gt;0)))),NOT(AND($EX50&lt;&gt;1,OR('King Node Model'!$A$8="Neg",N($BG$72)=1),OR(AND(ISNUMBER($AC50),$AC50=MAX($AC$9:$AC$55)),AND(ISNUMBER($AB50),$AB50=MIN($AB$9:$AB$55))),NOT(AND(AND(ISNUMBER($AC50),$AC50=MAX($AC$9:$AC$55)),AND(ISNUMBER($AB50),$AB50=MIN($AB$9:$AB$55)))),$AG50="S",N($AB50)&lt;0,NOT(COUNTIF('Master Dashboard'!$AN$16:$AN$18,$AA50)&gt;0)))),"AMPLIFY ","")&amp;IF(AND($AG50="S",OR('King Node Model'!$A$8="Neg",N($BG$72)=1),$AJ50&lt;&gt;1,N($MT50)&lt;&gt;1,NOT(AND(N($LR50)=1,N($MB50)=1)),ISNUMBER(SEARCH("ACCEL building",$CG50))),"ZACCEL ","")&amp;IF(AND($AG50="S",OR('King Node Model'!$A$8="Neg",N($BG$72)=1),$AA50='King Node Model'!$B$23,NOT(AND(AND(ISNUMBER($AC50),$AC50=MAX($AC$9:$AC$55)),AND(ISNUMBER($AB50),$AB50=MIN($AB$9:$AB$55)))),$EJ50&lt;&gt;1),"KINGACC ","")&amp;IF(AND($AG50="S",OR('King Node Model'!$A$8="Neg",N($BG$72)=1),ABS(N($AA50)-N('King Node Model'!$B$23))&lt;=$BG$107,NOT(AND(SUMPRODUCT((ABS($AF$9:$AF$55)&lt;=ABS(N($AF50)))*1)/COUNT($AF$9:$AF$55)&gt;=0.66,OR(ISNUMBER(SEARCH("firmer resistance",$CG50)),ISNUMBER(SEARCH("STRENGTHENING",$CG50)),ISNUMBER(SEARCH("firmer support",$CG50))))),NOT(AND(N($AB50)&gt;0,SUMPRODUCT((ABS($AB$9:$AB$55)&lt;=ABS(N($AB50)))*1)/COUNT($AB$9:$AB$55)&gt;=0.66)),$EJ50&lt;&gt;1,$AJ50&lt;&gt;1,COUNTIF('Master Dashboard'!$AN$16:$AN$18,$AA50)=0,NOT(AND($AG50="S",OR('King Node Model'!$A$8="Neg",N($BG$72)=1),$AA50='King Node Model'!$B$23,NOT(AND(AND(ISNUMBER($AC50),$AC50=MAX($AC$9:$AC$55)),AND(ISNUMBER($AB50),$AB50=MIN($AB$9:$AB$55)))),$EJ50&lt;&gt;1))),"KINGNODE ","")&amp;IF(AND($AG50="R",NOT(AND(AND(ISNUMBER($AC50),$AC50=MAX($AC$9:$AC$55)),AND(ISNUMBER($AB50),$AB50=MIN($AB$9:$AB$55)))),UPPER('King Node Model'!$L$5)="LOW",$KC50="DOWN",N($AF50)&gt;0),"LOWIVFALL ","")&amp;IF(AND($AG50="R",NOT(AND(AND(ISNUMBER($AC50),$AC50=MAX($AC$9:$AC$55)),AND(ISNUMBER($AB50),$AB50=MIN($AB$9:$AB$55)))),UPPER('King Node Model'!$L$5)="HIGH",$KC50="DOWN",N($AF50)&gt;0,IFERROR(MATCH($AA50,$W$9:$W$14,0)&gt;=4,FALSE)),"HIGHIVFALL ","")&amp;IF(AND($AG50="R",N($BG$99)=1),"SPOTUPVOLUP ","")&amp;IF(AND($AG50="R",ISNUMBER(SEARCH("5/5",'Master Dashboard'!$E$29)),OR(ISNUMBER(SEARCH("WEAKENING",$EQ50)),ISNUMBER(SEARCH("Pos gamma ↓",$EQ50)),ISNUMBER(SEARCH("thinning the ceiling",$EQ50)))),"SQUEEZE ","")&amp;IF(N($JU50)=1,"DEDGECLIFF ","")&amp;IF(N($KT50)=1,"DEXDRAIN ","")&amp;IF(N($HW50)&lt;&gt;0,"DEXDROP ","")&amp;IF(N($HX50)&lt;&gt;0,"PEAK+ ","")&amp;IF(N($IF50)=1,"CHOP ","")&amp;IF(N($IQ50)=1,"CONTESTED ","")&amp;IF(N($IW50)=1,"VSELL ","")&amp;IF(N($JK50)=1,"VBUYRES ","")&amp;IF(N($JL50)=1,"DOMFLAT ","")&amp;IF(N($JM50)=1,"DOMPULL ","")&amp;IF(N($JP50)=1,"OIZOMMA ","")&amp;IF(AND(N($JQ50)=1,N($JZ50)&lt;&gt;1),"OIDEX ","")),""))</f>
        <v>NOREV VSELL</v>
      </c>
      <c r="HS50">
        <f>IFERROR(IF(AND($DC50=1,OR(AND($AG50="R",INDEX($DC$9:$DC$55,41)=0,INDEX($DC$9:$DC$55,43)=1,INDEX($DC$9:$DC$55,44)=1),AND($AG50="S",INDEX($DC$9:$DC$55,43)=0,INDEX($DC$9:$DC$55,41)=1,INDEX($DC$9:$DC$55,40)=1))),1,0),0)</f>
        <v>0</v>
      </c>
      <c r="HT50">
        <f t="shared" si="97"/>
        <v>0</v>
      </c>
      <c r="HU50">
        <v>0</v>
      </c>
      <c r="HV50">
        <v>0</v>
      </c>
      <c r="HW50">
        <f>IFERROR(IF(OR(NOT(ISNUMBER($AA50)),'King Node Model'!$A$8&lt;&gt;"Pos",N($BG$72)=1,ABS(N($AE50))&lt;$BG$113,N($AV50)=1,$FA50="DOM",$AA50='King Node Model'!$T$23,AND(N($BG$116)=1,$AA50='King Node Model'!$F$24),NOT(ISNUMBER($KU50)),NOT(ISNUMBER($KV50))),0,IF(AND($AG50="S",COUNTIF('Master Dashboard'!$AN$16:$AN$18,$AA50)=0,$KU50&gt;=$BG$114,$KU50&gt;=$KV50+$BG$115,NOT(AND(N($AN51)=1,N($KV50)&lt;0)),N($AE50)&lt;=0),1,IF(AND($AG50="R",COUNTIF('Master Dashboard'!$AN$13:$AN$15,$AA50)=0,$KV50&gt;=$BG$114,$KV50&gt;=$KU50+$BG$115,NOT(AND(N($AN49)=1,N($KU50)&lt;0))),-1,0))),0)</f>
        <v>0</v>
      </c>
      <c r="HX50">
        <f>IFERROR(IF(AND(ISNUMBER($AA50),$FA50="PEAK+",N($AN50)&lt;&gt;1,NOT(AND('King Node Model'!$A$8="Pos",OR($AA50='King Node Model'!$T$22,$AA50='King Node Model'!$T$23,$AA50='King Node Model'!$F$24))),IF($AG50="S",COUNTIF('Master Dashboard'!$AN$16:$AN$18,$AA50)=0,IF($AG50="R",COUNTIF('Master Dashboard'!$AN$13:$AN$15,$AA50)=0,FALSE))),1,0),0)</f>
        <v>0</v>
      </c>
      <c r="HY50">
        <f t="shared" si="98"/>
        <v>-4.4622051913690068</v>
      </c>
      <c r="HZ50">
        <v>0</v>
      </c>
      <c r="IA50">
        <f>IFERROR(IF(AND(IF($BG$44=1,OR(ISNUMBER(SEARCH("Choppy",'King Node Model'!$S$38)),'King Node Model'!$S$52&lt;&gt;"",'King Node Model'!$A$8="Pos"),TRUE()),OR($DC50=1,$DC49=1,$DC51=1),ABS($AA50-$B$4)&lt;=$BG$7,ABS($AA50-$BG$28)&gt;=$BG$45,OR(AND($AA50&gt;$BG$28,$AG50="R"),AND($AA50&lt;$BG$28,$AG50="S",N($BG$154)=1)),ABS(IF($AA50&gt;$BG$28,$AE51,$AE49))&gt;=$BG$43,ABS(N(IF($AA50&gt;$BG$28,$AE49,$AE51)))&lt;=$BG$153*ABS(IF($AA50&gt;$BG$28,$AE51,$AE49)),IF(ISNUMBER($HZ50),$HZ50=1,AND(ISNUMBER($HY50),$HY50&gt;=$BG$42))),1,0),0)</f>
        <v>0</v>
      </c>
      <c r="IB50">
        <f t="shared" si="99"/>
        <v>0</v>
      </c>
      <c r="IC50" t="str">
        <f>IF(NOT(ISNUMBER($AA50)),"",IFERROR(MID(IF(AND($AC50=MAX($AC$9:$AC$55),$AB50=MIN($AB$9:$AB$55))," · DOM","")&amp;IF(AND($DC49=1,$DC50=1,$DC51=1,INDEX($AC$9:$AC$55,42-1)&lt;=(1-$FA$6)*$AC50,INDEX($AC$9:$AC$55,42-1)&lt;=(1-$FA$6)*INDEX($AC$9:$AC$55,42-2))," · GAP↑ → "&amp;INDEX($AA$9:$AA$55,42-2),"")&amp;IF(AND($DC51=1,$DC50=1,INDEX($AC$9:$AC$55,42+1)&lt;=(1-$FA$6)*$AC50,INDEX($AC$9:$AC$55,42+1)&lt;=(1-$FA$6)*INDEX($AC$9:$AC$55,42+2))," · GAP↓ → "&amp;INDEX($AA$9:$AA$55,42+2),"")&amp;IF($CZ50=1," · dEdge Cliff","")&amp;IF($GY50=1," · γWall","")&amp;IF(AND($DC50=1,$AB50&lt;0,$AC50&gt;=(1+$FA$6)*INDEX($AC$9:$AC$55,42-1),$AC50&gt;=(1+$FA$6)*INDEX($AC$9:$AC$55,42+1))," · PEAK-","")&amp;IF($GZ50=1," · γSh Edge","")&amp;IF($HL50=1," · Trough","")&amp;IF($HN50=1," · PEAK+","")&amp;IF($GF50=1," · Cluster",""),FIND(" · ",IF(AND($AC50=MAX($AC$9:$AC$55),$AB50=MIN($AB$9:$AB$55))," · DOM","")&amp;IF(AND($DC49=1,$DC50=1,$DC51=1,INDEX($AC$9:$AC$55,42-1)&lt;=(1-$FA$6)*$AC50,INDEX($AC$9:$AC$55,42-1)&lt;=(1-$FA$6)*INDEX($AC$9:$AC$55,42-2))," · GAP↑ → "&amp;INDEX($AA$9:$AA$55,42-2),"")&amp;IF(AND($DC51=1,$DC50=1,INDEX($AC$9:$AC$55,42+1)&lt;=(1-$FA$6)*$AC50,INDEX($AC$9:$AC$55,42+1)&lt;=(1-$FA$6)*INDEX($AC$9:$AC$55,42+2))," · GAP↓ → "&amp;INDEX($AA$9:$AA$55,42+2),"")&amp;IF($CZ50=1," · dEdge Cliff","")&amp;IF($GY50=1," · γWall","")&amp;IF(AND($DC50=1,$AB50&lt;0,$AC50&gt;=(1+$FA$6)*INDEX($AC$9:$AC$55,42-1),$AC50&gt;=(1+$FA$6)*INDEX($AC$9:$AC$55,42+1))," · PEAK-","")&amp;IF($GZ50=1," · γSh Edge","")&amp;IF($HL50=1," · Trough","")&amp;IF($HN50=1," · PEAK+","")&amp;IF($GF50=1," · Cluster",""),2),999),""))</f>
        <v/>
      </c>
      <c r="ID50" t="str">
        <f>IF(NOT(ISNUMBER($AA50)),"",IFERROR(MID(IF(AND($AC50=MAX($AC$9:$AC$55),$AB50=MIN($AB$9:$AB$55))," · DOM","")&amp;IF(AND($DC49=1,$DC50=1,$DC51=1,INDEX($AC$9:$AC$55,42-1)&lt;=(1-$FA$6)*$AC50,INDEX($AC$9:$AC$55,42-1)&lt;=(1-$FA$6)*INDEX($AC$9:$AC$55,42-2))," · GAP↑ → "&amp;INDEX($AA$9:$AA$55,42-2),"")&amp;IF(AND($DC51=1,$DC50=1,INDEX($AC$9:$AC$55,42+1)&lt;=(1-$FA$6)*$AC50,INDEX($AC$9:$AC$55,42+1)&lt;=(1-$FA$6)*INDEX($AC$9:$AC$55,42+2))," · GAP↓ → "&amp;INDEX($AA$9:$AA$55,42+2),"")&amp;IF($CZ50=1," · dEdge Cliff","")&amp;IF($GY50=1," · γWall","")&amp;IF(AND($DC50=1,$AB50&lt;0,$AC50&gt;=(1+$FA$6)*INDEX($AC$9:$AC$55,42-1),$AC50&gt;=(1+$FA$6)*INDEX($AC$9:$AC$55,42+1))," · PEAK-","")&amp;IF($GZ50=1," · γSh Edge","")&amp;IF($HL50=1," · Trough","")&amp;IF($HN50=1," · PEAK+","")&amp;IF(AND(NOT($HN50=1),NOT(AND($DC50=1,$AB50&lt;0)),N($GY50)&lt;&gt;1,N($GF50)&lt;&gt;1,N($GZ50)&lt;&gt;1,N($HL50)&lt;&gt;1,N($CZ50)&lt;&gt;1,NOT(AND($AC50=MAX($AC$9:$AC$55),$AB50=MIN($AB$9:$AB$55))),$AC50&gt;=(1+$FA$6)*INDEX($AC$9:$AC$55,42-1),$AC50&gt;=(1+$FA$6)*INDEX($AC$9:$AC$55,42+1))," · Knoll","")&amp;IF($GF50=1," · Cluster",""),4,999),""))</f>
        <v>Knoll</v>
      </c>
      <c r="IF50">
        <f t="shared" si="100"/>
        <v>0</v>
      </c>
      <c r="IG50">
        <f>IFERROR(IF(AND(ISNUMBER($AA50),'King Node Model'!$A$8="Pos",OR($AG50="S",$AG50="R"),$IN50="interior",COUNTIF(IF($AG50="S",'Master Dashboard'!$AN$16:$AN$18,'Master Dashboard'!$AN$13:$AN$15),$AA50)=0,$AA50&lt;&gt;'King Node Model'!$T$22,$AA50&lt;&gt;'King Node Model'!$T$23,$AA50&lt;&gt;'King Node Model'!$F$24),1,0),0)</f>
        <v>0</v>
      </c>
      <c r="IH50">
        <f t="shared" si="101"/>
        <v>0</v>
      </c>
      <c r="II50">
        <f t="shared" si="190"/>
        <v>0</v>
      </c>
      <c r="IJ50">
        <f t="shared" si="102"/>
        <v>0</v>
      </c>
      <c r="IK50">
        <f t="shared" si="103"/>
        <v>0</v>
      </c>
      <c r="IL50">
        <f t="shared" si="191"/>
        <v>0</v>
      </c>
      <c r="IM50">
        <f t="shared" si="104"/>
        <v>0</v>
      </c>
      <c r="IN50" t="str">
        <f t="shared" si="105"/>
        <v/>
      </c>
      <c r="IO50">
        <v>0</v>
      </c>
      <c r="IP50">
        <v>0</v>
      </c>
      <c r="IQ50">
        <f>IFERROR(IF($AG50="S",IF(OR(COUNTIF($W$9:$W$14,$AA50)&gt;0,COUNTIF('King Node Model'!$AL$42:'King Node Model'!$AL$43,$AA50)&gt;0),1,0),IF($AG50="R",IF(OR(COUNTIF($W$18:$W$23,$AA50)&gt;0,COUNTIF('King Node Model'!$AL$49:'King Node Model'!$AL$50,$AA50)&gt;0),1,0),0)),0)</f>
        <v>0</v>
      </c>
      <c r="IS50">
        <f>IF(AND(ISNUMBER($AA50),N($AN50)&lt;&gt;1,N($LR50)&lt;&gt;1,OR(N($EN50)&lt;&gt;1,AND('King Node Model'!$A$8&lt;&gt;"Neg",N($BG$72)&lt;&gt;1)),$AA50&lt;&gt;'King Node Model'!$T$22,$AA50&lt;&gt;'King Node Model'!$T$23,$AA50&lt;&gt;'King Node Model'!$F$24,NOT(AND($AG50="S",COUNTIF('Master Dashboard'!$AN$16:$AN$18,$AA50)&gt;0)),NOT(AND($AG50="R",COUNTIF('Master Dashboard'!$AN$13:$AN$15,$AA50)&gt;0)),NOT(AND('King Node Model'!$A$8&lt;&gt;"Neg",N($BG$72)&lt;&gt;1,COUNTIF('Master Dashboard'!$AN$13:$AN$18,$AA50)&gt;0))),1,0)</f>
        <v>1</v>
      </c>
      <c r="IT50">
        <v>0</v>
      </c>
      <c r="IU50">
        <f>IF(AND(ISNUMBER($AA50),$AA50='King Node Model'!$F$24,$AA50&gt;$GJ$3,N($AD50)&lt;0,$F$4="High"),1,0)</f>
        <v>0</v>
      </c>
      <c r="IV50" t="str">
        <f>""</f>
        <v/>
      </c>
      <c r="IW50">
        <f>IFERROR(IF(AND(ISNUMBER($AA50),NOT(AND(N($LR50)=1,N($MB50)=1)),$AG50="S",OR('King Node Model'!$A$8="Neg",N($BG$72)=1),$JV50="SELL",ABS(N($AD50))&gt;=$BG$94,NOT(AND(N($AD50)&gt;0,N($BG$78)=1,MEDIAN($AA50-$BG$82,$B$4,$AA50+$BG$83)=$B$4))),1,0),0)</f>
        <v>1</v>
      </c>
      <c r="IX50">
        <f>IFERROR(IF(AND(ISNUMBER($AA50),$AG50="S",OR('King Node Model'!$A$8="Neg",N($BG$72)=1),N($AD50)&gt;0,N($BG$78)=1,MEDIAN($AA50-$BG$82,$B$4,$AA50+$BG$83)=$B$4),1,0),0)</f>
        <v>0</v>
      </c>
      <c r="IY50" t="str">
        <f t="shared" si="106"/>
        <v>SELL</v>
      </c>
      <c r="IZ50">
        <f>IFERROR(IF(AND(ISNUMBER($AA50),$FA50&lt;&gt;"DOM",$AA50&lt;&gt;'King Node Model'!$F$24,OR(AND($AG50="S",COUNTIF('Master Dashboard'!$AN$16:$AN$18,$AA50)=0,N(INDEX($AE$9:$AE$55,MATCH($AA50+$BG$84,$AA$9:$AA$55,0)))&lt;=-$BG$85),AND($AG50="R",COUNTIF('Master Dashboard'!$AN$13:$AN$15,$AA50)=0,N(INDEX($AE$9:$AE$55,MATCH($AA50-$BG$84,$AA$9:$AA$55,0)))&gt;=$BG$85))),1,0),0)</f>
        <v>0</v>
      </c>
      <c r="JC50">
        <f t="shared" si="108"/>
        <v>0</v>
      </c>
      <c r="JD50" t="str">
        <f t="shared" si="193"/>
        <v/>
      </c>
      <c r="JE50">
        <f>IF(ISNUMBER($AA50),N(IFERROR(INDEX('King Node Model'!$L$29:$L$75,MATCH($AA50,'King Node Model'!$A$29:$A$75,0)),0)),"")</f>
        <v>3207</v>
      </c>
      <c r="JF50">
        <f>IF(ISNUMBER($AA50),N(IFERROR(INDEX('King Node Model'!$K$29:$K$75,MATCH($AA50,'King Node Model'!$A$29:$A$75,0)),0)),"")</f>
        <v>187</v>
      </c>
      <c r="JG50">
        <f t="shared" si="109"/>
        <v>17.149732620320854</v>
      </c>
      <c r="JH50">
        <f t="shared" si="110"/>
        <v>5.8309946990957283E-2</v>
      </c>
      <c r="JI50">
        <f t="shared" si="111"/>
        <v>0</v>
      </c>
      <c r="JJ50" t="str">
        <f t="shared" si="112"/>
        <v/>
      </c>
      <c r="JK50">
        <f t="shared" si="113"/>
        <v>0</v>
      </c>
      <c r="JL50">
        <f t="shared" si="114"/>
        <v>0</v>
      </c>
      <c r="JM50">
        <f t="shared" si="115"/>
        <v>0</v>
      </c>
      <c r="JN50">
        <f t="shared" si="116"/>
        <v>0</v>
      </c>
      <c r="JO50">
        <f t="shared" si="117"/>
        <v>0</v>
      </c>
      <c r="JP50">
        <f t="shared" si="118"/>
        <v>0</v>
      </c>
      <c r="JQ50">
        <f t="shared" si="119"/>
        <v>0</v>
      </c>
      <c r="JR50">
        <v>0</v>
      </c>
      <c r="JS50">
        <f>IFERROR(IF(AND(ISNUMBER($AA50),'King Node Model'!$A$8="Pos",OR($AG50="S",$AG50="R"),N($AB50)&gt;0,N($HP50)&lt;&gt;1,OR(AND($KC50="DOWN",N($AF50)&lt;0,N($AF50)=MIN($AF$9:$AF$55),-N($AF50)&gt;=MAX($AF$9:$AF$55)),AND($KC50="UP",N($AF50)&gt;0,N($AF50)=MAX($AF$9:$AF$55),N($AF50)&gt;=-MIN($AF$9:$AF$55)))),1,0),0)</f>
        <v>0</v>
      </c>
      <c r="JT50">
        <v>0</v>
      </c>
      <c r="JU50">
        <f>IFERROR(IF(AND(N($BG$109)=1,ISNUMBER($AA50),'King Node Model'!$A$8="Pos",N($CZ50)=1,N($AB50)&gt;0),1,0),0)</f>
        <v>0</v>
      </c>
      <c r="JV50" t="str">
        <f t="shared" si="120"/>
        <v>SELL</v>
      </c>
      <c r="JW50">
        <f t="shared" si="121"/>
        <v>0</v>
      </c>
      <c r="JX50">
        <f t="shared" si="122"/>
        <v>0</v>
      </c>
      <c r="JY50">
        <f t="shared" si="123"/>
        <v>0</v>
      </c>
      <c r="JZ50">
        <f t="shared" si="124"/>
        <v>0</v>
      </c>
      <c r="KA50">
        <f t="shared" si="125"/>
        <v>0</v>
      </c>
      <c r="KB50">
        <f t="shared" si="126"/>
        <v>0</v>
      </c>
      <c r="KC50" t="str">
        <f t="shared" si="127"/>
        <v>UP</v>
      </c>
      <c r="KE50" t="str">
        <f t="shared" si="128"/>
        <v>Now: weakening the floor (IV rising) · if IV falls: strengthens the floor · expected on arrival: WEAKENS ✗</v>
      </c>
      <c r="KF50" t="str">
        <f t="shared" si="129"/>
        <v>SELL</v>
      </c>
      <c r="KG50">
        <f t="shared" si="192"/>
        <v>0</v>
      </c>
      <c r="KH50" t="str">
        <f t="shared" si="130"/>
        <v/>
      </c>
      <c r="KI50" t="str">
        <f t="shared" si="131"/>
        <v/>
      </c>
      <c r="KJ50">
        <f t="shared" si="132"/>
        <v>0</v>
      </c>
      <c r="KK50">
        <f t="shared" si="133"/>
        <v>0</v>
      </c>
      <c r="KL50">
        <f t="shared" si="134"/>
        <v>0</v>
      </c>
      <c r="KM50">
        <f t="shared" si="135"/>
        <v>0</v>
      </c>
      <c r="KN50">
        <f t="shared" si="136"/>
        <v>0</v>
      </c>
      <c r="KO50">
        <v>0</v>
      </c>
      <c r="KP50">
        <f t="shared" si="137"/>
        <v>0</v>
      </c>
      <c r="KQ50">
        <f t="shared" si="138"/>
        <v>0</v>
      </c>
      <c r="KR50">
        <f t="shared" si="139"/>
        <v>0</v>
      </c>
      <c r="KS50">
        <f t="shared" si="140"/>
        <v>0</v>
      </c>
      <c r="KT50">
        <f t="shared" si="141"/>
        <v>0</v>
      </c>
      <c r="KU50">
        <f>IF(AND(ISNUMBER($AA50),ISNUMBER($AE50),ISNUMBER($AE49),N($AE50)&lt;&gt;0),($AE50-$AE49)/$AE50,"")</f>
      </c>
      <c r="KV50">
        <f>IF(AND(ISNUMBER($AA50),ISNUMBER($AE50),ISNUMBER($AE51),N($AE50)&lt;&gt;0),($AE50-$AE51)/$AE50,"")</f>
      </c>
      <c r="KW50">
        <f>IFERROR(IF(OR(NOT(ISNUMBER($AA50)),'King Node Model'!$A$8&lt;&gt;"Pos",N($BG$72)=1,ABS(N($AE50))&lt;$BG$113,$FA50="DOM",$AA50='King Node Model'!$T$23,AND(N($BG$116)=1,$AA50='King Node Model'!$F$24),NOT(ISNUMBER($KU50)),NOT(ISNUMBER($KV50))),0,IF(AND($AG50="S",COUNTIF('Master Dashboard'!$AN$16:$AN$18,$AA50)=0,$KU50&gt;=$BG$114,$KU50&gt;=$KV50+$BG$115),1,IF(AND($AG50="R",COUNTIF('Master Dashboard'!$AN$13:$AN$15,$AA50)=0,$KV50&gt;=$BG$114,$KV50&gt;=$KU50+$BG$115),-1,0))),0)</f>
        <v>0</v>
      </c>
      <c r="KX50">
        <f t="shared" si="144"/>
        <v>0</v>
      </c>
      <c r="KY50">
        <f t="shared" si="145"/>
        <v>0</v>
      </c>
      <c r="KZ50">
        <f t="shared" si="146"/>
        <v>0</v>
      </c>
      <c r="LA50">
        <f t="shared" si="147"/>
        <v>0</v>
      </c>
      <c r="LB50">
        <f t="shared" si="148"/>
        <v>0</v>
      </c>
      <c r="LC50">
        <f t="shared" si="149"/>
        <v>0</v>
      </c>
      <c r="LD50">
        <f t="shared" si="150"/>
        <v>0</v>
      </c>
      <c r="LE50">
        <f t="shared" si="151"/>
        <v>0</v>
      </c>
      <c r="LF50">
        <f t="shared" si="152"/>
        <v>0</v>
      </c>
      <c r="LG50" t="str">
        <f t="shared" si="153"/>
        <v/>
      </c>
      <c r="LH50" t="str">
        <f t="shared" si="154"/>
        <v/>
      </c>
      <c r="LI50" t="str">
        <f t="shared" si="155"/>
        <v/>
      </c>
      <c r="LJ50" t="str">
        <f t="shared" si="156"/>
        <v/>
      </c>
      <c r="LK50" t="str">
        <f t="shared" si="157"/>
        <v/>
      </c>
      <c r="LL50">
        <f t="shared" si="158"/>
        <v>0</v>
      </c>
      <c r="LM50">
        <f t="shared" si="159"/>
        <v>0</v>
      </c>
      <c r="LN50">
        <f t="shared" si="160"/>
        <v>0</v>
      </c>
      <c r="LO50">
        <v>0</v>
      </c>
      <c r="LP50">
        <f t="shared" si="161"/>
        <v>0</v>
      </c>
      <c r="LQ50" t="str">
        <f t="shared" si="162"/>
        <v/>
      </c>
      <c r="LR50">
        <f t="shared" si="163"/>
        <v>0</v>
      </c>
      <c r="LS50">
        <f t="shared" si="164"/>
        <v>0</v>
      </c>
      <c r="LT50">
        <f t="shared" si="165"/>
        <v>0</v>
      </c>
      <c r="LU50">
        <f t="shared" si="166"/>
        <v>0</v>
      </c>
      <c r="LV50">
        <f t="shared" si="167"/>
        <v>0</v>
      </c>
      <c r="LW50">
        <f t="shared" si="168"/>
        <v>0</v>
      </c>
      <c r="LX50">
        <f t="shared" si="169"/>
        <v>0</v>
      </c>
      <c r="LY50">
        <f t="shared" si="170"/>
        <v>0</v>
      </c>
      <c r="LZ50">
        <f t="shared" si="171"/>
        <v>0</v>
      </c>
      <c r="MA50">
        <f t="shared" si="172"/>
        <v>0</v>
      </c>
      <c r="MB50">
        <v>0</v>
      </c>
      <c r="MC50">
        <f t="shared" si="173"/>
        <v>1</v>
      </c>
      <c r="MD50">
        <f t="shared" si="174"/>
        <v>1</v>
      </c>
      <c r="ME50">
        <f t="shared" si="175"/>
        <v>0</v>
      </c>
      <c r="MF50">
        <f t="shared" si="176"/>
        <v>0</v>
      </c>
      <c r="MG50">
        <f t="shared" si="177"/>
        <v>0</v>
      </c>
      <c r="MH50">
        <f t="shared" si="178"/>
        <v>0</v>
      </c>
      <c r="MI50" t="str">
        <f t="shared" si="179"/>
        <v/>
      </c>
      <c r="MJ50">
        <f t="shared" si="180"/>
        <v>0</v>
      </c>
      <c r="MK50">
        <f t="shared" si="181"/>
        <v>0</v>
      </c>
      <c r="ML50">
        <f>IF(AND(OR('King Node Model'!$A$8="Neg",N($BG$72)=1),ISNUMBER($AA50),$AG50="R",N($AB50)&lt;0),IF(AND($AA49=$AA50+5,N($AB49)&gt;0,$AA48=$AA50+10,N($AB48)&lt;0),1,IF(AND($AA49=$AA50+5,N($AB49)&gt;0,$AA48=$AA50+10,N($AB48)&gt;0,$AA47=$AA50+15,N($AB47)&lt;0),2,IF(AND($AA49=$AA50+5,N($AB49)&gt;0,$AA48=$AA50+10,N($AB48)&gt;0,$AA47=$AA50+15,N($AB47)&gt;0,$AA46=$AA50+20,N($AB46)&lt;0),3,IF(AND($AA49=$AA50+5,N($AB49)&gt;0,$AA48=$AA50+10,N($AB48)&gt;0,$AA47=$AA50+15,N($AB47)&gt;0,$AA46=$AA50+20,N($AB46)&gt;0,$AA45=$AA50+25,N($AB45)&lt;0),4,0)))),0)</f>
      </c>
      <c r="MM50">
        <f>IF(AND(OR('King Node Model'!$A$8="Neg",N($BG$72)=1),ISNUMBER($AA50),$AG50="S",N($AB50)&lt;0),IF(AND($AA51=$AA50-5,N($AB51)&gt;0,$AA52=$AA50-10,N($AB52)&lt;0),1,IF(AND($AA51=$AA50-5,N($AB51)&gt;0,$AA52=$AA50-10,N($AB52)&gt;0,$AA53=$AA50-15,N($AB53)&lt;0),2,IF(AND($AA51=$AA50-5,N($AB51)&gt;0,$AA52=$AA50-10,N($AB52)&gt;0,$AA53=$AA50-15,N($AB53)&gt;0,$AA54=$AA50-20,N($AB54)&lt;0),3,IF(AND($AA51=$AA50-5,N($AB51)&gt;0,$AA52=$AA50-10,N($AB52)&gt;0,$AA53=$AA50-15,N($AB53)&gt;0,$AA54=$AA50-20,N($AB54)&gt;0,$AA55=$AA50-25,N($AB55)&lt;0),4,0)))),0)</f>
      </c>
      <c r="MN50">
        <f>IF(N($ML50)&gt;0,$AA50,0)</f>
      </c>
      <c r="MO50">
        <f>IF(N($MM50)&gt;0,$AA50,0)</f>
      </c>
      <c r="MP50">
        <f>IF(AND(OR('King Node Model'!$A$8="Neg",N($BG$72)=1),ISNUMBER($BG$155),$AA50=$BG$155,N($NC50)=1),2,IF(AND(OR('King Node Model'!$A$8="Neg",N($BG$72)=1),ISNUMBER($BG$156),$AA50=$BG$156,N($ND50)=1),1,0))</f>
      </c>
      <c r="MQ50">
        <f>IF(ABS(AE50)&lt;=0,0,IF($AG50="R",IF(ISNUMBER(AE49),IF((ABS(AE49)-ABS(AE50))/ABS(AE50)&lt;-0.4,1,0),0),IF(ISNUMBER(AE51),IF((ABS(AE51)-ABS(AE50))/ABS(AE50)&lt;-0.4,1,0),0)))</f>
      </c>
      <c r="MR50">
        <f>IF(OR(N($MQ50)&lt;&gt;1,N($BG$157)&lt;&gt;1,NOT(ISNUMBER($KU50)),NOT(ISNUMBER($KV50))),0,IF(OR(AND($AG50="S",OR(AND($KU50&gt;=$BG$114,$KU50&gt;=$KV50+$BG$115),AND($KU50&gt;1,$KV50&lt;=1,$KV50&gt;=$BG$114))),AND($AG50="R",OR(AND($KV50&gt;=$BG$114,$KV50&gt;=$KU50+$BG$115),AND($KV50&gt;1,$KU50&lt;=1,$KU50&gt;=$BG$114)))),1,0))</f>
      </c>
      <c r="MS50" t="str">
        <f>IF(AND(N($MR50)=1,N($NA50)&lt;&gt;1),"• DEX falls off more sharply "&amp;IF($AG50="S","above (","below (")&amp;TEXT(IF($AG50="S",$KU50,$KV50),"0%")&amp;") than "&amp;IF($AG50="S","below (","above (")&amp;TEXT(IF($AG50="S",$KV50,$KU50),"0%")&amp;") — Dex↓ not counted",IF(N($MW50)=1,"• Shoulder of the "&amp;IF($AG50="R",$AA51,$AA49)&amp;" wall — own DEX "&amp;TEXT($AE50/1000,"+#,##0;-#,##0")&amp;"K is "&amp;TEXT(ABS($AE50)/ABS(IF($AG50="R",$AE51,$AE49)),"0%")&amp;" of "&amp;TEXT(IF($AG50="R",$AE51,$AE49)/1000,"+#,##0;-#,##0")&amp;"K, Dex↓ not counted",""))</f>
      </c>
      <c r="MT50">
        <f>IF(AND(ISNUMBER($AA50),$AG50="S",ISNUMBER($AB50),$AB50=MIN($AB$9:$AB$55),$AA50=$BG$105,$JV50="BUY",ABS(N($AD50))&gt;=$BG$158),1,0)</f>
      </c>
      <c r="MU50" t="str">
        <f>IF(N($MY50)=1,"",IF(OR(N($MT50)=1,AND(OR('King Node Model'!$A$8="Neg",N($BG$72)=1),$AG50="S",ISNUMBER($AB50),$AB50=MIN($AB$9:$AB$55),$AA50=$BG$105)),"• Min GEX + Max Zomma (no reversal flag required) — accelerant warning not applied; zomma acceleration warning only within "&amp;$BG$98&amp;" pts of the level, and not when vanna buying is "&amp;TEXT($BG$158/1000,"0")&amp;"K or more"&amp;CHAR(10)&amp;IF(N($MT50)=1,"• Max Zomma and vanna buying ("&amp;TEXT(N($AD50)/1000,"+#,##0;-#,##0")&amp;"K) make this level safe","• Max Zomma is what makes this level safe"),"")&amp;$NB50&amp;$NI50)</f>
      </c>
      <c r="MV50" t="str">
        <f>IF(AND(ISNUMBER($AA50),OR($AA50=$BG$118,$AA50=$BG$119)),IF(N($AZ50)*IF($AG50="R",1,-1)&gt;0,"✓",IF(N($AZ50)*IF($AG50="R",1,-1)&lt;0,"✗","")),"")</f>
      </c>
      <c r="MW50">
        <f>IF(AND(N($MQ50)=1,N($BG$159)&gt;0,ISNUMBER(IF($AG50="R",$AE51,$AE49)),N(IF($AG50="R",$AE51,$AE49))&lt;&gt;0),IF(ABS(N($AE50))&lt;$BG$159*ABS(IF($AG50="R",$AE51,$AE49)),1,0),0)</f>
      </c>
      <c r="MX50">
        <f>IF(AND(ISNUMBER($AA50),$AA50=$BG$121,$AG50="R",N($AE50)&lt;0,OR(COUNTIF('King Node Model'!$AL$42:$AL$44,$AA50)=0,N($HP50)=1),N($NC50)=1),2,IF(AND(ISNUMBER($AA50),$AA50=$BG$120,$AG50="S",N($AE50)&gt;0,OR(COUNTIF('King Node Model'!$AL$49:$AL$51,$AA50)=0,N($HP50)=1),N($ND50)=1),1,0))</f>
      </c>
      <c r="MY50">
        <f>IF(AND(N($NA50)=1,NOT(AND(AND($AG50="S",ISNUMBER($AB50),$AB50=MIN($AB$9:$AB$55),$AA50=$BG$105),IFERROR(INDEX($AG$9:$AG$55,MATCH('King Node Model'!$B$23,$AA$9:$AA$55,0)),"")="R")),N($AV50)&lt;&gt;1),1,0)</f>
      </c>
      <c r="MZ50" t="str">
        <f>IF(N($MY50)&lt;&gt;1,"","• DEX falls off more sharply "&amp;IF($AG50="S","above (","below (")&amp;TEXT(IF($AG50="S",$KU50,$KV50),"0%")&amp;") than "&amp;IF($AG50="S","below (","above (")&amp;TEXT(IF($AG50="S",$KV50,$KU50),"0%")&amp;") — path of least resistance "&amp;IF($AG50="S","down","up")&amp;IF(N($AZ50)*IF($AG50="R",1,-1)&lt;0,CHAR(10)&amp;"• Speed against — GEX gets more negative as price "&amp;IF($AG50="R","rises","falls")&amp;" into it (speed "&amp;TEXT(N($AZ50),"#,##0;−#,##0")&amp;")","")&amp;IF(OR(N($NG50)=1,N($JC50)=1),CHAR(10)&amp;"• "&amp;IF(N($JC50)=1,"DOM with vanna BUY "&amp;TEXT(N($AD50)/1000,"+#,##0;−#,##0")&amp;"K","Put wall + Max Zomma + DOM")&amp;" backs the level, but it does not outweigh DEX"&amp;IF(N($AZ50)*IF($AG50="R",1,-1)&lt;0," and speed",""),IF(AND($AG50="S",ISNUMBER($AB50),$AB50=MIN($AB$9:$AB$55),$AA50=$BG$105),CHAR(10)&amp;"• Min GEX + Max Zomma backs the level, but it does not outweigh DEX"&amp;IF(N($AZ50)*IF($AG50="R",1,-1)&lt;0," and speed",""),IF(OR(N($JI50)=1,AND(N($GV50)=1,N($JK50)&lt;&gt;1,N($IW50)&lt;&gt;1),N($JC50)=1,AND($AA50='King Node Model'!$F$24,N($JN50)&lt;&gt;1,OR($AG50="R",AND($AG50="S",$F$4="High",IF($BG$80&lt;&gt;"",UPPER($BG$80),$D$5)="UP")))),CHAR(10)&amp;"• Vanna "&amp;IF($AG50="S","BUY ","SELL ")&amp;TEXT(N($AD50)/1000,"+#,##0;−#,##0")&amp;"K backs the level, but it does not outweigh DEX"&amp;IF(N($AZ50)*IF($AG50="R",1,-1)&lt;0," and speed",""),"")))&amp;IF(N($NE50)=1,CHAR(10)&amp;"• Buy-lean max-node exemption not applied — DEX leans against the level",""))</f>
      </c>
      <c r="NA50">
        <f>IF(AND(OR('King Node Model'!$A$8="Neg",N($BG$72)=1),ISNUMBER($AA50),ABS(N($AE50))&gt;=$BG$152,ISNUMBER($KU50),ISNUMBER($KV50)),IF(OR(AND($AG50="S",OR(AND($KU50&gt;=$BG$114,$KU50&gt;=$KV50+$BG$115),AND($KU50&gt;1,$KV50&lt;=1,$KV50&gt;=$BG$114))),AND($AG50="R",OR(AND($KV50&gt;=$BG$114,$KV50&gt;=$KU50+$BG$115),AND($KV50&gt;1,$KU50&lt;=1,$KU50&gt;=$BG$114)))),1,0),0)</f>
      </c>
      <c r="NB50" t="str">
        <f>IF(AND(N($NA50)=1,AND(AND($AG50="S",ISNUMBER($AB50),$AB50=MIN($AB$9:$AB$55),$AA50=$BG$105),IFERROR(INDEX($AG$9:$AG$55,MATCH('King Node Model'!$B$23,$AA$9:$AA$55,0)),"")="R")),CHAR(10)&amp;"• DEX falls off more sharply above ("&amp;TEXT($KU50,"0%")&amp;") than below ("&amp;TEXT($KV50,"0%")&amp;") — DEX-lean warning not applied: Min GEX + Max Zomma support with Max Gamma "&amp;'King Node Model'!$B$23&amp;" above (Dex↓ not counted)",IF(AND(OR(N($NA50)=1,N($NF50)=1),N($AV50)=1),IF(AND(OR('King Node Model'!$A$8="Neg",N($BG$72)=1),$AG50="S",ISNUMBER($AB50),$AB50=MIN($AB$9:$AB$55),$AA50=$BG$105),CHAR(10),"")&amp;"• DEX falls off more sharply "&amp;IF($AG50="S","above (","below (")&amp;TEXT(IF($AG50="S",$KU50,$KV50),"0%")&amp;") than "&amp;IF($AG50="S","below (","above (")&amp;TEXT(IF($AG50="S",$KV50,$KU50),"0%")&amp;") — DEX lean does not apply to iDex (isolated DEX)",""))</f>
      </c>
      <c r="NC50">
        <f>IF(OR($BG$163=1,AND($BG$161&gt;0,$BG$162&lt;99999,ISNUMBER($AA50),$AA50&lt;$BG$162)),1,0)</f>
      </c>
      <c r="ND50">
        <f>IF(OR($BG$163=-1,AND($BG$161&gt;0,$BG$162&lt;99999,ISNUMBER($AA50),$AA50&gt;$BG$161)),1,0)</f>
      </c>
      <c r="NE50">
        <f>IF(AND(OR('King Node Model'!$A$8="Neg",N($BG$72)=1),ISNUMBER(SEARCH("LOW",'Master Dashboard'!$M$5)),ISNUMBER(SEARCH("BUY",'Master Dashboard'!$G$8)),'King Node Model'!$T$23='King Node Model'!$B$23,OR($AA50='King Node Model'!$T$23,AND($AG50="R",$AA50='King Node Model'!$T$23+5)),OR(AND($AG50="S",$JV50="BUY"),AND($AG50="R",$JV50="SELL"))),1,0)</f>
      </c>
      <c r="NF50">
        <f>IFERROR(IF(OR(NOT(ISNUMBER($AA50)),'King Node Model'!$A$8&lt;&gt;"Pos",N($BG$72)=1,ABS(N($AE50))&lt;$BG$113,$FA50="DOM",$AA50='King Node Model'!$T$23,AND(N($BG$116)=1,$AA50='King Node Model'!$F$24),NOT(ISNUMBER($KU50)),NOT(ISNUMBER($KV50))),0,IF(AND($AG50="S",COUNTIF('Master Dashboard'!$AN$16:$AN$18,$AA50)=0,$KU50&gt;=$BG$114,$KU50&gt;=$KV50+$BG$115,NOT(AND(N($AN51)=1,N($KV50)&lt;0)),N($AE50)&lt;=0),1,IF(AND($AG50="R",COUNTIF('Master Dashboard'!$AN$13:$AN$15,$AA50)=0,$KV50&gt;=$BG$114,$KV50&gt;=$KU50+$BG$115,NOT(AND(N($AN49)=1,N($KU50)&lt;0))),-1,0))),0)</f>
      </c>
      <c r="NG50">
        <f t="shared" si="202"/>
      </c>
      <c r="NI50" t="str">
        <f>IF(AND(ISNUMBER($BG$165),ISNUMBER($AA50)),IF(OR(AND($AG50="S",$AA50&gt;$BG$165,$AA50-$BG$165&lt;=5),AND($AG50="R",$AA50&lt;$BG$165,$BG$165-$AA50&lt;=5)),IF(OR(AND(OR('King Node Model'!$A$8="Neg",N($BG$72)=1),$AG50="S",ISNUMBER($AB50),$AB50=MIN($AB$9:$AB$55),$AA50=$BG$105),$NB50&lt;&gt;""),CHAR(10),"")&amp;"• DOM forming at "&amp;$BG$165&amp;" (gamma "&amp;TEXT($BG$166,"0%")&amp;" of max) — price may be pulled to the node",""),"")</f>
      </c>
      <c r="NJ50">
        <f>IF(LEN($NI50)&gt;0,1,0)</f>
      </c>
    </row>
    <row r="51" spans="27:349" ht="15" customHeight="1" x14ac:dyDescent="0.25">
      <c r="AA51" s="181">
        <f>'King Node Model'!A71</f>
        <v>7675</v>
      </c>
      <c r="AB51" s="276">
        <f>'King Node Model'!C71</f>
        <v>-52061</v>
      </c>
      <c r="AC51" s="181">
        <f>ABS('King Node Model'!B71)</f>
        <v>100523</v>
      </c>
      <c r="AD51" s="276">
        <f>'King Node Model'!F71</f>
        <v>239883</v>
      </c>
      <c r="AE51" s="276">
        <f>'King Node Model'!E71</f>
        <v>528971</v>
      </c>
      <c r="AF51" s="276">
        <f>'King Node Model'!D71</f>
        <v>-830726</v>
      </c>
      <c r="AG51" s="181" t="str">
        <f t="shared" si="6"/>
        <v>S</v>
      </c>
      <c r="AH51" s="181">
        <f t="shared" si="7"/>
        <v>18</v>
      </c>
      <c r="AI51" s="181" t="str">
        <f t="shared" si="8"/>
        <v>SELL</v>
      </c>
      <c r="AJ51" s="181">
        <f t="shared" si="9"/>
        <v>1</v>
      </c>
      <c r="AK51" s="181">
        <f>IF(ABS(N($AE51))&gt;=$BG$85,1,0)</f>
      </c>
      <c r="AL51" s="181">
        <f t="shared" si="10"/>
        <v>0</v>
      </c>
      <c r="AM51" s="181">
        <f t="shared" si="11"/>
        <v>2</v>
      </c>
      <c r="AN51" s="181">
        <f t="shared" si="12"/>
        <v>0</v>
      </c>
      <c r="AO51" s="1" t="str">
        <f t="shared" si="13"/>
        <v/>
      </c>
      <c r="AP51" s="1">
        <f t="shared" si="14"/>
        <v>528971</v>
      </c>
      <c r="AQ51" s="1">
        <f t="shared" si="15"/>
        <v>830726</v>
      </c>
      <c r="AR51" s="181">
        <f t="shared" si="16"/>
        <v>0.21798490776345328</v>
      </c>
      <c r="AS51" s="181">
        <f t="shared" si="17"/>
        <v>8</v>
      </c>
      <c r="AT51" s="181" t="str">
        <f t="shared" si="18"/>
        <v/>
      </c>
      <c r="AU51" s="181" t="str">
        <f t="shared" si="19"/>
        <v/>
      </c>
      <c r="AV51" s="218">
        <f t="shared" si="183"/>
        <v>0</v>
      </c>
      <c r="AW51" s="181">
        <f>ABS('King Node Model'!G71)</f>
        <v>214</v>
      </c>
      <c r="AX51" s="181">
        <f t="shared" si="20"/>
        <v>0</v>
      </c>
      <c r="AY51" s="181">
        <f t="shared" si="21"/>
        <v>0</v>
      </c>
      <c r="AZ51" s="276">
        <f>'King Node Model'!I71</f>
        <v>708</v>
      </c>
      <c r="BA51" s="181">
        <f t="shared" si="22"/>
        <v>0</v>
      </c>
      <c r="BB51" s="181" t="str">
        <f t="shared" si="23"/>
        <v>S8</v>
      </c>
      <c r="BC51" s="10">
        <f>'King Node Model'!C71</f>
        <v>-52061</v>
      </c>
      <c r="BD51" s="218">
        <f t="shared" si="184"/>
        <v>0</v>
      </c>
      <c r="BE51" s="218">
        <f t="shared" si="185"/>
        <v>0</v>
      </c>
      <c r="BF51" t="s">
        <v>2044</v>
      </c>
      <c r="BG51">
        <v>3</v>
      </c>
      <c r="BI51" s="218">
        <f t="shared" si="186"/>
        <v>0</v>
      </c>
      <c r="BJ51" s="218">
        <f t="shared" si="187"/>
        <v>0</v>
      </c>
      <c r="BK51" s="218">
        <f t="shared" si="24"/>
        <v>0</v>
      </c>
      <c r="BL51" s="10">
        <f>'King Node Model'!H71</f>
        <v>11</v>
      </c>
      <c r="BM51" s="218">
        <f t="shared" si="25"/>
        <v>32</v>
      </c>
      <c r="BN51" s="218">
        <f t="shared" si="26"/>
        <v>39</v>
      </c>
      <c r="BO51" s="218">
        <f t="shared" si="27"/>
        <v>0</v>
      </c>
      <c r="BP51" s="218">
        <f t="shared" si="28"/>
        <v>0</v>
      </c>
      <c r="BQ51" t="str">
        <f t="shared" si="29"/>
        <v/>
      </c>
      <c r="BR51" t="str">
        <f t="shared" si="30"/>
        <v/>
      </c>
      <c r="BS51" s="218">
        <f t="shared" si="31"/>
        <v>0</v>
      </c>
      <c r="BT51" t="str">
        <f t="shared" si="32"/>
        <v/>
      </c>
      <c r="BU51" t="str">
        <f t="shared" si="33"/>
        <v/>
      </c>
      <c r="BV51" s="218">
        <f t="shared" si="34"/>
        <v>239883</v>
      </c>
      <c r="BW51" s="218">
        <f t="shared" si="35"/>
        <v>528971</v>
      </c>
      <c r="BX51" s="218">
        <f>IF(AND(ISNUMBER(BC51),BC51&gt;=$BG$160,OR('King Node Model'!$A$8="Neg",N($BG$72)=1)),1,0)</f>
        <v>0</v>
      </c>
      <c r="BY51" s="218">
        <f t="shared" si="36"/>
        <v>0</v>
      </c>
      <c r="BZ51" s="218">
        <f t="shared" si="37"/>
        <v>0</v>
      </c>
      <c r="CA51" t="str">
        <f t="shared" si="38"/>
        <v/>
      </c>
      <c r="CB51" s="218">
        <f>IF(AND(ISNUMBER('King Node Model'!$D$27),AG51&lt;&gt;"",AA51='King Node Model'!$D$27),1,0)</f>
        <v>0</v>
      </c>
      <c r="CC51" s="218">
        <f>IF(OR('King Node Model'!$A$8="Neg",N($BG$72)=1),$BG$14*IF(ISNUMBER('King Node Model'!$D$26),MAX(0,1-ABS(AA51-'King Node Model'!$D$26)/$BG$18),0)+$BG$15*IFERROR(BV51/MAX($BV$9:$BV$55),0)+$BG$16*IFERROR(BW51/MAX($BW$9:$BW$55),0)+$BG$17*IFERROR(AC51/$S$11,0)*MAX(0,1+$BG$21*CF51),AR51)</f>
        <v>0.25267395955933047</v>
      </c>
      <c r="CD51" s="218">
        <f>IF(OR('King Node Model'!$A$8="Neg",N($BG$72)=1),IF(AND(AG51&lt;&gt;"",ABS(AA51-$B$4)&lt;=$BG$7,OR(AX51=0,$D$5&lt;&gt;"UP"),AY51=0,BK51&lt;&gt;1,CI51=0,AM51&gt;=$BG$20,AC51&gt;$BG$19),1,0),IF(AND(BS51=1,(COUNTIF($W$9:$W$14,AA51)+COUNTIF($W$18:$W$23,AA51))&gt;0,CI51=0,AM51&gt;=$BG$20,AC51&gt;$BG$19),1,0))</f>
        <v>0</v>
      </c>
      <c r="CE51" t="str">
        <f t="shared" si="39"/>
        <v/>
      </c>
      <c r="CF51" s="218">
        <f t="shared" si="40"/>
        <v>0</v>
      </c>
      <c r="CG51" t="str">
        <f t="shared" si="41"/>
        <v/>
      </c>
      <c r="CH51" t="str">
        <f t="shared" si="42"/>
        <v>Dormant</v>
      </c>
      <c r="CI51" s="218">
        <f t="shared" si="43"/>
        <v>0</v>
      </c>
      <c r="CJ51" s="218">
        <f t="shared" si="44"/>
        <v>387420489</v>
      </c>
      <c r="CK51" s="218">
        <f t="shared" si="45"/>
        <v>0</v>
      </c>
      <c r="CL51" s="218">
        <f t="shared" si="46"/>
        <v>0</v>
      </c>
      <c r="CR51" t="s">
        <v>1510</v>
      </c>
      <c r="CS51">
        <f>IFERROR(INDEX($AN$9:$AN$55,MATCH(IF($CS$42="R",$CS$40-5,$CS$40+5),$AA$9:$AA$55,0)),"")</f>
        <v>1</v>
      </c>
      <c r="CU51" s="218">
        <f>IF(AND(AND('King Node Model'!$A$8&lt;&gt;"Neg",N($BG$72)&lt;&gt;1),SUMPRODUCT(($AG$9:$AG$55="S")*ISNUMBER($AT$9:$AT$55)*ISNUMBER($AU$9:$AU$55)*($AT$9:$AT$55&lt;&gt;$AU$9:$AU$55)*($AT$9:$AT$55&lt;=$AA51)*($AU$9:$AU$55&gt;=$AA51))&gt;0),0,IF(AND(OR($AA51='King Node Model'!$T$22,$AA51='King Node Model'!$F$24),$AG51="R",COUNTIF($W$9:$W$14,$AA51)&gt;0),1,IF(AND($FN51=1,$EU51&lt;&gt;1,$EM51&lt;&gt;1,$BK51&lt;&gt;1,$DH51&lt;&gt;1,$AG51="R",COUNTIF($W$9:$W$14,$AA51)&gt;0),1,IF($EU51=1,0,IF($EM51=1,0,IF(AND(OR($EE51=1,$GV51=1,AND($EL$7=1,$AA51='King Node Model'!$D$26,$EI51=1),AND(OR($AA51='King Node Model'!$T$22,$AA51='King Node Model'!$T$23),$AN51=1,OR($AX51=0,$D$5&lt;&gt;"UP"))),OR(NOT(OR('King Node Model'!$A$8="Neg",N($BG$72)=1)),$GV51=1,AND(OR($AA51='King Node Model'!$T$22,$AA51='King Node Model'!$T$23),$AN51=1,OR($AX51=0,$D$5&lt;&gt;"UP")),AND($AM51&gt;=$BG$20,$AC51&gt;IF($CZ51=1,$BG$48,$BG$19)))),1,IF($DH51=1,0,IF(AND($DC51=1,$GS51&lt;&gt;1,AND('King Node Model'!$A$8&lt;&gt;"Neg",N($BG$72)&lt;&gt;1)),0,IF(AND($EY51=1,NOT(OR('King Node Model'!$A$8="Neg",$BG$72=1)),$AA51&lt;&gt;'King Node Model'!$B$23),0,IF(AND($GS51=1,$AG51="R",OR($CI51=0,$EE51=1,$EX51=1,$GV51=1),COUNTIF($W$9:$W$14,$AA51)&gt;0,ABS($AA51-$B$4)&lt;=$BG$7,$BK51&lt;&gt;1,$AM51&gt;=$BG$20,$AC51&gt;IF($CZ51=1,$BG$48,$BG$19)),1,IF(OR('King Node Model'!$A$8="Neg",N($BG$72)=1),IF(AND(OR($AM51&gt;=$BG$20,$AA51='King Node Model'!$D$26,$GV51=1),$AG51="R",COUNTIF($W$9:$W$14,$AA51)&gt;0,ABS($AA51-$B$4)&lt;=$BG$7,OR($AX51=0,$D$5&lt;&gt;"UP"),$BK51&lt;&gt;1,OR(OR($CI51=0,$AJ51=1),AND($EI51=1,$LA51=1,COUNTIF($W$9:$W$11,$AA51)&gt;0,$AN51=1,OR($AX51=0,$D$5&lt;&gt;"UP"))),$AM51&gt;=$BG$20,$AC51&gt;IF($CZ51=1,$BG$48,$BG$19),OR($AN51=1,N($LR51)=1,$AA51='King Node Model'!$D$26,AND($BY51=1,$AA51&gt;$B$4),$BX51=1,$CF51=1,$CF51=1,AND(OR($AA51=$CP$4,$AA51=$CP$5,$AA51=$CP$6,$AA51=$CP$7),ABS($AA51-$B$4)&lt;=30),AND($AX51=1,$D$5="DOWN"))),1,0),IF(AND(OR($AM51&gt;=3,$AA51='King Node Model'!$D$26,$GV51=1),$AG51="R",COUNTIF($W$9:$W$14,$AA51)&gt;0,ABS($AA51-$B$4)&lt;=$BG$7,OR($AX51=0,$D$5&lt;&gt;"UP"),$BK51&lt;&gt;1,OR($CI51=0,$AJ51=1),$AM51&gt;=$BG$20,$AC51&gt;IF($CZ51=1,$BG$48,$BG$19),OR($AC51&gt;=MAX($AC$9:$AC$55),$BC51&gt;0,$AA51='King Node Model'!$D$26,AND(OR($AA51=$CP$4,$AA51=$CP$5,$AA51=$CP$6,$AA51=$CP$7),ABS($AA51-$B$4)&lt;=30),$CF51=1,$AN51=1,AND($AX51=1,$D$5="DOWN"))),1,0))))))))))))</f>
        <v>0</v>
      </c>
      <c r="CV51" s="218">
        <f>IF(AND(OR('King Node Model'!$A$8="Neg",N($BG$72)=1),$AG51="S",N($LR51)=1,N($MB51)=1),1,IF(AND(AND('King Node Model'!$A$8&lt;&gt;"Neg",N($BG$72)&lt;&gt;1),SUMPRODUCT(($AG$9:$AG$55="R")*ISNUMBER($AT$9:$AT$55)*ISNUMBER($AU$9:$AU$55)*($AT$9:$AT$55&lt;&gt;$AU$9:$AU$55)*($AT$9:$AT$55&lt;=$AA51)*($AU$9:$AU$55&gt;=$AA51))&gt;0,NOT(AND(N($LC51)=1,$AA51='King Node Model'!$B$23))),0,IF(AND($AA51='King Node Model'!$F$24,$AG51="S",COUNTIF($W$18:$W$23,$AA51)&gt;0),1,IF(AND($FN51=1,$EU51&lt;&gt;1,$EM51&lt;&gt;1,$DH51&lt;&gt;1,$AG51="S",COUNTIF($W$18:$W$23,$AA51)&gt;0),1,IF($EU51=1,0,IF(AND(OR($EF51=1,$GV51=1,AND(OR($AA51='King Node Model'!$T$22,$AA51='King Node Model'!$T$23,AND($AG51="S",COUNTIF('Master Dashboard'!$AN$16:$AN$18,$AA51)&gt;0)),$AN51=1,OR($AX51=0,$D$5&lt;&gt;"UP"))),OR(NOT(OR('King Node Model'!$A$8="Neg",N($BG$72)=1)),$GV51=1,AND(OR($AA51='King Node Model'!$T$22,$AA51='King Node Model'!$T$23,AND($AG51="S",COUNTIF('Master Dashboard'!$AN$16:$AN$18,$AA51)&gt;0)),$AN51=1,OR($AX51=0,$D$5&lt;&gt;"UP")),AND($AM51&gt;=$BG$20,$AC51&gt;IF($CZ51=1,$BG$48,$BG$19)))),1,IF($DH51=1,0,IF(AND($DC51=1,$GS51&lt;&gt;1,AND('King Node Model'!$A$8&lt;&gt;"Neg",N($BG$72)&lt;&gt;1)),0,IF(AND($EY51=1,NOT(OR('King Node Model'!$A$8="Neg",$BG$72=1)),$AA51&lt;&gt;'King Node Model'!$B$23,COUNTIF('Master Dashboard'!$AN$16:$AN$18,$AA51)=0),0,IF(AND($GS51=1,$AG51="S",OR($CI51=0,$EF51=1,$EX51=1,$GV51=1),COUNTIF($W$18:$W$23,$AA51)&gt;0,ABS($AA51-$B$4)&lt;=$BG$7,$BK51&lt;&gt;1,$AM51&gt;=$BG$20,$AC51&gt;IF($CZ51=1,$BG$48,$BG$19)),1,IF(OR('King Node Model'!$A$8="Neg",N($BG$72)=1),IF(AND(OR(OR($AM51&gt;=$BG$20,N($LR51)=1),$AA51='King Node Model'!$D$26,$GV51=1),$AG51="S",COUNTIF($W$18:$W$23,$AA51)&gt;0,ABS($AA51-$B$4)&lt;=$BG$7,OR($AX51=0,$D$5&lt;&gt;"UP"),$BK51&lt;&gt;1,OR($CI51=0,$AJ51=1,AND(N($LR51)=1,N($MB51)=1),N($MT51)=1),OR($AM51&gt;=$BG$20,N($LR51)=1),$AC51&gt;IF($CZ51=1,$BG$48,$BG$19),OR($AB51&gt;0,$AN51=1,N($MT51)=1,N($LR51)=1,$AA51='King Node Model'!$D$26,AND($BY51=1,$AA51&lt;$B$4),$BX51=1,$CF51=1,$CF51=1,AND(OR($AA51=$CP$4,$AA51=$CP$5,$AA51=$CP$6,$AA51=$CP$7),ABS($AA51-$B$4)&lt;=30),AND($AX51=1,$D$5="DOWN"))),1,0),IF(AND(OR($AM51&gt;=3,$AA51='King Node Model'!$D$26,$GV51=1),$AG51="S",COUNTIF($W$18:$W$23,$AA51)&gt;0,ABS($AA51-$B$4)&lt;=$BG$7,OR($AX51=0,$D$5&lt;&gt;"UP"),$BK51&lt;&gt;1,OR($CI51=0,$AJ51=1,AND(N($LR51)=1,N($MB51)=1),N($MT51)=1),$AM51&gt;=$BG$20,$AC51&gt;IF($CZ51=1,$BG$48,$BG$19),OR($AC51&gt;=MAX($AC$9:$AC$55),$BC51&gt;0,N($MT51)=1,$AA51='King Node Model'!$D$26,AND(OR($AA51=$CP$4,$AA51=$CP$5,$AA51=$CP$6,$AA51=$CP$7),ABS($AA51-$B$4)&lt;=30),$CF51=1,$AN51=1,AND($AX51=1,$D$5="DOWN"))),1,0))))))))))))</f>
        <v>0</v>
      </c>
      <c r="CX51" s="218">
        <f t="shared" si="48"/>
        <v>0</v>
      </c>
      <c r="CY51" t="str">
        <f t="shared" si="49"/>
        <v/>
      </c>
      <c r="CZ51" s="218">
        <f t="shared" si="50"/>
        <v>0</v>
      </c>
      <c r="DA51" t="str">
        <f t="shared" si="51"/>
        <v/>
      </c>
      <c r="DB51" t="str">
        <f t="shared" si="52"/>
        <v/>
      </c>
      <c r="DC51" s="218">
        <f t="shared" si="53"/>
        <v>0</v>
      </c>
      <c r="DD51" s="218">
        <f t="shared" si="54"/>
        <v>0</v>
      </c>
      <c r="DE51" s="218">
        <f t="shared" si="55"/>
        <v>0</v>
      </c>
      <c r="DF51" t="str">
        <f t="shared" si="56"/>
        <v/>
      </c>
      <c r="DG51" t="str">
        <f t="shared" si="57"/>
        <v/>
      </c>
      <c r="DH51" s="218">
        <f t="shared" si="58"/>
        <v>0</v>
      </c>
      <c r="DI51">
        <v>1</v>
      </c>
      <c r="DJ51">
        <v>1</v>
      </c>
      <c r="DK51">
        <v>538050</v>
      </c>
      <c r="DL51">
        <v>0</v>
      </c>
      <c r="DM51" t="str">
        <f>IF(AND($CV51=1,$AG51="S"),IF(AND(OR('King Node Model'!$A$8="Neg",N($BG$72)=1),'King Node Model'!$S$52=""),IF(OR(N($AN51)=1,N($LR51)=1,$AB51&gt;0,$AJ51=1,N($JO51)=1,AND(NOT($AE51&gt;0),NOT(IFERROR(AND(ISNUMBER($BC51),ISNUMBER($BC50),($BC51&gt;=0)&lt;&gt;($BC50&gt;=0)),FALSE())),OR(AND($BM51&lt;=6,$BN51&lt;=6),ABS($AA51-'King Node Model'!$T$23)&lt;=5,$LA51=1))),1,0),1),"")</f>
        <v/>
      </c>
      <c r="DN51" t="str">
        <f t="shared" si="59"/>
        <v/>
      </c>
      <c r="DO51" t="str">
        <f t="shared" si="60"/>
        <v>W-list</v>
      </c>
      <c r="DP51" t="str">
        <f>IF(AND(OR('King Node Model'!$A$8="Neg",N($BG$72)=1),$AG51="S",ISNUMBER($AT51),ISNUMBER($AU51),$AT51&lt;&gt;$AU51,$AA51=$AT51),IF(AND(SUMPRODUCT(($AA$9:$AA$55&gt;=$AT51)*($AA$9:$AA$55&lt;=$AU51)*($AB$9:$AB$55&gt;0))&gt;0,SUMPRODUCT(($AA$9:$AA$55&gt;=$AT51)*($AA$9:$AA$55&lt;=$AU51)*($DM$9:$DM$55=1))&gt;0,SUMPRODUCT(($AA$9:$AA$55&gt;=$AT51)*($AA$9:$AA$55&lt;=$AU51)*(COUNTIF($W$18:$W$20,$AA$9:$AA$55)&gt;0))&gt;0),1,0),"")</f>
        <v/>
      </c>
      <c r="DS51">
        <v>0</v>
      </c>
      <c r="DT51">
        <v>0</v>
      </c>
      <c r="DU51" t="str">
        <f>IF('King Node Model'!$A$8&lt;&gt;"Pos","",IF(OR($AA51="",NOT(ISNUMBER($AA51)),ABS($AA51-$B$4)&gt;$BG$7),"",TEXT($AA51,"0")&amp;" | "&amp;IF($AG51="","unclassified",IF($AG51&lt;&gt;IF($AA51&gt;$B$4,"R","S"),"orphan: in "&amp;$AG51&amp;"-list, "&amp;IF($AA51&lt;$B$4,"below","above")&amp;" spot",IF(IF($AG51="R",COUNTIF($W$9:$W$14,$AA51),COUNTIF($W$18:$W$23,$AA51))=0,"not in "&amp;$AG51&amp;"-list",IF($DH51=1,"absorbed into shelf box",IF($BK51=1,"absorbed: adjacent reversal",IF($CI51=1,"accel-accelerant",IF($AC51&lt;=$BG$19,"below gamma-floor",IF($AM51&lt;$BG$20,"confluence "&amp;TEXT($AM51,"0")&amp;" &lt; "&amp;TEXT($BG$20,"0"),IF(AND($AX51=1,$D$5="UP"),"accelerant in up-move",IF(NOT(OR($AC51&gt;=MAX($AC$9:$AC$55),$BC51&gt;0,$AA51='King Node Model'!$D$26,AND(OR($AA51=$CP$4,$AA51=$CP$5,$AA51=$CP$6,$AA51=$CP$7),ABS($AA51-$B$4)&lt;=30),ISNUMBER(SEARCH("STRENGTHENING",$CG51)),$AN51=1,AND($AX51=1,$D$5="DOWN"))),"no surface flag","-&gt; qualifies"))))))))))))</f>
        <v/>
      </c>
      <c r="DV51" s="218">
        <f t="shared" si="61"/>
        <v>99999</v>
      </c>
      <c r="DW51" s="218">
        <f t="shared" si="62"/>
        <v>99999</v>
      </c>
      <c r="DX51" t="str">
        <f>IF('King Node Model'!$A$8&lt;&gt;"Pos","",IF(AND($DV51&lt;99999,$DV51=MIN($DV$9:$DV$55),$DG51&gt;$AA51),"R-box: "&amp;TEXT($AA51,"0")&amp;"-"&amp;TEXT($DG51,"0"),IF(AND($DW51&lt;99999,$DW51=MIN($DW$9:$DW$55),$DF51&lt;$AA51),"S-box: "&amp;TEXT($DF51,"0")&amp;"-"&amp;TEXT($AA51,"0"),"")))</f>
        <v/>
      </c>
      <c r="EB51">
        <f t="shared" si="63"/>
        <v>100.39000000000033</v>
      </c>
      <c r="EC51">
        <f t="shared" si="64"/>
        <v>538591</v>
      </c>
      <c r="ED51">
        <f t="shared" si="65"/>
        <v>0</v>
      </c>
      <c r="EE51">
        <f>IF(AND(OR('King Node Model'!$A$8="Neg",N($BG$72)=1),$AG51="R",ISNUMBER($EB51),$EB51&lt;=$BG$7,$AB51&gt;0,$EC51&gt;0,$AB51=$EC51),1,0)</f>
        <v>0</v>
      </c>
      <c r="EF51">
        <f>IF(AND(OR('King Node Model'!$A$8="Neg",N($BG$72)=1),$AG51="S",ISNUMBER($EB51),$EB51&lt;=$BG$7,$AB51&gt;0,$ED51&gt;0,$AB51=$ED51),1,0)</f>
        <v>0</v>
      </c>
      <c r="EI51">
        <v>1</v>
      </c>
      <c r="EJ51">
        <f>IF($AA51="",0,IF(SUMPRODUCT(($AA$9:$AA$55&gt;=$AT51)*($AA$9:$AA$55&lt;=$AU51)*($DT$9:$DT$55=1))+SUMPRODUCT(($DT$9:$DT$55=1)*($AT$9:$AT$55&lt;=$AA51)*($AU$9:$AU$55&gt;=$AA51))+($DT51=1)+AND(OR('King Node Model'!$A$8="Neg",N($BG$72)=1),ISNUMBER(SEARCH("LOW",'Master Dashboard'!$M$5)),ISNUMBER(SEARCH("BUY",'Master Dashboard'!$G$8)),'King Node Model'!$T$23='King Node Model'!$B$23,$AA51&gt;='King Node Model'!$T$23,$AA51&lt;='King Node Model'!$T$23+5)*1&gt;0,1,0))</f>
        <v>0</v>
      </c>
      <c r="EM51">
        <f t="shared" si="66"/>
        <v>0</v>
      </c>
      <c r="EN51">
        <v>0</v>
      </c>
      <c r="EO51">
        <f t="shared" si="67"/>
        <v>0</v>
      </c>
      <c r="EP51">
        <f t="shared" si="68"/>
        <v>0</v>
      </c>
      <c r="EQ51" t="str">
        <f t="shared" si="69"/>
        <v>thinning the floor (magnitude weak)</v>
      </c>
      <c r="ES51" t="str">
        <f>IF(AND(ISNUMBER(AA51),ISNUMBER(AF51),ABS(AA51-'King Node Model'!$B$4)&lt;=$BG$7),ABS(AF51),"")</f>
        <v/>
      </c>
      <c r="ET51">
        <v>0</v>
      </c>
      <c r="EU51" s="218">
        <f>IF(AND(OR('King Node Model'!$A$8="Neg",N($BG$72)=1),ISNUMBER($AA50),ISNUMBER($AA51),ISNUMBER($AA52),ISNUMBER($AB50),ISNUMBER($AB51),ISNUMBER($AB52),ISNUMBER($AF51),$AB51&gt;0,$AB50&lt;0,$AB52&lt;0,$AF51&lt;0),1,0)</f>
        <v>0</v>
      </c>
      <c r="EW51">
        <f>IF(OR(N($MY51)=1,N($JM51)=1),0,N($NE51))</f>
        <v>0</v>
      </c>
      <c r="EX51">
        <f>IF(AND(OR('King Node Model'!$A$8="Neg",N($BG$72)=1),ISNUMBER($AA51),OR(AND($AA51='King Node Model'!$F$24,OR(AND($AG51="S",$F$4="High",IF($BG$80&lt;&gt;"",UPPER($BG$80),$D$5)="DOWN"),AND($AG51="R",$F$4="Low",IF($BG$80&lt;&gt;"",UPPER($BG$80),$D$5)="UP"))),$GV51=1)),1,0)</f>
        <v>0</v>
      </c>
      <c r="EY51">
        <f>IFERROR(IF(AND($DC51=1,$AB51&lt;0,$AC51&gt;=(1+$FA$6)*INDEX($AC$9:$AC$55,43-1),$AC51&gt;=(1+$FA$6)*INDEX($AC$9:$AC$55,43+1),$AC51&gt;=IFERROR(INDEX($AC$9:$AC$55,43-2),0),$AC51&gt;=IFERROR(INDEX($AC$9:$AC$55,43+2),0)),1,0),0)</f>
        <v>0</v>
      </c>
      <c r="FA51" t="str">
        <f>IF(NOT(ISNUMBER($AA51)),"",IFERROR(IF(AND($AC51=MAX($AC$9:$AC$55),$AB51=MIN($AB$9:$AB$55)),"DOM",IF(AND($DC50=1,$DC51=1,$DC52=1,INDEX($AC$9:$AC$55,43-1)&lt;=(1-$FA$6)*$AC51,INDEX($AC$9:$AC$55,43-1)&lt;=(1-$FA$6)*INDEX($AC$9:$AC$55,43-2)),"GAP↑",IF(AND($DC52=1,$DC51=1,INDEX($AC$9:$AC$55,43+1)&lt;=(1-$FA$6)*$AC51,INDEX($AC$9:$AC$55,43+1)&lt;=(1-$FA$6)*INDEX($AC$9:$AC$55,43+2)),"GAP↓",IF($CZ51=1,"dEdge Cliff",IF($GY51=1,"γWall",IF(AND($DC51=1,$AB51&lt;0,$AC51&gt;=(1+$FA$6)*INDEX($AC$9:$AC$55,43-1),$AC51&gt;=(1+$FA$6)*INDEX($AC$9:$AC$55,43+1)),"PEAK-",IF($GZ51=1,"γSh Edge",IF($HL51=1,"Trough",IF($HN51=1,"PEAK+",IF($GF51=1,"Cluster","")))))))))),""))</f>
        <v/>
      </c>
      <c r="FB51" t="str">
        <f t="shared" si="70"/>
        <v/>
      </c>
      <c r="FC51" t="str">
        <f t="shared" si="71"/>
        <v/>
      </c>
      <c r="FD51">
        <f>IF(AND(ISNUMBER($AA51),ISNUMBER('King Node Model'!$AP$17),ISNUMBER('King Node Model'!$AQ$17),$AA51&gt;=MIN('King Node Model'!$AP$17,'King Node Model'!$AQ$17),$AA51&lt;=MAX('King Node Model'!$AP$17,'King Node Model'!$AQ$17),IFERROR(INDEX($AC$9:$AC$55,MATCH('King Node Model'!$AL$42,$AA$9:$AA$55,0)),0)&gt;0,$AC51&gt;=(1-$FA$6)*IFERROR(INDEX($AC$9:$AC$55,MATCH('King Node Model'!$AL$42,$AA$9:$AA$55,0)),0),$AC51&lt;=(1+$FA$6)*IFERROR(INDEX($AC$9:$AC$55,MATCH('King Node Model'!$AL$42,$AA$9:$AA$55,0)),0)),1,0)</f>
        <v>0</v>
      </c>
      <c r="FE51">
        <f>IF($AA51='King Node Model'!$AL$42,1,IF(AND($FD51=1,$FE50=1),1,0))</f>
        <v>0</v>
      </c>
      <c r="FF51">
        <f>IF($AA51='King Node Model'!$AL$42,1,IF(AND($FD51=1,$FF52=1),1,0))</f>
        <v>0</v>
      </c>
      <c r="FG51" t="str">
        <f>IF(OR($FE51=1,$FF51=1),43,"")</f>
        <v/>
      </c>
      <c r="FJ51">
        <f>IF(AND($CW$2=1,ISNUMBER($AA51),ISNUMBER($CW$3),ISNUMBER($CW$4),$AA51&gt;=MIN($CW$3,$CW$4),$AA51&lt;=MAX($CW$3,$CW$4),IFERROR(INDEX($AC$9:$AC$55,MATCH('King Node Model'!$AP$67,$AA$9:$AA$55,0)),0)&gt;0,$AC51&gt;=(1-$FA$6)*IFERROR(INDEX($AC$9:$AC$55,MATCH('King Node Model'!$AP$67,$AA$9:$AA$55,0)),0),$AC51&lt;=(1+$FA$6)*IFERROR(INDEX($AC$9:$AC$55,MATCH('King Node Model'!$AP$67,$AA$9:$AA$55,0)),0)),1,0)</f>
        <v>0</v>
      </c>
      <c r="FK51">
        <f>IF(AND($CW$2=1,$AA51='King Node Model'!$AP$67),1,IF(AND($FJ51=1,$FK50=1),1,0))</f>
        <v>0</v>
      </c>
      <c r="FL51">
        <f>IF(AND($CW$2=1,$AA51='King Node Model'!$AP$67),1,IF(AND($FJ51=1,$FL52=1),1,0))</f>
        <v>0</v>
      </c>
      <c r="FM51" t="str">
        <f>IF(OR($FK51=1,$FL51=1),43,"")</f>
        <v/>
      </c>
      <c r="FN51">
        <v>0</v>
      </c>
      <c r="FR51" t="str">
        <f t="shared" si="72"/>
        <v/>
      </c>
      <c r="FS51">
        <f t="shared" si="188"/>
        <v>0</v>
      </c>
      <c r="FT51">
        <f t="shared" si="73"/>
        <v>-0.51790137580454221</v>
      </c>
      <c r="FU51">
        <f t="shared" si="74"/>
        <v>100523</v>
      </c>
      <c r="FV51" t="str">
        <f>IF($FW51=0,"",IF(OR($FW50=0,SIGN(IFERROR($BC51*1,0))&lt;&gt;SIGN(IFERROR($BC50*1,0)),$GH51=1,$GH50=1),MAX($FV$9:$FV50)+1,$FV50))</f>
        <v/>
      </c>
      <c r="FW51">
        <f t="shared" si="75"/>
        <v>0</v>
      </c>
      <c r="FX51" t="str">
        <f t="shared" si="76"/>
        <v/>
      </c>
      <c r="FY51">
        <f t="shared" si="77"/>
        <v>0</v>
      </c>
      <c r="FZ51">
        <f t="shared" si="189"/>
        <v>0</v>
      </c>
      <c r="GA51">
        <f t="shared" si="78"/>
        <v>0</v>
      </c>
      <c r="GB51" t="str">
        <f t="shared" si="79"/>
        <v/>
      </c>
      <c r="GC51" t="str">
        <f t="shared" si="80"/>
        <v/>
      </c>
      <c r="GD51" t="str">
        <f t="shared" si="81"/>
        <v/>
      </c>
      <c r="GE51" t="str">
        <f t="shared" si="82"/>
        <v/>
      </c>
      <c r="GF51">
        <f t="shared" si="83"/>
        <v>0</v>
      </c>
      <c r="GH51">
        <f>IFERROR(IF(AND($AC51&gt;=(1+$FA$6)*INDEX($AC$9:$AC$55,43-1),$AC51&gt;=(1+$FA$6)*INDEX($AC$9:$AC$55,43+1)),1,0),0)</f>
        <v>0</v>
      </c>
      <c r="GK51">
        <v>0</v>
      </c>
      <c r="GO51">
        <v>0</v>
      </c>
      <c r="GP51">
        <v>0</v>
      </c>
      <c r="GQ51">
        <f t="shared" si="84"/>
        <v>0</v>
      </c>
      <c r="GR51">
        <f t="shared" si="85"/>
        <v>0</v>
      </c>
      <c r="GS51">
        <f>IF(AND($EY51=1,$AA51&lt;&gt;'King Node Model'!$B$23),0,IF(OR($GQ51=1,$GR51=1),1,IF($DC51=1,IF(OR('King Node Model'!$A$8="Neg",N($BG$72)=1),IF(OR(AND($AC51=MAX($AC$9:$AC$55),$AB51=MIN($AB$9:$AB$55)),$AN51=1,$EE51=1,$EF51=1,$EX51=1,$GV51=1),1,0),1),0)))</f>
        <v>0</v>
      </c>
      <c r="GT51">
        <f>IFERROR(IF(AND(OR('King Node Model'!$A$8="Neg",N($BG$72)=1),$EU50=1,$AG51="R",ISNUMBER($AA51),ISNUMBER($AF51),$AF51&lt;&gt;0,$AA51&gt;$B$4-$BG$9,$AA51-$B$4&lt;=$BG$47,IF($KC51="UP",SIGN($AF51),IF($KC51="DOWN",-SIGN($AF51),0))&lt;&gt;1),1,0),0)</f>
        <v>0</v>
      </c>
      <c r="GU51" t="str">
        <f t="shared" si="86"/>
        <v/>
      </c>
      <c r="GV51">
        <f t="shared" si="87"/>
        <v>0</v>
      </c>
      <c r="GW51" t="str">
        <f t="shared" si="88"/>
        <v/>
      </c>
      <c r="GX51">
        <f t="shared" si="89"/>
        <v>100.39000000000033</v>
      </c>
      <c r="GY51">
        <f t="shared" si="90"/>
        <v>0</v>
      </c>
      <c r="GZ51">
        <f t="shared" si="91"/>
        <v>0</v>
      </c>
      <c r="HA51">
        <v>0</v>
      </c>
      <c r="HF51">
        <f>IFERROR(IF(AND($GZ51=1,'King Node Model'!$A$8="Pos",$D$5="UP",$CF51=-1,$AJ51&lt;&gt;1),1,0),0)</f>
        <v>0</v>
      </c>
      <c r="HG51">
        <f t="shared" si="92"/>
        <v>0</v>
      </c>
      <c r="HH51" t="str">
        <f>IF($GZ51=1,"",IFERROR(IF(NOT(ISNUMBER($AA51)),"",IF($EY51=1,"",IF($GF51=1,IF($GD51=$GE51,"",$GD51),IF(OR(AND($DC50=1,$DC51=1,$DC52=1,INDEX($AC$9:$AC$55,43-1)&lt;=(1-$FA$6)*$AC51,INDEX($AC$9:$AC$55,43-1)&lt;=(1-$FA$6)*INDEX($AC$9:$AC$55,43-2)),AND($DC52=1,$DC51=1,INDEX($AC$9:$AC$55,43+1)&lt;=(1-$FA$6)*$AC51,INDEX($AC$9:$AC$55,43+1)&lt;=(1-$FA$6)*INDEX($AC$9:$AC$55,43+2)),AND($DC51=1,OR(INDEX($DC$9:$DC$55,43-1)=0,INDEX($DC$9:$DC$55,43+1)=0))),IF(MIN($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MAX($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MIN($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f>
        <v/>
      </c>
      <c r="HI51" t="str">
        <f>IF($GZ51=1,"",IFERROR(IF(NOT(ISNUMBER($AA51)),"",IF($EY51=1,"",IF($GF51=1,IF($GD51=$GE51,"",$GE51),IF(OR(AND($DC50=1,$DC51=1,$DC52=1,INDEX($AC$9:$AC$55,43-1)&lt;=(1-$FA$6)*$AC51,INDEX($AC$9:$AC$55,43-1)&lt;=(1-$FA$6)*INDEX($AC$9:$AC$55,43-2)),AND($DC52=1,$DC51=1,INDEX($AC$9:$AC$55,43+1)&lt;=(1-$FA$6)*$AC51,INDEX($AC$9:$AC$55,43+1)&lt;=(1-$FA$6)*INDEX($AC$9:$AC$55,43+2)),AND($DC51=1,OR(INDEX($DC$9:$DC$55,43-1)=0,INDEX($DC$9:$DC$55,43+1)=0))),IF(MIN($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MAX($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MAX($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f>
        <v/>
      </c>
      <c r="HL51">
        <f t="shared" si="93"/>
        <v>0</v>
      </c>
      <c r="HM51">
        <f>IFERROR(IF(AND($HL51=1,NOT(OR($AA51='King Node Model'!$T$22,$AA51='King Node Model'!$T$23,$AA51='King Node Model'!$F$24,AND($AG51="S",COUNTIF('Master Dashboard'!$AN$16:$AN$18,$AA51)&gt;0),AND($AG51="R",COUNTIF('Master Dashboard'!$AN$13:$AN$15,$AA51)&gt;0)))),1,0),0)</f>
        <v>0</v>
      </c>
      <c r="HN51">
        <f t="shared" si="94"/>
        <v>0</v>
      </c>
      <c r="HO51">
        <f t="shared" si="95"/>
        <v>0</v>
      </c>
      <c r="HP51">
        <f t="shared" si="96"/>
        <v>1</v>
      </c>
      <c r="HQ51" t="str">
        <f>IF(NOT(ISNUMBER($AA51)),"",IFERROR(TRIM(IF(N($MY51)=1,"DEXLEAN ","")&amp;IF(N($IZ51)=1,"DEXCAP ","")&amp;IF(AND($AG51="S",UPPER('King Node Model'!$L$5)="HIGH",$KC51="DOWN",N($AF51)&gt;0,$AA51='King Node Model'!$AN$70,$IY51="SELL"),"CHOPEDGEIV ","")&amp;IF(N($IS51)=1,"NOREV ","")&amp;IF(N($JY51)=1,"VFLAT ","")&amp;IF(N($KR51)=1,"GDEXVANNA ","")&amp;IF(N($LD51)=1,"KGSUPFAIL ","")&amp;IF(N($LE51)=1,"KGRESLEAK ","")&amp;IF(N($MH51)=1,"ZIGZAG ","")&amp;IF(N($KK51)=1,"DATAGAP ","")&amp;IF(N($KA51)&lt;&gt;0,"ACCUNDERCW ","")&amp;IF(AND($AG51="S",$HF51=1),"EDGE ","")&amp;IF(AND($HM51=1,'King Node Model'!$A$8="Pos",N($BG$72)&lt;&gt;1),"TROUGH ","")&amp;IF(AND($EU51=1,N($JZ51)&lt;&gt;1),"BUMP ","")&amp;IF(AND($GT51=1,N($JZ51)&lt;&gt;1),"SANDWICH ","")&amp;IF(AND($EX51&lt;&gt;1,OR('King Node Model'!$A$8="Neg",N($BG$72)=1),OR(AND(ISNUMBER($AC51),$AC51=MAX($AC$9:$AC$55)),AND(ISNUMBER($AB51),$AB51=MIN($AB$9:$AB$55))),NOT(AND(AND(ISNUMBER($AC51),$AC51=MAX($AC$9:$AC$55)),AND(ISNUMBER($AB51),$AB51=MIN($AB$9:$AB$55)))),$AG51="S",N($AB51)&lt;0,NOT(COUNTIF('Master Dashboard'!$AN$16:$AN$18,$AA51)&gt;0),NOT(AND(OR('King Node Model'!$A$8="Neg",N($BG$72)=1),ISNUMBER($AB51),$AB51=MIN($AB$9:$AB$55),$AA51=$BG$105))),"ACCEL ","")&amp;IF(AND($EX51&lt;&gt;1,ISNUMBER($AA51),OR('King Node Model'!$A$8="Neg",N($BG$72)=1),$EY51=1,NOT(AND($AG51="S",COUNTIF('Master Dashboard'!$AN$16:$AN$18,$AA51)&gt;0)),NOT(AND($AA51='King Node Model'!$B$23,IF($AG51="S",OR($AA51='King Node Model'!$C$24,COUNTIF('Master Dashboard'!$AN$16:$AN$18,$AA51)&gt;0),OR($AA51='King Node Model'!$C$23,COUNTIF('Master Dashboard'!$AN$13:$AN$15,$AA51)&gt;0)))),NOT(AND($EX51&lt;&gt;1,OR('King Node Model'!$A$8="Neg",N($BG$72)=1),OR(AND(ISNUMBER($AC51),$AC51=MAX($AC$9:$AC$55)),AND(ISNUMBER($AB51),$AB51=MIN($AB$9:$AB$55))),NOT(AND(AND(ISNUMBER($AC51),$AC51=MAX($AC$9:$AC$55)),AND(ISNUMBER($AB51),$AB51=MIN($AB$9:$AB$55)))),$AG51="S",N($AB51)&lt;0,NOT(COUNTIF('Master Dashboard'!$AN$16:$AN$18,$AA51)&gt;0)))),"AMPLIFY ","")&amp;IF(AND($AG51="S",OR('King Node Model'!$A$8="Neg",N($BG$72)=1),$AJ51&lt;&gt;1,N($MT51)&lt;&gt;1,NOT(AND(N($LR51)=1,N($MB51)=1)),ISNUMBER(SEARCH("ACCEL building",$CG51))),"ZACCEL ","")&amp;IF(AND($AG51="S",OR('King Node Model'!$A$8="Neg",N($BG$72)=1),$AA51='King Node Model'!$B$23,NOT(AND(AND(ISNUMBER($AC51),$AC51=MAX($AC$9:$AC$55)),AND(ISNUMBER($AB51),$AB51=MIN($AB$9:$AB$55)))),$EJ51&lt;&gt;1),"KINGACC ","")&amp;IF(AND($AG51="S",OR('King Node Model'!$A$8="Neg",N($BG$72)=1),ABS(N($AA51)-N('King Node Model'!$B$23))&lt;=$BG$107,NOT(AND(SUMPRODUCT((ABS($AF$9:$AF$55)&lt;=ABS(N($AF51)))*1)/COUNT($AF$9:$AF$55)&gt;=0.66,OR(ISNUMBER(SEARCH("firmer resistance",$CG51)),ISNUMBER(SEARCH("STRENGTHENING",$CG51)),ISNUMBER(SEARCH("firmer support",$CG51))))),NOT(AND(N($AB51)&gt;0,SUMPRODUCT((ABS($AB$9:$AB$55)&lt;=ABS(N($AB51)))*1)/COUNT($AB$9:$AB$55)&gt;=0.66)),$EJ51&lt;&gt;1,$AJ51&lt;&gt;1,COUNTIF('Master Dashboard'!$AN$16:$AN$18,$AA51)=0,NOT(AND($AG51="S",OR('King Node Model'!$A$8="Neg",N($BG$72)=1),$AA51='King Node Model'!$B$23,NOT(AND(AND(ISNUMBER($AC51),$AC51=MAX($AC$9:$AC$55)),AND(ISNUMBER($AB51),$AB51=MIN($AB$9:$AB$55)))),$EJ51&lt;&gt;1))),"KINGNODE ","")&amp;IF(AND($AG51="R",NOT(AND(AND(ISNUMBER($AC51),$AC51=MAX($AC$9:$AC$55)),AND(ISNUMBER($AB51),$AB51=MIN($AB$9:$AB$55)))),UPPER('King Node Model'!$L$5)="LOW",$KC51="DOWN",N($AF51)&gt;0),"LOWIVFALL ","")&amp;IF(AND($AG51="R",NOT(AND(AND(ISNUMBER($AC51),$AC51=MAX($AC$9:$AC$55)),AND(ISNUMBER($AB51),$AB51=MIN($AB$9:$AB$55)))),UPPER('King Node Model'!$L$5)="HIGH",$KC51="DOWN",N($AF51)&gt;0,IFERROR(MATCH($AA51,$W$9:$W$14,0)&gt;=4,FALSE)),"HIGHIVFALL ","")&amp;IF(AND($AG51="R",N($BG$99)=1),"SPOTUPVOLUP ","")&amp;IF(AND($AG51="R",ISNUMBER(SEARCH("5/5",'Master Dashboard'!$E$29)),OR(ISNUMBER(SEARCH("WEAKENING",$EQ51)),ISNUMBER(SEARCH("Pos gamma ↓",$EQ51)),ISNUMBER(SEARCH("thinning the ceiling",$EQ51)))),"SQUEEZE ","")&amp;IF(N($JU51)=1,"DEDGECLIFF ","")&amp;IF(N($KT51)=1,"DEXDRAIN ","")&amp;IF(N($HW51)&lt;&gt;0,"DEXDROP ","")&amp;IF(N($HX51)&lt;&gt;0,"PEAK+ ","")&amp;IF(N($IF51)=1,"CHOP ","")&amp;IF(N($IQ51)=1,"CONTESTED ","")&amp;IF(N($IW51)=1,"VSELL ","")&amp;IF(N($JK51)=1,"VBUYRES ","")&amp;IF(N($JL51)=1,"DOMFLAT ","")&amp;IF(N($JM51)=1,"DOMPULL ","")&amp;IF(N($JP51)=1,"OIZOMMA ","")&amp;IF(AND(N($JQ51)=1,N($JZ51)&lt;&gt;1),"OIDEX ","")),""))</f>
        <v>NOREV VSELL</v>
      </c>
      <c r="HS51">
        <f>IFERROR(IF(AND($DC51=1,OR(AND($AG51="R",INDEX($DC$9:$DC$55,42)=0,INDEX($DC$9:$DC$55,44)=1,INDEX($DC$9:$DC$55,45)=1),AND($AG51="S",INDEX($DC$9:$DC$55,44)=0,INDEX($DC$9:$DC$55,42)=1,INDEX($DC$9:$DC$55,41)=1))),1,0),0)</f>
        <v>0</v>
      </c>
      <c r="HT51">
        <f t="shared" si="97"/>
        <v>0</v>
      </c>
      <c r="HU51">
        <v>0</v>
      </c>
      <c r="HV51">
        <v>0</v>
      </c>
      <c r="HW51">
        <f>IFERROR(IF(OR(NOT(ISNUMBER($AA51)),'King Node Model'!$A$8&lt;&gt;"Pos",N($BG$72)=1,ABS(N($AE51))&lt;$BG$113,N($AV51)=1,$FA51="DOM",$AA51='King Node Model'!$T$23,AND(N($BG$116)=1,$AA51='King Node Model'!$F$24),NOT(ISNUMBER($KU51)),NOT(ISNUMBER($KV51))),0,IF(AND($AG51="S",COUNTIF('Master Dashboard'!$AN$16:$AN$18,$AA51)=0,$KU51&gt;=$BG$114,$KU51&gt;=$KV51+$BG$115,NOT(AND(N($AN52)=1,N($KV51)&lt;0)),N($AE51)&lt;=0),1,IF(AND($AG51="R",COUNTIF('Master Dashboard'!$AN$13:$AN$15,$AA51)=0,$KV51&gt;=$BG$114,$KV51&gt;=$KU51+$BG$115,NOT(AND(N($AN50)=1,N($KU51)&lt;0))),-1,0))),0)</f>
        <v>0</v>
      </c>
      <c r="HX51">
        <f>IFERROR(IF(AND(ISNUMBER($AA51),$FA51="PEAK+",N($AN51)&lt;&gt;1,NOT(AND('King Node Model'!$A$8="Pos",OR($AA51='King Node Model'!$T$22,$AA51='King Node Model'!$T$23,$AA51='King Node Model'!$F$24))),IF($AG51="S",COUNTIF('Master Dashboard'!$AN$16:$AN$18,$AA51)=0,IF($AG51="R",COUNTIF('Master Dashboard'!$AN$13:$AN$15,$AA51)=0,FALSE))),1,0),0)</f>
        <v>0</v>
      </c>
      <c r="HY51">
        <f t="shared" si="98"/>
        <v>-3.417773954583796</v>
      </c>
      <c r="HZ51">
        <v>0</v>
      </c>
      <c r="IA51">
        <f>IFERROR(IF(AND(IF($BG$44=1,OR(ISNUMBER(SEARCH("Choppy",'King Node Model'!$S$38)),'King Node Model'!$S$52&lt;&gt;"",'King Node Model'!$A$8="Pos"),TRUE()),OR($DC51=1,$DC50=1,$DC52=1),ABS($AA51-$B$4)&lt;=$BG$7,ABS($AA51-$BG$28)&gt;=$BG$45,OR(AND($AA51&gt;$BG$28,$AG51="R"),AND($AA51&lt;$BG$28,$AG51="S",N($BG$154)=1)),ABS(IF($AA51&gt;$BG$28,$AE52,$AE50))&gt;=$BG$43,ABS(N(IF($AA51&gt;$BG$28,$AE50,$AE52)))&lt;=$BG$153*ABS(IF($AA51&gt;$BG$28,$AE52,$AE50)),IF(ISNUMBER($HZ51),$HZ51=1,AND(ISNUMBER($HY51),$HY51&gt;=$BG$42))),1,0),0)</f>
        <v>0</v>
      </c>
      <c r="IB51">
        <f t="shared" si="99"/>
        <v>0</v>
      </c>
      <c r="IC51" t="str">
        <f>IF(NOT(ISNUMBER($AA51)),"",IFERROR(MID(IF(AND($AC51=MAX($AC$9:$AC$55),$AB51=MIN($AB$9:$AB$55))," · DOM","")&amp;IF(AND($DC50=1,$DC51=1,$DC52=1,INDEX($AC$9:$AC$55,43-1)&lt;=(1-$FA$6)*$AC51,INDEX($AC$9:$AC$55,43-1)&lt;=(1-$FA$6)*INDEX($AC$9:$AC$55,43-2))," · GAP↑ → "&amp;INDEX($AA$9:$AA$55,43-2),"")&amp;IF(AND($DC52=1,$DC51=1,INDEX($AC$9:$AC$55,43+1)&lt;=(1-$FA$6)*$AC51,INDEX($AC$9:$AC$55,43+1)&lt;=(1-$FA$6)*INDEX($AC$9:$AC$55,43+2))," · GAP↓ → "&amp;INDEX($AA$9:$AA$55,43+2),"")&amp;IF($CZ51=1," · dEdge Cliff","")&amp;IF($GY51=1," · γWall","")&amp;IF(AND($DC51=1,$AB51&lt;0,$AC51&gt;=(1+$FA$6)*INDEX($AC$9:$AC$55,43-1),$AC51&gt;=(1+$FA$6)*INDEX($AC$9:$AC$55,43+1))," · PEAK-","")&amp;IF($GZ51=1," · γSh Edge","")&amp;IF($HL51=1," · Trough","")&amp;IF($HN51=1," · PEAK+","")&amp;IF($GF51=1," · Cluster",""),FIND(" · ",IF(AND($AC51=MAX($AC$9:$AC$55),$AB51=MIN($AB$9:$AB$55))," · DOM","")&amp;IF(AND($DC50=1,$DC51=1,$DC52=1,INDEX($AC$9:$AC$55,43-1)&lt;=(1-$FA$6)*$AC51,INDEX($AC$9:$AC$55,43-1)&lt;=(1-$FA$6)*INDEX($AC$9:$AC$55,43-2))," · GAP↑ → "&amp;INDEX($AA$9:$AA$55,43-2),"")&amp;IF(AND($DC52=1,$DC51=1,INDEX($AC$9:$AC$55,43+1)&lt;=(1-$FA$6)*$AC51,INDEX($AC$9:$AC$55,43+1)&lt;=(1-$FA$6)*INDEX($AC$9:$AC$55,43+2))," · GAP↓ → "&amp;INDEX($AA$9:$AA$55,43+2),"")&amp;IF($CZ51=1," · dEdge Cliff","")&amp;IF($GY51=1," · γWall","")&amp;IF(AND($DC51=1,$AB51&lt;0,$AC51&gt;=(1+$FA$6)*INDEX($AC$9:$AC$55,43-1),$AC51&gt;=(1+$FA$6)*INDEX($AC$9:$AC$55,43+1))," · PEAK-","")&amp;IF($GZ51=1," · γSh Edge","")&amp;IF($HL51=1," · Trough","")&amp;IF($HN51=1," · PEAK+","")&amp;IF($GF51=1," · Cluster",""),2),999),""))</f>
        <v/>
      </c>
      <c r="ID51" t="str">
        <f>IF(NOT(ISNUMBER($AA51)),"",IFERROR(MID(IF(AND($AC51=MAX($AC$9:$AC$55),$AB51=MIN($AB$9:$AB$55))," · DOM","")&amp;IF(AND($DC50=1,$DC51=1,$DC52=1,INDEX($AC$9:$AC$55,43-1)&lt;=(1-$FA$6)*$AC51,INDEX($AC$9:$AC$55,43-1)&lt;=(1-$FA$6)*INDEX($AC$9:$AC$55,43-2))," · GAP↑ → "&amp;INDEX($AA$9:$AA$55,43-2),"")&amp;IF(AND($DC52=1,$DC51=1,INDEX($AC$9:$AC$55,43+1)&lt;=(1-$FA$6)*$AC51,INDEX($AC$9:$AC$55,43+1)&lt;=(1-$FA$6)*INDEX($AC$9:$AC$55,43+2))," · GAP↓ → "&amp;INDEX($AA$9:$AA$55,43+2),"")&amp;IF($CZ51=1," · dEdge Cliff","")&amp;IF($GY51=1," · γWall","")&amp;IF(AND($DC51=1,$AB51&lt;0,$AC51&gt;=(1+$FA$6)*INDEX($AC$9:$AC$55,43-1),$AC51&gt;=(1+$FA$6)*INDEX($AC$9:$AC$55,43+1))," · PEAK-","")&amp;IF($GZ51=1," · γSh Edge","")&amp;IF($HL51=1," · Trough","")&amp;IF($HN51=1," · PEAK+","")&amp;IF(AND(NOT($HN51=1),NOT(AND($DC51=1,$AB51&lt;0)),N($GY51)&lt;&gt;1,N($GF51)&lt;&gt;1,N($GZ51)&lt;&gt;1,N($HL51)&lt;&gt;1,N($CZ51)&lt;&gt;1,NOT(AND($AC51=MAX($AC$9:$AC$55),$AB51=MIN($AB$9:$AB$55))),$AC51&gt;=(1+$FA$6)*INDEX($AC$9:$AC$55,43-1),$AC51&gt;=(1+$FA$6)*INDEX($AC$9:$AC$55,43+1))," · Knoll","")&amp;IF($GF51=1," · Cluster",""),4,999),""))</f>
        <v/>
      </c>
      <c r="IF51">
        <f t="shared" si="100"/>
        <v>0</v>
      </c>
      <c r="IG51">
        <f>IFERROR(IF(AND(ISNUMBER($AA51),'King Node Model'!$A$8="Pos",OR($AG51="S",$AG51="R"),$IN51="interior",COUNTIF(IF($AG51="S",'Master Dashboard'!$AN$16:$AN$18,'Master Dashboard'!$AN$13:$AN$15),$AA51)=0,$AA51&lt;&gt;'King Node Model'!$T$22,$AA51&lt;&gt;'King Node Model'!$T$23,$AA51&lt;&gt;'King Node Model'!$F$24),1,0),0)</f>
        <v>0</v>
      </c>
      <c r="IH51">
        <f t="shared" si="101"/>
        <v>0</v>
      </c>
      <c r="II51">
        <f t="shared" si="190"/>
        <v>0</v>
      </c>
      <c r="IJ51">
        <f t="shared" si="102"/>
        <v>0</v>
      </c>
      <c r="IK51">
        <f t="shared" si="103"/>
        <v>0</v>
      </c>
      <c r="IL51">
        <f t="shared" si="191"/>
        <v>0</v>
      </c>
      <c r="IM51">
        <f t="shared" si="104"/>
        <v>0</v>
      </c>
      <c r="IN51" t="str">
        <f t="shared" si="105"/>
        <v/>
      </c>
      <c r="IO51">
        <v>0</v>
      </c>
      <c r="IP51">
        <v>0</v>
      </c>
      <c r="IQ51">
        <f>IFERROR(IF($AG51="S",IF(OR(COUNTIF($W$9:$W$14,$AA51)&gt;0,COUNTIF('King Node Model'!$AL$42:'King Node Model'!$AL$43,$AA51)&gt;0),1,0),IF($AG51="R",IF(OR(COUNTIF($W$18:$W$23,$AA51)&gt;0,COUNTIF('King Node Model'!$AL$49:'King Node Model'!$AL$50,$AA51)&gt;0),1,0),0)),0)</f>
        <v>0</v>
      </c>
      <c r="IS51">
        <f>IF(AND(ISNUMBER($AA51),N($AN51)&lt;&gt;1,N($LR51)&lt;&gt;1,OR(N($EN51)&lt;&gt;1,AND('King Node Model'!$A$8&lt;&gt;"Neg",N($BG$72)&lt;&gt;1)),$AA51&lt;&gt;'King Node Model'!$T$22,$AA51&lt;&gt;'King Node Model'!$T$23,$AA51&lt;&gt;'King Node Model'!$F$24,NOT(AND($AG51="S",COUNTIF('Master Dashboard'!$AN$16:$AN$18,$AA51)&gt;0)),NOT(AND($AG51="R",COUNTIF('Master Dashboard'!$AN$13:$AN$15,$AA51)&gt;0)),NOT(AND('King Node Model'!$A$8&lt;&gt;"Neg",N($BG$72)&lt;&gt;1,COUNTIF('Master Dashboard'!$AN$13:$AN$18,$AA51)&gt;0))),1,0)</f>
        <v>1</v>
      </c>
      <c r="IT51">
        <v>0</v>
      </c>
      <c r="IU51">
        <f>IF(AND(ISNUMBER($AA51),$AA51='King Node Model'!$F$24,$AA51&gt;$GJ$3,N($AD51)&lt;0,$F$4="High"),1,0)</f>
        <v>0</v>
      </c>
      <c r="IV51" t="str">
        <f>""</f>
        <v/>
      </c>
      <c r="IW51">
        <f>IFERROR(IF(AND(ISNUMBER($AA51),NOT(AND(N($LR51)=1,N($MB51)=1)),$AG51="S",OR('King Node Model'!$A$8="Neg",N($BG$72)=1),$JV51="SELL",ABS(N($AD51))&gt;=$BG$94,NOT(AND(N($AD51)&gt;0,N($BG$78)=1,MEDIAN($AA51-$BG$82,$B$4,$AA51+$BG$83)=$B$4))),1,0),0)</f>
        <v>1</v>
      </c>
      <c r="IX51">
        <f>IFERROR(IF(AND(ISNUMBER($AA51),$AG51="S",OR('King Node Model'!$A$8="Neg",N($BG$72)=1),N($AD51)&gt;0,N($BG$78)=1,MEDIAN($AA51-$BG$82,$B$4,$AA51+$BG$83)=$B$4),1,0),0)</f>
        <v>0</v>
      </c>
      <c r="IY51" t="str">
        <f t="shared" si="106"/>
        <v>SELL</v>
      </c>
      <c r="IZ51">
        <f>IFERROR(IF(AND(ISNUMBER($AA51),$FA51&lt;&gt;"DOM",$AA51&lt;&gt;'King Node Model'!$F$24,OR(AND($AG51="S",COUNTIF('Master Dashboard'!$AN$16:$AN$18,$AA51)=0,N(INDEX($AE$9:$AE$55,MATCH($AA51+$BG$84,$AA$9:$AA$55,0)))&lt;=-$BG$85),AND($AG51="R",COUNTIF('Master Dashboard'!$AN$13:$AN$15,$AA51)=0,N(INDEX($AE$9:$AE$55,MATCH($AA51-$BG$84,$AA$9:$AA$55,0)))&gt;=$BG$85))),1,0),0)</f>
        <v>0</v>
      </c>
      <c r="JC51">
        <f t="shared" si="108"/>
        <v>0</v>
      </c>
      <c r="JD51" t="str">
        <f t="shared" si="193"/>
        <v/>
      </c>
      <c r="JE51">
        <f>IF(ISNUMBER($AA51),N(IFERROR(INDEX('King Node Model'!$L$29:$L$75,MATCH($AA51,'King Node Model'!$A$29:$A$75,0)),0)),"")</f>
        <v>2226</v>
      </c>
      <c r="JF51">
        <f>IF(ISNUMBER($AA51),N(IFERROR(INDEX('King Node Model'!$K$29:$K$75,MATCH($AA51,'King Node Model'!$A$29:$A$75,0)),0)),"")</f>
        <v>707</v>
      </c>
      <c r="JG51">
        <f t="shared" si="109"/>
        <v>3.1485148514851486</v>
      </c>
      <c r="JH51">
        <f t="shared" si="110"/>
        <v>0.31761006289308175</v>
      </c>
      <c r="JI51">
        <f t="shared" si="111"/>
        <v>0</v>
      </c>
      <c r="JJ51" t="str">
        <f t="shared" si="112"/>
        <v>Ramp</v>
      </c>
      <c r="JK51">
        <f t="shared" si="113"/>
        <v>0</v>
      </c>
      <c r="JL51">
        <f t="shared" si="114"/>
        <v>0</v>
      </c>
      <c r="JM51">
        <f t="shared" si="115"/>
        <v>0</v>
      </c>
      <c r="JN51">
        <f t="shared" si="116"/>
        <v>0</v>
      </c>
      <c r="JO51">
        <f t="shared" si="117"/>
        <v>0</v>
      </c>
      <c r="JP51">
        <f t="shared" si="118"/>
        <v>0</v>
      </c>
      <c r="JQ51">
        <f t="shared" si="119"/>
        <v>0</v>
      </c>
      <c r="JR51">
        <v>0</v>
      </c>
      <c r="JS51">
        <f>IFERROR(IF(AND(ISNUMBER($AA51),'King Node Model'!$A$8="Pos",OR($AG51="S",$AG51="R"),N($AB51)&gt;0,N($HP51)&lt;&gt;1,OR(AND($KC51="DOWN",N($AF51)&lt;0,N($AF51)=MIN($AF$9:$AF$55),-N($AF51)&gt;=MAX($AF$9:$AF$55)),AND($KC51="UP",N($AF51)&gt;0,N($AF51)=MAX($AF$9:$AF$55),N($AF51)&gt;=-MIN($AF$9:$AF$55)))),1,0),0)</f>
        <v>0</v>
      </c>
      <c r="JT51">
        <v>0</v>
      </c>
      <c r="JU51">
        <f>IFERROR(IF(AND(N($BG$109)=1,ISNUMBER($AA51),'King Node Model'!$A$8="Pos",N($CZ51)=1,N($AB51)&gt;0),1,0),0)</f>
        <v>0</v>
      </c>
      <c r="JV51" t="str">
        <f t="shared" si="120"/>
        <v>SELL</v>
      </c>
      <c r="JW51">
        <f t="shared" si="121"/>
        <v>0</v>
      </c>
      <c r="JX51">
        <f t="shared" si="122"/>
        <v>0</v>
      </c>
      <c r="JY51">
        <f t="shared" si="123"/>
        <v>0</v>
      </c>
      <c r="JZ51">
        <f t="shared" si="124"/>
        <v>0</v>
      </c>
      <c r="KA51">
        <f t="shared" si="125"/>
        <v>0</v>
      </c>
      <c r="KB51">
        <f t="shared" si="126"/>
        <v>0</v>
      </c>
      <c r="KC51" t="str">
        <f t="shared" si="127"/>
        <v>UP</v>
      </c>
      <c r="KE51" t="str">
        <f t="shared" si="128"/>
        <v>Now: weakening the floor (IV rising) · if IV falls: strengthens the floor · expected on arrival: WEAKENS ✗</v>
      </c>
      <c r="KF51" t="str">
        <f t="shared" si="129"/>
        <v>SELL</v>
      </c>
      <c r="KG51">
        <f t="shared" si="192"/>
        <v>0</v>
      </c>
      <c r="KH51" t="str">
        <f t="shared" si="130"/>
        <v/>
      </c>
      <c r="KI51" t="str">
        <f t="shared" si="131"/>
        <v/>
      </c>
      <c r="KJ51">
        <f t="shared" si="132"/>
        <v>0</v>
      </c>
      <c r="KK51">
        <f t="shared" si="133"/>
        <v>0</v>
      </c>
      <c r="KL51">
        <f t="shared" si="134"/>
        <v>0</v>
      </c>
      <c r="KM51">
        <f t="shared" si="135"/>
        <v>0</v>
      </c>
      <c r="KN51">
        <f t="shared" si="136"/>
        <v>0</v>
      </c>
      <c r="KO51">
        <v>0</v>
      </c>
      <c r="KP51">
        <f t="shared" si="137"/>
        <v>0</v>
      </c>
      <c r="KQ51">
        <f t="shared" si="138"/>
        <v>0</v>
      </c>
      <c r="KR51">
        <f t="shared" si="139"/>
        <v>0</v>
      </c>
      <c r="KS51">
        <f t="shared" si="140"/>
        <v>0</v>
      </c>
      <c r="KT51">
        <f t="shared" si="141"/>
        <v>0</v>
      </c>
      <c r="KU51">
        <f>IF(AND(ISNUMBER($AA51),ISNUMBER($AE51),ISNUMBER($AE50),N($AE51)&lt;&gt;0),($AE51-$AE50)/$AE51,"")</f>
      </c>
      <c r="KV51">
        <f>IF(AND(ISNUMBER($AA51),ISNUMBER($AE51),ISNUMBER($AE52),N($AE51)&lt;&gt;0),($AE51-$AE52)/$AE51,"")</f>
      </c>
      <c r="KW51">
        <f>IFERROR(IF(OR(NOT(ISNUMBER($AA51)),'King Node Model'!$A$8&lt;&gt;"Pos",N($BG$72)=1,ABS(N($AE51))&lt;$BG$113,$FA51="DOM",$AA51='King Node Model'!$T$23,AND(N($BG$116)=1,$AA51='King Node Model'!$F$24),NOT(ISNUMBER($KU51)),NOT(ISNUMBER($KV51))),0,IF(AND($AG51="S",COUNTIF('Master Dashboard'!$AN$16:$AN$18,$AA51)=0,$KU51&gt;=$BG$114,$KU51&gt;=$KV51+$BG$115),1,IF(AND($AG51="R",COUNTIF('Master Dashboard'!$AN$13:$AN$15,$AA51)=0,$KV51&gt;=$BG$114,$KV51&gt;=$KU51+$BG$115),-1,0))),0)</f>
        <v>0</v>
      </c>
      <c r="KX51">
        <f t="shared" si="144"/>
        <v>0</v>
      </c>
      <c r="KY51">
        <f t="shared" si="145"/>
        <v>0</v>
      </c>
      <c r="KZ51">
        <f t="shared" si="146"/>
        <v>0</v>
      </c>
      <c r="LA51">
        <f t="shared" si="147"/>
        <v>0</v>
      </c>
      <c r="LB51">
        <f t="shared" si="148"/>
        <v>0</v>
      </c>
      <c r="LC51">
        <f t="shared" si="149"/>
        <v>0</v>
      </c>
      <c r="LD51">
        <f t="shared" si="150"/>
        <v>0</v>
      </c>
      <c r="LE51">
        <f t="shared" si="151"/>
        <v>0</v>
      </c>
      <c r="LF51">
        <f t="shared" si="152"/>
        <v>0</v>
      </c>
      <c r="LG51" t="str">
        <f t="shared" si="153"/>
        <v/>
      </c>
      <c r="LH51" t="str">
        <f t="shared" si="154"/>
        <v/>
      </c>
      <c r="LI51" t="str">
        <f t="shared" si="155"/>
        <v/>
      </c>
      <c r="LJ51" t="str">
        <f t="shared" si="156"/>
        <v/>
      </c>
      <c r="LK51" t="str">
        <f t="shared" si="157"/>
        <v/>
      </c>
      <c r="LL51">
        <f t="shared" si="158"/>
        <v>0</v>
      </c>
      <c r="LM51">
        <f t="shared" si="159"/>
        <v>0</v>
      </c>
      <c r="LN51">
        <f t="shared" si="160"/>
        <v>0</v>
      </c>
      <c r="LO51">
        <v>0</v>
      </c>
      <c r="LP51">
        <f t="shared" si="161"/>
        <v>0</v>
      </c>
      <c r="LQ51" t="str">
        <f t="shared" si="162"/>
        <v/>
      </c>
      <c r="LR51">
        <f t="shared" si="163"/>
        <v>0</v>
      </c>
      <c r="LS51">
        <f t="shared" si="164"/>
        <v>0</v>
      </c>
      <c r="LT51">
        <f t="shared" si="165"/>
        <v>0</v>
      </c>
      <c r="LU51">
        <f t="shared" si="166"/>
        <v>0</v>
      </c>
      <c r="LV51">
        <f t="shared" si="167"/>
        <v>1</v>
      </c>
      <c r="LW51">
        <f t="shared" si="168"/>
        <v>528971</v>
      </c>
      <c r="LX51">
        <f t="shared" si="169"/>
        <v>0</v>
      </c>
      <c r="LY51">
        <f t="shared" si="170"/>
        <v>0</v>
      </c>
      <c r="LZ51">
        <f t="shared" si="171"/>
        <v>0</v>
      </c>
      <c r="MA51">
        <f t="shared" si="172"/>
        <v>0</v>
      </c>
      <c r="MB51">
        <v>0</v>
      </c>
      <c r="MC51">
        <f t="shared" si="173"/>
        <v>1</v>
      </c>
      <c r="MD51">
        <f t="shared" si="174"/>
        <v>1</v>
      </c>
      <c r="ME51">
        <f t="shared" si="175"/>
        <v>0</v>
      </c>
      <c r="MF51">
        <f t="shared" si="176"/>
        <v>0</v>
      </c>
      <c r="MG51">
        <f t="shared" si="177"/>
        <v>0</v>
      </c>
      <c r="MH51">
        <f t="shared" si="178"/>
        <v>0</v>
      </c>
      <c r="MI51" t="str">
        <f t="shared" si="179"/>
        <v/>
      </c>
      <c r="MJ51">
        <f t="shared" si="180"/>
        <v>0</v>
      </c>
      <c r="MK51">
        <f t="shared" si="181"/>
        <v>0</v>
      </c>
      <c r="ML51">
        <f>IF(AND(OR('King Node Model'!$A$8="Neg",N($BG$72)=1),ISNUMBER($AA51),$AG51="R",N($AB51)&lt;0),IF(AND($AA50=$AA51+5,N($AB50)&gt;0,$AA49=$AA51+10,N($AB49)&lt;0),1,IF(AND($AA50=$AA51+5,N($AB50)&gt;0,$AA49=$AA51+10,N($AB49)&gt;0,$AA48=$AA51+15,N($AB48)&lt;0),2,IF(AND($AA50=$AA51+5,N($AB50)&gt;0,$AA49=$AA51+10,N($AB49)&gt;0,$AA48=$AA51+15,N($AB48)&gt;0,$AA47=$AA51+20,N($AB47)&lt;0),3,IF(AND($AA50=$AA51+5,N($AB50)&gt;0,$AA49=$AA51+10,N($AB49)&gt;0,$AA48=$AA51+15,N($AB48)&gt;0,$AA47=$AA51+20,N($AB47)&gt;0,$AA46=$AA51+25,N($AB46)&lt;0),4,0)))),0)</f>
      </c>
      <c r="MM51">
        <f>IF(AND(OR('King Node Model'!$A$8="Neg",N($BG$72)=1),ISNUMBER($AA51),$AG51="S",N($AB51)&lt;0),IF(AND($AA52=$AA51-5,N($AB52)&gt;0,$AA53=$AA51-10,N($AB53)&lt;0),1,IF(AND($AA52=$AA51-5,N($AB52)&gt;0,$AA53=$AA51-10,N($AB53)&gt;0,$AA54=$AA51-15,N($AB54)&lt;0),2,IF(AND($AA52=$AA51-5,N($AB52)&gt;0,$AA53=$AA51-10,N($AB53)&gt;0,$AA54=$AA51-15,N($AB54)&gt;0,$AA55=$AA51-20,N($AB55)&lt;0),3,IF(AND($AA52=$AA51-5,N($AB52)&gt;0,$AA53=$AA51-10,N($AB53)&gt;0,$AA54=$AA51-15,N($AB54)&gt;0,$AA55=$AA51-20,N($AB55)&gt;0,$AA56=$AA51-25,N($AB56)&lt;0),4,0)))),0)</f>
      </c>
      <c r="MN51">
        <f>IF(N($ML51)&gt;0,$AA51,0)</f>
      </c>
      <c r="MO51">
        <f>IF(N($MM51)&gt;0,$AA51,0)</f>
      </c>
      <c r="MP51">
        <f>IF(AND(OR('King Node Model'!$A$8="Neg",N($BG$72)=1),ISNUMBER($BG$155),$AA51=$BG$155,N($NC51)=1),2,IF(AND(OR('King Node Model'!$A$8="Neg",N($BG$72)=1),ISNUMBER($BG$156),$AA51=$BG$156,N($ND51)=1),1,0))</f>
      </c>
      <c r="MQ51">
        <f>IF(ABS(AE51)&lt;=0,0,IF($AG51="R",IF(ISNUMBER(AE50),IF((ABS(AE50)-ABS(AE51))/ABS(AE51)&lt;-0.4,1,0),0),IF(ISNUMBER(AE52),IF((ABS(AE52)-ABS(AE51))/ABS(AE51)&lt;-0.4,1,0),0)))</f>
      </c>
      <c r="MR51">
        <f>IF(OR(N($MQ51)&lt;&gt;1,N($BG$157)&lt;&gt;1,NOT(ISNUMBER($KU51)),NOT(ISNUMBER($KV51))),0,IF(OR(AND($AG51="S",OR(AND($KU51&gt;=$BG$114,$KU51&gt;=$KV51+$BG$115),AND($KU51&gt;1,$KV51&lt;=1,$KV51&gt;=$BG$114))),AND($AG51="R",OR(AND($KV51&gt;=$BG$114,$KV51&gt;=$KU51+$BG$115),AND($KV51&gt;1,$KU51&lt;=1,$KU51&gt;=$BG$114)))),1,0))</f>
      </c>
      <c r="MS51" t="str">
        <f>IF(AND(N($MR51)=1,N($NA51)&lt;&gt;1),"• DEX falls off more sharply "&amp;IF($AG51="S","above (","below (")&amp;TEXT(IF($AG51="S",$KU51,$KV51),"0%")&amp;") than "&amp;IF($AG51="S","below (","above (")&amp;TEXT(IF($AG51="S",$KV51,$KU51),"0%")&amp;") — Dex↓ not counted",IF(N($MW51)=1,"• Shoulder of the "&amp;IF($AG51="R",$AA52,$AA50)&amp;" wall — own DEX "&amp;TEXT($AE51/1000,"+#,##0;-#,##0")&amp;"K is "&amp;TEXT(ABS($AE51)/ABS(IF($AG51="R",$AE52,$AE50)),"0%")&amp;" of "&amp;TEXT(IF($AG51="R",$AE52,$AE50)/1000,"+#,##0;-#,##0")&amp;"K, Dex↓ not counted",""))</f>
      </c>
      <c r="MT51">
        <f>IF(AND(ISNUMBER($AA51),$AG51="S",ISNUMBER($AB51),$AB51=MIN($AB$9:$AB$55),$AA51=$BG$105,$JV51="BUY",ABS(N($AD51))&gt;=$BG$158),1,0)</f>
      </c>
      <c r="MU51" t="str">
        <f>IF(N($MY51)=1,"",IF(OR(N($MT51)=1,AND(OR('King Node Model'!$A$8="Neg",N($BG$72)=1),$AG51="S",ISNUMBER($AB51),$AB51=MIN($AB$9:$AB$55),$AA51=$BG$105)),"• Min GEX + Max Zomma (no reversal flag required) — accelerant warning not applied; zomma acceleration warning only within "&amp;$BG$98&amp;" pts of the level, and not when vanna buying is "&amp;TEXT($BG$158/1000,"0")&amp;"K or more"&amp;CHAR(10)&amp;IF(N($MT51)=1,"• Max Zomma and vanna buying ("&amp;TEXT(N($AD51)/1000,"+#,##0;-#,##0")&amp;"K) make this level safe","• Max Zomma is what makes this level safe"),"")&amp;$NB51&amp;$NI51)</f>
      </c>
      <c r="MV51" t="str">
        <f>IF(AND(ISNUMBER($AA51),OR($AA51=$BG$118,$AA51=$BG$119)),IF(N($AZ51)*IF($AG51="R",1,-1)&gt;0,"✓",IF(N($AZ51)*IF($AG51="R",1,-1)&lt;0,"✗","")),"")</f>
      </c>
      <c r="MW51">
        <f>IF(AND(N($MQ51)=1,N($BG$159)&gt;0,ISNUMBER(IF($AG51="R",$AE52,$AE50)),N(IF($AG51="R",$AE52,$AE50))&lt;&gt;0),IF(ABS(N($AE51))&lt;$BG$159*ABS(IF($AG51="R",$AE52,$AE50)),1,0),0)</f>
      </c>
      <c r="MX51">
        <f>IF(AND(ISNUMBER($AA51),$AA51=$BG$121,$AG51="R",N($AE51)&lt;0,OR(COUNTIF('King Node Model'!$AL$42:$AL$44,$AA51)=0,N($HP51)=1),N($NC51)=1),2,IF(AND(ISNUMBER($AA51),$AA51=$BG$120,$AG51="S",N($AE51)&gt;0,OR(COUNTIF('King Node Model'!$AL$49:$AL$51,$AA51)=0,N($HP51)=1),N($ND51)=1),1,0))</f>
      </c>
      <c r="MY51">
        <f>IF(AND(N($NA51)=1,NOT(AND(AND($AG51="S",ISNUMBER($AB51),$AB51=MIN($AB$9:$AB$55),$AA51=$BG$105),IFERROR(INDEX($AG$9:$AG$55,MATCH('King Node Model'!$B$23,$AA$9:$AA$55,0)),"")="R")),N($AV51)&lt;&gt;1),1,0)</f>
      </c>
      <c r="MZ51" t="str">
        <f>IF(N($MY51)&lt;&gt;1,"","• DEX falls off more sharply "&amp;IF($AG51="S","above (","below (")&amp;TEXT(IF($AG51="S",$KU51,$KV51),"0%")&amp;") than "&amp;IF($AG51="S","below (","above (")&amp;TEXT(IF($AG51="S",$KV51,$KU51),"0%")&amp;") — path of least resistance "&amp;IF($AG51="S","down","up")&amp;IF(N($AZ51)*IF($AG51="R",1,-1)&lt;0,CHAR(10)&amp;"• Speed against — GEX gets more negative as price "&amp;IF($AG51="R","rises","falls")&amp;" into it (speed "&amp;TEXT(N($AZ51),"#,##0;−#,##0")&amp;")","")&amp;IF(OR(N($NG51)=1,N($JC51)=1),CHAR(10)&amp;"• "&amp;IF(N($JC51)=1,"DOM with vanna BUY "&amp;TEXT(N($AD51)/1000,"+#,##0;−#,##0")&amp;"K","Put wall + Max Zomma + DOM")&amp;" backs the level, but it does not outweigh DEX"&amp;IF(N($AZ51)*IF($AG51="R",1,-1)&lt;0," and speed",""),IF(AND($AG51="S",ISNUMBER($AB51),$AB51=MIN($AB$9:$AB$55),$AA51=$BG$105),CHAR(10)&amp;"• Min GEX + Max Zomma backs the level, but it does not outweigh DEX"&amp;IF(N($AZ51)*IF($AG51="R",1,-1)&lt;0," and speed",""),IF(OR(N($JI51)=1,AND(N($GV51)=1,N($JK51)&lt;&gt;1,N($IW51)&lt;&gt;1),N($JC51)=1,AND($AA51='King Node Model'!$F$24,N($JN51)&lt;&gt;1,OR($AG51="R",AND($AG51="S",$F$4="High",IF($BG$80&lt;&gt;"",UPPER($BG$80),$D$5)="UP")))),CHAR(10)&amp;"• Vanna "&amp;IF($AG51="S","BUY ","SELL ")&amp;TEXT(N($AD51)/1000,"+#,##0;−#,##0")&amp;"K backs the level, but it does not outweigh DEX"&amp;IF(N($AZ51)*IF($AG51="R",1,-1)&lt;0," and speed",""),"")))&amp;IF(N($NE51)=1,CHAR(10)&amp;"• Buy-lean max-node exemption not applied — DEX leans against the level",""))</f>
      </c>
      <c r="NA51">
        <f>IF(AND(OR('King Node Model'!$A$8="Neg",N($BG$72)=1),ISNUMBER($AA51),ABS(N($AE51))&gt;=$BG$152,ISNUMBER($KU51),ISNUMBER($KV51)),IF(OR(AND($AG51="S",OR(AND($KU51&gt;=$BG$114,$KU51&gt;=$KV51+$BG$115),AND($KU51&gt;1,$KV51&lt;=1,$KV51&gt;=$BG$114))),AND($AG51="R",OR(AND($KV51&gt;=$BG$114,$KV51&gt;=$KU51+$BG$115),AND($KV51&gt;1,$KU51&lt;=1,$KU51&gt;=$BG$114)))),1,0),0)</f>
      </c>
      <c r="NB51" t="str">
        <f>IF(AND(N($NA51)=1,AND(AND($AG51="S",ISNUMBER($AB51),$AB51=MIN($AB$9:$AB$55),$AA51=$BG$105),IFERROR(INDEX($AG$9:$AG$55,MATCH('King Node Model'!$B$23,$AA$9:$AA$55,0)),"")="R")),CHAR(10)&amp;"• DEX falls off more sharply above ("&amp;TEXT($KU51,"0%")&amp;") than below ("&amp;TEXT($KV51,"0%")&amp;") — DEX-lean warning not applied: Min GEX + Max Zomma support with Max Gamma "&amp;'King Node Model'!$B$23&amp;" above (Dex↓ not counted)",IF(AND(OR(N($NA51)=1,N($NF51)=1),N($AV51)=1),IF(AND(OR('King Node Model'!$A$8="Neg",N($BG$72)=1),$AG51="S",ISNUMBER($AB51),$AB51=MIN($AB$9:$AB$55),$AA51=$BG$105),CHAR(10),"")&amp;"• DEX falls off more sharply "&amp;IF($AG51="S","above (","below (")&amp;TEXT(IF($AG51="S",$KU51,$KV51),"0%")&amp;") than "&amp;IF($AG51="S","below (","above (")&amp;TEXT(IF($AG51="S",$KV51,$KU51),"0%")&amp;") — DEX lean does not apply to iDex (isolated DEX)",""))</f>
      </c>
      <c r="NC51">
        <f>IF(OR($BG$163=1,AND($BG$161&gt;0,$BG$162&lt;99999,ISNUMBER($AA51),$AA51&lt;$BG$162)),1,0)</f>
      </c>
      <c r="ND51">
        <f>IF(OR($BG$163=-1,AND($BG$161&gt;0,$BG$162&lt;99999,ISNUMBER($AA51),$AA51&gt;$BG$161)),1,0)</f>
      </c>
      <c r="NE51">
        <f>IF(AND(OR('King Node Model'!$A$8="Neg",N($BG$72)=1),ISNUMBER(SEARCH("LOW",'Master Dashboard'!$M$5)),ISNUMBER(SEARCH("BUY",'Master Dashboard'!$G$8)),'King Node Model'!$T$23='King Node Model'!$B$23,OR($AA51='King Node Model'!$T$23,AND($AG51="R",$AA51='King Node Model'!$T$23+5)),OR(AND($AG51="S",$JV51="BUY"),AND($AG51="R",$JV51="SELL"))),1,0)</f>
      </c>
      <c r="NF51">
        <f>IFERROR(IF(OR(NOT(ISNUMBER($AA51)),'King Node Model'!$A$8&lt;&gt;"Pos",N($BG$72)=1,ABS(N($AE51))&lt;$BG$113,$FA51="DOM",$AA51='King Node Model'!$T$23,AND(N($BG$116)=1,$AA51='King Node Model'!$F$24),NOT(ISNUMBER($KU51)),NOT(ISNUMBER($KV51))),0,IF(AND($AG51="S",COUNTIF('Master Dashboard'!$AN$16:$AN$18,$AA51)=0,$KU51&gt;=$BG$114,$KU51&gt;=$KV51+$BG$115,NOT(AND(N($AN52)=1,N($KV51)&lt;0)),N($AE51)&lt;=0),1,IF(AND($AG51="R",COUNTIF('Master Dashboard'!$AN$13:$AN$15,$AA51)=0,$KV51&gt;=$BG$114,$KV51&gt;=$KU51+$BG$115,NOT(AND(N($AN50)=1,N($KU51)&lt;0))),-1,0))),0)</f>
      </c>
      <c r="NG51">
        <f t="shared" si="202"/>
      </c>
      <c r="NI51" t="str">
        <f>IF(AND(ISNUMBER($BG$165),ISNUMBER($AA51)),IF(OR(AND($AG51="S",$AA51&gt;$BG$165,$AA51-$BG$165&lt;=5),AND($AG51="R",$AA51&lt;$BG$165,$BG$165-$AA51&lt;=5)),IF(OR(AND(OR('King Node Model'!$A$8="Neg",N($BG$72)=1),$AG51="S",ISNUMBER($AB51),$AB51=MIN($AB$9:$AB$55),$AA51=$BG$105),$NB51&lt;&gt;""),CHAR(10),"")&amp;"• DOM forming at "&amp;$BG$165&amp;" (gamma "&amp;TEXT($BG$166,"0%")&amp;" of max) — price may be pulled to the node",""),"")</f>
      </c>
      <c r="NJ51">
        <f>IF(LEN($NI51)&gt;0,1,0)</f>
      </c>
    </row>
    <row r="52" spans="27:349" ht="15" customHeight="1" x14ac:dyDescent="0.25">
      <c r="AA52" s="181">
        <f>'King Node Model'!A72</f>
        <v>7670</v>
      </c>
      <c r="AB52" s="276">
        <f>'King Node Model'!C72</f>
        <v>-56259</v>
      </c>
      <c r="AC52" s="181">
        <f>ABS('King Node Model'!B72)</f>
        <v>69522</v>
      </c>
      <c r="AD52" s="276">
        <f>'King Node Model'!F72</f>
        <v>261370</v>
      </c>
      <c r="AE52" s="276">
        <f>'King Node Model'!E72</f>
        <v>149184</v>
      </c>
      <c r="AF52" s="276">
        <f>'King Node Model'!D72</f>
        <v>-879998</v>
      </c>
      <c r="AG52" s="181" t="str">
        <f t="shared" si="6"/>
        <v>S</v>
      </c>
      <c r="AH52" s="181">
        <f t="shared" si="7"/>
        <v>21</v>
      </c>
      <c r="AI52" s="181" t="str">
        <f t="shared" si="8"/>
        <v>SELL</v>
      </c>
      <c r="AJ52" s="181">
        <f t="shared" si="9"/>
        <v>1</v>
      </c>
      <c r="AK52" s="181">
        <f>IF(ABS(N($AE52))&gt;=$BG$85,1,0)</f>
      </c>
      <c r="AL52" s="181">
        <f t="shared" si="10"/>
        <v>0</v>
      </c>
      <c r="AM52" s="181">
        <f t="shared" si="11"/>
        <v>1</v>
      </c>
      <c r="AN52" s="181">
        <f t="shared" si="12"/>
        <v>0</v>
      </c>
      <c r="AO52" s="1" t="str">
        <f t="shared" si="13"/>
        <v/>
      </c>
      <c r="AP52" s="1">
        <f t="shared" si="14"/>
        <v>149184</v>
      </c>
      <c r="AQ52" s="1">
        <f t="shared" si="15"/>
        <v>879998</v>
      </c>
      <c r="AR52" s="181">
        <f t="shared" si="16"/>
        <v>0.11243841466660166</v>
      </c>
      <c r="AS52" s="181">
        <f t="shared" si="17"/>
        <v>15</v>
      </c>
      <c r="AT52" s="181" t="str">
        <f t="shared" si="18"/>
        <v/>
      </c>
      <c r="AU52" s="181" t="str">
        <f t="shared" si="19"/>
        <v/>
      </c>
      <c r="AV52" s="218">
        <f t="shared" si="183"/>
        <v>0</v>
      </c>
      <c r="AW52" s="181">
        <f>ABS('King Node Model'!G72)</f>
        <v>150</v>
      </c>
      <c r="AX52" s="181">
        <f t="shared" si="20"/>
        <v>0</v>
      </c>
      <c r="AY52" s="181">
        <f t="shared" si="21"/>
        <v>0</v>
      </c>
      <c r="AZ52" s="276">
        <f>'King Node Model'!I72</f>
        <v>742</v>
      </c>
      <c r="BA52" s="181">
        <f t="shared" si="22"/>
        <v>0</v>
      </c>
      <c r="BB52" s="181" t="str">
        <f t="shared" si="23"/>
        <v>S15</v>
      </c>
      <c r="BC52" s="10">
        <f>'King Node Model'!C72</f>
        <v>-56259</v>
      </c>
      <c r="BD52" s="218">
        <f t="shared" si="184"/>
        <v>0</v>
      </c>
      <c r="BE52" s="218">
        <f t="shared" si="185"/>
        <v>0</v>
      </c>
      <c r="BF52" t="s">
        <v>2045</v>
      </c>
      <c r="BG52">
        <v>0.4</v>
      </c>
      <c r="BI52" s="218">
        <f t="shared" si="186"/>
        <v>0</v>
      </c>
      <c r="BJ52" s="218">
        <f t="shared" si="187"/>
        <v>0</v>
      </c>
      <c r="BK52" s="218">
        <f t="shared" si="24"/>
        <v>0</v>
      </c>
      <c r="BL52" s="10">
        <f>'King Node Model'!H72</f>
        <v>8</v>
      </c>
      <c r="BM52" s="218">
        <f t="shared" si="25"/>
        <v>34</v>
      </c>
      <c r="BN52" s="218">
        <f t="shared" si="26"/>
        <v>37</v>
      </c>
      <c r="BO52" s="218">
        <f t="shared" si="27"/>
        <v>0</v>
      </c>
      <c r="BP52" s="218">
        <f t="shared" si="28"/>
        <v>0</v>
      </c>
      <c r="BQ52" t="str">
        <f t="shared" si="29"/>
        <v/>
      </c>
      <c r="BR52" t="str">
        <f t="shared" si="30"/>
        <v/>
      </c>
      <c r="BS52" s="218">
        <f t="shared" si="31"/>
        <v>0</v>
      </c>
      <c r="BT52" t="str">
        <f t="shared" si="32"/>
        <v/>
      </c>
      <c r="BU52" t="str">
        <f t="shared" si="33"/>
        <v/>
      </c>
      <c r="BV52" s="218">
        <f t="shared" si="34"/>
        <v>261370</v>
      </c>
      <c r="BW52" s="218">
        <f t="shared" si="35"/>
        <v>149184</v>
      </c>
      <c r="BX52" s="218">
        <f>IF(AND(ISNUMBER(BC52),BC52&gt;=$BG$160,OR('King Node Model'!$A$8="Neg",N($BG$72)=1)),1,0)</f>
        <v>0</v>
      </c>
      <c r="BY52" s="218">
        <f t="shared" si="36"/>
        <v>0</v>
      </c>
      <c r="BZ52" s="218">
        <f t="shared" si="37"/>
        <v>0</v>
      </c>
      <c r="CA52" t="str">
        <f t="shared" si="38"/>
        <v/>
      </c>
      <c r="CB52" s="218">
        <f>IF(AND(ISNUMBER('King Node Model'!$D$27),AG52&lt;&gt;"",AA52='King Node Model'!$D$27),1,0)</f>
        <v>0</v>
      </c>
      <c r="CC52" s="218">
        <f>IF(OR('King Node Model'!$A$8="Neg",N($BG$72)=1),$BG$14*IF(ISNUMBER('King Node Model'!$D$26),MAX(0,1-ABS(AA52-'King Node Model'!$D$26)/$BG$18),0)+$BG$15*IFERROR(BV52/MAX($BV$9:$BV$55),0)+$BG$16*IFERROR(BW52/MAX($BW$9:$BW$55),0)+$BG$17*IFERROR(AC52/$S$11,0)*MAX(0,1+$BG$21*CF52),AR52)</f>
        <v>0.1267542811072207</v>
      </c>
      <c r="CD52" s="218">
        <f>IF(OR('King Node Model'!$A$8="Neg",N($BG$72)=1),IF(AND(AG52&lt;&gt;"",ABS(AA52-$B$4)&lt;=$BG$7,OR(AX52=0,$D$5&lt;&gt;"UP"),AY52=0,BK52&lt;&gt;1,CI52=0,AM52&gt;=$BG$20,AC52&gt;$BG$19),1,0),IF(AND(BS52=1,(COUNTIF($W$9:$W$14,AA52)+COUNTIF($W$18:$W$23,AA52))&gt;0,CI52=0,AM52&gt;=$BG$20,AC52&gt;$BG$19),1,0))</f>
        <v>0</v>
      </c>
      <c r="CE52" t="str">
        <f t="shared" si="39"/>
        <v/>
      </c>
      <c r="CF52" s="218">
        <f t="shared" si="40"/>
        <v>0</v>
      </c>
      <c r="CG52" t="str">
        <f t="shared" si="41"/>
        <v/>
      </c>
      <c r="CH52" t="str">
        <f t="shared" si="42"/>
        <v>Dormant</v>
      </c>
      <c r="CI52" s="218">
        <f t="shared" si="43"/>
        <v>0</v>
      </c>
      <c r="CJ52" s="218">
        <f t="shared" si="44"/>
        <v>387420489</v>
      </c>
      <c r="CK52" s="218">
        <f t="shared" si="45"/>
        <v>0</v>
      </c>
      <c r="CL52" s="218">
        <f t="shared" si="46"/>
        <v>0</v>
      </c>
      <c r="CR52" t="s">
        <v>1511</v>
      </c>
      <c r="CS52">
        <f>IFERROR(INDEX($AR$9:$AR$55,MATCH(IF($CS$42="R",$CS$40-5,$CS$40+5),$AA$9:$AA$55,0)),"")</f>
        <v>1.6256802845080265</v>
      </c>
      <c r="CU52" s="218">
        <f>IF(AND(AND('King Node Model'!$A$8&lt;&gt;"Neg",N($BG$72)&lt;&gt;1),SUMPRODUCT(($AG$9:$AG$55="S")*ISNUMBER($AT$9:$AT$55)*ISNUMBER($AU$9:$AU$55)*($AT$9:$AT$55&lt;&gt;$AU$9:$AU$55)*($AT$9:$AT$55&lt;=$AA52)*($AU$9:$AU$55&gt;=$AA52))&gt;0),0,IF(AND(OR($AA52='King Node Model'!$T$22,$AA52='King Node Model'!$F$24),$AG52="R",COUNTIF($W$9:$W$14,$AA52)&gt;0),1,IF(AND($FN52=1,$EU52&lt;&gt;1,$EM52&lt;&gt;1,$BK52&lt;&gt;1,$DH52&lt;&gt;1,$AG52="R",COUNTIF($W$9:$W$14,$AA52)&gt;0),1,IF($EU52=1,0,IF($EM52=1,0,IF(AND(OR($EE52=1,$GV52=1,AND($EL$7=1,$AA52='King Node Model'!$D$26,$EI52=1),AND(OR($AA52='King Node Model'!$T$22,$AA52='King Node Model'!$T$23),$AN52=1,OR($AX52=0,$D$5&lt;&gt;"UP"))),OR(NOT(OR('King Node Model'!$A$8="Neg",N($BG$72)=1)),$GV52=1,AND(OR($AA52='King Node Model'!$T$22,$AA52='King Node Model'!$T$23),$AN52=1,OR($AX52=0,$D$5&lt;&gt;"UP")),AND($AM52&gt;=$BG$20,$AC52&gt;IF($CZ52=1,$BG$48,$BG$19)))),1,IF($DH52=1,0,IF(AND($DC52=1,$GS52&lt;&gt;1,AND('King Node Model'!$A$8&lt;&gt;"Neg",N($BG$72)&lt;&gt;1)),0,IF(AND($EY52=1,NOT(OR('King Node Model'!$A$8="Neg",$BG$72=1)),$AA52&lt;&gt;'King Node Model'!$B$23),0,IF(AND($GS52=1,$AG52="R",OR($CI52=0,$EE52=1,$EX52=1,$GV52=1),COUNTIF($W$9:$W$14,$AA52)&gt;0,ABS($AA52-$B$4)&lt;=$BG$7,$BK52&lt;&gt;1,$AM52&gt;=$BG$20,$AC52&gt;IF($CZ52=1,$BG$48,$BG$19)),1,IF(OR('King Node Model'!$A$8="Neg",N($BG$72)=1),IF(AND(OR($AM52&gt;=$BG$20,$AA52='King Node Model'!$D$26,$GV52=1),$AG52="R",COUNTIF($W$9:$W$14,$AA52)&gt;0,ABS($AA52-$B$4)&lt;=$BG$7,OR($AX52=0,$D$5&lt;&gt;"UP"),$BK52&lt;&gt;1,OR(OR($CI52=0,$AJ52=1),AND($EI52=1,$LA52=1,COUNTIF($W$9:$W$11,$AA52)&gt;0,$AN52=1,OR($AX52=0,$D$5&lt;&gt;"UP"))),$AM52&gt;=$BG$20,$AC52&gt;IF($CZ52=1,$BG$48,$BG$19),OR($AN52=1,N($LR52)=1,$AA52='King Node Model'!$D$26,AND($BY52=1,$AA52&gt;$B$4),$BX52=1,$CF52=1,$CF52=1,AND(OR($AA52=$CP$4,$AA52=$CP$5,$AA52=$CP$6,$AA52=$CP$7),ABS($AA52-$B$4)&lt;=30),AND($AX52=1,$D$5="DOWN"))),1,0),IF(AND(OR($AM52&gt;=3,$AA52='King Node Model'!$D$26,$GV52=1),$AG52="R",COUNTIF($W$9:$W$14,$AA52)&gt;0,ABS($AA52-$B$4)&lt;=$BG$7,OR($AX52=0,$D$5&lt;&gt;"UP"),$BK52&lt;&gt;1,OR($CI52=0,$AJ52=1),$AM52&gt;=$BG$20,$AC52&gt;IF($CZ52=1,$BG$48,$BG$19),OR($AC52&gt;=MAX($AC$9:$AC$55),$BC52&gt;0,$AA52='King Node Model'!$D$26,AND(OR($AA52=$CP$4,$AA52=$CP$5,$AA52=$CP$6,$AA52=$CP$7),ABS($AA52-$B$4)&lt;=30),$CF52=1,$AN52=1,AND($AX52=1,$D$5="DOWN"))),1,0))))))))))))</f>
        <v>0</v>
      </c>
      <c r="CV52" s="218">
        <f>IF(AND(OR('King Node Model'!$A$8="Neg",N($BG$72)=1),$AG52="S",N($LR52)=1,N($MB52)=1),1,IF(AND(AND('King Node Model'!$A$8&lt;&gt;"Neg",N($BG$72)&lt;&gt;1),SUMPRODUCT(($AG$9:$AG$55="R")*ISNUMBER($AT$9:$AT$55)*ISNUMBER($AU$9:$AU$55)*($AT$9:$AT$55&lt;&gt;$AU$9:$AU$55)*($AT$9:$AT$55&lt;=$AA52)*($AU$9:$AU$55&gt;=$AA52))&gt;0,NOT(AND(N($LC52)=1,$AA52='King Node Model'!$B$23))),0,IF(AND($AA52='King Node Model'!$F$24,$AG52="S",COUNTIF($W$18:$W$23,$AA52)&gt;0),1,IF(AND($FN52=1,$EU52&lt;&gt;1,$EM52&lt;&gt;1,$DH52&lt;&gt;1,$AG52="S",COUNTIF($W$18:$W$23,$AA52)&gt;0),1,IF($EU52=1,0,IF(AND(OR($EF52=1,$GV52=1,AND(OR($AA52='King Node Model'!$T$22,$AA52='King Node Model'!$T$23,AND($AG52="S",COUNTIF('Master Dashboard'!$AN$16:$AN$18,$AA52)&gt;0)),$AN52=1,OR($AX52=0,$D$5&lt;&gt;"UP"))),OR(NOT(OR('King Node Model'!$A$8="Neg",N($BG$72)=1)),$GV52=1,AND(OR($AA52='King Node Model'!$T$22,$AA52='King Node Model'!$T$23,AND($AG52="S",COUNTIF('Master Dashboard'!$AN$16:$AN$18,$AA52)&gt;0)),$AN52=1,OR($AX52=0,$D$5&lt;&gt;"UP")),AND($AM52&gt;=$BG$20,$AC52&gt;IF($CZ52=1,$BG$48,$BG$19)))),1,IF($DH52=1,0,IF(AND($DC52=1,$GS52&lt;&gt;1,AND('King Node Model'!$A$8&lt;&gt;"Neg",N($BG$72)&lt;&gt;1)),0,IF(AND($EY52=1,NOT(OR('King Node Model'!$A$8="Neg",$BG$72=1)),$AA52&lt;&gt;'King Node Model'!$B$23,COUNTIF('Master Dashboard'!$AN$16:$AN$18,$AA52)=0),0,IF(AND($GS52=1,$AG52="S",OR($CI52=0,$EF52=1,$EX52=1,$GV52=1),COUNTIF($W$18:$W$23,$AA52)&gt;0,ABS($AA52-$B$4)&lt;=$BG$7,$BK52&lt;&gt;1,$AM52&gt;=$BG$20,$AC52&gt;IF($CZ52=1,$BG$48,$BG$19)),1,IF(OR('King Node Model'!$A$8="Neg",N($BG$72)=1),IF(AND(OR(OR($AM52&gt;=$BG$20,N($LR52)=1),$AA52='King Node Model'!$D$26,$GV52=1),$AG52="S",COUNTIF($W$18:$W$23,$AA52)&gt;0,ABS($AA52-$B$4)&lt;=$BG$7,OR($AX52=0,$D$5&lt;&gt;"UP"),$BK52&lt;&gt;1,OR($CI52=0,$AJ52=1,AND(N($LR52)=1,N($MB52)=1),N($MT52)=1),OR($AM52&gt;=$BG$20,N($LR52)=1),$AC52&gt;IF($CZ52=1,$BG$48,$BG$19),OR($AB52&gt;0,$AN52=1,N($MT52)=1,N($LR52)=1,$AA52='King Node Model'!$D$26,AND($BY52=1,$AA52&lt;$B$4),$BX52=1,$CF52=1,$CF52=1,AND(OR($AA52=$CP$4,$AA52=$CP$5,$AA52=$CP$6,$AA52=$CP$7),ABS($AA52-$B$4)&lt;=30),AND($AX52=1,$D$5="DOWN"))),1,0),IF(AND(OR($AM52&gt;=3,$AA52='King Node Model'!$D$26,$GV52=1),$AG52="S",COUNTIF($W$18:$W$23,$AA52)&gt;0,ABS($AA52-$B$4)&lt;=$BG$7,OR($AX52=0,$D$5&lt;&gt;"UP"),$BK52&lt;&gt;1,OR($CI52=0,$AJ52=1,AND(N($LR52)=1,N($MB52)=1),N($MT52)=1),$AM52&gt;=$BG$20,$AC52&gt;IF($CZ52=1,$BG$48,$BG$19),OR($AC52&gt;=MAX($AC$9:$AC$55),$BC52&gt;0,N($MT52)=1,$AA52='King Node Model'!$D$26,AND(OR($AA52=$CP$4,$AA52=$CP$5,$AA52=$CP$6,$AA52=$CP$7),ABS($AA52-$B$4)&lt;=30),$CF52=1,$AN52=1,AND($AX52=1,$D$5="DOWN"))),1,0))))))))))))</f>
        <v>0</v>
      </c>
      <c r="CX52" s="218">
        <f t="shared" si="48"/>
        <v>0</v>
      </c>
      <c r="CY52" t="str">
        <f t="shared" si="49"/>
        <v/>
      </c>
      <c r="CZ52" s="218">
        <f t="shared" si="50"/>
        <v>0</v>
      </c>
      <c r="DA52" t="str">
        <f t="shared" si="51"/>
        <v/>
      </c>
      <c r="DB52">
        <f t="shared" si="52"/>
        <v>69522</v>
      </c>
      <c r="DC52" s="218">
        <f t="shared" si="53"/>
        <v>1</v>
      </c>
      <c r="DD52" s="218">
        <f t="shared" si="54"/>
        <v>1</v>
      </c>
      <c r="DE52" s="218">
        <f t="shared" si="55"/>
        <v>1</v>
      </c>
      <c r="DF52">
        <f t="shared" si="56"/>
        <v>7670</v>
      </c>
      <c r="DG52">
        <f t="shared" si="57"/>
        <v>7670</v>
      </c>
      <c r="DH52" s="218">
        <f t="shared" si="58"/>
        <v>0</v>
      </c>
      <c r="DI52">
        <v>1</v>
      </c>
      <c r="DJ52">
        <v>1</v>
      </c>
      <c r="DK52">
        <v>1286391</v>
      </c>
      <c r="DL52">
        <v>0</v>
      </c>
      <c r="DM52" t="str">
        <f>IF(AND($CV52=1,$AG52="S"),IF(AND(OR('King Node Model'!$A$8="Neg",N($BG$72)=1),'King Node Model'!$S$52=""),IF(OR(N($AN52)=1,N($LR52)=1,$AB52&gt;0,$AJ52=1,N($JO52)=1,AND(NOT($AE52&gt;0),NOT(IFERROR(AND(ISNUMBER($BC52),ISNUMBER($BC51),($BC52&gt;=0)&lt;&gt;($BC51&gt;=0)),FALSE())),OR(AND($BM52&lt;=6,$BN52&lt;=6),ABS($AA52-'King Node Model'!$T$23)&lt;=5,$LA52=1))),1,0),1),"")</f>
        <v/>
      </c>
      <c r="DN52" t="str">
        <f t="shared" si="59"/>
        <v/>
      </c>
      <c r="DO52" t="str">
        <f t="shared" si="60"/>
        <v>W-list</v>
      </c>
      <c r="DP52" t="str">
        <f>IF(AND(OR('King Node Model'!$A$8="Neg",N($BG$72)=1),$AG52="S",ISNUMBER($AT52),ISNUMBER($AU52),$AT52&lt;&gt;$AU52,$AA52=$AT52),IF(AND(SUMPRODUCT(($AA$9:$AA$55&gt;=$AT52)*($AA$9:$AA$55&lt;=$AU52)*($AB$9:$AB$55&gt;0))&gt;0,SUMPRODUCT(($AA$9:$AA$55&gt;=$AT52)*($AA$9:$AA$55&lt;=$AU52)*($DM$9:$DM$55=1))&gt;0,SUMPRODUCT(($AA$9:$AA$55&gt;=$AT52)*($AA$9:$AA$55&lt;=$AU52)*(COUNTIF($W$18:$W$20,$AA$9:$AA$55)&gt;0))&gt;0),1,0),"")</f>
        <v/>
      </c>
      <c r="DS52">
        <v>0</v>
      </c>
      <c r="DT52">
        <v>0</v>
      </c>
      <c r="DU52" t="str">
        <f>IF('King Node Model'!$A$8&lt;&gt;"Pos","",IF(OR($AA52="",NOT(ISNUMBER($AA52)),ABS($AA52-$B$4)&gt;$BG$7),"",TEXT($AA52,"0")&amp;" | "&amp;IF($AG52="","unclassified",IF($AG52&lt;&gt;IF($AA52&gt;$B$4,"R","S"),"orphan: in "&amp;$AG52&amp;"-list, "&amp;IF($AA52&lt;$B$4,"below","above")&amp;" spot",IF(IF($AG52="R",COUNTIF($W$9:$W$14,$AA52),COUNTIF($W$18:$W$23,$AA52))=0,"not in "&amp;$AG52&amp;"-list",IF($DH52=1,"absorbed into shelf box",IF($BK52=1,"absorbed: adjacent reversal",IF($CI52=1,"accel-accelerant",IF($AC52&lt;=$BG$19,"below gamma-floor",IF($AM52&lt;$BG$20,"confluence "&amp;TEXT($AM52,"0")&amp;" &lt; "&amp;TEXT($BG$20,"0"),IF(AND($AX52=1,$D$5="UP"),"accelerant in up-move",IF(NOT(OR($AC52&gt;=MAX($AC$9:$AC$55),$BC52&gt;0,$AA52='King Node Model'!$D$26,AND(OR($AA52=$CP$4,$AA52=$CP$5,$AA52=$CP$6,$AA52=$CP$7),ABS($AA52-$B$4)&lt;=30),ISNUMBER(SEARCH("STRENGTHENING",$CG52)),$AN52=1,AND($AX52=1,$D$5="DOWN"))),"no surface flag","-&gt; qualifies"))))))))))))</f>
        <v/>
      </c>
      <c r="DV52" s="218">
        <f t="shared" si="61"/>
        <v>99999</v>
      </c>
      <c r="DW52" s="218">
        <f t="shared" si="62"/>
        <v>99999</v>
      </c>
      <c r="DX52" t="str">
        <f>IF('King Node Model'!$A$8&lt;&gt;"Pos","",IF(AND($DV52&lt;99999,$DV52=MIN($DV$9:$DV$55),$DG52&gt;$AA52),"R-box: "&amp;TEXT($AA52,"0")&amp;"-"&amp;TEXT($DG52,"0"),IF(AND($DW52&lt;99999,$DW52=MIN($DW$9:$DW$55),$DF52&lt;$AA52),"S-box: "&amp;TEXT($DF52,"0")&amp;"-"&amp;TEXT($AA52,"0"),"")))</f>
        <v/>
      </c>
      <c r="EB52">
        <f t="shared" si="63"/>
        <v>105.39000000000033</v>
      </c>
      <c r="EC52">
        <f t="shared" si="64"/>
        <v>538591</v>
      </c>
      <c r="ED52">
        <f t="shared" si="65"/>
        <v>0</v>
      </c>
      <c r="EE52">
        <f>IF(AND(OR('King Node Model'!$A$8="Neg",N($BG$72)=1),$AG52="R",ISNUMBER($EB52),$EB52&lt;=$BG$7,$AB52&gt;0,$EC52&gt;0,$AB52=$EC52),1,0)</f>
        <v>0</v>
      </c>
      <c r="EF52">
        <f>IF(AND(OR('King Node Model'!$A$8="Neg",N($BG$72)=1),$AG52="S",ISNUMBER($EB52),$EB52&lt;=$BG$7,$AB52&gt;0,$ED52&gt;0,$AB52=$ED52),1,0)</f>
        <v>0</v>
      </c>
      <c r="EI52">
        <v>1</v>
      </c>
      <c r="EJ52">
        <f>IF($AA52="",0,IF(SUMPRODUCT(($AA$9:$AA$55&gt;=$AT52)*($AA$9:$AA$55&lt;=$AU52)*($DT$9:$DT$55=1))+SUMPRODUCT(($DT$9:$DT$55=1)*($AT$9:$AT$55&lt;=$AA52)*($AU$9:$AU$55&gt;=$AA52))+($DT52=1)+AND(OR('King Node Model'!$A$8="Neg",N($BG$72)=1),ISNUMBER(SEARCH("LOW",'Master Dashboard'!$M$5)),ISNUMBER(SEARCH("BUY",'Master Dashboard'!$G$8)),'King Node Model'!$T$23='King Node Model'!$B$23,$AA52&gt;='King Node Model'!$T$23,$AA52&lt;='King Node Model'!$T$23+5)*1&gt;0,1,0))</f>
        <v>0</v>
      </c>
      <c r="EM52">
        <f t="shared" si="66"/>
        <v>0</v>
      </c>
      <c r="EN52">
        <v>0</v>
      </c>
      <c r="EO52">
        <f t="shared" si="67"/>
        <v>0</v>
      </c>
      <c r="EP52">
        <f t="shared" si="68"/>
        <v>0</v>
      </c>
      <c r="EQ52" t="str">
        <f t="shared" si="69"/>
        <v>thinning the floor (magnitude weak)</v>
      </c>
      <c r="ES52" t="str">
        <f>IF(AND(ISNUMBER(AA52),ISNUMBER(AF52),ABS(AA52-'King Node Model'!$B$4)&lt;=$BG$7),ABS(AF52),"")</f>
        <v/>
      </c>
      <c r="ET52">
        <v>0</v>
      </c>
      <c r="EU52" s="218">
        <f>IF(AND(OR('King Node Model'!$A$8="Neg",N($BG$72)=1),ISNUMBER($AA51),ISNUMBER($AA52),ISNUMBER($AA53),ISNUMBER($AB51),ISNUMBER($AB52),ISNUMBER($AB53),ISNUMBER($AF52),$AB52&gt;0,$AB51&lt;0,$AB53&lt;0,$AF52&lt;0),1,0)</f>
        <v>0</v>
      </c>
      <c r="EW52">
        <f>IF(OR(N($MY52)=1,N($JM52)=1),0,N($NE52))</f>
        <v>0</v>
      </c>
      <c r="EX52">
        <f>IF(AND(OR('King Node Model'!$A$8="Neg",N($BG$72)=1),ISNUMBER($AA52),OR(AND($AA52='King Node Model'!$F$24,OR(AND($AG52="S",$F$4="High",IF($BG$80&lt;&gt;"",UPPER($BG$80),$D$5)="DOWN"),AND($AG52="R",$F$4="Low",IF($BG$80&lt;&gt;"",UPPER($BG$80),$D$5)="UP"))),$GV52=1)),1,0)</f>
        <v>0</v>
      </c>
      <c r="EY52">
        <f>IFERROR(IF(AND($DC52=1,$AB52&lt;0,$AC52&gt;=(1+$FA$6)*INDEX($AC$9:$AC$55,44-1),$AC52&gt;=(1+$FA$6)*INDEX($AC$9:$AC$55,44+1),$AC52&gt;=IFERROR(INDEX($AC$9:$AC$55,44-2),0),$AC52&gt;=IFERROR(INDEX($AC$9:$AC$55,44+2),0)),1,0),0)</f>
        <v>0</v>
      </c>
      <c r="FA52" t="str">
        <f>IF(NOT(ISNUMBER($AA52)),"",IFERROR(IF(AND($AC52=MAX($AC$9:$AC$55),$AB52=MIN($AB$9:$AB$55)),"DOM",IF(AND($DC51=1,$DC52=1,$DC53=1,INDEX($AC$9:$AC$55,44-1)&lt;=(1-$FA$6)*$AC52,INDEX($AC$9:$AC$55,44-1)&lt;=(1-$FA$6)*INDEX($AC$9:$AC$55,44-2)),"GAP↑",IF(AND($DC53=1,$DC52=1,INDEX($AC$9:$AC$55,44+1)&lt;=(1-$FA$6)*$AC52,INDEX($AC$9:$AC$55,44+1)&lt;=(1-$FA$6)*INDEX($AC$9:$AC$55,44+2)),"GAP↓",IF($CZ52=1,"dEdge Cliff",IF($GY52=1,"γWall",IF(AND($DC52=1,$AB52&lt;0,$AC52&gt;=(1+$FA$6)*INDEX($AC$9:$AC$55,44-1),$AC52&gt;=(1+$FA$6)*INDEX($AC$9:$AC$55,44+1)),"PEAK-",IF($GZ52=1,"γSh Edge",IF($HL52=1,"Trough",IF($HN52=1,"PEAK+",IF($GF52=1,"Cluster","")))))))))),""))</f>
        <v/>
      </c>
      <c r="FB52" t="str">
        <f t="shared" si="70"/>
        <v/>
      </c>
      <c r="FC52" t="str">
        <f t="shared" si="71"/>
        <v/>
      </c>
      <c r="FD52">
        <f>IF(AND(ISNUMBER($AA52),ISNUMBER('King Node Model'!$AP$17),ISNUMBER('King Node Model'!$AQ$17),$AA52&gt;=MIN('King Node Model'!$AP$17,'King Node Model'!$AQ$17),$AA52&lt;=MAX('King Node Model'!$AP$17,'King Node Model'!$AQ$17),IFERROR(INDEX($AC$9:$AC$55,MATCH('King Node Model'!$AL$42,$AA$9:$AA$55,0)),0)&gt;0,$AC52&gt;=(1-$FA$6)*IFERROR(INDEX($AC$9:$AC$55,MATCH('King Node Model'!$AL$42,$AA$9:$AA$55,0)),0),$AC52&lt;=(1+$FA$6)*IFERROR(INDEX($AC$9:$AC$55,MATCH('King Node Model'!$AL$42,$AA$9:$AA$55,0)),0)),1,0)</f>
        <v>0</v>
      </c>
      <c r="FE52">
        <f>IF($AA52='King Node Model'!$AL$42,1,IF(AND($FD52=1,$FE51=1),1,0))</f>
        <v>0</v>
      </c>
      <c r="FF52">
        <f>IF($AA52='King Node Model'!$AL$42,1,IF(AND($FD52=1,$FF53=1),1,0))</f>
        <v>0</v>
      </c>
      <c r="FG52" t="str">
        <f>IF(OR($FE52=1,$FF52=1),44,"")</f>
        <v/>
      </c>
      <c r="FJ52">
        <f>IF(AND($CW$2=1,ISNUMBER($AA52),ISNUMBER($CW$3),ISNUMBER($CW$4),$AA52&gt;=MIN($CW$3,$CW$4),$AA52&lt;=MAX($CW$3,$CW$4),IFERROR(INDEX($AC$9:$AC$55,MATCH('King Node Model'!$AP$67,$AA$9:$AA$55,0)),0)&gt;0,$AC52&gt;=(1-$FA$6)*IFERROR(INDEX($AC$9:$AC$55,MATCH('King Node Model'!$AP$67,$AA$9:$AA$55,0)),0),$AC52&lt;=(1+$FA$6)*IFERROR(INDEX($AC$9:$AC$55,MATCH('King Node Model'!$AP$67,$AA$9:$AA$55,0)),0)),1,0)</f>
        <v>0</v>
      </c>
      <c r="FK52">
        <f>IF(AND($CW$2=1,$AA52='King Node Model'!$AP$67),1,IF(AND($FJ52=1,$FK51=1),1,0))</f>
        <v>0</v>
      </c>
      <c r="FL52">
        <f>IF(AND($CW$2=1,$AA52='King Node Model'!$AP$67),1,IF(AND($FJ52=1,$FL53=1),1,0))</f>
        <v>0</v>
      </c>
      <c r="FM52" t="str">
        <f>IF(OR($FK52=1,$FL52=1),44,"")</f>
        <v/>
      </c>
      <c r="FN52">
        <v>0</v>
      </c>
      <c r="FR52" t="str">
        <f t="shared" si="72"/>
        <v/>
      </c>
      <c r="FS52">
        <f t="shared" si="188"/>
        <v>0</v>
      </c>
      <c r="FT52">
        <f t="shared" si="73"/>
        <v>-0.80922585656338997</v>
      </c>
      <c r="FU52">
        <f t="shared" si="74"/>
        <v>69522</v>
      </c>
      <c r="FV52" t="str">
        <f>IF($FW52=0,"",IF(OR($FW51=0,SIGN(IFERROR($BC52*1,0))&lt;&gt;SIGN(IFERROR($BC51*1,0)),$GH52=1,$GH51=1),MAX($FV$9:$FV51)+1,$FV51))</f>
        <v/>
      </c>
      <c r="FW52">
        <f t="shared" si="75"/>
        <v>0</v>
      </c>
      <c r="FX52" t="str">
        <f t="shared" si="76"/>
        <v/>
      </c>
      <c r="FY52">
        <f t="shared" si="77"/>
        <v>0</v>
      </c>
      <c r="FZ52">
        <f t="shared" si="189"/>
        <v>0</v>
      </c>
      <c r="GA52">
        <f t="shared" si="78"/>
        <v>0</v>
      </c>
      <c r="GB52" t="str">
        <f t="shared" si="79"/>
        <v/>
      </c>
      <c r="GC52" t="str">
        <f t="shared" si="80"/>
        <v/>
      </c>
      <c r="GD52" t="str">
        <f t="shared" si="81"/>
        <v/>
      </c>
      <c r="GE52" t="str">
        <f t="shared" si="82"/>
        <v/>
      </c>
      <c r="GF52">
        <f t="shared" si="83"/>
        <v>0</v>
      </c>
      <c r="GH52">
        <f>IFERROR(IF(AND($AC52&gt;=(1+$FA$6)*INDEX($AC$9:$AC$55,44-1),$AC52&gt;=(1+$FA$6)*INDEX($AC$9:$AC$55,44+1)),1,0),0)</f>
        <v>0</v>
      </c>
      <c r="GK52">
        <v>0</v>
      </c>
      <c r="GO52">
        <v>1</v>
      </c>
      <c r="GP52">
        <v>1</v>
      </c>
      <c r="GQ52">
        <f t="shared" si="84"/>
        <v>0</v>
      </c>
      <c r="GR52">
        <f t="shared" si="85"/>
        <v>1</v>
      </c>
      <c r="GS52">
        <f>IF(AND($EY52=1,$AA52&lt;&gt;'King Node Model'!$B$23),0,IF(OR($GQ52=1,$GR52=1),1,IF($DC52=1,IF(OR('King Node Model'!$A$8="Neg",N($BG$72)=1),IF(OR(AND($AC52=MAX($AC$9:$AC$55),$AB52=MIN($AB$9:$AB$55)),$AN52=1,$EE52=1,$EF52=1,$EX52=1,$GV52=1),1,0),1),0)))</f>
        <v>1</v>
      </c>
      <c r="GT52">
        <f>IFERROR(IF(AND(OR('King Node Model'!$A$8="Neg",N($BG$72)=1),$EU51=1,$AG52="R",ISNUMBER($AA52),ISNUMBER($AF52),$AF52&lt;&gt;0,$AA52&gt;$B$4-$BG$9,$AA52-$B$4&lt;=$BG$47,IF($KC52="UP",SIGN($AF52),IF($KC52="DOWN",-SIGN($AF52),0))&lt;&gt;1),1,0),0)</f>
        <v>0</v>
      </c>
      <c r="GU52" t="str">
        <f t="shared" si="86"/>
        <v/>
      </c>
      <c r="GV52">
        <f t="shared" si="87"/>
        <v>0</v>
      </c>
      <c r="GW52" t="str">
        <f t="shared" si="88"/>
        <v/>
      </c>
      <c r="GX52">
        <f t="shared" si="89"/>
        <v>105.39000000000033</v>
      </c>
      <c r="GY52">
        <f t="shared" si="90"/>
        <v>0</v>
      </c>
      <c r="GZ52">
        <f t="shared" si="91"/>
        <v>0</v>
      </c>
      <c r="HA52">
        <v>0</v>
      </c>
      <c r="HF52">
        <f>IFERROR(IF(AND($GZ52=1,'King Node Model'!$A$8="Pos",$D$5="UP",$CF52=-1,$AJ52&lt;&gt;1),1,0),0)</f>
        <v>0</v>
      </c>
      <c r="HG52">
        <f t="shared" si="92"/>
        <v>1</v>
      </c>
      <c r="HH52">
        <f>IF($GZ52=1,"",IFERROR(IF(NOT(ISNUMBER($AA52)),"",IF($EY52=1,"",IF($GF52=1,IF($GD52=$GE52,"",$GD52),IF(OR(AND($DC51=1,$DC52=1,$DC53=1,INDEX($AC$9:$AC$55,44-1)&lt;=(1-$FA$6)*$AC52,INDEX($AC$9:$AC$55,44-1)&lt;=(1-$FA$6)*INDEX($AC$9:$AC$55,44-2)),AND($DC53=1,$DC52=1,INDEX($AC$9:$AC$55,44+1)&lt;=(1-$FA$6)*$AC52,INDEX($AC$9:$AC$55,44+1)&lt;=(1-$FA$6)*INDEX($AC$9:$AC$55,44+2)),AND($DC52=1,OR(INDEX($DC$9:$DC$55,44-1)=0,INDEX($DC$9:$DC$55,44+1)=0))),IF(MIN($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MAX($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MIN($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f>
        <v>7665</v>
      </c>
      <c r="HI52">
        <f>IF($GZ52=1,"",IFERROR(IF(NOT(ISNUMBER($AA52)),"",IF($EY52=1,"",IF($GF52=1,IF($GD52=$GE52,"",$GE52),IF(OR(AND($DC51=1,$DC52=1,$DC53=1,INDEX($AC$9:$AC$55,44-1)&lt;=(1-$FA$6)*$AC52,INDEX($AC$9:$AC$55,44-1)&lt;=(1-$FA$6)*INDEX($AC$9:$AC$55,44-2)),AND($DC53=1,$DC52=1,INDEX($AC$9:$AC$55,44+1)&lt;=(1-$FA$6)*$AC52,INDEX($AC$9:$AC$55,44+1)&lt;=(1-$FA$6)*INDEX($AC$9:$AC$55,44+2)),AND($DC52=1,OR(INDEX($DC$9:$DC$55,44-1)=0,INDEX($DC$9:$DC$55,44+1)=0))),IF(MIN($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MAX($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MAX($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f>
        <v>7670</v>
      </c>
      <c r="HL52">
        <f t="shared" si="93"/>
        <v>0</v>
      </c>
      <c r="HM52">
        <f>IFERROR(IF(AND($HL52=1,NOT(OR($AA52='King Node Model'!$T$22,$AA52='King Node Model'!$T$23,$AA52='King Node Model'!$F$24,AND($AG52="S",COUNTIF('Master Dashboard'!$AN$16:$AN$18,$AA52)&gt;0),AND($AG52="R",COUNTIF('Master Dashboard'!$AN$13:$AN$15,$AA52)&gt;0)))),1,0),0)</f>
        <v>0</v>
      </c>
      <c r="HN52">
        <f t="shared" si="94"/>
        <v>0</v>
      </c>
      <c r="HO52">
        <f t="shared" si="95"/>
        <v>0</v>
      </c>
      <c r="HP52">
        <f t="shared" si="96"/>
        <v>1</v>
      </c>
      <c r="HQ52" t="str">
        <f>IF(NOT(ISNUMBER($AA52)),"",IFERROR(TRIM(IF(N($MY52)=1,"DEXLEAN ","")&amp;IF(N($IZ52)=1,"DEXCAP ","")&amp;IF(AND($AG52="S",UPPER('King Node Model'!$L$5)="HIGH",$KC52="DOWN",N($AF52)&gt;0,$AA52='King Node Model'!$AN$70,$IY52="SELL"),"CHOPEDGEIV ","")&amp;IF(N($IS52)=1,"NOREV ","")&amp;IF(N($JY52)=1,"VFLAT ","")&amp;IF(N($KR52)=1,"GDEXVANNA ","")&amp;IF(N($LD52)=1,"KGSUPFAIL ","")&amp;IF(N($LE52)=1,"KGRESLEAK ","")&amp;IF(N($MH52)=1,"ZIGZAG ","")&amp;IF(N($KK52)=1,"DATAGAP ","")&amp;IF(N($KA52)&lt;&gt;0,"ACCUNDERCW ","")&amp;IF(AND($AG52="S",$HF52=1),"EDGE ","")&amp;IF(AND($HM52=1,'King Node Model'!$A$8="Pos",N($BG$72)&lt;&gt;1),"TROUGH ","")&amp;IF(AND($EU52=1,N($JZ52)&lt;&gt;1),"BUMP ","")&amp;IF(AND($GT52=1,N($JZ52)&lt;&gt;1),"SANDWICH ","")&amp;IF(AND($EX52&lt;&gt;1,OR('King Node Model'!$A$8="Neg",N($BG$72)=1),OR(AND(ISNUMBER($AC52),$AC52=MAX($AC$9:$AC$55)),AND(ISNUMBER($AB52),$AB52=MIN($AB$9:$AB$55))),NOT(AND(AND(ISNUMBER($AC52),$AC52=MAX($AC$9:$AC$55)),AND(ISNUMBER($AB52),$AB52=MIN($AB$9:$AB$55)))),$AG52="S",N($AB52)&lt;0,NOT(COUNTIF('Master Dashboard'!$AN$16:$AN$18,$AA52)&gt;0),NOT(AND(OR('King Node Model'!$A$8="Neg",N($BG$72)=1),ISNUMBER($AB52),$AB52=MIN($AB$9:$AB$55),$AA52=$BG$105))),"ACCEL ","")&amp;IF(AND($EX52&lt;&gt;1,ISNUMBER($AA52),OR('King Node Model'!$A$8="Neg",N($BG$72)=1),$EY52=1,NOT(AND($AG52="S",COUNTIF('Master Dashboard'!$AN$16:$AN$18,$AA52)&gt;0)),NOT(AND($AA52='King Node Model'!$B$23,IF($AG52="S",OR($AA52='King Node Model'!$C$24,COUNTIF('Master Dashboard'!$AN$16:$AN$18,$AA52)&gt;0),OR($AA52='King Node Model'!$C$23,COUNTIF('Master Dashboard'!$AN$13:$AN$15,$AA52)&gt;0)))),NOT(AND($EX52&lt;&gt;1,OR('King Node Model'!$A$8="Neg",N($BG$72)=1),OR(AND(ISNUMBER($AC52),$AC52=MAX($AC$9:$AC$55)),AND(ISNUMBER($AB52),$AB52=MIN($AB$9:$AB$55))),NOT(AND(AND(ISNUMBER($AC52),$AC52=MAX($AC$9:$AC$55)),AND(ISNUMBER($AB52),$AB52=MIN($AB$9:$AB$55)))),$AG52="S",N($AB52)&lt;0,NOT(COUNTIF('Master Dashboard'!$AN$16:$AN$18,$AA52)&gt;0)))),"AMPLIFY ","")&amp;IF(AND($AG52="S",OR('King Node Model'!$A$8="Neg",N($BG$72)=1),$AJ52&lt;&gt;1,N($MT52)&lt;&gt;1,NOT(AND(N($LR52)=1,N($MB52)=1)),ISNUMBER(SEARCH("ACCEL building",$CG52))),"ZACCEL ","")&amp;IF(AND($AG52="S",OR('King Node Model'!$A$8="Neg",N($BG$72)=1),$AA52='King Node Model'!$B$23,NOT(AND(AND(ISNUMBER($AC52),$AC52=MAX($AC$9:$AC$55)),AND(ISNUMBER($AB52),$AB52=MIN($AB$9:$AB$55)))),$EJ52&lt;&gt;1),"KINGACC ","")&amp;IF(AND($AG52="S",OR('King Node Model'!$A$8="Neg",N($BG$72)=1),ABS(N($AA52)-N('King Node Model'!$B$23))&lt;=$BG$107,NOT(AND(SUMPRODUCT((ABS($AF$9:$AF$55)&lt;=ABS(N($AF52)))*1)/COUNT($AF$9:$AF$55)&gt;=0.66,OR(ISNUMBER(SEARCH("firmer resistance",$CG52)),ISNUMBER(SEARCH("STRENGTHENING",$CG52)),ISNUMBER(SEARCH("firmer support",$CG52))))),NOT(AND(N($AB52)&gt;0,SUMPRODUCT((ABS($AB$9:$AB$55)&lt;=ABS(N($AB52)))*1)/COUNT($AB$9:$AB$55)&gt;=0.66)),$EJ52&lt;&gt;1,$AJ52&lt;&gt;1,COUNTIF('Master Dashboard'!$AN$16:$AN$18,$AA52)=0,NOT(AND($AG52="S",OR('King Node Model'!$A$8="Neg",N($BG$72)=1),$AA52='King Node Model'!$B$23,NOT(AND(AND(ISNUMBER($AC52),$AC52=MAX($AC$9:$AC$55)),AND(ISNUMBER($AB52),$AB52=MIN($AB$9:$AB$55)))),$EJ52&lt;&gt;1))),"KINGNODE ","")&amp;IF(AND($AG52="R",NOT(AND(AND(ISNUMBER($AC52),$AC52=MAX($AC$9:$AC$55)),AND(ISNUMBER($AB52),$AB52=MIN($AB$9:$AB$55)))),UPPER('King Node Model'!$L$5)="LOW",$KC52="DOWN",N($AF52)&gt;0),"LOWIVFALL ","")&amp;IF(AND($AG52="R",NOT(AND(AND(ISNUMBER($AC52),$AC52=MAX($AC$9:$AC$55)),AND(ISNUMBER($AB52),$AB52=MIN($AB$9:$AB$55)))),UPPER('King Node Model'!$L$5)="HIGH",$KC52="DOWN",N($AF52)&gt;0,IFERROR(MATCH($AA52,$W$9:$W$14,0)&gt;=4,FALSE)),"HIGHIVFALL ","")&amp;IF(AND($AG52="R",N($BG$99)=1),"SPOTUPVOLUP ","")&amp;IF(AND($AG52="R",ISNUMBER(SEARCH("5/5",'Master Dashboard'!$E$29)),OR(ISNUMBER(SEARCH("WEAKENING",$EQ52)),ISNUMBER(SEARCH("Pos gamma ↓",$EQ52)),ISNUMBER(SEARCH("thinning the ceiling",$EQ52)))),"SQUEEZE ","")&amp;IF(N($JU52)=1,"DEDGECLIFF ","")&amp;IF(N($KT52)=1,"DEXDRAIN ","")&amp;IF(N($HW52)&lt;&gt;0,"DEXDROP ","")&amp;IF(N($HX52)&lt;&gt;0,"PEAK+ ","")&amp;IF(N($IF52)=1,"CHOP ","")&amp;IF(N($IQ52)=1,"CONTESTED ","")&amp;IF(N($IW52)=1,"VSELL ","")&amp;IF(N($JK52)=1,"VBUYRES ","")&amp;IF(N($JL52)=1,"DOMFLAT ","")&amp;IF(N($JM52)=1,"DOMPULL ","")&amp;IF(N($JP52)=1,"OIZOMMA ","")&amp;IF(AND(N($JQ52)=1,N($JZ52)&lt;&gt;1),"OIDEX ","")),""))</f>
        <v>NOREV VSELL</v>
      </c>
      <c r="HS52">
        <f>IFERROR(IF(AND($DC52=1,OR(AND($AG52="R",INDEX($DC$9:$DC$55,43)=0,INDEX($DC$9:$DC$55,45)=1,INDEX($DC$9:$DC$55,46)=1),AND($AG52="S",INDEX($DC$9:$DC$55,45)=0,INDEX($DC$9:$DC$55,43)=1,INDEX($DC$9:$DC$55,42)=1))),1,0),0)</f>
        <v>0</v>
      </c>
      <c r="HT52">
        <f t="shared" si="97"/>
        <v>0</v>
      </c>
      <c r="HU52">
        <v>0</v>
      </c>
      <c r="HV52">
        <v>0</v>
      </c>
      <c r="HW52">
        <f>IFERROR(IF(OR(NOT(ISNUMBER($AA52)),'King Node Model'!$A$8&lt;&gt;"Pos",N($BG$72)=1,ABS(N($AE52))&lt;$BG$113,N($AV52)=1,$FA52="DOM",$AA52='King Node Model'!$T$23,AND(N($BG$116)=1,$AA52='King Node Model'!$F$24),NOT(ISNUMBER($KU52)),NOT(ISNUMBER($KV52))),0,IF(AND($AG52="S",COUNTIF('Master Dashboard'!$AN$16:$AN$18,$AA52)=0,$KU52&gt;=$BG$114,$KU52&gt;=$KV52+$BG$115,NOT(AND(N($AN53)=1,N($KV52)&lt;0)),N($AE52)&lt;=0),1,IF(AND($AG52="R",COUNTIF('Master Dashboard'!$AN$13:$AN$15,$AA52)=0,$KV52&gt;=$BG$114,$KV52&gt;=$KU52+$BG$115,NOT(AND(N($AN51)=1,N($KU52)&lt;0))),-1,0))),0)</f>
        <v>0</v>
      </c>
      <c r="HX52">
        <f>IFERROR(IF(AND(ISNUMBER($AA52),$FA52="PEAK+",N($AN52)&lt;&gt;1,NOT(AND('King Node Model'!$A$8="Pos",OR($AA52='King Node Model'!$T$22,$AA52='King Node Model'!$T$23,$AA52='King Node Model'!$F$24))),IF($AG52="S",COUNTIF('Master Dashboard'!$AN$16:$AN$18,$AA52)=0,IF($AG52="R",COUNTIF('Master Dashboard'!$AN$13:$AN$15,$AA52)=0,FALSE))),1,0),0)</f>
        <v>0</v>
      </c>
      <c r="HY52">
        <f t="shared" si="98"/>
        <v>0.71797319701836204</v>
      </c>
      <c r="HZ52">
        <v>1</v>
      </c>
      <c r="IA52">
        <f>IFERROR(IF(AND(IF($BG$44=1,OR(ISNUMBER(SEARCH("Choppy",'King Node Model'!$S$38)),'King Node Model'!$S$52&lt;&gt;"",'King Node Model'!$A$8="Pos"),TRUE()),OR($DC52=1,$DC51=1,$DC53=1),ABS($AA52-$B$4)&lt;=$BG$7,ABS($AA52-$BG$28)&gt;=$BG$45,OR(AND($AA52&gt;$BG$28,$AG52="R"),AND($AA52&lt;$BG$28,$AG52="S",N($BG$154)=1)),ABS(IF($AA52&gt;$BG$28,$AE53,$AE51))&gt;=$BG$43,ABS(N(IF($AA52&gt;$BG$28,$AE51,$AE53)))&lt;=$BG$153*ABS(IF($AA52&gt;$BG$28,$AE53,$AE51)),IF(ISNUMBER($HZ52),$HZ52=1,AND(ISNUMBER($HY52),$HY52&gt;=$BG$42))),1,0),0)</f>
        <v>0</v>
      </c>
      <c r="IB52">
        <f t="shared" si="99"/>
        <v>0</v>
      </c>
      <c r="IC52" t="str">
        <f>IF(NOT(ISNUMBER($AA52)),"",IFERROR(MID(IF(AND($AC52=MAX($AC$9:$AC$55),$AB52=MIN($AB$9:$AB$55))," · DOM","")&amp;IF(AND($DC51=1,$DC52=1,$DC53=1,INDEX($AC$9:$AC$55,44-1)&lt;=(1-$FA$6)*$AC52,INDEX($AC$9:$AC$55,44-1)&lt;=(1-$FA$6)*INDEX($AC$9:$AC$55,44-2))," · GAP↑ → "&amp;INDEX($AA$9:$AA$55,44-2),"")&amp;IF(AND($DC53=1,$DC52=1,INDEX($AC$9:$AC$55,44+1)&lt;=(1-$FA$6)*$AC52,INDEX($AC$9:$AC$55,44+1)&lt;=(1-$FA$6)*INDEX($AC$9:$AC$55,44+2))," · GAP↓ → "&amp;INDEX($AA$9:$AA$55,44+2),"")&amp;IF($CZ52=1," · dEdge Cliff","")&amp;IF($GY52=1," · γWall","")&amp;IF(AND($DC52=1,$AB52&lt;0,$AC52&gt;=(1+$FA$6)*INDEX($AC$9:$AC$55,44-1),$AC52&gt;=(1+$FA$6)*INDEX($AC$9:$AC$55,44+1))," · PEAK-","")&amp;IF($GZ52=1," · γSh Edge","")&amp;IF($HL52=1," · Trough","")&amp;IF($HN52=1," · PEAK+","")&amp;IF($GF52=1," · Cluster",""),FIND(" · ",IF(AND($AC52=MAX($AC$9:$AC$55),$AB52=MIN($AB$9:$AB$55))," · DOM","")&amp;IF(AND($DC51=1,$DC52=1,$DC53=1,INDEX($AC$9:$AC$55,44-1)&lt;=(1-$FA$6)*$AC52,INDEX($AC$9:$AC$55,44-1)&lt;=(1-$FA$6)*INDEX($AC$9:$AC$55,44-2))," · GAP↑ → "&amp;INDEX($AA$9:$AA$55,44-2),"")&amp;IF(AND($DC53=1,$DC52=1,INDEX($AC$9:$AC$55,44+1)&lt;=(1-$FA$6)*$AC52,INDEX($AC$9:$AC$55,44+1)&lt;=(1-$FA$6)*INDEX($AC$9:$AC$55,44+2))," · GAP↓ → "&amp;INDEX($AA$9:$AA$55,44+2),"")&amp;IF($CZ52=1," · dEdge Cliff","")&amp;IF($GY52=1," · γWall","")&amp;IF(AND($DC52=1,$AB52&lt;0,$AC52&gt;=(1+$FA$6)*INDEX($AC$9:$AC$55,44-1),$AC52&gt;=(1+$FA$6)*INDEX($AC$9:$AC$55,44+1))," · PEAK-","")&amp;IF($GZ52=1," · γSh Edge","")&amp;IF($HL52=1," · Trough","")&amp;IF($HN52=1," · PEAK+","")&amp;IF($GF52=1," · Cluster",""),2),999),""))</f>
        <v/>
      </c>
      <c r="ID52" t="str">
        <f>IF(NOT(ISNUMBER($AA52)),"",IFERROR(MID(IF(AND($AC52=MAX($AC$9:$AC$55),$AB52=MIN($AB$9:$AB$55))," · DOM","")&amp;IF(AND($DC51=1,$DC52=1,$DC53=1,INDEX($AC$9:$AC$55,44-1)&lt;=(1-$FA$6)*$AC52,INDEX($AC$9:$AC$55,44-1)&lt;=(1-$FA$6)*INDEX($AC$9:$AC$55,44-2))," · GAP↑ → "&amp;INDEX($AA$9:$AA$55,44-2),"")&amp;IF(AND($DC53=1,$DC52=1,INDEX($AC$9:$AC$55,44+1)&lt;=(1-$FA$6)*$AC52,INDEX($AC$9:$AC$55,44+1)&lt;=(1-$FA$6)*INDEX($AC$9:$AC$55,44+2))," · GAP↓ → "&amp;INDEX($AA$9:$AA$55,44+2),"")&amp;IF($CZ52=1," · dEdge Cliff","")&amp;IF($GY52=1," · γWall","")&amp;IF(AND($DC52=1,$AB52&lt;0,$AC52&gt;=(1+$FA$6)*INDEX($AC$9:$AC$55,44-1),$AC52&gt;=(1+$FA$6)*INDEX($AC$9:$AC$55,44+1))," · PEAK-","")&amp;IF($GZ52=1," · γSh Edge","")&amp;IF($HL52=1," · Trough","")&amp;IF($HN52=1," · PEAK+","")&amp;IF(AND(NOT($HN52=1),NOT(AND($DC52=1,$AB52&lt;0)),N($GY52)&lt;&gt;1,N($GF52)&lt;&gt;1,N($GZ52)&lt;&gt;1,N($HL52)&lt;&gt;1,N($CZ52)&lt;&gt;1,NOT(AND($AC52=MAX($AC$9:$AC$55),$AB52=MIN($AB$9:$AB$55))),$AC52&gt;=(1+$FA$6)*INDEX($AC$9:$AC$55,44-1),$AC52&gt;=(1+$FA$6)*INDEX($AC$9:$AC$55,44+1))," · Knoll","")&amp;IF($GF52=1," · Cluster",""),4,999),""))</f>
        <v/>
      </c>
      <c r="IF52">
        <f t="shared" si="100"/>
        <v>0</v>
      </c>
      <c r="IG52">
        <f>IFERROR(IF(AND(ISNUMBER($AA52),'King Node Model'!$A$8="Pos",OR($AG52="S",$AG52="R"),$IN52="interior",COUNTIF(IF($AG52="S",'Master Dashboard'!$AN$16:$AN$18,'Master Dashboard'!$AN$13:$AN$15),$AA52)=0,$AA52&lt;&gt;'King Node Model'!$T$22,$AA52&lt;&gt;'King Node Model'!$T$23,$AA52&lt;&gt;'King Node Model'!$F$24),1,0),0)</f>
        <v>0</v>
      </c>
      <c r="IH52">
        <f t="shared" si="101"/>
        <v>0</v>
      </c>
      <c r="II52">
        <f t="shared" si="190"/>
        <v>0</v>
      </c>
      <c r="IJ52">
        <f t="shared" si="102"/>
        <v>0</v>
      </c>
      <c r="IK52">
        <f t="shared" si="103"/>
        <v>0</v>
      </c>
      <c r="IL52">
        <f t="shared" si="191"/>
        <v>0</v>
      </c>
      <c r="IM52">
        <f t="shared" si="104"/>
        <v>0</v>
      </c>
      <c r="IN52" t="str">
        <f t="shared" si="105"/>
        <v/>
      </c>
      <c r="IO52">
        <v>0</v>
      </c>
      <c r="IP52">
        <v>0</v>
      </c>
      <c r="IQ52">
        <f>IFERROR(IF($AG52="S",IF(OR(COUNTIF($W$9:$W$14,$AA52)&gt;0,COUNTIF('King Node Model'!$AL$42:'King Node Model'!$AL$43,$AA52)&gt;0),1,0),IF($AG52="R",IF(OR(COUNTIF($W$18:$W$23,$AA52)&gt;0,COUNTIF('King Node Model'!$AL$49:'King Node Model'!$AL$50,$AA52)&gt;0),1,0),0)),0)</f>
        <v>0</v>
      </c>
      <c r="IS52">
        <f>IF(AND(ISNUMBER($AA52),N($AN52)&lt;&gt;1,N($LR52)&lt;&gt;1,OR(N($EN52)&lt;&gt;1,AND('King Node Model'!$A$8&lt;&gt;"Neg",N($BG$72)&lt;&gt;1)),$AA52&lt;&gt;'King Node Model'!$T$22,$AA52&lt;&gt;'King Node Model'!$T$23,$AA52&lt;&gt;'King Node Model'!$F$24,NOT(AND($AG52="S",COUNTIF('Master Dashboard'!$AN$16:$AN$18,$AA52)&gt;0)),NOT(AND($AG52="R",COUNTIF('Master Dashboard'!$AN$13:$AN$15,$AA52)&gt;0)),NOT(AND('King Node Model'!$A$8&lt;&gt;"Neg",N($BG$72)&lt;&gt;1,COUNTIF('Master Dashboard'!$AN$13:$AN$18,$AA52)&gt;0))),1,0)</f>
        <v>1</v>
      </c>
      <c r="IT52">
        <v>0</v>
      </c>
      <c r="IU52">
        <f>IF(AND(ISNUMBER($AA52),$AA52='King Node Model'!$F$24,$AA52&gt;$GJ$3,N($AD52)&lt;0,$F$4="High"),1,0)</f>
        <v>0</v>
      </c>
      <c r="IV52" t="str">
        <f>""</f>
        <v/>
      </c>
      <c r="IW52">
        <f>IFERROR(IF(AND(ISNUMBER($AA52),NOT(AND(N($LR52)=1,N($MB52)=1)),$AG52="S",OR('King Node Model'!$A$8="Neg",N($BG$72)=1),$JV52="SELL",ABS(N($AD52))&gt;=$BG$94,NOT(AND(N($AD52)&gt;0,N($BG$78)=1,MEDIAN($AA52-$BG$82,$B$4,$AA52+$BG$83)=$B$4))),1,0),0)</f>
        <v>1</v>
      </c>
      <c r="IX52">
        <f>IFERROR(IF(AND(ISNUMBER($AA52),$AG52="S",OR('King Node Model'!$A$8="Neg",N($BG$72)=1),N($AD52)&gt;0,N($BG$78)=1,MEDIAN($AA52-$BG$82,$B$4,$AA52+$BG$83)=$B$4),1,0),0)</f>
        <v>0</v>
      </c>
      <c r="IY52" t="str">
        <f t="shared" si="106"/>
        <v>SELL</v>
      </c>
      <c r="IZ52">
        <f>IFERROR(IF(AND(ISNUMBER($AA52),$FA52&lt;&gt;"DOM",$AA52&lt;&gt;'King Node Model'!$F$24,OR(AND($AG52="S",COUNTIF('Master Dashboard'!$AN$16:$AN$18,$AA52)=0,N(INDEX($AE$9:$AE$55,MATCH($AA52+$BG$84,$AA$9:$AA$55,0)))&lt;=-$BG$85),AND($AG52="R",COUNTIF('Master Dashboard'!$AN$13:$AN$15,$AA52)=0,N(INDEX($AE$9:$AE$55,MATCH($AA52-$BG$84,$AA$9:$AA$55,0)))&gt;=$BG$85))),1,0),0)</f>
        <v>0</v>
      </c>
      <c r="JC52">
        <f t="shared" si="108"/>
        <v>0</v>
      </c>
      <c r="JD52" t="str">
        <f t="shared" si="193"/>
        <v/>
      </c>
      <c r="JE52">
        <f>IF(ISNUMBER($AA52),N(IFERROR(INDEX('King Node Model'!$L$29:$L$75,MATCH($AA52,'King Node Model'!$A$29:$A$75,0)),0)),"")</f>
        <v>2001</v>
      </c>
      <c r="JF52">
        <f>IF(ISNUMBER($AA52),N(IFERROR(INDEX('King Node Model'!$K$29:$K$75,MATCH($AA52,'King Node Model'!$A$29:$A$75,0)),0)),"")</f>
        <v>211</v>
      </c>
      <c r="JG52">
        <f t="shared" si="109"/>
        <v>9.4834123222748818</v>
      </c>
      <c r="JH52">
        <f t="shared" si="110"/>
        <v>0.1054472763618191</v>
      </c>
      <c r="JI52">
        <f t="shared" si="111"/>
        <v>0</v>
      </c>
      <c r="JJ52" t="str">
        <f t="shared" si="112"/>
        <v>Ramp</v>
      </c>
      <c r="JK52">
        <f t="shared" si="113"/>
        <v>0</v>
      </c>
      <c r="JL52">
        <f t="shared" si="114"/>
        <v>0</v>
      </c>
      <c r="JM52">
        <f t="shared" si="115"/>
        <v>0</v>
      </c>
      <c r="JN52">
        <f t="shared" si="116"/>
        <v>0</v>
      </c>
      <c r="JO52">
        <f t="shared" si="117"/>
        <v>0</v>
      </c>
      <c r="JP52">
        <f t="shared" si="118"/>
        <v>0</v>
      </c>
      <c r="JQ52">
        <f t="shared" si="119"/>
        <v>0</v>
      </c>
      <c r="JR52">
        <v>0</v>
      </c>
      <c r="JS52">
        <f>IFERROR(IF(AND(ISNUMBER($AA52),'King Node Model'!$A$8="Pos",OR($AG52="S",$AG52="R"),N($AB52)&gt;0,N($HP52)&lt;&gt;1,OR(AND($KC52="DOWN",N($AF52)&lt;0,N($AF52)=MIN($AF$9:$AF$55),-N($AF52)&gt;=MAX($AF$9:$AF$55)),AND($KC52="UP",N($AF52)&gt;0,N($AF52)=MAX($AF$9:$AF$55),N($AF52)&gt;=-MIN($AF$9:$AF$55)))),1,0),0)</f>
        <v>0</v>
      </c>
      <c r="JT52">
        <v>0</v>
      </c>
      <c r="JU52">
        <f>IFERROR(IF(AND(N($BG$109)=1,ISNUMBER($AA52),'King Node Model'!$A$8="Pos",N($CZ52)=1,N($AB52)&gt;0),1,0),0)</f>
        <v>0</v>
      </c>
      <c r="JV52" t="str">
        <f t="shared" si="120"/>
        <v>SELL</v>
      </c>
      <c r="JW52">
        <f t="shared" si="121"/>
        <v>0</v>
      </c>
      <c r="JX52">
        <f t="shared" si="122"/>
        <v>0</v>
      </c>
      <c r="JY52">
        <f t="shared" si="123"/>
        <v>0</v>
      </c>
      <c r="JZ52">
        <f t="shared" si="124"/>
        <v>0</v>
      </c>
      <c r="KA52">
        <f t="shared" si="125"/>
        <v>0</v>
      </c>
      <c r="KB52">
        <f t="shared" si="126"/>
        <v>0</v>
      </c>
      <c r="KC52" t="str">
        <f t="shared" si="127"/>
        <v>UP</v>
      </c>
      <c r="KE52" t="str">
        <f t="shared" si="128"/>
        <v>Now: weakening the floor (IV rising) · if IV falls: strengthens the floor · expected on arrival: WEAKENS ✗</v>
      </c>
      <c r="KF52" t="str">
        <f t="shared" si="129"/>
        <v>SELL</v>
      </c>
      <c r="KG52">
        <f t="shared" si="192"/>
        <v>0</v>
      </c>
      <c r="KH52" t="str">
        <f t="shared" si="130"/>
        <v/>
      </c>
      <c r="KI52" t="str">
        <f t="shared" si="131"/>
        <v/>
      </c>
      <c r="KJ52">
        <f t="shared" si="132"/>
        <v>0</v>
      </c>
      <c r="KK52">
        <f t="shared" si="133"/>
        <v>0</v>
      </c>
      <c r="KL52">
        <f t="shared" si="134"/>
        <v>0</v>
      </c>
      <c r="KM52">
        <f t="shared" si="135"/>
        <v>0</v>
      </c>
      <c r="KN52">
        <f t="shared" si="136"/>
        <v>0</v>
      </c>
      <c r="KO52">
        <v>0</v>
      </c>
      <c r="KP52">
        <f t="shared" si="137"/>
        <v>0</v>
      </c>
      <c r="KQ52">
        <f t="shared" si="138"/>
        <v>0</v>
      </c>
      <c r="KR52">
        <f t="shared" si="139"/>
        <v>0</v>
      </c>
      <c r="KS52">
        <f t="shared" si="140"/>
        <v>0</v>
      </c>
      <c r="KT52">
        <f t="shared" si="141"/>
        <v>0</v>
      </c>
      <c r="KU52">
        <f>IF(AND(ISNUMBER($AA52),ISNUMBER($AE52),ISNUMBER($AE51),N($AE52)&lt;&gt;0),($AE52-$AE51)/$AE52,"")</f>
      </c>
      <c r="KV52">
        <f>IF(AND(ISNUMBER($AA52),ISNUMBER($AE52),ISNUMBER($AE53),N($AE52)&lt;&gt;0),($AE52-$AE53)/$AE52,"")</f>
      </c>
      <c r="KW52">
        <f>IFERROR(IF(OR(NOT(ISNUMBER($AA52)),'King Node Model'!$A$8&lt;&gt;"Pos",N($BG$72)=1,ABS(N($AE52))&lt;$BG$113,$FA52="DOM",$AA52='King Node Model'!$T$23,AND(N($BG$116)=1,$AA52='King Node Model'!$F$24),NOT(ISNUMBER($KU52)),NOT(ISNUMBER($KV52))),0,IF(AND($AG52="S",COUNTIF('Master Dashboard'!$AN$16:$AN$18,$AA52)=0,$KU52&gt;=$BG$114,$KU52&gt;=$KV52+$BG$115),1,IF(AND($AG52="R",COUNTIF('Master Dashboard'!$AN$13:$AN$15,$AA52)=0,$KV52&gt;=$BG$114,$KV52&gt;=$KU52+$BG$115),-1,0))),0)</f>
        <v>0</v>
      </c>
      <c r="KX52">
        <f t="shared" si="144"/>
        <v>0</v>
      </c>
      <c r="KY52">
        <f t="shared" si="145"/>
        <v>0</v>
      </c>
      <c r="KZ52">
        <f t="shared" si="146"/>
        <v>0</v>
      </c>
      <c r="LA52">
        <f t="shared" si="147"/>
        <v>0</v>
      </c>
      <c r="LB52">
        <f t="shared" si="148"/>
        <v>0</v>
      </c>
      <c r="LC52">
        <f t="shared" si="149"/>
        <v>0</v>
      </c>
      <c r="LD52">
        <f t="shared" si="150"/>
        <v>0</v>
      </c>
      <c r="LE52">
        <f t="shared" si="151"/>
        <v>0</v>
      </c>
      <c r="LF52">
        <f t="shared" si="152"/>
        <v>0</v>
      </c>
      <c r="LG52" t="str">
        <f t="shared" si="153"/>
        <v/>
      </c>
      <c r="LH52" t="str">
        <f t="shared" si="154"/>
        <v/>
      </c>
      <c r="LI52" t="str">
        <f t="shared" si="155"/>
        <v/>
      </c>
      <c r="LJ52" t="str">
        <f t="shared" si="156"/>
        <v/>
      </c>
      <c r="LK52" t="str">
        <f t="shared" si="157"/>
        <v/>
      </c>
      <c r="LL52">
        <f t="shared" si="158"/>
        <v>0</v>
      </c>
      <c r="LM52">
        <f t="shared" si="159"/>
        <v>0</v>
      </c>
      <c r="LN52">
        <f t="shared" si="160"/>
        <v>0</v>
      </c>
      <c r="LO52">
        <v>0</v>
      </c>
      <c r="LP52">
        <f t="shared" si="161"/>
        <v>0</v>
      </c>
      <c r="LQ52" t="str">
        <f t="shared" si="162"/>
        <v/>
      </c>
      <c r="LR52">
        <f t="shared" si="163"/>
        <v>0</v>
      </c>
      <c r="LS52">
        <f t="shared" si="164"/>
        <v>0</v>
      </c>
      <c r="LT52">
        <f t="shared" si="165"/>
        <v>0</v>
      </c>
      <c r="LU52">
        <f t="shared" si="166"/>
        <v>0</v>
      </c>
      <c r="LV52">
        <f t="shared" si="167"/>
        <v>0</v>
      </c>
      <c r="LW52">
        <f t="shared" si="168"/>
        <v>0</v>
      </c>
      <c r="LX52">
        <f t="shared" si="169"/>
        <v>0</v>
      </c>
      <c r="LY52">
        <f t="shared" si="170"/>
        <v>0</v>
      </c>
      <c r="LZ52">
        <f t="shared" si="171"/>
        <v>0</v>
      </c>
      <c r="MA52">
        <f t="shared" si="172"/>
        <v>0</v>
      </c>
      <c r="MB52">
        <v>0</v>
      </c>
      <c r="MC52">
        <f t="shared" si="173"/>
        <v>1</v>
      </c>
      <c r="MD52">
        <f t="shared" si="174"/>
        <v>1</v>
      </c>
      <c r="ME52">
        <f t="shared" si="175"/>
        <v>0</v>
      </c>
      <c r="MF52">
        <f t="shared" si="176"/>
        <v>0</v>
      </c>
      <c r="MG52">
        <f t="shared" si="177"/>
        <v>0</v>
      </c>
      <c r="MH52">
        <f t="shared" si="178"/>
        <v>0</v>
      </c>
      <c r="MI52" t="str">
        <f t="shared" si="179"/>
        <v/>
      </c>
      <c r="MJ52">
        <f t="shared" si="180"/>
        <v>0</v>
      </c>
      <c r="MK52">
        <f t="shared" si="181"/>
        <v>0</v>
      </c>
      <c r="ML52">
        <f>IF(AND(OR('King Node Model'!$A$8="Neg",N($BG$72)=1),ISNUMBER($AA52),$AG52="R",N($AB52)&lt;0),IF(AND($AA51=$AA52+5,N($AB51)&gt;0,$AA50=$AA52+10,N($AB50)&lt;0),1,IF(AND($AA51=$AA52+5,N($AB51)&gt;0,$AA50=$AA52+10,N($AB50)&gt;0,$AA49=$AA52+15,N($AB49)&lt;0),2,IF(AND($AA51=$AA52+5,N($AB51)&gt;0,$AA50=$AA52+10,N($AB50)&gt;0,$AA49=$AA52+15,N($AB49)&gt;0,$AA48=$AA52+20,N($AB48)&lt;0),3,IF(AND($AA51=$AA52+5,N($AB51)&gt;0,$AA50=$AA52+10,N($AB50)&gt;0,$AA49=$AA52+15,N($AB49)&gt;0,$AA48=$AA52+20,N($AB48)&gt;0,$AA47=$AA52+25,N($AB47)&lt;0),4,0)))),0)</f>
      </c>
      <c r="MM52">
        <f>IF(AND(OR('King Node Model'!$A$8="Neg",N($BG$72)=1),ISNUMBER($AA52),$AG52="S",N($AB52)&lt;0),IF(AND($AA53=$AA52-5,N($AB53)&gt;0,$AA54=$AA52-10,N($AB54)&lt;0),1,IF(AND($AA53=$AA52-5,N($AB53)&gt;0,$AA54=$AA52-10,N($AB54)&gt;0,$AA55=$AA52-15,N($AB55)&lt;0),2,IF(AND($AA53=$AA52-5,N($AB53)&gt;0,$AA54=$AA52-10,N($AB54)&gt;0,$AA55=$AA52-15,N($AB55)&gt;0,$AA56=$AA52-20,N($AB56)&lt;0),3,IF(AND($AA53=$AA52-5,N($AB53)&gt;0,$AA54=$AA52-10,N($AB54)&gt;0,$AA55=$AA52-15,N($AB55)&gt;0,$AA56=$AA52-20,N($AB56)&gt;0,$AA57=$AA52-25,N($AB57)&lt;0),4,0)))),0)</f>
      </c>
      <c r="MN52">
        <f>IF(N($ML52)&gt;0,$AA52,0)</f>
      </c>
      <c r="MO52">
        <f>IF(N($MM52)&gt;0,$AA52,0)</f>
      </c>
      <c r="MP52">
        <f>IF(AND(OR('King Node Model'!$A$8="Neg",N($BG$72)=1),ISNUMBER($BG$155),$AA52=$BG$155,N($NC52)=1),2,IF(AND(OR('King Node Model'!$A$8="Neg",N($BG$72)=1),ISNUMBER($BG$156),$AA52=$BG$156,N($ND52)=1),1,0))</f>
      </c>
      <c r="MQ52">
        <f>IF(ABS(AE52)&lt;=0,0,IF($AG52="R",IF(ISNUMBER(AE51),IF((ABS(AE51)-ABS(AE52))/ABS(AE52)&lt;-0.4,1,0),0),IF(ISNUMBER(AE53),IF((ABS(AE53)-ABS(AE52))/ABS(AE52)&lt;-0.4,1,0),0)))</f>
      </c>
      <c r="MR52">
        <f>IF(OR(N($MQ52)&lt;&gt;1,N($BG$157)&lt;&gt;1,NOT(ISNUMBER($KU52)),NOT(ISNUMBER($KV52))),0,IF(OR(AND($AG52="S",OR(AND($KU52&gt;=$BG$114,$KU52&gt;=$KV52+$BG$115),AND($KU52&gt;1,$KV52&lt;=1,$KV52&gt;=$BG$114))),AND($AG52="R",OR(AND($KV52&gt;=$BG$114,$KV52&gt;=$KU52+$BG$115),AND($KV52&gt;1,$KU52&lt;=1,$KU52&gt;=$BG$114)))),1,0))</f>
      </c>
      <c r="MS52" t="str">
        <f>IF(AND(N($MR52)=1,N($NA52)&lt;&gt;1),"• DEX falls off more sharply "&amp;IF($AG52="S","above (","below (")&amp;TEXT(IF($AG52="S",$KU52,$KV52),"0%")&amp;") than "&amp;IF($AG52="S","below (","above (")&amp;TEXT(IF($AG52="S",$KV52,$KU52),"0%")&amp;") — Dex↓ not counted",IF(N($MW52)=1,"• Shoulder of the "&amp;IF($AG52="R",$AA53,$AA51)&amp;" wall — own DEX "&amp;TEXT($AE52/1000,"+#,##0;-#,##0")&amp;"K is "&amp;TEXT(ABS($AE52)/ABS(IF($AG52="R",$AE53,$AE51)),"0%")&amp;" of "&amp;TEXT(IF($AG52="R",$AE53,$AE51)/1000,"+#,##0;-#,##0")&amp;"K, Dex↓ not counted",""))</f>
      </c>
      <c r="MT52">
        <f>IF(AND(ISNUMBER($AA52),$AG52="S",ISNUMBER($AB52),$AB52=MIN($AB$9:$AB$55),$AA52=$BG$105,$JV52="BUY",ABS(N($AD52))&gt;=$BG$158),1,0)</f>
      </c>
      <c r="MU52" t="str">
        <f>IF(N($MY52)=1,"",IF(OR(N($MT52)=1,AND(OR('King Node Model'!$A$8="Neg",N($BG$72)=1),$AG52="S",ISNUMBER($AB52),$AB52=MIN($AB$9:$AB$55),$AA52=$BG$105)),"• Min GEX + Max Zomma (no reversal flag required) — accelerant warning not applied; zomma acceleration warning only within "&amp;$BG$98&amp;" pts of the level, and not when vanna buying is "&amp;TEXT($BG$158/1000,"0")&amp;"K or more"&amp;CHAR(10)&amp;IF(N($MT52)=1,"• Max Zomma and vanna buying ("&amp;TEXT(N($AD52)/1000,"+#,##0;-#,##0")&amp;"K) make this level safe","• Max Zomma is what makes this level safe"),"")&amp;$NB52&amp;$NI52)</f>
      </c>
      <c r="MV52" t="str">
        <f>IF(AND(ISNUMBER($AA52),OR($AA52=$BG$118,$AA52=$BG$119)),IF(N($AZ52)*IF($AG52="R",1,-1)&gt;0,"✓",IF(N($AZ52)*IF($AG52="R",1,-1)&lt;0,"✗","")),"")</f>
      </c>
      <c r="MW52">
        <f>IF(AND(N($MQ52)=1,N($BG$159)&gt;0,ISNUMBER(IF($AG52="R",$AE53,$AE51)),N(IF($AG52="R",$AE53,$AE51))&lt;&gt;0),IF(ABS(N($AE52))&lt;$BG$159*ABS(IF($AG52="R",$AE53,$AE51)),1,0),0)</f>
      </c>
      <c r="MX52">
        <f>IF(AND(ISNUMBER($AA52),$AA52=$BG$121,$AG52="R",N($AE52)&lt;0,OR(COUNTIF('King Node Model'!$AL$42:$AL$44,$AA52)=0,N($HP52)=1),N($NC52)=1),2,IF(AND(ISNUMBER($AA52),$AA52=$BG$120,$AG52="S",N($AE52)&gt;0,OR(COUNTIF('King Node Model'!$AL$49:$AL$51,$AA52)=0,N($HP52)=1),N($ND52)=1),1,0))</f>
      </c>
      <c r="MY52">
        <f>IF(AND(N($NA52)=1,NOT(AND(AND($AG52="S",ISNUMBER($AB52),$AB52=MIN($AB$9:$AB$55),$AA52=$BG$105),IFERROR(INDEX($AG$9:$AG$55,MATCH('King Node Model'!$B$23,$AA$9:$AA$55,0)),"")="R")),N($AV52)&lt;&gt;1),1,0)</f>
      </c>
      <c r="MZ52" t="str">
        <f>IF(N($MY52)&lt;&gt;1,"","• DEX falls off more sharply "&amp;IF($AG52="S","above (","below (")&amp;TEXT(IF($AG52="S",$KU52,$KV52),"0%")&amp;") than "&amp;IF($AG52="S","below (","above (")&amp;TEXT(IF($AG52="S",$KV52,$KU52),"0%")&amp;") — path of least resistance "&amp;IF($AG52="S","down","up")&amp;IF(N($AZ52)*IF($AG52="R",1,-1)&lt;0,CHAR(10)&amp;"• Speed against — GEX gets more negative as price "&amp;IF($AG52="R","rises","falls")&amp;" into it (speed "&amp;TEXT(N($AZ52),"#,##0;−#,##0")&amp;")","")&amp;IF(OR(N($NG52)=1,N($JC52)=1),CHAR(10)&amp;"• "&amp;IF(N($JC52)=1,"DOM with vanna BUY "&amp;TEXT(N($AD52)/1000,"+#,##0;−#,##0")&amp;"K","Put wall + Max Zomma + DOM")&amp;" backs the level, but it does not outweigh DEX"&amp;IF(N($AZ52)*IF($AG52="R",1,-1)&lt;0," and speed",""),IF(AND($AG52="S",ISNUMBER($AB52),$AB52=MIN($AB$9:$AB$55),$AA52=$BG$105),CHAR(10)&amp;"• Min GEX + Max Zomma backs the level, but it does not outweigh DEX"&amp;IF(N($AZ52)*IF($AG52="R",1,-1)&lt;0," and speed",""),IF(OR(N($JI52)=1,AND(N($GV52)=1,N($JK52)&lt;&gt;1,N($IW52)&lt;&gt;1),N($JC52)=1,AND($AA52='King Node Model'!$F$24,N($JN52)&lt;&gt;1,OR($AG52="R",AND($AG52="S",$F$4="High",IF($BG$80&lt;&gt;"",UPPER($BG$80),$D$5)="UP")))),CHAR(10)&amp;"• Vanna "&amp;IF($AG52="S","BUY ","SELL ")&amp;TEXT(N($AD52)/1000,"+#,##0;−#,##0")&amp;"K backs the level, but it does not outweigh DEX"&amp;IF(N($AZ52)*IF($AG52="R",1,-1)&lt;0," and speed",""),"")))&amp;IF(N($NE52)=1,CHAR(10)&amp;"• Buy-lean max-node exemption not applied — DEX leans against the level",""))</f>
      </c>
      <c r="NA52">
        <f>IF(AND(OR('King Node Model'!$A$8="Neg",N($BG$72)=1),ISNUMBER($AA52),ABS(N($AE52))&gt;=$BG$152,ISNUMBER($KU52),ISNUMBER($KV52)),IF(OR(AND($AG52="S",OR(AND($KU52&gt;=$BG$114,$KU52&gt;=$KV52+$BG$115),AND($KU52&gt;1,$KV52&lt;=1,$KV52&gt;=$BG$114))),AND($AG52="R",OR(AND($KV52&gt;=$BG$114,$KV52&gt;=$KU52+$BG$115),AND($KV52&gt;1,$KU52&lt;=1,$KU52&gt;=$BG$114)))),1,0),0)</f>
      </c>
      <c r="NB52" t="str">
        <f>IF(AND(N($NA52)=1,AND(AND($AG52="S",ISNUMBER($AB52),$AB52=MIN($AB$9:$AB$55),$AA52=$BG$105),IFERROR(INDEX($AG$9:$AG$55,MATCH('King Node Model'!$B$23,$AA$9:$AA$55,0)),"")="R")),CHAR(10)&amp;"• DEX falls off more sharply above ("&amp;TEXT($KU52,"0%")&amp;") than below ("&amp;TEXT($KV52,"0%")&amp;") — DEX-lean warning not applied: Min GEX + Max Zomma support with Max Gamma "&amp;'King Node Model'!$B$23&amp;" above (Dex↓ not counted)",IF(AND(OR(N($NA52)=1,N($NF52)=1),N($AV52)=1),IF(AND(OR('King Node Model'!$A$8="Neg",N($BG$72)=1),$AG52="S",ISNUMBER($AB52),$AB52=MIN($AB$9:$AB$55),$AA52=$BG$105),CHAR(10),"")&amp;"• DEX falls off more sharply "&amp;IF($AG52="S","above (","below (")&amp;TEXT(IF($AG52="S",$KU52,$KV52),"0%")&amp;") than "&amp;IF($AG52="S","below (","above (")&amp;TEXT(IF($AG52="S",$KV52,$KU52),"0%")&amp;") — DEX lean does not apply to iDex (isolated DEX)",""))</f>
      </c>
      <c r="NC52">
        <f>IF(OR($BG$163=1,AND($BG$161&gt;0,$BG$162&lt;99999,ISNUMBER($AA52),$AA52&lt;$BG$162)),1,0)</f>
      </c>
      <c r="ND52">
        <f>IF(OR($BG$163=-1,AND($BG$161&gt;0,$BG$162&lt;99999,ISNUMBER($AA52),$AA52&gt;$BG$161)),1,0)</f>
      </c>
      <c r="NE52">
        <f>IF(AND(OR('King Node Model'!$A$8="Neg",N($BG$72)=1),ISNUMBER(SEARCH("LOW",'Master Dashboard'!$M$5)),ISNUMBER(SEARCH("BUY",'Master Dashboard'!$G$8)),'King Node Model'!$T$23='King Node Model'!$B$23,OR($AA52='King Node Model'!$T$23,AND($AG52="R",$AA52='King Node Model'!$T$23+5)),OR(AND($AG52="S",$JV52="BUY"),AND($AG52="R",$JV52="SELL"))),1,0)</f>
      </c>
      <c r="NF52">
        <f>IFERROR(IF(OR(NOT(ISNUMBER($AA52)),'King Node Model'!$A$8&lt;&gt;"Pos",N($BG$72)=1,ABS(N($AE52))&lt;$BG$113,$FA52="DOM",$AA52='King Node Model'!$T$23,AND(N($BG$116)=1,$AA52='King Node Model'!$F$24),NOT(ISNUMBER($KU52)),NOT(ISNUMBER($KV52))),0,IF(AND($AG52="S",COUNTIF('Master Dashboard'!$AN$16:$AN$18,$AA52)=0,$KU52&gt;=$BG$114,$KU52&gt;=$KV52+$BG$115,NOT(AND(N($AN53)=1,N($KV52)&lt;0)),N($AE52)&lt;=0),1,IF(AND($AG52="R",COUNTIF('Master Dashboard'!$AN$13:$AN$15,$AA52)=0,$KV52&gt;=$BG$114,$KV52&gt;=$KU52+$BG$115,NOT(AND(N($AN51)=1,N($KU52)&lt;0))),-1,0))),0)</f>
      </c>
      <c r="NG52">
        <f t="shared" si="202"/>
      </c>
      <c r="NI52" t="str">
        <f>IF(AND(ISNUMBER($BG$165),ISNUMBER($AA52)),IF(OR(AND($AG52="S",$AA52&gt;$BG$165,$AA52-$BG$165&lt;=5),AND($AG52="R",$AA52&lt;$BG$165,$BG$165-$AA52&lt;=5)),IF(OR(AND(OR('King Node Model'!$A$8="Neg",N($BG$72)=1),$AG52="S",ISNUMBER($AB52),$AB52=MIN($AB$9:$AB$55),$AA52=$BG$105),$NB52&lt;&gt;""),CHAR(10),"")&amp;"• DOM forming at "&amp;$BG$165&amp;" (gamma "&amp;TEXT($BG$166,"0%")&amp;" of max) — price may be pulled to the node",""),"")</f>
      </c>
      <c r="NJ52">
        <f>IF(LEN($NI52)&gt;0,1,0)</f>
      </c>
    </row>
    <row r="53" spans="27:349" ht="15" customHeight="1" x14ac:dyDescent="0.25">
      <c r="AA53" s="181">
        <f>'King Node Model'!A73</f>
        <v>7665</v>
      </c>
      <c r="AB53" s="276">
        <f>'King Node Model'!C73</f>
        <v>-58278</v>
      </c>
      <c r="AC53" s="181">
        <f>ABS('King Node Model'!B73)</f>
        <v>64859</v>
      </c>
      <c r="AD53" s="276">
        <f>'King Node Model'!F73</f>
        <v>272984</v>
      </c>
      <c r="AE53" s="276">
        <f>'King Node Model'!E73</f>
        <v>74308</v>
      </c>
      <c r="AF53" s="276">
        <f>'King Node Model'!D73</f>
        <v>-895446</v>
      </c>
      <c r="AG53" s="181" t="str">
        <f t="shared" si="6"/>
        <v>S</v>
      </c>
      <c r="AH53" s="181">
        <f t="shared" si="7"/>
        <v>23</v>
      </c>
      <c r="AI53" s="181" t="str">
        <f t="shared" si="8"/>
        <v>SELL</v>
      </c>
      <c r="AJ53" s="181">
        <f t="shared" si="9"/>
        <v>0</v>
      </c>
      <c r="AK53" s="181">
        <f>IF(ABS(N($AE53))&gt;=$BG$85,1,0)</f>
      </c>
      <c r="AL53" s="181">
        <f t="shared" si="10"/>
        <v>0</v>
      </c>
      <c r="AM53" s="181">
        <f t="shared" si="11"/>
        <v>0</v>
      </c>
      <c r="AN53" s="181">
        <f t="shared" si="12"/>
        <v>0</v>
      </c>
      <c r="AO53" s="1" t="str">
        <f t="shared" si="13"/>
        <v/>
      </c>
      <c r="AP53" s="1">
        <f t="shared" si="14"/>
        <v>74308</v>
      </c>
      <c r="AQ53" s="1">
        <f t="shared" si="15"/>
        <v>895446</v>
      </c>
      <c r="AR53" s="181">
        <f t="shared" si="16"/>
        <v>1.1604141665388182E-2</v>
      </c>
      <c r="AS53" s="181">
        <f t="shared" si="17"/>
        <v>19</v>
      </c>
      <c r="AT53" s="181" t="str">
        <f t="shared" si="18"/>
        <v/>
      </c>
      <c r="AU53" s="181" t="str">
        <f t="shared" si="19"/>
        <v/>
      </c>
      <c r="AV53" s="218">
        <f t="shared" si="183"/>
        <v>0</v>
      </c>
      <c r="AW53" s="181">
        <f>ABS('King Node Model'!G73)</f>
        <v>143</v>
      </c>
      <c r="AX53" s="181">
        <f t="shared" si="20"/>
        <v>0</v>
      </c>
      <c r="AY53" s="181">
        <f t="shared" si="21"/>
        <v>0</v>
      </c>
      <c r="AZ53" s="276">
        <f>'King Node Model'!I73</f>
        <v>746</v>
      </c>
      <c r="BA53" s="181">
        <f t="shared" si="22"/>
        <v>0</v>
      </c>
      <c r="BB53" s="181" t="str">
        <f t="shared" si="23"/>
        <v>S19</v>
      </c>
      <c r="BC53" s="10">
        <f>'King Node Model'!C73</f>
        <v>-58278</v>
      </c>
      <c r="BD53" s="218">
        <f t="shared" si="184"/>
        <v>0</v>
      </c>
      <c r="BE53" s="218">
        <f t="shared" si="185"/>
        <v>0</v>
      </c>
      <c r="BF53" t="s">
        <v>2046</v>
      </c>
      <c r="BG53">
        <v>7800</v>
      </c>
      <c r="BI53" s="218">
        <f t="shared" si="186"/>
        <v>0</v>
      </c>
      <c r="BJ53" s="218">
        <f t="shared" si="187"/>
        <v>0</v>
      </c>
      <c r="BK53" s="218">
        <f t="shared" si="24"/>
        <v>0</v>
      </c>
      <c r="BL53" s="10">
        <f>'King Node Model'!H73</f>
        <v>8</v>
      </c>
      <c r="BM53" s="218">
        <f t="shared" si="25"/>
        <v>34</v>
      </c>
      <c r="BN53" s="218">
        <f t="shared" si="26"/>
        <v>35</v>
      </c>
      <c r="BO53" s="218">
        <f t="shared" si="27"/>
        <v>0</v>
      </c>
      <c r="BP53" s="218">
        <f t="shared" si="28"/>
        <v>0</v>
      </c>
      <c r="BQ53" t="str">
        <f t="shared" si="29"/>
        <v/>
      </c>
      <c r="BR53" t="str">
        <f t="shared" si="30"/>
        <v/>
      </c>
      <c r="BS53" s="218">
        <f t="shared" si="31"/>
        <v>0</v>
      </c>
      <c r="BT53" t="str">
        <f t="shared" si="32"/>
        <v/>
      </c>
      <c r="BU53" t="str">
        <f t="shared" si="33"/>
        <v/>
      </c>
      <c r="BV53" s="218">
        <f t="shared" si="34"/>
        <v>272984</v>
      </c>
      <c r="BW53" s="218">
        <f t="shared" si="35"/>
        <v>74308</v>
      </c>
      <c r="BX53" s="218">
        <f>IF(AND(ISNUMBER(BC53),BC53&gt;=$BG$160,OR('King Node Model'!$A$8="Neg",N($BG$72)=1)),1,0)</f>
        <v>0</v>
      </c>
      <c r="BY53" s="218">
        <f t="shared" si="36"/>
        <v>0</v>
      </c>
      <c r="BZ53" s="218">
        <f t="shared" si="37"/>
        <v>0</v>
      </c>
      <c r="CA53" t="str">
        <f t="shared" si="38"/>
        <v/>
      </c>
      <c r="CB53" s="218">
        <f>IF(AND(ISNUMBER('King Node Model'!$D$27),AG53&lt;&gt;"",AA53='King Node Model'!$D$27),1,0)</f>
        <v>0</v>
      </c>
      <c r="CC53" s="218">
        <f>IF(OR('King Node Model'!$A$8="Neg",N($BG$72)=1),$BG$14*IF(ISNUMBER('King Node Model'!$D$26),MAX(0,1-ABS(AA53-'King Node Model'!$D$26)/$BG$18),0)+$BG$15*IFERROR(BV53/MAX($BV$9:$BV$55),0)+$BG$16*IFERROR(BW53/MAX($BW$9:$BW$55),0)+$BG$17*IFERROR(AC53/$S$11,0)*MAX(0,1+$BG$21*CF53),AR53)</f>
        <v>0.10403438817578919</v>
      </c>
      <c r="CD53" s="218">
        <f>IF(OR('King Node Model'!$A$8="Neg",N($BG$72)=1),IF(AND(AG53&lt;&gt;"",ABS(AA53-$B$4)&lt;=$BG$7,OR(AX53=0,$D$5&lt;&gt;"UP"),AY53=0,BK53&lt;&gt;1,CI53=0,AM53&gt;=$BG$20,AC53&gt;$BG$19),1,0),IF(AND(BS53=1,(COUNTIF($W$9:$W$14,AA53)+COUNTIF($W$18:$W$23,AA53))&gt;0,CI53=0,AM53&gt;=$BG$20,AC53&gt;$BG$19),1,0))</f>
        <v>0</v>
      </c>
      <c r="CE53" t="str">
        <f t="shared" si="39"/>
        <v/>
      </c>
      <c r="CF53" s="218">
        <f t="shared" si="40"/>
        <v>0</v>
      </c>
      <c r="CG53" t="str">
        <f t="shared" si="41"/>
        <v/>
      </c>
      <c r="CH53" t="str">
        <f t="shared" si="42"/>
        <v>Dormant</v>
      </c>
      <c r="CI53" s="218">
        <f t="shared" si="43"/>
        <v>0</v>
      </c>
      <c r="CJ53" s="218">
        <f t="shared" si="44"/>
        <v>387420489</v>
      </c>
      <c r="CK53" s="218">
        <f t="shared" si="45"/>
        <v>0</v>
      </c>
      <c r="CL53" s="218">
        <f t="shared" si="46"/>
        <v>0</v>
      </c>
      <c r="CR53" t="s">
        <v>1512</v>
      </c>
      <c r="CS53" t="str">
        <f>IF(AND($CS$51=1,ISNUMBER($CS$52),ISNUMBER($CS$48),$CS$52&gt;$CS$48),"YES — absorbed into the neighbour box","no")</f>
        <v>YES — absorbed into the neighbour box</v>
      </c>
      <c r="CU53" s="218">
        <f>IF(AND(AND('King Node Model'!$A$8&lt;&gt;"Neg",N($BG$72)&lt;&gt;1),SUMPRODUCT(($AG$9:$AG$55="S")*ISNUMBER($AT$9:$AT$55)*ISNUMBER($AU$9:$AU$55)*($AT$9:$AT$55&lt;&gt;$AU$9:$AU$55)*($AT$9:$AT$55&lt;=$AA53)*($AU$9:$AU$55&gt;=$AA53))&gt;0),0,IF(AND(OR($AA53='King Node Model'!$T$22,$AA53='King Node Model'!$F$24),$AG53="R",COUNTIF($W$9:$W$14,$AA53)&gt;0),1,IF(AND($FN53=1,$EU53&lt;&gt;1,$EM53&lt;&gt;1,$BK53&lt;&gt;1,$DH53&lt;&gt;1,$AG53="R",COUNTIF($W$9:$W$14,$AA53)&gt;0),1,IF($EU53=1,0,IF($EM53=1,0,IF(AND(OR($EE53=1,$GV53=1,AND($EL$7=1,$AA53='King Node Model'!$D$26,$EI53=1),AND(OR($AA53='King Node Model'!$T$22,$AA53='King Node Model'!$T$23),$AN53=1,OR($AX53=0,$D$5&lt;&gt;"UP"))),OR(NOT(OR('King Node Model'!$A$8="Neg",N($BG$72)=1)),$GV53=1,AND(OR($AA53='King Node Model'!$T$22,$AA53='King Node Model'!$T$23),$AN53=1,OR($AX53=0,$D$5&lt;&gt;"UP")),AND($AM53&gt;=$BG$20,$AC53&gt;IF($CZ53=1,$BG$48,$BG$19)))),1,IF($DH53=1,0,IF(AND($DC53=1,$GS53&lt;&gt;1,AND('King Node Model'!$A$8&lt;&gt;"Neg",N($BG$72)&lt;&gt;1)),0,IF(AND($EY53=1,NOT(OR('King Node Model'!$A$8="Neg",$BG$72=1)),$AA53&lt;&gt;'King Node Model'!$B$23),0,IF(AND($GS53=1,$AG53="R",OR($CI53=0,$EE53=1,$EX53=1,$GV53=1),COUNTIF($W$9:$W$14,$AA53)&gt;0,ABS($AA53-$B$4)&lt;=$BG$7,$BK53&lt;&gt;1,$AM53&gt;=$BG$20,$AC53&gt;IF($CZ53=1,$BG$48,$BG$19)),1,IF(OR('King Node Model'!$A$8="Neg",N($BG$72)=1),IF(AND(OR($AM53&gt;=$BG$20,$AA53='King Node Model'!$D$26,$GV53=1),$AG53="R",COUNTIF($W$9:$W$14,$AA53)&gt;0,ABS($AA53-$B$4)&lt;=$BG$7,OR($AX53=0,$D$5&lt;&gt;"UP"),$BK53&lt;&gt;1,OR(OR($CI53=0,$AJ53=1),AND($EI53=1,$LA53=1,COUNTIF($W$9:$W$11,$AA53)&gt;0,$AN53=1,OR($AX53=0,$D$5&lt;&gt;"UP"))),$AM53&gt;=$BG$20,$AC53&gt;IF($CZ53=1,$BG$48,$BG$19),OR($AN53=1,N($LR53)=1,$AA53='King Node Model'!$D$26,AND($BY53=1,$AA53&gt;$B$4),$BX53=1,$CF53=1,$CF53=1,AND(OR($AA53=$CP$4,$AA53=$CP$5,$AA53=$CP$6,$AA53=$CP$7),ABS($AA53-$B$4)&lt;=30),AND($AX53=1,$D$5="DOWN"))),1,0),IF(AND(OR($AM53&gt;=3,$AA53='King Node Model'!$D$26,$GV53=1),$AG53="R",COUNTIF($W$9:$W$14,$AA53)&gt;0,ABS($AA53-$B$4)&lt;=$BG$7,OR($AX53=0,$D$5&lt;&gt;"UP"),$BK53&lt;&gt;1,OR($CI53=0,$AJ53=1),$AM53&gt;=$BG$20,$AC53&gt;IF($CZ53=1,$BG$48,$BG$19),OR($AC53&gt;=MAX($AC$9:$AC$55),$BC53&gt;0,$AA53='King Node Model'!$D$26,AND(OR($AA53=$CP$4,$AA53=$CP$5,$AA53=$CP$6,$AA53=$CP$7),ABS($AA53-$B$4)&lt;=30),$CF53=1,$AN53=1,AND($AX53=1,$D$5="DOWN"))),1,0))))))))))))</f>
        <v>0</v>
      </c>
      <c r="CV53" s="218">
        <f>IF(AND(OR('King Node Model'!$A$8="Neg",N($BG$72)=1),$AG53="S",N($LR53)=1,N($MB53)=1),1,IF(AND(AND('King Node Model'!$A$8&lt;&gt;"Neg",N($BG$72)&lt;&gt;1),SUMPRODUCT(($AG$9:$AG$55="R")*ISNUMBER($AT$9:$AT$55)*ISNUMBER($AU$9:$AU$55)*($AT$9:$AT$55&lt;&gt;$AU$9:$AU$55)*($AT$9:$AT$55&lt;=$AA53)*($AU$9:$AU$55&gt;=$AA53))&gt;0,NOT(AND(N($LC53)=1,$AA53='King Node Model'!$B$23))),0,IF(AND($AA53='King Node Model'!$F$24,$AG53="S",COUNTIF($W$18:$W$23,$AA53)&gt;0),1,IF(AND($FN53=1,$EU53&lt;&gt;1,$EM53&lt;&gt;1,$DH53&lt;&gt;1,$AG53="S",COUNTIF($W$18:$W$23,$AA53)&gt;0),1,IF($EU53=1,0,IF(AND(OR($EF53=1,$GV53=1,AND(OR($AA53='King Node Model'!$T$22,$AA53='King Node Model'!$T$23,AND($AG53="S",COUNTIF('Master Dashboard'!$AN$16:$AN$18,$AA53)&gt;0)),$AN53=1,OR($AX53=0,$D$5&lt;&gt;"UP"))),OR(NOT(OR('King Node Model'!$A$8="Neg",N($BG$72)=1)),$GV53=1,AND(OR($AA53='King Node Model'!$T$22,$AA53='King Node Model'!$T$23,AND($AG53="S",COUNTIF('Master Dashboard'!$AN$16:$AN$18,$AA53)&gt;0)),$AN53=1,OR($AX53=0,$D$5&lt;&gt;"UP")),AND($AM53&gt;=$BG$20,$AC53&gt;IF($CZ53=1,$BG$48,$BG$19)))),1,IF($DH53=1,0,IF(AND($DC53=1,$GS53&lt;&gt;1,AND('King Node Model'!$A$8&lt;&gt;"Neg",N($BG$72)&lt;&gt;1)),0,IF(AND($EY53=1,NOT(OR('King Node Model'!$A$8="Neg",$BG$72=1)),$AA53&lt;&gt;'King Node Model'!$B$23,COUNTIF('Master Dashboard'!$AN$16:$AN$18,$AA53)=0),0,IF(AND($GS53=1,$AG53="S",OR($CI53=0,$EF53=1,$EX53=1,$GV53=1),COUNTIF($W$18:$W$23,$AA53)&gt;0,ABS($AA53-$B$4)&lt;=$BG$7,$BK53&lt;&gt;1,$AM53&gt;=$BG$20,$AC53&gt;IF($CZ53=1,$BG$48,$BG$19)),1,IF(OR('King Node Model'!$A$8="Neg",N($BG$72)=1),IF(AND(OR(OR($AM53&gt;=$BG$20,N($LR53)=1),$AA53='King Node Model'!$D$26,$GV53=1),$AG53="S",COUNTIF($W$18:$W$23,$AA53)&gt;0,ABS($AA53-$B$4)&lt;=$BG$7,OR($AX53=0,$D$5&lt;&gt;"UP"),$BK53&lt;&gt;1,OR($CI53=0,$AJ53=1,AND(N($LR53)=1,N($MB53)=1),N($MT53)=1),OR($AM53&gt;=$BG$20,N($LR53)=1),$AC53&gt;IF($CZ53=1,$BG$48,$BG$19),OR($AB53&gt;0,$AN53=1,N($MT53)=1,N($LR53)=1,$AA53='King Node Model'!$D$26,AND($BY53=1,$AA53&lt;$B$4),$BX53=1,$CF53=1,$CF53=1,AND(OR($AA53=$CP$4,$AA53=$CP$5,$AA53=$CP$6,$AA53=$CP$7),ABS($AA53-$B$4)&lt;=30),AND($AX53=1,$D$5="DOWN"))),1,0),IF(AND(OR($AM53&gt;=3,$AA53='King Node Model'!$D$26,$GV53=1),$AG53="S",COUNTIF($W$18:$W$23,$AA53)&gt;0,ABS($AA53-$B$4)&lt;=$BG$7,OR($AX53=0,$D$5&lt;&gt;"UP"),$BK53&lt;&gt;1,OR($CI53=0,$AJ53=1,AND(N($LR53)=1,N($MB53)=1),N($MT53)=1),$AM53&gt;=$BG$20,$AC53&gt;IF($CZ53=1,$BG$48,$BG$19),OR($AC53&gt;=MAX($AC$9:$AC$55),$BC53&gt;0,N($MT53)=1,$AA53='King Node Model'!$D$26,AND(OR($AA53=$CP$4,$AA53=$CP$5,$AA53=$CP$6,$AA53=$CP$7),ABS($AA53-$B$4)&lt;=30),$CF53=1,$AN53=1,AND($AX53=1,$D$5="DOWN"))),1,0))))))))))))</f>
        <v>0</v>
      </c>
      <c r="CX53" s="218">
        <f t="shared" si="48"/>
        <v>0</v>
      </c>
      <c r="CY53" t="str">
        <f t="shared" si="49"/>
        <v/>
      </c>
      <c r="CZ53" s="218">
        <f t="shared" si="50"/>
        <v>0</v>
      </c>
      <c r="DA53" t="str">
        <f t="shared" si="51"/>
        <v/>
      </c>
      <c r="DB53" t="str">
        <f t="shared" si="52"/>
        <v/>
      </c>
      <c r="DC53" s="218">
        <f t="shared" si="53"/>
        <v>0</v>
      </c>
      <c r="DD53" s="218">
        <f t="shared" si="54"/>
        <v>0</v>
      </c>
      <c r="DE53" s="218">
        <f t="shared" si="55"/>
        <v>0</v>
      </c>
      <c r="DF53" t="str">
        <f t="shared" si="56"/>
        <v/>
      </c>
      <c r="DG53" t="str">
        <f t="shared" si="57"/>
        <v/>
      </c>
      <c r="DH53" s="218">
        <f t="shared" si="58"/>
        <v>0</v>
      </c>
      <c r="DI53">
        <v>1</v>
      </c>
      <c r="DJ53">
        <v>1</v>
      </c>
      <c r="DK53">
        <v>449322</v>
      </c>
      <c r="DL53">
        <v>0</v>
      </c>
      <c r="DM53" t="str">
        <f>IF(AND($CV53=1,$AG53="S"),IF(AND(OR('King Node Model'!$A$8="Neg",N($BG$72)=1),'King Node Model'!$S$52=""),IF(OR(N($AN53)=1,N($LR53)=1,$AB53&gt;0,$AJ53=1,N($JO53)=1,AND(NOT($AE53&gt;0),NOT(IFERROR(AND(ISNUMBER($BC53),ISNUMBER($BC52),($BC53&gt;=0)&lt;&gt;($BC52&gt;=0)),FALSE())),OR(AND($BM53&lt;=6,$BN53&lt;=6),ABS($AA53-'King Node Model'!$T$23)&lt;=5,$LA53=1))),1,0),1),"")</f>
        <v/>
      </c>
      <c r="DN53" t="str">
        <f t="shared" si="59"/>
        <v/>
      </c>
      <c r="DO53" t="str">
        <f t="shared" si="60"/>
        <v>W-list</v>
      </c>
      <c r="DP53" t="str">
        <f>IF(AND(OR('King Node Model'!$A$8="Neg",N($BG$72)=1),$AG53="S",ISNUMBER($AT53),ISNUMBER($AU53),$AT53&lt;&gt;$AU53,$AA53=$AT53),IF(AND(SUMPRODUCT(($AA$9:$AA$55&gt;=$AT53)*($AA$9:$AA$55&lt;=$AU53)*($AB$9:$AB$55&gt;0))&gt;0,SUMPRODUCT(($AA$9:$AA$55&gt;=$AT53)*($AA$9:$AA$55&lt;=$AU53)*($DM$9:$DM$55=1))&gt;0,SUMPRODUCT(($AA$9:$AA$55&gt;=$AT53)*($AA$9:$AA$55&lt;=$AU53)*(COUNTIF($W$18:$W$20,$AA$9:$AA$55)&gt;0))&gt;0),1,0),"")</f>
        <v/>
      </c>
      <c r="DS53">
        <v>0</v>
      </c>
      <c r="DT53">
        <v>0</v>
      </c>
      <c r="DU53" t="str">
        <f>IF('King Node Model'!$A$8&lt;&gt;"Pos","",IF(OR($AA53="",NOT(ISNUMBER($AA53)),ABS($AA53-$B$4)&gt;$BG$7),"",TEXT($AA53,"0")&amp;" | "&amp;IF($AG53="","unclassified",IF($AG53&lt;&gt;IF($AA53&gt;$B$4,"R","S"),"orphan: in "&amp;$AG53&amp;"-list, "&amp;IF($AA53&lt;$B$4,"below","above")&amp;" spot",IF(IF($AG53="R",COUNTIF($W$9:$W$14,$AA53),COUNTIF($W$18:$W$23,$AA53))=0,"not in "&amp;$AG53&amp;"-list",IF($DH53=1,"absorbed into shelf box",IF($BK53=1,"absorbed: adjacent reversal",IF($CI53=1,"accel-accelerant",IF($AC53&lt;=$BG$19,"below gamma-floor",IF($AM53&lt;$BG$20,"confluence "&amp;TEXT($AM53,"0")&amp;" &lt; "&amp;TEXT($BG$20,"0"),IF(AND($AX53=1,$D$5="UP"),"accelerant in up-move",IF(NOT(OR($AC53&gt;=MAX($AC$9:$AC$55),$BC53&gt;0,$AA53='King Node Model'!$D$26,AND(OR($AA53=$CP$4,$AA53=$CP$5,$AA53=$CP$6,$AA53=$CP$7),ABS($AA53-$B$4)&lt;=30),ISNUMBER(SEARCH("STRENGTHENING",$CG53)),$AN53=1,AND($AX53=1,$D$5="DOWN"))),"no surface flag","-&gt; qualifies"))))))))))))</f>
        <v/>
      </c>
      <c r="DV53" s="218">
        <f t="shared" si="61"/>
        <v>99999</v>
      </c>
      <c r="DW53" s="218">
        <f t="shared" si="62"/>
        <v>99999</v>
      </c>
      <c r="DX53" t="str">
        <f>IF('King Node Model'!$A$8&lt;&gt;"Pos","",IF(AND($DV53&lt;99999,$DV53=MIN($DV$9:$DV$55),$DG53&gt;$AA53),"R-box: "&amp;TEXT($AA53,"0")&amp;"-"&amp;TEXT($DG53,"0"),IF(AND($DW53&lt;99999,$DW53=MIN($DW$9:$DW$55),$DF53&lt;$AA53),"S-box: "&amp;TEXT($DF53,"0")&amp;"-"&amp;TEXT($AA53,"0"),"")))</f>
        <v/>
      </c>
      <c r="EB53">
        <f t="shared" si="63"/>
        <v>110.39000000000033</v>
      </c>
      <c r="EC53">
        <f t="shared" si="64"/>
        <v>538591</v>
      </c>
      <c r="ED53">
        <f t="shared" si="65"/>
        <v>0</v>
      </c>
      <c r="EE53">
        <f>IF(AND(OR('King Node Model'!$A$8="Neg",N($BG$72)=1),$AG53="R",ISNUMBER($EB53),$EB53&lt;=$BG$7,$AB53&gt;0,$EC53&gt;0,$AB53=$EC53),1,0)</f>
        <v>0</v>
      </c>
      <c r="EF53">
        <f>IF(AND(OR('King Node Model'!$A$8="Neg",N($BG$72)=1),$AG53="S",ISNUMBER($EB53),$EB53&lt;=$BG$7,$AB53&gt;0,$ED53&gt;0,$AB53=$ED53),1,0)</f>
        <v>0</v>
      </c>
      <c r="EI53">
        <v>1</v>
      </c>
      <c r="EJ53">
        <f>IF($AA53="",0,IF(SUMPRODUCT(($AA$9:$AA$55&gt;=$AT53)*($AA$9:$AA$55&lt;=$AU53)*($DT$9:$DT$55=1))+SUMPRODUCT(($DT$9:$DT$55=1)*($AT$9:$AT$55&lt;=$AA53)*($AU$9:$AU$55&gt;=$AA53))+($DT53=1)+AND(OR('King Node Model'!$A$8="Neg",N($BG$72)=1),ISNUMBER(SEARCH("LOW",'Master Dashboard'!$M$5)),ISNUMBER(SEARCH("BUY",'Master Dashboard'!$G$8)),'King Node Model'!$T$23='King Node Model'!$B$23,$AA53&gt;='King Node Model'!$T$23,$AA53&lt;='King Node Model'!$T$23+5)*1&gt;0,1,0))</f>
        <v>0</v>
      </c>
      <c r="EM53">
        <f t="shared" si="66"/>
        <v>0</v>
      </c>
      <c r="EN53">
        <v>0</v>
      </c>
      <c r="EO53">
        <f t="shared" si="67"/>
        <v>0</v>
      </c>
      <c r="EP53">
        <f t="shared" si="68"/>
        <v>0</v>
      </c>
      <c r="EQ53" t="str">
        <f t="shared" si="69"/>
        <v>thinning the floor (magnitude weak)</v>
      </c>
      <c r="ES53" t="str">
        <f>IF(AND(ISNUMBER(AA53),ISNUMBER(AF53),ABS(AA53-'King Node Model'!$B$4)&lt;=$BG$7),ABS(AF53),"")</f>
        <v/>
      </c>
      <c r="ET53">
        <v>0</v>
      </c>
      <c r="EU53" s="218">
        <f>IF(AND(OR('King Node Model'!$A$8="Neg",N($BG$72)=1),ISNUMBER($AA52),ISNUMBER($AA53),ISNUMBER($AA54),ISNUMBER($AB52),ISNUMBER($AB53),ISNUMBER($AB54),ISNUMBER($AF53),$AB53&gt;0,$AB52&lt;0,$AB54&lt;0,$AF53&lt;0),1,0)</f>
        <v>0</v>
      </c>
      <c r="EW53">
        <f>IF(OR(N($MY53)=1,N($JM53)=1),0,N($NE53))</f>
        <v>0</v>
      </c>
      <c r="EX53">
        <f>IF(AND(OR('King Node Model'!$A$8="Neg",N($BG$72)=1),ISNUMBER($AA53),OR(AND($AA53='King Node Model'!$F$24,OR(AND($AG53="S",$F$4="High",IF($BG$80&lt;&gt;"",UPPER($BG$80),$D$5)="DOWN"),AND($AG53="R",$F$4="Low",IF($BG$80&lt;&gt;"",UPPER($BG$80),$D$5)="UP"))),$GV53=1)),1,0)</f>
        <v>0</v>
      </c>
      <c r="EY53">
        <f>IFERROR(IF(AND($DC53=1,$AB53&lt;0,$AC53&gt;=(1+$FA$6)*INDEX($AC$9:$AC$55,45-1),$AC53&gt;=(1+$FA$6)*INDEX($AC$9:$AC$55,45+1),$AC53&gt;=IFERROR(INDEX($AC$9:$AC$55,45-2),0),$AC53&gt;=IFERROR(INDEX($AC$9:$AC$55,45+2),0)),1,0),0)</f>
        <v>0</v>
      </c>
      <c r="FA53" t="str">
        <f>IF(NOT(ISNUMBER($AA53)),"",IFERROR(IF(AND($AC53=MAX($AC$9:$AC$55),$AB53=MIN($AB$9:$AB$55)),"DOM",IF(AND($DC52=1,$DC53=1,$DC54=1,INDEX($AC$9:$AC$55,45-1)&lt;=(1-$FA$6)*$AC53,INDEX($AC$9:$AC$55,45-1)&lt;=(1-$FA$6)*INDEX($AC$9:$AC$55,45-2)),"GAP↑",IF(AND($DC54=1,$DC53=1,INDEX($AC$9:$AC$55,45+1)&lt;=(1-$FA$6)*$AC53,INDEX($AC$9:$AC$55,45+1)&lt;=(1-$FA$6)*INDEX($AC$9:$AC$55,45+2)),"GAP↓",IF($CZ53=1,"dEdge Cliff",IF($GY53=1,"γWall",IF(AND($DC53=1,$AB53&lt;0,$AC53&gt;=(1+$FA$6)*INDEX($AC$9:$AC$55,45-1),$AC53&gt;=(1+$FA$6)*INDEX($AC$9:$AC$55,45+1)),"PEAK-",IF($GZ53=1,"γSh Edge",IF($HL53=1,"Trough",IF($HN53=1,"PEAK+",IF($GF53=1,"Cluster","")))))))))),""))</f>
        <v/>
      </c>
      <c r="FB53" t="str">
        <f t="shared" si="70"/>
        <v/>
      </c>
      <c r="FC53" t="str">
        <f t="shared" si="71"/>
        <v/>
      </c>
      <c r="FD53">
        <f>IF(AND(ISNUMBER($AA53),ISNUMBER('King Node Model'!$AP$17),ISNUMBER('King Node Model'!$AQ$17),$AA53&gt;=MIN('King Node Model'!$AP$17,'King Node Model'!$AQ$17),$AA53&lt;=MAX('King Node Model'!$AP$17,'King Node Model'!$AQ$17),IFERROR(INDEX($AC$9:$AC$55,MATCH('King Node Model'!$AL$42,$AA$9:$AA$55,0)),0)&gt;0,$AC53&gt;=(1-$FA$6)*IFERROR(INDEX($AC$9:$AC$55,MATCH('King Node Model'!$AL$42,$AA$9:$AA$55,0)),0),$AC53&lt;=(1+$FA$6)*IFERROR(INDEX($AC$9:$AC$55,MATCH('King Node Model'!$AL$42,$AA$9:$AA$55,0)),0)),1,0)</f>
        <v>0</v>
      </c>
      <c r="FE53">
        <f>IF($AA53='King Node Model'!$AL$42,1,IF(AND($FD53=1,$FE52=1),1,0))</f>
        <v>0</v>
      </c>
      <c r="FF53">
        <f>IF($AA53='King Node Model'!$AL$42,1,IF(AND($FD53=1,$FF54=1),1,0))</f>
        <v>0</v>
      </c>
      <c r="FG53" t="str">
        <f>IF(OR($FE53=1,$FF53=1),45,"")</f>
        <v/>
      </c>
      <c r="FJ53">
        <f>IF(AND($CW$2=1,ISNUMBER($AA53),ISNUMBER($CW$3),ISNUMBER($CW$4),$AA53&gt;=MIN($CW$3,$CW$4),$AA53&lt;=MAX($CW$3,$CW$4),IFERROR(INDEX($AC$9:$AC$55,MATCH('King Node Model'!$AP$67,$AA$9:$AA$55,0)),0)&gt;0,$AC53&gt;=(1-$FA$6)*IFERROR(INDEX($AC$9:$AC$55,MATCH('King Node Model'!$AP$67,$AA$9:$AA$55,0)),0),$AC53&lt;=(1+$FA$6)*IFERROR(INDEX($AC$9:$AC$55,MATCH('King Node Model'!$AP$67,$AA$9:$AA$55,0)),0)),1,0)</f>
        <v>0</v>
      </c>
      <c r="FK53">
        <f>IF(AND($CW$2=1,$AA53='King Node Model'!$AP$67),1,IF(AND($FJ53=1,$FK52=1),1,0))</f>
        <v>0</v>
      </c>
      <c r="FL53">
        <f>IF(AND($CW$2=1,$AA53='King Node Model'!$AP$67),1,IF(AND($FJ53=1,$FL54=1),1,0))</f>
        <v>0</v>
      </c>
      <c r="FM53" t="str">
        <f>IF(OR($FK53=1,$FL53=1),45,"")</f>
        <v/>
      </c>
      <c r="FN53">
        <v>0</v>
      </c>
      <c r="FR53" t="str">
        <f t="shared" si="72"/>
        <v/>
      </c>
      <c r="FS53">
        <f t="shared" si="188"/>
        <v>0</v>
      </c>
      <c r="FT53">
        <f t="shared" si="73"/>
        <v>-0.89853374242587769</v>
      </c>
      <c r="FU53">
        <f t="shared" si="74"/>
        <v>64859</v>
      </c>
      <c r="FV53" t="str">
        <f>IF($FW53=0,"",IF(OR($FW52=0,SIGN(IFERROR($BC53*1,0))&lt;&gt;SIGN(IFERROR($BC52*1,0)),$GH53=1,$GH52=1),MAX($FV$9:$FV52)+1,$FV52))</f>
        <v/>
      </c>
      <c r="FW53">
        <f t="shared" si="75"/>
        <v>0</v>
      </c>
      <c r="FX53" t="str">
        <f t="shared" si="76"/>
        <v/>
      </c>
      <c r="FY53">
        <f t="shared" si="77"/>
        <v>0</v>
      </c>
      <c r="FZ53">
        <f t="shared" si="189"/>
        <v>0</v>
      </c>
      <c r="GA53">
        <f t="shared" si="78"/>
        <v>0</v>
      </c>
      <c r="GB53" t="str">
        <f t="shared" si="79"/>
        <v/>
      </c>
      <c r="GC53" t="str">
        <f t="shared" si="80"/>
        <v/>
      </c>
      <c r="GD53" t="str">
        <f t="shared" si="81"/>
        <v/>
      </c>
      <c r="GE53" t="str">
        <f t="shared" si="82"/>
        <v/>
      </c>
      <c r="GF53">
        <f t="shared" si="83"/>
        <v>0</v>
      </c>
      <c r="GH53">
        <f>IFERROR(IF(AND($AC53&gt;=(1+$FA$6)*INDEX($AC$9:$AC$55,45-1),$AC53&gt;=(1+$FA$6)*INDEX($AC$9:$AC$55,45+1)),1,0),0)</f>
        <v>0</v>
      </c>
      <c r="GK53">
        <v>0</v>
      </c>
      <c r="GO53">
        <v>0</v>
      </c>
      <c r="GP53">
        <v>0</v>
      </c>
      <c r="GQ53">
        <f t="shared" si="84"/>
        <v>0</v>
      </c>
      <c r="GR53">
        <f t="shared" si="85"/>
        <v>0</v>
      </c>
      <c r="GS53">
        <f>IF(AND($EY53=1,$AA53&lt;&gt;'King Node Model'!$B$23),0,IF(OR($GQ53=1,$GR53=1),1,IF($DC53=1,IF(OR('King Node Model'!$A$8="Neg",N($BG$72)=1),IF(OR(AND($AC53=MAX($AC$9:$AC$55),$AB53=MIN($AB$9:$AB$55)),$AN53=1,$EE53=1,$EF53=1,$EX53=1,$GV53=1),1,0),1),0)))</f>
        <v>0</v>
      </c>
      <c r="GT53">
        <f>IFERROR(IF(AND(OR('King Node Model'!$A$8="Neg",N($BG$72)=1),$EU52=1,$AG53="R",ISNUMBER($AA53),ISNUMBER($AF53),$AF53&lt;&gt;0,$AA53&gt;$B$4-$BG$9,$AA53-$B$4&lt;=$BG$47,IF($KC53="UP",SIGN($AF53),IF($KC53="DOWN",-SIGN($AF53),0))&lt;&gt;1),1,0),0)</f>
        <v>0</v>
      </c>
      <c r="GU53" t="str">
        <f t="shared" si="86"/>
        <v/>
      </c>
      <c r="GV53">
        <f t="shared" si="87"/>
        <v>0</v>
      </c>
      <c r="GW53" t="str">
        <f t="shared" si="88"/>
        <v/>
      </c>
      <c r="GX53">
        <f t="shared" si="89"/>
        <v>110.39000000000033</v>
      </c>
      <c r="GY53">
        <f t="shared" si="90"/>
        <v>0</v>
      </c>
      <c r="GZ53">
        <f t="shared" si="91"/>
        <v>0</v>
      </c>
      <c r="HA53">
        <v>0</v>
      </c>
      <c r="HF53">
        <f>IFERROR(IF(AND($GZ53=1,'King Node Model'!$A$8="Pos",$D$5="UP",$CF53=-1,$AJ53&lt;&gt;1),1,0),0)</f>
        <v>0</v>
      </c>
      <c r="HG53">
        <f t="shared" si="92"/>
        <v>0</v>
      </c>
      <c r="HH53" t="str">
        <f>IF($GZ53=1,"",IFERROR(IF(NOT(ISNUMBER($AA53)),"",IF($EY53=1,"",IF($GF53=1,IF($GD53=$GE53,"",$GD53),IF(OR(AND($DC52=1,$DC53=1,$DC54=1,INDEX($AC$9:$AC$55,45-1)&lt;=(1-$FA$6)*$AC53,INDEX($AC$9:$AC$55,45-1)&lt;=(1-$FA$6)*INDEX($AC$9:$AC$55,45-2)),AND($DC54=1,$DC53=1,INDEX($AC$9:$AC$55,45+1)&lt;=(1-$FA$6)*$AC53,INDEX($AC$9:$AC$55,45+1)&lt;=(1-$FA$6)*INDEX($AC$9:$AC$55,45+2)),AND($DC53=1,OR(INDEX($DC$9:$DC$55,45-1)=0,INDEX($DC$9:$DC$55,45+1)=0))),IF(MIN($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MAX($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MIN($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f>
        <v/>
      </c>
      <c r="HI53" t="str">
        <f>IF($GZ53=1,"",IFERROR(IF(NOT(ISNUMBER($AA53)),"",IF($EY53=1,"",IF($GF53=1,IF($GD53=$GE53,"",$GE53),IF(OR(AND($DC52=1,$DC53=1,$DC54=1,INDEX($AC$9:$AC$55,45-1)&lt;=(1-$FA$6)*$AC53,INDEX($AC$9:$AC$55,45-1)&lt;=(1-$FA$6)*INDEX($AC$9:$AC$55,45-2)),AND($DC54=1,$DC53=1,INDEX($AC$9:$AC$55,45+1)&lt;=(1-$FA$6)*$AC53,INDEX($AC$9:$AC$55,45+1)&lt;=(1-$FA$6)*INDEX($AC$9:$AC$55,45+2)),AND($DC53=1,OR(INDEX($DC$9:$DC$55,45-1)=0,INDEX($DC$9:$DC$55,45+1)=0))),IF(MIN($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MAX($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MAX($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f>
        <v/>
      </c>
      <c r="HL53">
        <f t="shared" si="93"/>
        <v>0</v>
      </c>
      <c r="HM53">
        <f>IFERROR(IF(AND($HL53=1,NOT(OR($AA53='King Node Model'!$T$22,$AA53='King Node Model'!$T$23,$AA53='King Node Model'!$F$24,AND($AG53="S",COUNTIF('Master Dashboard'!$AN$16:$AN$18,$AA53)&gt;0),AND($AG53="R",COUNTIF('Master Dashboard'!$AN$13:$AN$15,$AA53)&gt;0)))),1,0),0)</f>
        <v>0</v>
      </c>
      <c r="HN53">
        <f t="shared" si="94"/>
        <v>0</v>
      </c>
      <c r="HO53">
        <f t="shared" si="95"/>
        <v>0</v>
      </c>
      <c r="HP53">
        <f t="shared" si="96"/>
        <v>1</v>
      </c>
      <c r="HQ53" t="str">
        <f>IF(NOT(ISNUMBER($AA53)),"",IFERROR(TRIM(IF(N($MY53)=1,"DEXLEAN ","")&amp;IF(N($IZ53)=1,"DEXCAP ","")&amp;IF(AND($AG53="S",UPPER('King Node Model'!$L$5)="HIGH",$KC53="DOWN",N($AF53)&gt;0,$AA53='King Node Model'!$AN$70,$IY53="SELL"),"CHOPEDGEIV ","")&amp;IF(N($IS53)=1,"NOREV ","")&amp;IF(N($JY53)=1,"VFLAT ","")&amp;IF(N($KR53)=1,"GDEXVANNA ","")&amp;IF(N($LD53)=1,"KGSUPFAIL ","")&amp;IF(N($LE53)=1,"KGRESLEAK ","")&amp;IF(N($MH53)=1,"ZIGZAG ","")&amp;IF(N($KK53)=1,"DATAGAP ","")&amp;IF(N($KA53)&lt;&gt;0,"ACCUNDERCW ","")&amp;IF(AND($AG53="S",$HF53=1),"EDGE ","")&amp;IF(AND($HM53=1,'King Node Model'!$A$8="Pos",N($BG$72)&lt;&gt;1),"TROUGH ","")&amp;IF(AND($EU53=1,N($JZ53)&lt;&gt;1),"BUMP ","")&amp;IF(AND($GT53=1,N($JZ53)&lt;&gt;1),"SANDWICH ","")&amp;IF(AND($EX53&lt;&gt;1,OR('King Node Model'!$A$8="Neg",N($BG$72)=1),OR(AND(ISNUMBER($AC53),$AC53=MAX($AC$9:$AC$55)),AND(ISNUMBER($AB53),$AB53=MIN($AB$9:$AB$55))),NOT(AND(AND(ISNUMBER($AC53),$AC53=MAX($AC$9:$AC$55)),AND(ISNUMBER($AB53),$AB53=MIN($AB$9:$AB$55)))),$AG53="S",N($AB53)&lt;0,NOT(COUNTIF('Master Dashboard'!$AN$16:$AN$18,$AA53)&gt;0),NOT(AND(OR('King Node Model'!$A$8="Neg",N($BG$72)=1),ISNUMBER($AB53),$AB53=MIN($AB$9:$AB$55),$AA53=$BG$105))),"ACCEL ","")&amp;IF(AND($EX53&lt;&gt;1,ISNUMBER($AA53),OR('King Node Model'!$A$8="Neg",N($BG$72)=1),$EY53=1,NOT(AND($AG53="S",COUNTIF('Master Dashboard'!$AN$16:$AN$18,$AA53)&gt;0)),NOT(AND($AA53='King Node Model'!$B$23,IF($AG53="S",OR($AA53='King Node Model'!$C$24,COUNTIF('Master Dashboard'!$AN$16:$AN$18,$AA53)&gt;0),OR($AA53='King Node Model'!$C$23,COUNTIF('Master Dashboard'!$AN$13:$AN$15,$AA53)&gt;0)))),NOT(AND($EX53&lt;&gt;1,OR('King Node Model'!$A$8="Neg",N($BG$72)=1),OR(AND(ISNUMBER($AC53),$AC53=MAX($AC$9:$AC$55)),AND(ISNUMBER($AB53),$AB53=MIN($AB$9:$AB$55))),NOT(AND(AND(ISNUMBER($AC53),$AC53=MAX($AC$9:$AC$55)),AND(ISNUMBER($AB53),$AB53=MIN($AB$9:$AB$55)))),$AG53="S",N($AB53)&lt;0,NOT(COUNTIF('Master Dashboard'!$AN$16:$AN$18,$AA53)&gt;0)))),"AMPLIFY ","")&amp;IF(AND($AG53="S",OR('King Node Model'!$A$8="Neg",N($BG$72)=1),$AJ53&lt;&gt;1,N($MT53)&lt;&gt;1,NOT(AND(N($LR53)=1,N($MB53)=1)),ISNUMBER(SEARCH("ACCEL building",$CG53))),"ZACCEL ","")&amp;IF(AND($AG53="S",OR('King Node Model'!$A$8="Neg",N($BG$72)=1),$AA53='King Node Model'!$B$23,NOT(AND(AND(ISNUMBER($AC53),$AC53=MAX($AC$9:$AC$55)),AND(ISNUMBER($AB53),$AB53=MIN($AB$9:$AB$55)))),$EJ53&lt;&gt;1),"KINGACC ","")&amp;IF(AND($AG53="S",OR('King Node Model'!$A$8="Neg",N($BG$72)=1),ABS(N($AA53)-N('King Node Model'!$B$23))&lt;=$BG$107,NOT(AND(SUMPRODUCT((ABS($AF$9:$AF$55)&lt;=ABS(N($AF53)))*1)/COUNT($AF$9:$AF$55)&gt;=0.66,OR(ISNUMBER(SEARCH("firmer resistance",$CG53)),ISNUMBER(SEARCH("STRENGTHENING",$CG53)),ISNUMBER(SEARCH("firmer support",$CG53))))),NOT(AND(N($AB53)&gt;0,SUMPRODUCT((ABS($AB$9:$AB$55)&lt;=ABS(N($AB53)))*1)/COUNT($AB$9:$AB$55)&gt;=0.66)),$EJ53&lt;&gt;1,$AJ53&lt;&gt;1,COUNTIF('Master Dashboard'!$AN$16:$AN$18,$AA53)=0,NOT(AND($AG53="S",OR('King Node Model'!$A$8="Neg",N($BG$72)=1),$AA53='King Node Model'!$B$23,NOT(AND(AND(ISNUMBER($AC53),$AC53=MAX($AC$9:$AC$55)),AND(ISNUMBER($AB53),$AB53=MIN($AB$9:$AB$55)))),$EJ53&lt;&gt;1))),"KINGNODE ","")&amp;IF(AND($AG53="R",NOT(AND(AND(ISNUMBER($AC53),$AC53=MAX($AC$9:$AC$55)),AND(ISNUMBER($AB53),$AB53=MIN($AB$9:$AB$55)))),UPPER('King Node Model'!$L$5)="LOW",$KC53="DOWN",N($AF53)&gt;0),"LOWIVFALL ","")&amp;IF(AND($AG53="R",NOT(AND(AND(ISNUMBER($AC53),$AC53=MAX($AC$9:$AC$55)),AND(ISNUMBER($AB53),$AB53=MIN($AB$9:$AB$55)))),UPPER('King Node Model'!$L$5)="HIGH",$KC53="DOWN",N($AF53)&gt;0,IFERROR(MATCH($AA53,$W$9:$W$14,0)&gt;=4,FALSE)),"HIGHIVFALL ","")&amp;IF(AND($AG53="R",N($BG$99)=1),"SPOTUPVOLUP ","")&amp;IF(AND($AG53="R",ISNUMBER(SEARCH("5/5",'Master Dashboard'!$E$29)),OR(ISNUMBER(SEARCH("WEAKENING",$EQ53)),ISNUMBER(SEARCH("Pos gamma ↓",$EQ53)),ISNUMBER(SEARCH("thinning the ceiling",$EQ53)))),"SQUEEZE ","")&amp;IF(N($JU53)=1,"DEDGECLIFF ","")&amp;IF(N($KT53)=1,"DEXDRAIN ","")&amp;IF(N($HW53)&lt;&gt;0,"DEXDROP ","")&amp;IF(N($HX53)&lt;&gt;0,"PEAK+ ","")&amp;IF(N($IF53)=1,"CHOP ","")&amp;IF(N($IQ53)=1,"CONTESTED ","")&amp;IF(N($IW53)=1,"VSELL ","")&amp;IF(N($JK53)=1,"VBUYRES ","")&amp;IF(N($JL53)=1,"DOMFLAT ","")&amp;IF(N($JM53)=1,"DOMPULL ","")&amp;IF(N($JP53)=1,"OIZOMMA ","")&amp;IF(AND(N($JQ53)=1,N($JZ53)&lt;&gt;1),"OIDEX ","")),""))</f>
        <v>NOREV VSELL</v>
      </c>
      <c r="HS53">
        <f>IFERROR(IF(AND($DC53=1,OR(AND($AG53="R",INDEX($DC$9:$DC$55,44)=0,INDEX($DC$9:$DC$55,46)=1,INDEX($DC$9:$DC$55,47)=1),AND($AG53="S",INDEX($DC$9:$DC$55,46)=0,INDEX($DC$9:$DC$55,44)=1,INDEX($DC$9:$DC$55,43)=1))),1,0),0)</f>
        <v>0</v>
      </c>
      <c r="HT53">
        <f t="shared" si="97"/>
        <v>0</v>
      </c>
      <c r="HU53">
        <v>0</v>
      </c>
      <c r="HV53">
        <v>0</v>
      </c>
      <c r="HW53">
        <f>IFERROR(IF(OR(NOT(ISNUMBER($AA53)),'King Node Model'!$A$8&lt;&gt;"Pos",N($BG$72)=1,ABS(N($AE53))&lt;$BG$113,N($AV53)=1,$FA53="DOM",$AA53='King Node Model'!$T$23,AND(N($BG$116)=1,$AA53='King Node Model'!$F$24),NOT(ISNUMBER($KU53)),NOT(ISNUMBER($KV53))),0,IF(AND($AG53="S",COUNTIF('Master Dashboard'!$AN$16:$AN$18,$AA53)=0,$KU53&gt;=$BG$114,$KU53&gt;=$KV53+$BG$115,NOT(AND(N($AN54)=1,N($KV53)&lt;0)),N($AE53)&lt;=0),1,IF(AND($AG53="R",COUNTIF('Master Dashboard'!$AN$13:$AN$15,$AA53)=0,$KV53&gt;=$BG$114,$KV53&gt;=$KU53+$BG$115,NOT(AND(N($AN52)=1,N($KU53)&lt;0))),-1,0))),0)</f>
        <v>0</v>
      </c>
      <c r="HX53">
        <f>IFERROR(IF(AND(ISNUMBER($AA53),$FA53="PEAK+",N($AN53)&lt;&gt;1,NOT(AND('King Node Model'!$A$8="Pos",OR($AA53='King Node Model'!$T$22,$AA53='King Node Model'!$T$23,$AA53='King Node Model'!$F$24))),IF($AG53="S",COUNTIF('Master Dashboard'!$AN$16:$AN$18,$AA53)=0,IF($AG53="R",COUNTIF('Master Dashboard'!$AN$13:$AN$15,$AA53)=0,FALSE))),1,0),0)</f>
        <v>0</v>
      </c>
      <c r="HY53">
        <f t="shared" si="98"/>
        <v>0.50190368940368946</v>
      </c>
      <c r="HZ53">
        <v>1</v>
      </c>
      <c r="IA53">
        <f>IFERROR(IF(AND(IF($BG$44=1,OR(ISNUMBER(SEARCH("Choppy",'King Node Model'!$S$38)),'King Node Model'!$S$52&lt;&gt;"",'King Node Model'!$A$8="Pos"),TRUE()),OR($DC53=1,$DC52=1,$DC54=1),ABS($AA53-$B$4)&lt;=$BG$7,ABS($AA53-$BG$28)&gt;=$BG$45,OR(AND($AA53&gt;$BG$28,$AG53="R"),AND($AA53&lt;$BG$28,$AG53="S",N($BG$154)=1)),ABS(IF($AA53&gt;$BG$28,$AE54,$AE52))&gt;=$BG$43,ABS(N(IF($AA53&gt;$BG$28,$AE52,$AE54)))&lt;=$BG$153*ABS(IF($AA53&gt;$BG$28,$AE54,$AE52)),IF(ISNUMBER($HZ53),$HZ53=1,AND(ISNUMBER($HY53),$HY53&gt;=$BG$42))),1,0),0)</f>
        <v>0</v>
      </c>
      <c r="IB53">
        <f t="shared" si="99"/>
        <v>0</v>
      </c>
      <c r="IC53" t="str">
        <f>IF(NOT(ISNUMBER($AA53)),"",IFERROR(MID(IF(AND($AC53=MAX($AC$9:$AC$55),$AB53=MIN($AB$9:$AB$55))," · DOM","")&amp;IF(AND($DC52=1,$DC53=1,$DC54=1,INDEX($AC$9:$AC$55,45-1)&lt;=(1-$FA$6)*$AC53,INDEX($AC$9:$AC$55,45-1)&lt;=(1-$FA$6)*INDEX($AC$9:$AC$55,45-2))," · GAP↑ → "&amp;INDEX($AA$9:$AA$55,45-2),"")&amp;IF(AND($DC54=1,$DC53=1,INDEX($AC$9:$AC$55,45+1)&lt;=(1-$FA$6)*$AC53,INDEX($AC$9:$AC$55,45+1)&lt;=(1-$FA$6)*INDEX($AC$9:$AC$55,45+2))," · GAP↓ → "&amp;INDEX($AA$9:$AA$55,45+2),"")&amp;IF($CZ53=1," · dEdge Cliff","")&amp;IF($GY53=1," · γWall","")&amp;IF(AND($DC53=1,$AB53&lt;0,$AC53&gt;=(1+$FA$6)*INDEX($AC$9:$AC$55,45-1),$AC53&gt;=(1+$FA$6)*INDEX($AC$9:$AC$55,45+1))," · PEAK-","")&amp;IF($GZ53=1," · γSh Edge","")&amp;IF($HL53=1," · Trough","")&amp;IF($HN53=1," · PEAK+","")&amp;IF($GF53=1," · Cluster",""),FIND(" · ",IF(AND($AC53=MAX($AC$9:$AC$55),$AB53=MIN($AB$9:$AB$55))," · DOM","")&amp;IF(AND($DC52=1,$DC53=1,$DC54=1,INDEX($AC$9:$AC$55,45-1)&lt;=(1-$FA$6)*$AC53,INDEX($AC$9:$AC$55,45-1)&lt;=(1-$FA$6)*INDEX($AC$9:$AC$55,45-2))," · GAP↑ → "&amp;INDEX($AA$9:$AA$55,45-2),"")&amp;IF(AND($DC54=1,$DC53=1,INDEX($AC$9:$AC$55,45+1)&lt;=(1-$FA$6)*$AC53,INDEX($AC$9:$AC$55,45+1)&lt;=(1-$FA$6)*INDEX($AC$9:$AC$55,45+2))," · GAP↓ → "&amp;INDEX($AA$9:$AA$55,45+2),"")&amp;IF($CZ53=1," · dEdge Cliff","")&amp;IF($GY53=1," · γWall","")&amp;IF(AND($DC53=1,$AB53&lt;0,$AC53&gt;=(1+$FA$6)*INDEX($AC$9:$AC$55,45-1),$AC53&gt;=(1+$FA$6)*INDEX($AC$9:$AC$55,45+1))," · PEAK-","")&amp;IF($GZ53=1," · γSh Edge","")&amp;IF($HL53=1," · Trough","")&amp;IF($HN53=1," · PEAK+","")&amp;IF($GF53=1," · Cluster",""),2),999),""))</f>
        <v/>
      </c>
      <c r="ID53" t="str">
        <f>IF(NOT(ISNUMBER($AA53)),"",IFERROR(MID(IF(AND($AC53=MAX($AC$9:$AC$55),$AB53=MIN($AB$9:$AB$55))," · DOM","")&amp;IF(AND($DC52=1,$DC53=1,$DC54=1,INDEX($AC$9:$AC$55,45-1)&lt;=(1-$FA$6)*$AC53,INDEX($AC$9:$AC$55,45-1)&lt;=(1-$FA$6)*INDEX($AC$9:$AC$55,45-2))," · GAP↑ → "&amp;INDEX($AA$9:$AA$55,45-2),"")&amp;IF(AND($DC54=1,$DC53=1,INDEX($AC$9:$AC$55,45+1)&lt;=(1-$FA$6)*$AC53,INDEX($AC$9:$AC$55,45+1)&lt;=(1-$FA$6)*INDEX($AC$9:$AC$55,45+2))," · GAP↓ → "&amp;INDEX($AA$9:$AA$55,45+2),"")&amp;IF($CZ53=1," · dEdge Cliff","")&amp;IF($GY53=1," · γWall","")&amp;IF(AND($DC53=1,$AB53&lt;0,$AC53&gt;=(1+$FA$6)*INDEX($AC$9:$AC$55,45-1),$AC53&gt;=(1+$FA$6)*INDEX($AC$9:$AC$55,45+1))," · PEAK-","")&amp;IF($GZ53=1," · γSh Edge","")&amp;IF($HL53=1," · Trough","")&amp;IF($HN53=1," · PEAK+","")&amp;IF(AND(NOT($HN53=1),NOT(AND($DC53=1,$AB53&lt;0)),N($GY53)&lt;&gt;1,N($GF53)&lt;&gt;1,N($GZ53)&lt;&gt;1,N($HL53)&lt;&gt;1,N($CZ53)&lt;&gt;1,NOT(AND($AC53=MAX($AC$9:$AC$55),$AB53=MIN($AB$9:$AB$55))),$AC53&gt;=(1+$FA$6)*INDEX($AC$9:$AC$55,45-1),$AC53&gt;=(1+$FA$6)*INDEX($AC$9:$AC$55,45+1))," · Knoll","")&amp;IF($GF53=1," · Cluster",""),4,999),""))</f>
        <v/>
      </c>
      <c r="IF53">
        <f t="shared" si="100"/>
        <v>0</v>
      </c>
      <c r="IG53">
        <f>IFERROR(IF(AND(ISNUMBER($AA53),'King Node Model'!$A$8="Pos",OR($AG53="S",$AG53="R"),$IN53="interior",COUNTIF(IF($AG53="S",'Master Dashboard'!$AN$16:$AN$18,'Master Dashboard'!$AN$13:$AN$15),$AA53)=0,$AA53&lt;&gt;'King Node Model'!$T$22,$AA53&lt;&gt;'King Node Model'!$T$23,$AA53&lt;&gt;'King Node Model'!$F$24),1,0),0)</f>
        <v>0</v>
      </c>
      <c r="IH53">
        <f t="shared" si="101"/>
        <v>0</v>
      </c>
      <c r="II53">
        <f t="shared" si="190"/>
        <v>0</v>
      </c>
      <c r="IJ53">
        <f t="shared" si="102"/>
        <v>0</v>
      </c>
      <c r="IK53">
        <f t="shared" si="103"/>
        <v>0</v>
      </c>
      <c r="IL53">
        <f t="shared" si="191"/>
        <v>0</v>
      </c>
      <c r="IM53">
        <f t="shared" si="104"/>
        <v>0</v>
      </c>
      <c r="IN53" t="str">
        <f t="shared" si="105"/>
        <v/>
      </c>
      <c r="IO53">
        <v>0</v>
      </c>
      <c r="IP53">
        <v>0</v>
      </c>
      <c r="IQ53">
        <f>IFERROR(IF($AG53="S",IF(OR(COUNTIF($W$9:$W$14,$AA53)&gt;0,COUNTIF('King Node Model'!$AL$42:'King Node Model'!$AL$43,$AA53)&gt;0),1,0),IF($AG53="R",IF(OR(COUNTIF($W$18:$W$23,$AA53)&gt;0,COUNTIF('King Node Model'!$AL$49:'King Node Model'!$AL$50,$AA53)&gt;0),1,0),0)),0)</f>
        <v>0</v>
      </c>
      <c r="IS53">
        <f>IF(AND(ISNUMBER($AA53),N($AN53)&lt;&gt;1,N($LR53)&lt;&gt;1,OR(N($EN53)&lt;&gt;1,AND('King Node Model'!$A$8&lt;&gt;"Neg",N($BG$72)&lt;&gt;1)),$AA53&lt;&gt;'King Node Model'!$T$22,$AA53&lt;&gt;'King Node Model'!$T$23,$AA53&lt;&gt;'King Node Model'!$F$24,NOT(AND($AG53="S",COUNTIF('Master Dashboard'!$AN$16:$AN$18,$AA53)&gt;0)),NOT(AND($AG53="R",COUNTIF('Master Dashboard'!$AN$13:$AN$15,$AA53)&gt;0)),NOT(AND('King Node Model'!$A$8&lt;&gt;"Neg",N($BG$72)&lt;&gt;1,COUNTIF('Master Dashboard'!$AN$13:$AN$18,$AA53)&gt;0))),1,0)</f>
        <v>1</v>
      </c>
      <c r="IT53">
        <v>0</v>
      </c>
      <c r="IU53">
        <f>IF(AND(ISNUMBER($AA53),$AA53='King Node Model'!$F$24,$AA53&gt;$GJ$3,N($AD53)&lt;0,$F$4="High"),1,0)</f>
        <v>0</v>
      </c>
      <c r="IV53" t="str">
        <f>""</f>
        <v/>
      </c>
      <c r="IW53">
        <f>IFERROR(IF(AND(ISNUMBER($AA53),NOT(AND(N($LR53)=1,N($MB53)=1)),$AG53="S",OR('King Node Model'!$A$8="Neg",N($BG$72)=1),$JV53="SELL",ABS(N($AD53))&gt;=$BG$94,NOT(AND(N($AD53)&gt;0,N($BG$78)=1,MEDIAN($AA53-$BG$82,$B$4,$AA53+$BG$83)=$B$4))),1,0),0)</f>
        <v>1</v>
      </c>
      <c r="IX53">
        <f>IFERROR(IF(AND(ISNUMBER($AA53),$AG53="S",OR('King Node Model'!$A$8="Neg",N($BG$72)=1),N($AD53)&gt;0,N($BG$78)=1,MEDIAN($AA53-$BG$82,$B$4,$AA53+$BG$83)=$B$4),1,0),0)</f>
        <v>0</v>
      </c>
      <c r="IY53" t="str">
        <f t="shared" si="106"/>
        <v>SELL</v>
      </c>
      <c r="IZ53">
        <f>IFERROR(IF(AND(ISNUMBER($AA53),$FA53&lt;&gt;"DOM",$AA53&lt;&gt;'King Node Model'!$F$24,OR(AND($AG53="S",COUNTIF('Master Dashboard'!$AN$16:$AN$18,$AA53)=0,N(INDEX($AE$9:$AE$55,MATCH($AA53+$BG$84,$AA$9:$AA$55,0)))&lt;=-$BG$85),AND($AG53="R",COUNTIF('Master Dashboard'!$AN$13:$AN$15,$AA53)=0,N(INDEX($AE$9:$AE$55,MATCH($AA53-$BG$84,$AA$9:$AA$55,0)))&gt;=$BG$85))),1,0),0)</f>
        <v>0</v>
      </c>
      <c r="JC53">
        <f t="shared" si="108"/>
        <v>0</v>
      </c>
      <c r="JD53" t="str">
        <f t="shared" si="193"/>
        <v/>
      </c>
      <c r="JE53">
        <f>IF(ISNUMBER($AA53),N(IFERROR(INDEX('King Node Model'!$L$29:$L$75,MATCH($AA53,'King Node Model'!$A$29:$A$75,0)),0)),"")</f>
        <v>2133</v>
      </c>
      <c r="JF53">
        <f>IF(ISNUMBER($AA53),N(IFERROR(INDEX('King Node Model'!$K$29:$K$75,MATCH($AA53,'King Node Model'!$A$29:$A$75,0)),0)),"")</f>
        <v>114</v>
      </c>
      <c r="JG53">
        <f t="shared" si="109"/>
        <v>18.710526315789473</v>
      </c>
      <c r="JH53">
        <f t="shared" si="110"/>
        <v>5.3445850914205346E-2</v>
      </c>
      <c r="JI53">
        <f t="shared" si="111"/>
        <v>0</v>
      </c>
      <c r="JJ53" t="str">
        <f t="shared" si="112"/>
        <v>Ramp</v>
      </c>
      <c r="JK53">
        <f t="shared" si="113"/>
        <v>0</v>
      </c>
      <c r="JL53">
        <f t="shared" si="114"/>
        <v>0</v>
      </c>
      <c r="JM53">
        <f t="shared" si="115"/>
        <v>0</v>
      </c>
      <c r="JN53">
        <f t="shared" si="116"/>
        <v>0</v>
      </c>
      <c r="JO53">
        <f t="shared" si="117"/>
        <v>0</v>
      </c>
      <c r="JP53">
        <f t="shared" si="118"/>
        <v>0</v>
      </c>
      <c r="JQ53">
        <f t="shared" si="119"/>
        <v>0</v>
      </c>
      <c r="JR53">
        <v>0</v>
      </c>
      <c r="JS53">
        <f>IFERROR(IF(AND(ISNUMBER($AA53),'King Node Model'!$A$8="Pos",OR($AG53="S",$AG53="R"),N($AB53)&gt;0,N($HP53)&lt;&gt;1,OR(AND($KC53="DOWN",N($AF53)&lt;0,N($AF53)=MIN($AF$9:$AF$55),-N($AF53)&gt;=MAX($AF$9:$AF$55)),AND($KC53="UP",N($AF53)&gt;0,N($AF53)=MAX($AF$9:$AF$55),N($AF53)&gt;=-MIN($AF$9:$AF$55)))),1,0),0)</f>
        <v>0</v>
      </c>
      <c r="JT53">
        <v>0</v>
      </c>
      <c r="JU53">
        <f>IFERROR(IF(AND(N($BG$109)=1,ISNUMBER($AA53),'King Node Model'!$A$8="Pos",N($CZ53)=1,N($AB53)&gt;0),1,0),0)</f>
        <v>0</v>
      </c>
      <c r="JV53" t="str">
        <f t="shared" si="120"/>
        <v>SELL</v>
      </c>
      <c r="JW53">
        <f t="shared" si="121"/>
        <v>0</v>
      </c>
      <c r="JX53">
        <f t="shared" si="122"/>
        <v>0</v>
      </c>
      <c r="JY53">
        <f t="shared" si="123"/>
        <v>0</v>
      </c>
      <c r="JZ53">
        <f t="shared" si="124"/>
        <v>0</v>
      </c>
      <c r="KA53">
        <f t="shared" si="125"/>
        <v>0</v>
      </c>
      <c r="KB53">
        <f t="shared" si="126"/>
        <v>0</v>
      </c>
      <c r="KC53" t="str">
        <f t="shared" si="127"/>
        <v>UP</v>
      </c>
      <c r="KE53" t="str">
        <f t="shared" si="128"/>
        <v>Now: weakening the floor (IV rising) · if IV falls: strengthens the floor · expected on arrival: WEAKENS ✗</v>
      </c>
      <c r="KF53" t="str">
        <f t="shared" si="129"/>
        <v>SELL</v>
      </c>
      <c r="KG53">
        <f t="shared" si="192"/>
        <v>0</v>
      </c>
      <c r="KH53" t="str">
        <f t="shared" si="130"/>
        <v/>
      </c>
      <c r="KI53" t="str">
        <f t="shared" si="131"/>
        <v/>
      </c>
      <c r="KJ53">
        <f t="shared" si="132"/>
        <v>0</v>
      </c>
      <c r="KK53">
        <f t="shared" si="133"/>
        <v>0</v>
      </c>
      <c r="KL53">
        <f t="shared" si="134"/>
        <v>0</v>
      </c>
      <c r="KM53">
        <f t="shared" si="135"/>
        <v>0</v>
      </c>
      <c r="KN53">
        <f t="shared" si="136"/>
        <v>0</v>
      </c>
      <c r="KO53">
        <v>0</v>
      </c>
      <c r="KP53">
        <f t="shared" si="137"/>
        <v>0</v>
      </c>
      <c r="KQ53">
        <f t="shared" si="138"/>
        <v>0</v>
      </c>
      <c r="KR53">
        <f t="shared" si="139"/>
        <v>0</v>
      </c>
      <c r="KS53">
        <f t="shared" si="140"/>
        <v>0</v>
      </c>
      <c r="KT53">
        <f t="shared" si="141"/>
        <v>0</v>
      </c>
      <c r="KU53">
        <f>IF(AND(ISNUMBER($AA53),ISNUMBER($AE53),ISNUMBER($AE52),N($AE53)&lt;&gt;0),($AE53-$AE52)/$AE53,"")</f>
      </c>
      <c r="KV53">
        <f>IF(AND(ISNUMBER($AA53),ISNUMBER($AE53),ISNUMBER($AE54),N($AE53)&lt;&gt;0),($AE53-$AE54)/$AE53,"")</f>
      </c>
      <c r="KW53">
        <f>IFERROR(IF(OR(NOT(ISNUMBER($AA53)),'King Node Model'!$A$8&lt;&gt;"Pos",N($BG$72)=1,ABS(N($AE53))&lt;$BG$113,$FA53="DOM",$AA53='King Node Model'!$T$23,AND(N($BG$116)=1,$AA53='King Node Model'!$F$24),NOT(ISNUMBER($KU53)),NOT(ISNUMBER($KV53))),0,IF(AND($AG53="S",COUNTIF('Master Dashboard'!$AN$16:$AN$18,$AA53)=0,$KU53&gt;=$BG$114,$KU53&gt;=$KV53+$BG$115),1,IF(AND($AG53="R",COUNTIF('Master Dashboard'!$AN$13:$AN$15,$AA53)=0,$KV53&gt;=$BG$114,$KV53&gt;=$KU53+$BG$115),-1,0))),0)</f>
        <v>0</v>
      </c>
      <c r="KX53">
        <f t="shared" si="144"/>
        <v>0</v>
      </c>
      <c r="KY53">
        <f t="shared" si="145"/>
        <v>0</v>
      </c>
      <c r="KZ53">
        <f t="shared" si="146"/>
        <v>0</v>
      </c>
      <c r="LA53">
        <f t="shared" si="147"/>
        <v>0</v>
      </c>
      <c r="LB53">
        <f t="shared" si="148"/>
        <v>0</v>
      </c>
      <c r="LC53">
        <f t="shared" si="149"/>
        <v>0</v>
      </c>
      <c r="LD53">
        <f t="shared" si="150"/>
        <v>0</v>
      </c>
      <c r="LE53">
        <f t="shared" si="151"/>
        <v>0</v>
      </c>
      <c r="LF53">
        <f t="shared" si="152"/>
        <v>0</v>
      </c>
      <c r="LG53" t="str">
        <f t="shared" si="153"/>
        <v/>
      </c>
      <c r="LH53" t="str">
        <f t="shared" si="154"/>
        <v/>
      </c>
      <c r="LI53" t="str">
        <f t="shared" si="155"/>
        <v/>
      </c>
      <c r="LJ53" t="str">
        <f t="shared" si="156"/>
        <v/>
      </c>
      <c r="LK53" t="str">
        <f t="shared" si="157"/>
        <v/>
      </c>
      <c r="LL53">
        <f t="shared" si="158"/>
        <v>0</v>
      </c>
      <c r="LM53">
        <f t="shared" si="159"/>
        <v>0</v>
      </c>
      <c r="LN53">
        <f t="shared" si="160"/>
        <v>0</v>
      </c>
      <c r="LO53">
        <v>0</v>
      </c>
      <c r="LP53">
        <f t="shared" si="161"/>
        <v>0</v>
      </c>
      <c r="LQ53" t="str">
        <f t="shared" si="162"/>
        <v/>
      </c>
      <c r="LR53">
        <f t="shared" si="163"/>
        <v>0</v>
      </c>
      <c r="LS53">
        <f t="shared" si="164"/>
        <v>0</v>
      </c>
      <c r="LT53">
        <f t="shared" si="165"/>
        <v>0</v>
      </c>
      <c r="LU53">
        <f t="shared" si="166"/>
        <v>0</v>
      </c>
      <c r="LV53">
        <f t="shared" si="167"/>
        <v>0</v>
      </c>
      <c r="LW53">
        <f t="shared" si="168"/>
        <v>0</v>
      </c>
      <c r="LX53">
        <f t="shared" si="169"/>
        <v>0</v>
      </c>
      <c r="LY53">
        <f t="shared" si="170"/>
        <v>0</v>
      </c>
      <c r="LZ53">
        <f t="shared" si="171"/>
        <v>0</v>
      </c>
      <c r="MA53">
        <f t="shared" si="172"/>
        <v>0</v>
      </c>
      <c r="MB53">
        <v>0</v>
      </c>
      <c r="MC53">
        <f t="shared" si="173"/>
        <v>1</v>
      </c>
      <c r="MD53">
        <f t="shared" si="174"/>
        <v>1</v>
      </c>
      <c r="ME53">
        <f t="shared" si="175"/>
        <v>0</v>
      </c>
      <c r="MF53">
        <f t="shared" si="176"/>
        <v>0</v>
      </c>
      <c r="MG53">
        <f t="shared" si="177"/>
        <v>0</v>
      </c>
      <c r="MH53">
        <f t="shared" si="178"/>
        <v>0</v>
      </c>
      <c r="MI53" t="str">
        <f t="shared" si="179"/>
        <v/>
      </c>
      <c r="MJ53">
        <f t="shared" si="180"/>
        <v>0</v>
      </c>
      <c r="MK53">
        <f t="shared" si="181"/>
        <v>0</v>
      </c>
      <c r="ML53">
        <f>IF(AND(OR('King Node Model'!$A$8="Neg",N($BG$72)=1),ISNUMBER($AA53),$AG53="R",N($AB53)&lt;0),IF(AND($AA52=$AA53+5,N($AB52)&gt;0,$AA51=$AA53+10,N($AB51)&lt;0),1,IF(AND($AA52=$AA53+5,N($AB52)&gt;0,$AA51=$AA53+10,N($AB51)&gt;0,$AA50=$AA53+15,N($AB50)&lt;0),2,IF(AND($AA52=$AA53+5,N($AB52)&gt;0,$AA51=$AA53+10,N($AB51)&gt;0,$AA50=$AA53+15,N($AB50)&gt;0,$AA49=$AA53+20,N($AB49)&lt;0),3,IF(AND($AA52=$AA53+5,N($AB52)&gt;0,$AA51=$AA53+10,N($AB51)&gt;0,$AA50=$AA53+15,N($AB50)&gt;0,$AA49=$AA53+20,N($AB49)&gt;0,$AA48=$AA53+25,N($AB48)&lt;0),4,0)))),0)</f>
      </c>
      <c r="MM53">
        <f>IF(AND(OR('King Node Model'!$A$8="Neg",N($BG$72)=1),ISNUMBER($AA53),$AG53="S",N($AB53)&lt;0),IF(AND($AA54=$AA53-5,N($AB54)&gt;0,$AA55=$AA53-10,N($AB55)&lt;0),1,IF(AND($AA54=$AA53-5,N($AB54)&gt;0,$AA55=$AA53-10,N($AB55)&gt;0,$AA56=$AA53-15,N($AB56)&lt;0),2,IF(AND($AA54=$AA53-5,N($AB54)&gt;0,$AA55=$AA53-10,N($AB55)&gt;0,$AA56=$AA53-15,N($AB56)&gt;0,$AA57=$AA53-20,N($AB57)&lt;0),3,IF(AND($AA54=$AA53-5,N($AB54)&gt;0,$AA55=$AA53-10,N($AB55)&gt;0,$AA56=$AA53-15,N($AB56)&gt;0,$AA57=$AA53-20,N($AB57)&gt;0,$AA58=$AA53-25,N($AB58)&lt;0),4,0)))),0)</f>
      </c>
      <c r="MN53">
        <f>IF(N($ML53)&gt;0,$AA53,0)</f>
      </c>
      <c r="MO53">
        <f>IF(N($MM53)&gt;0,$AA53,0)</f>
      </c>
      <c r="MP53">
        <f>IF(AND(OR('King Node Model'!$A$8="Neg",N($BG$72)=1),ISNUMBER($BG$155),$AA53=$BG$155,N($NC53)=1),2,IF(AND(OR('King Node Model'!$A$8="Neg",N($BG$72)=1),ISNUMBER($BG$156),$AA53=$BG$156,N($ND53)=1),1,0))</f>
      </c>
      <c r="MQ53">
        <f>IF(ABS(AE53)&lt;=0,0,IF($AG53="R",IF(ISNUMBER(AE52),IF((ABS(AE52)-ABS(AE53))/ABS(AE53)&lt;-0.4,1,0),0),IF(ISNUMBER(AE54),IF((ABS(AE54)-ABS(AE53))/ABS(AE53)&lt;-0.4,1,0),0)))</f>
      </c>
      <c r="MR53">
        <f>IF(OR(N($MQ53)&lt;&gt;1,N($BG$157)&lt;&gt;1,NOT(ISNUMBER($KU53)),NOT(ISNUMBER($KV53))),0,IF(OR(AND($AG53="S",OR(AND($KU53&gt;=$BG$114,$KU53&gt;=$KV53+$BG$115),AND($KU53&gt;1,$KV53&lt;=1,$KV53&gt;=$BG$114))),AND($AG53="R",OR(AND($KV53&gt;=$BG$114,$KV53&gt;=$KU53+$BG$115),AND($KV53&gt;1,$KU53&lt;=1,$KU53&gt;=$BG$114)))),1,0))</f>
      </c>
      <c r="MS53" t="str">
        <f>IF(AND(N($MR53)=1,N($NA53)&lt;&gt;1),"• DEX falls off more sharply "&amp;IF($AG53="S","above (","below (")&amp;TEXT(IF($AG53="S",$KU53,$KV53),"0%")&amp;") than "&amp;IF($AG53="S","below (","above (")&amp;TEXT(IF($AG53="S",$KV53,$KU53),"0%")&amp;") — Dex↓ not counted",IF(N($MW53)=1,"• Shoulder of the "&amp;IF($AG53="R",$AA54,$AA52)&amp;" wall — own DEX "&amp;TEXT($AE53/1000,"+#,##0;-#,##0")&amp;"K is "&amp;TEXT(ABS($AE53)/ABS(IF($AG53="R",$AE54,$AE52)),"0%")&amp;" of "&amp;TEXT(IF($AG53="R",$AE54,$AE52)/1000,"+#,##0;-#,##0")&amp;"K, Dex↓ not counted",""))</f>
      </c>
      <c r="MT53">
        <f>IF(AND(ISNUMBER($AA53),$AG53="S",ISNUMBER($AB53),$AB53=MIN($AB$9:$AB$55),$AA53=$BG$105,$JV53="BUY",ABS(N($AD53))&gt;=$BG$158),1,0)</f>
      </c>
      <c r="MU53" t="str">
        <f>IF(N($MY53)=1,"",IF(OR(N($MT53)=1,AND(OR('King Node Model'!$A$8="Neg",N($BG$72)=1),$AG53="S",ISNUMBER($AB53),$AB53=MIN($AB$9:$AB$55),$AA53=$BG$105)),"• Min GEX + Max Zomma (no reversal flag required) — accelerant warning not applied; zomma acceleration warning only within "&amp;$BG$98&amp;" pts of the level, and not when vanna buying is "&amp;TEXT($BG$158/1000,"0")&amp;"K or more"&amp;CHAR(10)&amp;IF(N($MT53)=1,"• Max Zomma and vanna buying ("&amp;TEXT(N($AD53)/1000,"+#,##0;-#,##0")&amp;"K) make this level safe","• Max Zomma is what makes this level safe"),"")&amp;$NB53&amp;$NI53)</f>
      </c>
      <c r="MV53" t="str">
        <f>IF(AND(ISNUMBER($AA53),OR($AA53=$BG$118,$AA53=$BG$119)),IF(N($AZ53)*IF($AG53="R",1,-1)&gt;0,"✓",IF(N($AZ53)*IF($AG53="R",1,-1)&lt;0,"✗","")),"")</f>
      </c>
      <c r="MW53">
        <f>IF(AND(N($MQ53)=1,N($BG$159)&gt;0,ISNUMBER(IF($AG53="R",$AE54,$AE52)),N(IF($AG53="R",$AE54,$AE52))&lt;&gt;0),IF(ABS(N($AE53))&lt;$BG$159*ABS(IF($AG53="R",$AE54,$AE52)),1,0),0)</f>
      </c>
      <c r="MX53">
        <f>IF(AND(ISNUMBER($AA53),$AA53=$BG$121,$AG53="R",N($AE53)&lt;0,OR(COUNTIF('King Node Model'!$AL$42:$AL$44,$AA53)=0,N($HP53)=1),N($NC53)=1),2,IF(AND(ISNUMBER($AA53),$AA53=$BG$120,$AG53="S",N($AE53)&gt;0,OR(COUNTIF('King Node Model'!$AL$49:$AL$51,$AA53)=0,N($HP53)=1),N($ND53)=1),1,0))</f>
      </c>
      <c r="MY53">
        <f>IF(AND(N($NA53)=1,NOT(AND(AND($AG53="S",ISNUMBER($AB53),$AB53=MIN($AB$9:$AB$55),$AA53=$BG$105),IFERROR(INDEX($AG$9:$AG$55,MATCH('King Node Model'!$B$23,$AA$9:$AA$55,0)),"")="R")),N($AV53)&lt;&gt;1),1,0)</f>
      </c>
      <c r="MZ53" t="str">
        <f>IF(N($MY53)&lt;&gt;1,"","• DEX falls off more sharply "&amp;IF($AG53="S","above (","below (")&amp;TEXT(IF($AG53="S",$KU53,$KV53),"0%")&amp;") than "&amp;IF($AG53="S","below (","above (")&amp;TEXT(IF($AG53="S",$KV53,$KU53),"0%")&amp;") — path of least resistance "&amp;IF($AG53="S","down","up")&amp;IF(N($AZ53)*IF($AG53="R",1,-1)&lt;0,CHAR(10)&amp;"• Speed against — GEX gets more negative as price "&amp;IF($AG53="R","rises","falls")&amp;" into it (speed "&amp;TEXT(N($AZ53),"#,##0;−#,##0")&amp;")","")&amp;IF(OR(N($NG53)=1,N($JC53)=1),CHAR(10)&amp;"• "&amp;IF(N($JC53)=1,"DOM with vanna BUY "&amp;TEXT(N($AD53)/1000,"+#,##0;−#,##0")&amp;"K","Put wall + Max Zomma + DOM")&amp;" backs the level, but it does not outweigh DEX"&amp;IF(N($AZ53)*IF($AG53="R",1,-1)&lt;0," and speed",""),IF(AND($AG53="S",ISNUMBER($AB53),$AB53=MIN($AB$9:$AB$55),$AA53=$BG$105),CHAR(10)&amp;"• Min GEX + Max Zomma backs the level, but it does not outweigh DEX"&amp;IF(N($AZ53)*IF($AG53="R",1,-1)&lt;0," and speed",""),IF(OR(N($JI53)=1,AND(N($GV53)=1,N($JK53)&lt;&gt;1,N($IW53)&lt;&gt;1),N($JC53)=1,AND($AA53='King Node Model'!$F$24,N($JN53)&lt;&gt;1,OR($AG53="R",AND($AG53="S",$F$4="High",IF($BG$80&lt;&gt;"",UPPER($BG$80),$D$5)="UP")))),CHAR(10)&amp;"• Vanna "&amp;IF($AG53="S","BUY ","SELL ")&amp;TEXT(N($AD53)/1000,"+#,##0;−#,##0")&amp;"K backs the level, but it does not outweigh DEX"&amp;IF(N($AZ53)*IF($AG53="R",1,-1)&lt;0," and speed",""),"")))&amp;IF(N($NE53)=1,CHAR(10)&amp;"• Buy-lean max-node exemption not applied — DEX leans against the level",""))</f>
      </c>
      <c r="NA53">
        <f>IF(AND(OR('King Node Model'!$A$8="Neg",N($BG$72)=1),ISNUMBER($AA53),ABS(N($AE53))&gt;=$BG$152,ISNUMBER($KU53),ISNUMBER($KV53)),IF(OR(AND($AG53="S",OR(AND($KU53&gt;=$BG$114,$KU53&gt;=$KV53+$BG$115),AND($KU53&gt;1,$KV53&lt;=1,$KV53&gt;=$BG$114))),AND($AG53="R",OR(AND($KV53&gt;=$BG$114,$KV53&gt;=$KU53+$BG$115),AND($KV53&gt;1,$KU53&lt;=1,$KU53&gt;=$BG$114)))),1,0),0)</f>
      </c>
      <c r="NB53" t="str">
        <f>IF(AND(N($NA53)=1,AND(AND($AG53="S",ISNUMBER($AB53),$AB53=MIN($AB$9:$AB$55),$AA53=$BG$105),IFERROR(INDEX($AG$9:$AG$55,MATCH('King Node Model'!$B$23,$AA$9:$AA$55,0)),"")="R")),CHAR(10)&amp;"• DEX falls off more sharply above ("&amp;TEXT($KU53,"0%")&amp;") than below ("&amp;TEXT($KV53,"0%")&amp;") — DEX-lean warning not applied: Min GEX + Max Zomma support with Max Gamma "&amp;'King Node Model'!$B$23&amp;" above (Dex↓ not counted)",IF(AND(OR(N($NA53)=1,N($NF53)=1),N($AV53)=1),IF(AND(OR('King Node Model'!$A$8="Neg",N($BG$72)=1),$AG53="S",ISNUMBER($AB53),$AB53=MIN($AB$9:$AB$55),$AA53=$BG$105),CHAR(10),"")&amp;"• DEX falls off more sharply "&amp;IF($AG53="S","above (","below (")&amp;TEXT(IF($AG53="S",$KU53,$KV53),"0%")&amp;") than "&amp;IF($AG53="S","below (","above (")&amp;TEXT(IF($AG53="S",$KV53,$KU53),"0%")&amp;") — DEX lean does not apply to iDex (isolated DEX)",""))</f>
      </c>
      <c r="NC53">
        <f>IF(OR($BG$163=1,AND($BG$161&gt;0,$BG$162&lt;99999,ISNUMBER($AA53),$AA53&lt;$BG$162)),1,0)</f>
      </c>
      <c r="ND53">
        <f>IF(OR($BG$163=-1,AND($BG$161&gt;0,$BG$162&lt;99999,ISNUMBER($AA53),$AA53&gt;$BG$161)),1,0)</f>
      </c>
      <c r="NE53">
        <f>IF(AND(OR('King Node Model'!$A$8="Neg",N($BG$72)=1),ISNUMBER(SEARCH("LOW",'Master Dashboard'!$M$5)),ISNUMBER(SEARCH("BUY",'Master Dashboard'!$G$8)),'King Node Model'!$T$23='King Node Model'!$B$23,OR($AA53='King Node Model'!$T$23,AND($AG53="R",$AA53='King Node Model'!$T$23+5)),OR(AND($AG53="S",$JV53="BUY"),AND($AG53="R",$JV53="SELL"))),1,0)</f>
      </c>
      <c r="NF53">
        <f>IFERROR(IF(OR(NOT(ISNUMBER($AA53)),'King Node Model'!$A$8&lt;&gt;"Pos",N($BG$72)=1,ABS(N($AE53))&lt;$BG$113,$FA53="DOM",$AA53='King Node Model'!$T$23,AND(N($BG$116)=1,$AA53='King Node Model'!$F$24),NOT(ISNUMBER($KU53)),NOT(ISNUMBER($KV53))),0,IF(AND($AG53="S",COUNTIF('Master Dashboard'!$AN$16:$AN$18,$AA53)=0,$KU53&gt;=$BG$114,$KU53&gt;=$KV53+$BG$115,NOT(AND(N($AN54)=1,N($KV53)&lt;0)),N($AE53)&lt;=0),1,IF(AND($AG53="R",COUNTIF('Master Dashboard'!$AN$13:$AN$15,$AA53)=0,$KV53&gt;=$BG$114,$KV53&gt;=$KU53+$BG$115,NOT(AND(N($AN52)=1,N($KU53)&lt;0))),-1,0))),0)</f>
      </c>
      <c r="NG53">
        <f t="shared" si="202"/>
      </c>
      <c r="NI53" t="str">
        <f>IF(AND(ISNUMBER($BG$165),ISNUMBER($AA53)),IF(OR(AND($AG53="S",$AA53&gt;$BG$165,$AA53-$BG$165&lt;=5),AND($AG53="R",$AA53&lt;$BG$165,$BG$165-$AA53&lt;=5)),IF(OR(AND(OR('King Node Model'!$A$8="Neg",N($BG$72)=1),$AG53="S",ISNUMBER($AB53),$AB53=MIN($AB$9:$AB$55),$AA53=$BG$105),$NB53&lt;&gt;""),CHAR(10),"")&amp;"• DOM forming at "&amp;$BG$165&amp;" (gamma "&amp;TEXT($BG$166,"0%")&amp;" of max) — price may be pulled to the node",""),"")</f>
      </c>
      <c r="NJ53">
        <f>IF(LEN($NI53)&gt;0,1,0)</f>
      </c>
    </row>
    <row r="54" spans="27:349" ht="15" customHeight="1" x14ac:dyDescent="0.25">
      <c r="AA54" s="181">
        <f>'King Node Model'!A74</f>
        <v>7660</v>
      </c>
      <c r="AB54" s="276">
        <f>'King Node Model'!C74</f>
        <v>-25233</v>
      </c>
      <c r="AC54" s="181">
        <f>ABS('King Node Model'!B74)</f>
        <v>29797</v>
      </c>
      <c r="AD54" s="276">
        <f>'King Node Model'!F74</f>
        <v>119464</v>
      </c>
      <c r="AE54" s="276">
        <f>'King Node Model'!E74</f>
        <v>60900</v>
      </c>
      <c r="AF54" s="276">
        <f>'King Node Model'!D74</f>
        <v>-384770</v>
      </c>
      <c r="AG54" s="181" t="str">
        <f t="shared" si="6"/>
        <v>S</v>
      </c>
      <c r="AH54" s="181">
        <f t="shared" si="7"/>
        <v>24</v>
      </c>
      <c r="AI54" s="181" t="str">
        <f t="shared" si="8"/>
        <v>SELL</v>
      </c>
      <c r="AJ54" s="181">
        <f t="shared" si="9"/>
        <v>0</v>
      </c>
      <c r="AK54" s="181">
        <f>IF(ABS(N($AE54))&gt;=$BG$85,1,0)</f>
      </c>
      <c r="AL54" s="181">
        <f t="shared" si="10"/>
        <v>0</v>
      </c>
      <c r="AM54" s="181">
        <f t="shared" si="11"/>
        <v>1</v>
      </c>
      <c r="AN54" s="181">
        <f t="shared" si="12"/>
        <v>0</v>
      </c>
      <c r="AO54" s="1" t="str">
        <f t="shared" si="13"/>
        <v/>
      </c>
      <c r="AP54" s="1">
        <f t="shared" si="14"/>
        <v>60900</v>
      </c>
      <c r="AQ54" s="1">
        <f t="shared" si="15"/>
        <v>384770</v>
      </c>
      <c r="AR54" s="181">
        <f t="shared" si="16"/>
        <v>0.10533108141049927</v>
      </c>
      <c r="AS54" s="181">
        <f t="shared" si="17"/>
        <v>17</v>
      </c>
      <c r="AT54" s="181" t="str">
        <f t="shared" si="18"/>
        <v/>
      </c>
      <c r="AU54" s="181" t="str">
        <f t="shared" si="19"/>
        <v/>
      </c>
      <c r="AV54" s="218">
        <f t="shared" si="183"/>
        <v>0</v>
      </c>
      <c r="AW54" s="181">
        <f>ABS('King Node Model'!G74)</f>
        <v>67</v>
      </c>
      <c r="AX54" s="181">
        <f t="shared" si="20"/>
        <v>0</v>
      </c>
      <c r="AY54" s="181">
        <f t="shared" si="21"/>
        <v>0</v>
      </c>
      <c r="AZ54" s="276">
        <f>'King Node Model'!I74</f>
        <v>316</v>
      </c>
      <c r="BA54" s="181">
        <f t="shared" si="22"/>
        <v>0</v>
      </c>
      <c r="BB54" s="181" t="str">
        <f t="shared" si="23"/>
        <v>S17</v>
      </c>
      <c r="BC54" s="10">
        <f>'King Node Model'!C74</f>
        <v>-25233</v>
      </c>
      <c r="BD54" s="218">
        <f t="shared" si="184"/>
        <v>0</v>
      </c>
      <c r="BE54" s="218">
        <f t="shared" si="185"/>
        <v>0</v>
      </c>
      <c r="BF54" t="s">
        <v>2047</v>
      </c>
      <c r="BG54">
        <v>0</v>
      </c>
      <c r="BI54" s="218">
        <f t="shared" si="186"/>
        <v>0</v>
      </c>
      <c r="BJ54" s="218">
        <f t="shared" si="187"/>
        <v>0</v>
      </c>
      <c r="BK54" s="218">
        <f t="shared" si="24"/>
        <v>0</v>
      </c>
      <c r="BL54" s="10">
        <f>'King Node Model'!H74</f>
        <v>4</v>
      </c>
      <c r="BM54" s="218">
        <f t="shared" si="25"/>
        <v>45</v>
      </c>
      <c r="BN54" s="218">
        <f t="shared" si="26"/>
        <v>42</v>
      </c>
      <c r="BO54" s="218">
        <f t="shared" si="27"/>
        <v>0</v>
      </c>
      <c r="BP54" s="218">
        <f t="shared" si="28"/>
        <v>0</v>
      </c>
      <c r="BQ54" t="str">
        <f t="shared" si="29"/>
        <v/>
      </c>
      <c r="BR54" t="str">
        <f t="shared" si="30"/>
        <v/>
      </c>
      <c r="BS54" s="218">
        <f t="shared" si="31"/>
        <v>0</v>
      </c>
      <c r="BT54" t="str">
        <f t="shared" si="32"/>
        <v/>
      </c>
      <c r="BU54" t="str">
        <f t="shared" si="33"/>
        <v/>
      </c>
      <c r="BV54" s="218">
        <f t="shared" si="34"/>
        <v>119464</v>
      </c>
      <c r="BW54" s="218">
        <f t="shared" si="35"/>
        <v>60900</v>
      </c>
      <c r="BX54" s="218">
        <f>IF(AND(ISNUMBER(BC54),BC54&gt;=$BG$160,OR('King Node Model'!$A$8="Neg",N($BG$72)=1)),1,0)</f>
        <v>0</v>
      </c>
      <c r="BY54" s="218">
        <f t="shared" si="36"/>
        <v>0</v>
      </c>
      <c r="BZ54" s="218">
        <f t="shared" si="37"/>
        <v>0</v>
      </c>
      <c r="CA54" t="str">
        <f t="shared" si="38"/>
        <v/>
      </c>
      <c r="CB54" s="218">
        <f>IF(AND(ISNUMBER('King Node Model'!$D$27),AG54&lt;&gt;"",AA54='King Node Model'!$D$27),1,0)</f>
        <v>0</v>
      </c>
      <c r="CC54" s="218">
        <f>IF(OR('King Node Model'!$A$8="Neg",N($BG$72)=1),$BG$14*IF(ISNUMBER('King Node Model'!$D$26),MAX(0,1-ABS(AA54-'King Node Model'!$D$26)/$BG$18),0)+$BG$15*IFERROR(BV54/MAX($BV$9:$BV$55),0)+$BG$16*IFERROR(BW54/MAX($BW$9:$BW$55),0)+$BG$17*IFERROR(AC54/$S$11,0)*MAX(0,1+$BG$21*CF54),AR54)</f>
        <v>5.5314142982681107E-2</v>
      </c>
      <c r="CD54" s="218">
        <f>IF(OR('King Node Model'!$A$8="Neg",N($BG$72)=1),IF(AND(AG54&lt;&gt;"",ABS(AA54-$B$4)&lt;=$BG$7,OR(AX54=0,$D$5&lt;&gt;"UP"),AY54=0,BK54&lt;&gt;1,CI54=0,AM54&gt;=$BG$20,AC54&gt;$BG$19),1,0),IF(AND(BS54=1,(COUNTIF($W$9:$W$14,AA54)+COUNTIF($W$18:$W$23,AA54))&gt;0,CI54=0,AM54&gt;=$BG$20,AC54&gt;$BG$19),1,0))</f>
        <v>0</v>
      </c>
      <c r="CE54" t="str">
        <f t="shared" si="39"/>
        <v/>
      </c>
      <c r="CF54" s="218">
        <f t="shared" si="40"/>
        <v>0</v>
      </c>
      <c r="CG54" t="str">
        <f t="shared" si="41"/>
        <v/>
      </c>
      <c r="CH54" t="str">
        <f t="shared" si="42"/>
        <v>Dormant</v>
      </c>
      <c r="CI54" s="218">
        <f t="shared" si="43"/>
        <v>0</v>
      </c>
      <c r="CJ54" s="218">
        <f t="shared" si="44"/>
        <v>387420489</v>
      </c>
      <c r="CK54" s="218">
        <f t="shared" si="45"/>
        <v>0</v>
      </c>
      <c r="CL54" s="218">
        <f t="shared" si="46"/>
        <v>0</v>
      </c>
      <c r="CR54" t="s">
        <v>1513</v>
      </c>
      <c r="CS54" t="str">
        <f>IFERROR(INDEX($BB$9:$BB$55,MATCH($CS$40,$AA$9:$AA$55,0)),"")</f>
        <v/>
      </c>
      <c r="CU54" s="218">
        <f>IF(AND(AND('King Node Model'!$A$8&lt;&gt;"Neg",N($BG$72)&lt;&gt;1),SUMPRODUCT(($AG$9:$AG$55="S")*ISNUMBER($AT$9:$AT$55)*ISNUMBER($AU$9:$AU$55)*($AT$9:$AT$55&lt;&gt;$AU$9:$AU$55)*($AT$9:$AT$55&lt;=$AA54)*($AU$9:$AU$55&gt;=$AA54))&gt;0),0,IF(AND(OR($AA54='King Node Model'!$T$22,$AA54='King Node Model'!$F$24),$AG54="R",COUNTIF($W$9:$W$14,$AA54)&gt;0),1,IF(AND($FN54=1,$EU54&lt;&gt;1,$EM54&lt;&gt;1,$BK54&lt;&gt;1,$DH54&lt;&gt;1,$AG54="R",COUNTIF($W$9:$W$14,$AA54)&gt;0),1,IF($EU54=1,0,IF($EM54=1,0,IF(AND(OR($EE54=1,$GV54=1,AND($EL$7=1,$AA54='King Node Model'!$D$26,$EI54=1),AND(OR($AA54='King Node Model'!$T$22,$AA54='King Node Model'!$T$23),$AN54=1,OR($AX54=0,$D$5&lt;&gt;"UP"))),OR(NOT(OR('King Node Model'!$A$8="Neg",N($BG$72)=1)),$GV54=1,AND(OR($AA54='King Node Model'!$T$22,$AA54='King Node Model'!$T$23),$AN54=1,OR($AX54=0,$D$5&lt;&gt;"UP")),AND($AM54&gt;=$BG$20,$AC54&gt;IF($CZ54=1,$BG$48,$BG$19)))),1,IF($DH54=1,0,IF(AND($DC54=1,$GS54&lt;&gt;1,AND('King Node Model'!$A$8&lt;&gt;"Neg",N($BG$72)&lt;&gt;1)),0,IF(AND($EY54=1,NOT(OR('King Node Model'!$A$8="Neg",$BG$72=1)),$AA54&lt;&gt;'King Node Model'!$B$23),0,IF(AND($GS54=1,$AG54="R",OR($CI54=0,$EE54=1,$EX54=1,$GV54=1),COUNTIF($W$9:$W$14,$AA54)&gt;0,ABS($AA54-$B$4)&lt;=$BG$7,$BK54&lt;&gt;1,$AM54&gt;=$BG$20,$AC54&gt;IF($CZ54=1,$BG$48,$BG$19)),1,IF(OR('King Node Model'!$A$8="Neg",N($BG$72)=1),IF(AND(OR($AM54&gt;=$BG$20,$AA54='King Node Model'!$D$26,$GV54=1),$AG54="R",COUNTIF($W$9:$W$14,$AA54)&gt;0,ABS($AA54-$B$4)&lt;=$BG$7,OR($AX54=0,$D$5&lt;&gt;"UP"),$BK54&lt;&gt;1,OR(OR($CI54=0,$AJ54=1),AND($EI54=1,$LA54=1,COUNTIF($W$9:$W$11,$AA54)&gt;0,$AN54=1,OR($AX54=0,$D$5&lt;&gt;"UP"))),$AM54&gt;=$BG$20,$AC54&gt;IF($CZ54=1,$BG$48,$BG$19),OR($AN54=1,N($LR54)=1,$AA54='King Node Model'!$D$26,AND($BY54=1,$AA54&gt;$B$4),$BX54=1,$CF54=1,$CF54=1,AND(OR($AA54=$CP$4,$AA54=$CP$5,$AA54=$CP$6,$AA54=$CP$7),ABS($AA54-$B$4)&lt;=30),AND($AX54=1,$D$5="DOWN"))),1,0),IF(AND(OR($AM54&gt;=3,$AA54='King Node Model'!$D$26,$GV54=1),$AG54="R",COUNTIF($W$9:$W$14,$AA54)&gt;0,ABS($AA54-$B$4)&lt;=$BG$7,OR($AX54=0,$D$5&lt;&gt;"UP"),$BK54&lt;&gt;1,OR($CI54=0,$AJ54=1),$AM54&gt;=$BG$20,$AC54&gt;IF($CZ54=1,$BG$48,$BG$19),OR($AC54&gt;=MAX($AC$9:$AC$55),$BC54&gt;0,$AA54='King Node Model'!$D$26,AND(OR($AA54=$CP$4,$AA54=$CP$5,$AA54=$CP$6,$AA54=$CP$7),ABS($AA54-$B$4)&lt;=30),$CF54=1,$AN54=1,AND($AX54=1,$D$5="DOWN"))),1,0))))))))))))</f>
        <v>0</v>
      </c>
      <c r="CV54" s="218">
        <f>IF(AND(OR('King Node Model'!$A$8="Neg",N($BG$72)=1),$AG54="S",N($LR54)=1,N($MB54)=1),1,IF(AND(AND('King Node Model'!$A$8&lt;&gt;"Neg",N($BG$72)&lt;&gt;1),SUMPRODUCT(($AG$9:$AG$55="R")*ISNUMBER($AT$9:$AT$55)*ISNUMBER($AU$9:$AU$55)*($AT$9:$AT$55&lt;&gt;$AU$9:$AU$55)*($AT$9:$AT$55&lt;=$AA54)*($AU$9:$AU$55&gt;=$AA54))&gt;0,NOT(AND(N($LC54)=1,$AA54='King Node Model'!$B$23))),0,IF(AND($AA54='King Node Model'!$F$24,$AG54="S",COUNTIF($W$18:$W$23,$AA54)&gt;0),1,IF(AND($FN54=1,$EU54&lt;&gt;1,$EM54&lt;&gt;1,$DH54&lt;&gt;1,$AG54="S",COUNTIF($W$18:$W$23,$AA54)&gt;0),1,IF($EU54=1,0,IF(AND(OR($EF54=1,$GV54=1,AND(OR($AA54='King Node Model'!$T$22,$AA54='King Node Model'!$T$23,AND($AG54="S",COUNTIF('Master Dashboard'!$AN$16:$AN$18,$AA54)&gt;0)),$AN54=1,OR($AX54=0,$D$5&lt;&gt;"UP"))),OR(NOT(OR('King Node Model'!$A$8="Neg",N($BG$72)=1)),$GV54=1,AND(OR($AA54='King Node Model'!$T$22,$AA54='King Node Model'!$T$23,AND($AG54="S",COUNTIF('Master Dashboard'!$AN$16:$AN$18,$AA54)&gt;0)),$AN54=1,OR($AX54=0,$D$5&lt;&gt;"UP")),AND($AM54&gt;=$BG$20,$AC54&gt;IF($CZ54=1,$BG$48,$BG$19)))),1,IF($DH54=1,0,IF(AND($DC54=1,$GS54&lt;&gt;1,AND('King Node Model'!$A$8&lt;&gt;"Neg",N($BG$72)&lt;&gt;1)),0,IF(AND($EY54=1,NOT(OR('King Node Model'!$A$8="Neg",$BG$72=1)),$AA54&lt;&gt;'King Node Model'!$B$23,COUNTIF('Master Dashboard'!$AN$16:$AN$18,$AA54)=0),0,IF(AND($GS54=1,$AG54="S",OR($CI54=0,$EF54=1,$EX54=1,$GV54=1),COUNTIF($W$18:$W$23,$AA54)&gt;0,ABS($AA54-$B$4)&lt;=$BG$7,$BK54&lt;&gt;1,$AM54&gt;=$BG$20,$AC54&gt;IF($CZ54=1,$BG$48,$BG$19)),1,IF(OR('King Node Model'!$A$8="Neg",N($BG$72)=1),IF(AND(OR(OR($AM54&gt;=$BG$20,N($LR54)=1),$AA54='King Node Model'!$D$26,$GV54=1),$AG54="S",COUNTIF($W$18:$W$23,$AA54)&gt;0,ABS($AA54-$B$4)&lt;=$BG$7,OR($AX54=0,$D$5&lt;&gt;"UP"),$BK54&lt;&gt;1,OR($CI54=0,$AJ54=1,AND(N($LR54)=1,N($MB54)=1),N($MT54)=1),OR($AM54&gt;=$BG$20,N($LR54)=1),$AC54&gt;IF($CZ54=1,$BG$48,$BG$19),OR($AB54&gt;0,$AN54=1,N($MT54)=1,N($LR54)=1,$AA54='King Node Model'!$D$26,AND($BY54=1,$AA54&lt;$B$4),$BX54=1,$CF54=1,$CF54=1,AND(OR($AA54=$CP$4,$AA54=$CP$5,$AA54=$CP$6,$AA54=$CP$7),ABS($AA54-$B$4)&lt;=30),AND($AX54=1,$D$5="DOWN"))),1,0),IF(AND(OR($AM54&gt;=3,$AA54='King Node Model'!$D$26,$GV54=1),$AG54="S",COUNTIF($W$18:$W$23,$AA54)&gt;0,ABS($AA54-$B$4)&lt;=$BG$7,OR($AX54=0,$D$5&lt;&gt;"UP"),$BK54&lt;&gt;1,OR($CI54=0,$AJ54=1,AND(N($LR54)=1,N($MB54)=1),N($MT54)=1),$AM54&gt;=$BG$20,$AC54&gt;IF($CZ54=1,$BG$48,$BG$19),OR($AC54&gt;=MAX($AC$9:$AC$55),$BC54&gt;0,N($MT54)=1,$AA54='King Node Model'!$D$26,AND(OR($AA54=$CP$4,$AA54=$CP$5,$AA54=$CP$6,$AA54=$CP$7),ABS($AA54-$B$4)&lt;=30),$CF54=1,$AN54=1,AND($AX54=1,$D$5="DOWN"))),1,0))))))))))))</f>
        <v>0</v>
      </c>
      <c r="CX54" s="218">
        <f t="shared" si="48"/>
        <v>0</v>
      </c>
      <c r="CY54" t="str">
        <f t="shared" si="49"/>
        <v/>
      </c>
      <c r="CZ54" s="218">
        <f t="shared" si="50"/>
        <v>0</v>
      </c>
      <c r="DA54" t="str">
        <f t="shared" si="51"/>
        <v/>
      </c>
      <c r="DB54" t="str">
        <f t="shared" si="52"/>
        <v/>
      </c>
      <c r="DC54" s="218">
        <f t="shared" si="53"/>
        <v>0</v>
      </c>
      <c r="DD54" s="218">
        <f t="shared" si="54"/>
        <v>0</v>
      </c>
      <c r="DE54" s="218">
        <f t="shared" si="55"/>
        <v>0</v>
      </c>
      <c r="DF54" t="str">
        <f t="shared" si="56"/>
        <v/>
      </c>
      <c r="DG54" t="str">
        <f t="shared" si="57"/>
        <v/>
      </c>
      <c r="DH54" s="218">
        <f t="shared" si="58"/>
        <v>0</v>
      </c>
      <c r="DI54">
        <v>1</v>
      </c>
      <c r="DJ54">
        <v>0</v>
      </c>
      <c r="DK54">
        <v>5654510</v>
      </c>
      <c r="DL54">
        <v>0</v>
      </c>
      <c r="DM54" t="str">
        <f>IF(AND($CV54=1,$AG54="S"),IF(AND(OR('King Node Model'!$A$8="Neg",N($BG$72)=1),'King Node Model'!$S$52=""),IF(OR(N($AN54)=1,N($LR54)=1,$AB54&gt;0,$AJ54=1,N($JO54)=1,AND(NOT($AE54&gt;0),NOT(IFERROR(AND(ISNUMBER($BC54),ISNUMBER($BC53),($BC54&gt;=0)&lt;&gt;($BC53&gt;=0)),FALSE())),OR(AND($BM54&lt;=6,$BN54&lt;=6),ABS($AA54-'King Node Model'!$T$23)&lt;=5,$LA54=1))),1,0),1),"")</f>
        <v/>
      </c>
      <c r="DN54" t="str">
        <f t="shared" si="59"/>
        <v/>
      </c>
      <c r="DO54" t="str">
        <f t="shared" si="60"/>
        <v>W-list</v>
      </c>
      <c r="DP54" t="str">
        <f>IF(AND(OR('King Node Model'!$A$8="Neg",N($BG$72)=1),$AG54="S",ISNUMBER($AT54),ISNUMBER($AU54),$AT54&lt;&gt;$AU54,$AA54=$AT54),IF(AND(SUMPRODUCT(($AA$9:$AA$55&gt;=$AT54)*($AA$9:$AA$55&lt;=$AU54)*($AB$9:$AB$55&gt;0))&gt;0,SUMPRODUCT(($AA$9:$AA$55&gt;=$AT54)*($AA$9:$AA$55&lt;=$AU54)*($DM$9:$DM$55=1))&gt;0,SUMPRODUCT(($AA$9:$AA$55&gt;=$AT54)*($AA$9:$AA$55&lt;=$AU54)*(COUNTIF($W$18:$W$20,$AA$9:$AA$55)&gt;0))&gt;0),1,0),"")</f>
        <v/>
      </c>
      <c r="DS54">
        <v>0</v>
      </c>
      <c r="DT54">
        <v>0</v>
      </c>
      <c r="DU54" t="str">
        <f>IF('King Node Model'!$A$8&lt;&gt;"Pos","",IF(OR($AA54="",NOT(ISNUMBER($AA54)),ABS($AA54-$B$4)&gt;$BG$7),"",TEXT($AA54,"0")&amp;" | "&amp;IF($AG54="","unclassified",IF($AG54&lt;&gt;IF($AA54&gt;$B$4,"R","S"),"orphan: in "&amp;$AG54&amp;"-list, "&amp;IF($AA54&lt;$B$4,"below","above")&amp;" spot",IF(IF($AG54="R",COUNTIF($W$9:$W$14,$AA54),COUNTIF($W$18:$W$23,$AA54))=0,"not in "&amp;$AG54&amp;"-list",IF($DH54=1,"absorbed into shelf box",IF($BK54=1,"absorbed: adjacent reversal",IF($CI54=1,"accel-accelerant",IF($AC54&lt;=$BG$19,"below gamma-floor",IF($AM54&lt;$BG$20,"confluence "&amp;TEXT($AM54,"0")&amp;" &lt; "&amp;TEXT($BG$20,"0"),IF(AND($AX54=1,$D$5="UP"),"accelerant in up-move",IF(NOT(OR($AC54&gt;=MAX($AC$9:$AC$55),$BC54&gt;0,$AA54='King Node Model'!$D$26,AND(OR($AA54=$CP$4,$AA54=$CP$5,$AA54=$CP$6,$AA54=$CP$7),ABS($AA54-$B$4)&lt;=30),ISNUMBER(SEARCH("STRENGTHENING",$CG54)),$AN54=1,AND($AX54=1,$D$5="DOWN"))),"no surface flag","-&gt; qualifies"))))))))))))</f>
        <v/>
      </c>
      <c r="DV54" s="218">
        <f t="shared" si="61"/>
        <v>99999</v>
      </c>
      <c r="DW54" s="218">
        <f t="shared" si="62"/>
        <v>99999</v>
      </c>
      <c r="DX54" t="str">
        <f>IF('King Node Model'!$A$8&lt;&gt;"Pos","",IF(AND($DV54&lt;99999,$DV54=MIN($DV$9:$DV$55),$DG54&gt;$AA54),"R-box: "&amp;TEXT($AA54,"0")&amp;"-"&amp;TEXT($DG54,"0"),IF(AND($DW54&lt;99999,$DW54=MIN($DW$9:$DW$55),$DF54&lt;$AA54),"S-box: "&amp;TEXT($DF54,"0")&amp;"-"&amp;TEXT($AA54,"0"),"")))</f>
        <v/>
      </c>
      <c r="EB54">
        <f t="shared" si="63"/>
        <v>115.39000000000033</v>
      </c>
      <c r="EC54">
        <f t="shared" si="64"/>
        <v>538591</v>
      </c>
      <c r="ED54">
        <f t="shared" si="65"/>
        <v>0</v>
      </c>
      <c r="EE54">
        <f>IF(AND(OR('King Node Model'!$A$8="Neg",N($BG$72)=1),$AG54="R",ISNUMBER($EB54),$EB54&lt;=$BG$7,$AB54&gt;0,$EC54&gt;0,$AB54=$EC54),1,0)</f>
        <v>0</v>
      </c>
      <c r="EF54">
        <f>IF(AND(OR('King Node Model'!$A$8="Neg",N($BG$72)=1),$AG54="S",ISNUMBER($EB54),$EB54&lt;=$BG$7,$AB54&gt;0,$ED54&gt;0,$AB54=$ED54),1,0)</f>
        <v>0</v>
      </c>
      <c r="EI54">
        <v>1</v>
      </c>
      <c r="EJ54">
        <f>IF($AA54="",0,IF(SUMPRODUCT(($AA$9:$AA$55&gt;=$AT54)*($AA$9:$AA$55&lt;=$AU54)*($DT$9:$DT$55=1))+SUMPRODUCT(($DT$9:$DT$55=1)*($AT$9:$AT$55&lt;=$AA54)*($AU$9:$AU$55&gt;=$AA54))+($DT54=1)+AND(OR('King Node Model'!$A$8="Neg",N($BG$72)=1),ISNUMBER(SEARCH("LOW",'Master Dashboard'!$M$5)),ISNUMBER(SEARCH("BUY",'Master Dashboard'!$G$8)),'King Node Model'!$T$23='King Node Model'!$B$23,$AA54&gt;='King Node Model'!$T$23,$AA54&lt;='King Node Model'!$T$23+5)*1&gt;0,1,0))</f>
        <v>0</v>
      </c>
      <c r="EM54">
        <f t="shared" si="66"/>
        <v>0</v>
      </c>
      <c r="EN54">
        <v>0</v>
      </c>
      <c r="EO54">
        <f t="shared" si="67"/>
        <v>0</v>
      </c>
      <c r="EP54">
        <f t="shared" si="68"/>
        <v>0</v>
      </c>
      <c r="EQ54" t="str">
        <f t="shared" si="69"/>
        <v>thinning the floor (magnitude weak)</v>
      </c>
      <c r="ES54" t="str">
        <f>IF(AND(ISNUMBER(AA54),ISNUMBER(AF54),ABS(AA54-'King Node Model'!$B$4)&lt;=$BG$7),ABS(AF54),"")</f>
        <v/>
      </c>
      <c r="ET54">
        <v>0</v>
      </c>
      <c r="EU54" s="218">
        <f>IF(AND(OR('King Node Model'!$A$8="Neg",N($BG$72)=1),ISNUMBER($AA53),ISNUMBER($AA54),ISNUMBER($AA55),ISNUMBER($AB53),ISNUMBER($AB54),ISNUMBER($AB55),ISNUMBER($AF54),$AB54&gt;0,$AB53&lt;0,$AB55&lt;0,$AF54&lt;0),1,0)</f>
        <v>0</v>
      </c>
      <c r="EW54">
        <f>IF(OR(N($MY54)=1,N($JM54)=1),0,N($NE54))</f>
        <v>0</v>
      </c>
      <c r="EX54">
        <f>IF(AND(OR('King Node Model'!$A$8="Neg",N($BG$72)=1),ISNUMBER($AA54),OR(AND($AA54='King Node Model'!$F$24,OR(AND($AG54="S",$F$4="High",IF($BG$80&lt;&gt;"",UPPER($BG$80),$D$5)="DOWN"),AND($AG54="R",$F$4="Low",IF($BG$80&lt;&gt;"",UPPER($BG$80),$D$5)="UP"))),$GV54=1)),1,0)</f>
        <v>0</v>
      </c>
      <c r="EY54">
        <f>IFERROR(IF(AND($DC54=1,$AB54&lt;0,$AC54&gt;=(1+$FA$6)*INDEX($AC$9:$AC$55,46-1),$AC54&gt;=(1+$FA$6)*INDEX($AC$9:$AC$55,46+1),$AC54&gt;=IFERROR(INDEX($AC$9:$AC$55,46-2),0),$AC54&gt;=IFERROR(INDEX($AC$9:$AC$55,46+2),0)),1,0),0)</f>
        <v>0</v>
      </c>
      <c r="FA54" t="str">
        <f>IF(NOT(ISNUMBER($AA54)),"",IFERROR(IF(AND($AC54=MAX($AC$9:$AC$55),$AB54=MIN($AB$9:$AB$55)),"DOM",IF(AND($DC53=1,$DC54=1,$DC55=1,INDEX($AC$9:$AC$55,46-1)&lt;=(1-$FA$6)*$AC54,INDEX($AC$9:$AC$55,46-1)&lt;=(1-$FA$6)*INDEX($AC$9:$AC$55,46-2)),"GAP↑",IF(FALSE,"GAP↓",IF($CZ54=1,"dEdge Cliff",IF($GY54=1,"γWall",IF(AND($DC54=1,$AB54&lt;0,$AC54&gt;=(1+$FA$6)*INDEX($AC$9:$AC$55,46-1),$AC54&gt;=(1+$FA$6)*INDEX($AC$9:$AC$55,46+1)),"PEAK-",IF($GZ54=1,"γSh Edge",IF($HL54=1,"Trough",IF($HN54=1,"PEAK+",IF($GF54=1,"Cluster","")))))))))),""))</f>
        <v/>
      </c>
      <c r="FB54" t="str">
        <f t="shared" si="70"/>
        <v/>
      </c>
      <c r="FC54" t="str">
        <f t="shared" si="71"/>
        <v/>
      </c>
      <c r="FD54">
        <f>IF(AND(ISNUMBER($AA54),ISNUMBER('King Node Model'!$AP$17),ISNUMBER('King Node Model'!$AQ$17),$AA54&gt;=MIN('King Node Model'!$AP$17,'King Node Model'!$AQ$17),$AA54&lt;=MAX('King Node Model'!$AP$17,'King Node Model'!$AQ$17),IFERROR(INDEX($AC$9:$AC$55,MATCH('King Node Model'!$AL$42,$AA$9:$AA$55,0)),0)&gt;0,$AC54&gt;=(1-$FA$6)*IFERROR(INDEX($AC$9:$AC$55,MATCH('King Node Model'!$AL$42,$AA$9:$AA$55,0)),0),$AC54&lt;=(1+$FA$6)*IFERROR(INDEX($AC$9:$AC$55,MATCH('King Node Model'!$AL$42,$AA$9:$AA$55,0)),0)),1,0)</f>
        <v>0</v>
      </c>
      <c r="FE54">
        <f>IF($AA54='King Node Model'!$AL$42,1,IF(AND($FD54=1,$FE53=1),1,0))</f>
        <v>0</v>
      </c>
      <c r="FF54">
        <f>IF($AA54='King Node Model'!$AL$42,1,IF(AND($FD54=1,$FF55=1),1,0))</f>
        <v>0</v>
      </c>
      <c r="FG54" t="str">
        <f>IF(OR($FE54=1,$FF54=1),46,"")</f>
        <v/>
      </c>
      <c r="FJ54">
        <f>IF(AND($CW$2=1,ISNUMBER($AA54),ISNUMBER($CW$3),ISNUMBER($CW$4),$AA54&gt;=MIN($CW$3,$CW$4),$AA54&lt;=MAX($CW$3,$CW$4),IFERROR(INDEX($AC$9:$AC$55,MATCH('King Node Model'!$AP$67,$AA$9:$AA$55,0)),0)&gt;0,$AC54&gt;=(1-$FA$6)*IFERROR(INDEX($AC$9:$AC$55,MATCH('King Node Model'!$AP$67,$AA$9:$AA$55,0)),0),$AC54&lt;=(1+$FA$6)*IFERROR(INDEX($AC$9:$AC$55,MATCH('King Node Model'!$AP$67,$AA$9:$AA$55,0)),0)),1,0)</f>
        <v>0</v>
      </c>
      <c r="FK54">
        <f>IF(AND($CW$2=1,$AA54='King Node Model'!$AP$67),1,IF(AND($FJ54=1,$FK53=1),1,0))</f>
        <v>0</v>
      </c>
      <c r="FL54">
        <f>IF(AND($CW$2=1,$AA54='King Node Model'!$AP$67),1,IF(AND($FJ54=1,$FL55=1),1,0))</f>
        <v>0</v>
      </c>
      <c r="FM54" t="str">
        <f>IF(OR($FK54=1,$FL54=1),46,"")</f>
        <v/>
      </c>
      <c r="FN54">
        <v>0</v>
      </c>
      <c r="FR54" t="str">
        <f t="shared" si="72"/>
        <v/>
      </c>
      <c r="FS54">
        <f t="shared" si="188"/>
        <v>0</v>
      </c>
      <c r="FT54">
        <f t="shared" si="73"/>
        <v>-0.84683021780716183</v>
      </c>
      <c r="FU54">
        <f t="shared" si="74"/>
        <v>29797</v>
      </c>
      <c r="FV54" t="str">
        <f>IF($FW54=0,"",IF(OR($FW53=0,SIGN(IFERROR($BC54*1,0))&lt;&gt;SIGN(IFERROR($BC53*1,0)),$GH54=1,$GH53=1),MAX($FV$9:$FV53)+1,$FV53))</f>
        <v/>
      </c>
      <c r="FW54">
        <f t="shared" si="75"/>
        <v>0</v>
      </c>
      <c r="FX54" t="str">
        <f t="shared" si="76"/>
        <v/>
      </c>
      <c r="FY54">
        <f t="shared" si="77"/>
        <v>0</v>
      </c>
      <c r="FZ54">
        <f t="shared" si="189"/>
        <v>0</v>
      </c>
      <c r="GA54">
        <f t="shared" si="78"/>
        <v>0</v>
      </c>
      <c r="GB54" t="str">
        <f t="shared" si="79"/>
        <v/>
      </c>
      <c r="GC54" t="str">
        <f t="shared" si="80"/>
        <v/>
      </c>
      <c r="GD54" t="str">
        <f t="shared" si="81"/>
        <v/>
      </c>
      <c r="GE54" t="str">
        <f t="shared" si="82"/>
        <v/>
      </c>
      <c r="GF54">
        <f t="shared" si="83"/>
        <v>0</v>
      </c>
      <c r="GH54">
        <f>IFERROR(IF(AND($AC54&gt;=(1+$FA$6)*INDEX($AC$9:$AC$55,46-1),$AC54&gt;=(1+$FA$6)*INDEX($AC$9:$AC$55,46+1)),1,0),0)</f>
        <v>0</v>
      </c>
      <c r="GK54">
        <v>1</v>
      </c>
      <c r="GO54">
        <v>0</v>
      </c>
      <c r="GP54">
        <v>0</v>
      </c>
      <c r="GQ54">
        <f t="shared" si="84"/>
        <v>0</v>
      </c>
      <c r="GR54">
        <f t="shared" si="85"/>
        <v>0</v>
      </c>
      <c r="GS54">
        <f>IF(AND($EY54=1,$AA54&lt;&gt;'King Node Model'!$B$23),0,IF(OR($GQ54=1,$GR54=1),1,IF($DC54=1,IF(OR('King Node Model'!$A$8="Neg",N($BG$72)=1),IF(OR(AND($AC54=MAX($AC$9:$AC$55),$AB54=MIN($AB$9:$AB$55)),$AN54=1,$EE54=1,$EF54=1,$EX54=1,$GV54=1),1,0),1),0)))</f>
        <v>0</v>
      </c>
      <c r="GT54">
        <f>IFERROR(IF(AND(OR('King Node Model'!$A$8="Neg",N($BG$72)=1),$EU53=1,$AG54="R",ISNUMBER($AA54),ISNUMBER($AF54),$AF54&lt;&gt;0,$AA54&gt;$B$4-$BG$9,$AA54-$B$4&lt;=$BG$47,IF($KC54="UP",SIGN($AF54),IF($KC54="DOWN",-SIGN($AF54),0))&lt;&gt;1),1,0),0)</f>
        <v>0</v>
      </c>
      <c r="GU54" t="str">
        <f t="shared" si="86"/>
        <v/>
      </c>
      <c r="GV54">
        <f t="shared" si="87"/>
        <v>0</v>
      </c>
      <c r="GW54" t="str">
        <f t="shared" si="88"/>
        <v/>
      </c>
      <c r="GX54">
        <f t="shared" si="89"/>
        <v>115.39000000000033</v>
      </c>
      <c r="GY54">
        <f t="shared" si="90"/>
        <v>0</v>
      </c>
      <c r="GZ54">
        <f t="shared" si="91"/>
        <v>0</v>
      </c>
      <c r="HA54">
        <v>0</v>
      </c>
      <c r="HF54">
        <f>IFERROR(IF(AND($GZ54=1,'King Node Model'!$A$8="Pos",$D$5="UP",$CF54=-1,$AJ54&lt;&gt;1),1,0),0)</f>
        <v>0</v>
      </c>
      <c r="HG54">
        <f t="shared" si="92"/>
        <v>0</v>
      </c>
      <c r="HH54" t="str">
        <f>IF($GZ54=1,"",IFERROR(IF(NOT(ISNUMBER($AA54)),"",IF($EY54=1,"",IF($GF54=1,IF($GD54=$GE54,"",$GD54),IF(OR(AND($DC53=1,$DC54=1,$DC55=1,INDEX($AC$9:$AC$55,46-1)&lt;=(1-$FA$6)*$AC54,INDEX($AC$9:$AC$55,46-1)&lt;=(1-$FA$6)*INDEX($AC$9:$AC$55,46-2)),FALSE,AND($DC54=1,OR(INDEX($DC$9:$DC$55,46-1)=0,INDEX($DC$9:$DC$55,46+1)=0))),IF(MIN($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MAX($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MIN($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f>
        <v/>
      </c>
      <c r="HI54" t="str">
        <f>IF($GZ54=1,"",IFERROR(IF(NOT(ISNUMBER($AA54)),"",IF($EY54=1,"",IF($GF54=1,IF($GD54=$GE54,"",$GE54),IF(OR(AND($DC53=1,$DC54=1,$DC55=1,INDEX($AC$9:$AC$55,46-1)&lt;=(1-$FA$6)*$AC54,INDEX($AC$9:$AC$55,46-1)&lt;=(1-$FA$6)*INDEX($AC$9:$AC$55,46-2)),FALSE,AND($DC54=1,OR(INDEX($DC$9:$DC$55,46-1)=0,INDEX($DC$9:$DC$55,46+1)=0))),IF(MIN($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MAX($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MAX($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f>
        <v/>
      </c>
      <c r="HL54">
        <f t="shared" si="93"/>
        <v>0</v>
      </c>
      <c r="HM54">
        <f>IFERROR(IF(AND($HL54=1,NOT(OR($AA54='King Node Model'!$T$22,$AA54='King Node Model'!$T$23,$AA54='King Node Model'!$F$24,AND($AG54="S",COUNTIF('Master Dashboard'!$AN$16:$AN$18,$AA54)&gt;0),AND($AG54="R",COUNTIF('Master Dashboard'!$AN$13:$AN$15,$AA54)&gt;0)))),1,0),0)</f>
        <v>0</v>
      </c>
      <c r="HN54">
        <f t="shared" si="94"/>
        <v>0</v>
      </c>
      <c r="HO54">
        <f t="shared" si="95"/>
        <v>0</v>
      </c>
      <c r="HP54">
        <f t="shared" si="96"/>
        <v>1</v>
      </c>
      <c r="HQ54" t="str">
        <f>IF(NOT(ISNUMBER($AA54)),"",IFERROR(TRIM(IF(N($MY54)=1,"DEXLEAN ","")&amp;IF(N($IZ54)=1,"DEXCAP ","")&amp;IF(AND($AG54="S",UPPER('King Node Model'!$L$5)="HIGH",$KC54="DOWN",N($AF54)&gt;0,$AA54='King Node Model'!$AN$70,$IY54="SELL"),"CHOPEDGEIV ","")&amp;IF(N($IS54)=1,"NOREV ","")&amp;IF(N($JY54)=1,"VFLAT ","")&amp;IF(N($KR54)=1,"GDEXVANNA ","")&amp;IF(N($LD54)=1,"KGSUPFAIL ","")&amp;IF(N($LE54)=1,"KGRESLEAK ","")&amp;IF(N($MH54)=1,"ZIGZAG ","")&amp;IF(N($KK54)=1,"DATAGAP ","")&amp;IF(N($KA54)&lt;&gt;0,"ACCUNDERCW ","")&amp;IF(AND($AG54="S",$HF54=1),"EDGE ","")&amp;IF(AND($HM54=1,'King Node Model'!$A$8="Pos",N($BG$72)&lt;&gt;1),"TROUGH ","")&amp;IF(AND($EU54=1,N($JZ54)&lt;&gt;1),"BUMP ","")&amp;IF(AND($GT54=1,N($JZ54)&lt;&gt;1),"SANDWICH ","")&amp;IF(AND($EX54&lt;&gt;1,OR('King Node Model'!$A$8="Neg",N($BG$72)=1),OR(AND(ISNUMBER($AC54),$AC54=MAX($AC$9:$AC$55)),AND(ISNUMBER($AB54),$AB54=MIN($AB$9:$AB$55))),NOT(AND(AND(ISNUMBER($AC54),$AC54=MAX($AC$9:$AC$55)),AND(ISNUMBER($AB54),$AB54=MIN($AB$9:$AB$55)))),$AG54="S",N($AB54)&lt;0,NOT(COUNTIF('Master Dashboard'!$AN$16:$AN$18,$AA54)&gt;0),NOT(AND(OR('King Node Model'!$A$8="Neg",N($BG$72)=1),ISNUMBER($AB54),$AB54=MIN($AB$9:$AB$55),$AA54=$BG$105))),"ACCEL ","")&amp;IF(AND($EX54&lt;&gt;1,ISNUMBER($AA54),OR('King Node Model'!$A$8="Neg",N($BG$72)=1),$EY54=1,NOT(AND($AG54="S",COUNTIF('Master Dashboard'!$AN$16:$AN$18,$AA54)&gt;0)),NOT(AND($AA54='King Node Model'!$B$23,IF($AG54="S",OR($AA54='King Node Model'!$C$24,COUNTIF('Master Dashboard'!$AN$16:$AN$18,$AA54)&gt;0),OR($AA54='King Node Model'!$C$23,COUNTIF('Master Dashboard'!$AN$13:$AN$15,$AA54)&gt;0)))),NOT(AND($EX54&lt;&gt;1,OR('King Node Model'!$A$8="Neg",N($BG$72)=1),OR(AND(ISNUMBER($AC54),$AC54=MAX($AC$9:$AC$55)),AND(ISNUMBER($AB54),$AB54=MIN($AB$9:$AB$55))),NOT(AND(AND(ISNUMBER($AC54),$AC54=MAX($AC$9:$AC$55)),AND(ISNUMBER($AB54),$AB54=MIN($AB$9:$AB$55)))),$AG54="S",N($AB54)&lt;0,NOT(COUNTIF('Master Dashboard'!$AN$16:$AN$18,$AA54)&gt;0)))),"AMPLIFY ","")&amp;IF(AND($AG54="S",OR('King Node Model'!$A$8="Neg",N($BG$72)=1),$AJ54&lt;&gt;1,N($MT54)&lt;&gt;1,NOT(AND(N($LR54)=1,N($MB54)=1)),ISNUMBER(SEARCH("ACCEL building",$CG54))),"ZACCEL ","")&amp;IF(AND($AG54="S",OR('King Node Model'!$A$8="Neg",N($BG$72)=1),$AA54='King Node Model'!$B$23,NOT(AND(AND(ISNUMBER($AC54),$AC54=MAX($AC$9:$AC$55)),AND(ISNUMBER($AB54),$AB54=MIN($AB$9:$AB$55)))),$EJ54&lt;&gt;1),"KINGACC ","")&amp;IF(AND($AG54="S",OR('King Node Model'!$A$8="Neg",N($BG$72)=1),ABS(N($AA54)-N('King Node Model'!$B$23))&lt;=$BG$107,NOT(AND(SUMPRODUCT((ABS($AF$9:$AF$55)&lt;=ABS(N($AF54)))*1)/COUNT($AF$9:$AF$55)&gt;=0.66,OR(ISNUMBER(SEARCH("firmer resistance",$CG54)),ISNUMBER(SEARCH("STRENGTHENING",$CG54)),ISNUMBER(SEARCH("firmer support",$CG54))))),NOT(AND(N($AB54)&gt;0,SUMPRODUCT((ABS($AB$9:$AB$55)&lt;=ABS(N($AB54)))*1)/COUNT($AB$9:$AB$55)&gt;=0.66)),$EJ54&lt;&gt;1,$AJ54&lt;&gt;1,COUNTIF('Master Dashboard'!$AN$16:$AN$18,$AA54)=0,NOT(AND($AG54="S",OR('King Node Model'!$A$8="Neg",N($BG$72)=1),$AA54='King Node Model'!$B$23,NOT(AND(AND(ISNUMBER($AC54),$AC54=MAX($AC$9:$AC$55)),AND(ISNUMBER($AB54),$AB54=MIN($AB$9:$AB$55)))),$EJ54&lt;&gt;1))),"KINGNODE ","")&amp;IF(AND($AG54="R",NOT(AND(AND(ISNUMBER($AC54),$AC54=MAX($AC$9:$AC$55)),AND(ISNUMBER($AB54),$AB54=MIN($AB$9:$AB$55)))),UPPER('King Node Model'!$L$5)="LOW",$KC54="DOWN",N($AF54)&gt;0),"LOWIVFALL ","")&amp;IF(AND($AG54="R",NOT(AND(AND(ISNUMBER($AC54),$AC54=MAX($AC$9:$AC$55)),AND(ISNUMBER($AB54),$AB54=MIN($AB$9:$AB$55)))),UPPER('King Node Model'!$L$5)="HIGH",$KC54="DOWN",N($AF54)&gt;0,IFERROR(MATCH($AA54,$W$9:$W$14,0)&gt;=4,FALSE)),"HIGHIVFALL ","")&amp;IF(AND($AG54="R",N($BG$99)=1),"SPOTUPVOLUP ","")&amp;IF(AND($AG54="R",ISNUMBER(SEARCH("5/5",'Master Dashboard'!$E$29)),OR(ISNUMBER(SEARCH("WEAKENING",$EQ54)),ISNUMBER(SEARCH("Pos gamma ↓",$EQ54)),ISNUMBER(SEARCH("thinning the ceiling",$EQ54)))),"SQUEEZE ","")&amp;IF(N($JU54)=1,"DEDGECLIFF ","")&amp;IF(N($KT54)=1,"DEXDRAIN ","")&amp;IF(N($HW54)&lt;&gt;0,"DEXDROP ","")&amp;IF(N($HX54)&lt;&gt;0,"PEAK+ ","")&amp;IF(N($IF54)=1,"CHOP ","")&amp;IF(N($IQ54)=1,"CONTESTED ","")&amp;IF(N($IW54)=1,"VSELL ","")&amp;IF(N($JK54)=1,"VBUYRES ","")&amp;IF(N($JL54)=1,"DOMFLAT ","")&amp;IF(N($JM54)=1,"DOMPULL ","")&amp;IF(N($JP54)=1,"OIZOMMA ","")&amp;IF(AND(N($JQ54)=1,N($JZ54)&lt;&gt;1),"OIDEX ","")),""))</f>
        <v>NOREV VSELL</v>
      </c>
      <c r="HS54">
        <f>IFERROR(IF(AND($DC54=1,OR(AND($AG54="R",INDEX($DC$9:$DC$55,45)=0,INDEX($DC$9:$DC$55,47)=1,1=0),AND($AG54="S",INDEX($DC$9:$DC$55,47)=0,INDEX($DC$9:$DC$55,45)=1,INDEX($DC$9:$DC$55,44)=1))),1,0),0)</f>
        <v>0</v>
      </c>
      <c r="HT54">
        <f t="shared" si="97"/>
        <v>0</v>
      </c>
      <c r="HU54">
        <v>0</v>
      </c>
      <c r="HV54">
        <v>0</v>
      </c>
      <c r="HW54">
        <f>IFERROR(IF(OR(NOT(ISNUMBER($AA54)),'King Node Model'!$A$8&lt;&gt;"Pos",N($BG$72)=1,ABS(N($AE54))&lt;$BG$113,N($AV54)=1,$FA54="DOM",$AA54='King Node Model'!$T$23,AND(N($BG$116)=1,$AA54='King Node Model'!$F$24),NOT(ISNUMBER($KU54)),NOT(ISNUMBER($KV54))),0,IF(AND($AG54="S",COUNTIF('Master Dashboard'!$AN$16:$AN$18,$AA54)=0,$KU54&gt;=$BG$114,$KU54&gt;=$KV54+$BG$115,NOT(AND(N($AN55)=1,N($KV54)&lt;0)),N($AE54)&lt;=0),1,IF(AND($AG54="R",COUNTIF('Master Dashboard'!$AN$13:$AN$15,$AA54)=0,$KV54&gt;=$BG$114,$KV54&gt;=$KU54+$BG$115,NOT(AND(N($AN53)=1,N($KU54)&lt;0))),-1,0))),0)</f>
        <v>0</v>
      </c>
      <c r="HX54">
        <f>IFERROR(IF(AND(ISNUMBER($AA54),$FA54="PEAK+",N($AN54)&lt;&gt;1,NOT(AND('King Node Model'!$A$8="Pos",OR($AA54='King Node Model'!$T$22,$AA54='King Node Model'!$T$23,$AA54='King Node Model'!$F$24))),IF($AG54="S",COUNTIF('Master Dashboard'!$AN$16:$AN$18,$AA54)=0,IF($AG54="R",COUNTIF('Master Dashboard'!$AN$13:$AN$15,$AA54)=0,FALSE))),1,0),0)</f>
        <v>0</v>
      </c>
      <c r="HY54">
        <f t="shared" si="98"/>
        <v>0.18043817623943587</v>
      </c>
      <c r="HZ54">
        <v>0</v>
      </c>
      <c r="IA54">
        <f>IFERROR(IF(AND(IF($BG$44=1,OR(ISNUMBER(SEARCH("Choppy",'King Node Model'!$S$38)),'King Node Model'!$S$52&lt;&gt;"",'King Node Model'!$A$8="Pos"),TRUE()),OR($DC54=1,$DC53=1,$DC55=1),ABS($AA54-$B$4)&lt;=$BG$7,ABS($AA54-$BG$28)&gt;=$BG$45,OR(AND($AA54&gt;$BG$28,$AG54="R"),AND($AA54&lt;$BG$28,$AG54="S",N($BG$154)=1)),ABS(IF($AA54&gt;$BG$28,$AE55,$AE53))&gt;=$BG$43,ABS(N(IF($AA54&gt;$BG$28,$AE53,$AE55)))&lt;=$BG$153*ABS(IF($AA54&gt;$BG$28,$AE55,$AE53)),IF(ISNUMBER($HZ54),$HZ54=1,AND(ISNUMBER($HY54),$HY54&gt;=$BG$42))),1,0),0)</f>
        <v>0</v>
      </c>
      <c r="IB54">
        <f t="shared" si="99"/>
        <v>0</v>
      </c>
      <c r="IC54" t="str">
        <f>IF(NOT(ISNUMBER($AA54)),"",IFERROR(MID(IF(AND($AC54=MAX($AC$9:$AC$55),$AB54=MIN($AB$9:$AB$55))," · DOM","")&amp;IF(AND($DC53=1,$DC54=1,$DC55=1,INDEX($AC$9:$AC$55,46-1)&lt;=(1-$FA$6)*$AC54,INDEX($AC$9:$AC$55,46-1)&lt;=(1-$FA$6)*INDEX($AC$9:$AC$55,46-2))," · GAP↑ → "&amp;INDEX($AA$9:$AA$55,46-2),"")&amp;IF(FALSE," · GAP↓ → "&amp;INDEX($AA$9:$AA$55,46+2),"")&amp;IF($CZ54=1," · dEdge Cliff","")&amp;IF($GY54=1," · γWall","")&amp;IF(AND($DC54=1,$AB54&lt;0,$AC54&gt;=(1+$FA$6)*INDEX($AC$9:$AC$55,46-1),$AC54&gt;=(1+$FA$6)*INDEX($AC$9:$AC$55,46+1))," · PEAK-","")&amp;IF($GZ54=1," · γSh Edge","")&amp;IF($HL54=1," · Trough","")&amp;IF($HN54=1," · PEAK+","")&amp;IF($GF54=1," · Cluster",""),FIND(" · ",IF(AND($AC54=MAX($AC$9:$AC$55),$AB54=MIN($AB$9:$AB$55))," · DOM","")&amp;IF(AND($DC53=1,$DC54=1,$DC55=1,INDEX($AC$9:$AC$55,46-1)&lt;=(1-$FA$6)*$AC54,INDEX($AC$9:$AC$55,46-1)&lt;=(1-$FA$6)*INDEX($AC$9:$AC$55,46-2))," · GAP↑ → "&amp;INDEX($AA$9:$AA$55,46-2),"")&amp;IF(FALSE," · GAP↓ → "&amp;INDEX($AA$9:$AA$55,46+2),"")&amp;IF($CZ54=1," · dEdge Cliff","")&amp;IF($GY54=1," · γWall","")&amp;IF(AND($DC54=1,$AB54&lt;0,$AC54&gt;=(1+$FA$6)*INDEX($AC$9:$AC$55,46-1),$AC54&gt;=(1+$FA$6)*INDEX($AC$9:$AC$55,46+1))," · PEAK-","")&amp;IF($GZ54=1," · γSh Edge","")&amp;IF($HL54=1," · Trough","")&amp;IF($HN54=1," · PEAK+","")&amp;IF($GF54=1," · Cluster",""),2),999),""))</f>
        <v/>
      </c>
      <c r="ID54" t="str">
        <f>IF(NOT(ISNUMBER($AA54)),"",IFERROR(MID(IF(AND($AC54=MAX($AC$9:$AC$55),$AB54=MIN($AB$9:$AB$55))," · DOM","")&amp;IF(AND($DC53=1,$DC54=1,$DC55=1,INDEX($AC$9:$AC$55,46-1)&lt;=(1-$FA$6)*$AC54,INDEX($AC$9:$AC$55,46-1)&lt;=(1-$FA$6)*INDEX($AC$9:$AC$55,46-2))," · GAP↑ → "&amp;INDEX($AA$9:$AA$55,46-2),"")&amp;IF(FALSE," · GAP↓ → "&amp;INDEX($AA$9:$AA$55,46+2),"")&amp;IF($CZ54=1," · dEdge Cliff","")&amp;IF($GY54=1," · γWall","")&amp;IF(AND($DC54=1,$AB54&lt;0,$AC54&gt;=(1+$FA$6)*INDEX($AC$9:$AC$55,46-1),$AC54&gt;=(1+$FA$6)*INDEX($AC$9:$AC$55,46+1))," · PEAK-","")&amp;IF($GZ54=1," · γSh Edge","")&amp;IF($HL54=1," · Trough","")&amp;IF($HN54=1," · PEAK+","")&amp;IF(AND(NOT($HN54=1),NOT(AND($DC54=1,$AB54&lt;0)),N($GY54)&lt;&gt;1,N($GF54)&lt;&gt;1,N($GZ54)&lt;&gt;1,N($HL54)&lt;&gt;1,N($CZ54)&lt;&gt;1,NOT(AND($AC54=MAX($AC$9:$AC$55),$AB54=MIN($AB$9:$AB$55))),$AC54&gt;=(1+$FA$6)*INDEX($AC$9:$AC$55,46-1),$AC54&gt;=(1+$FA$6)*INDEX($AC$9:$AC$55,46+1))," · Knoll","")&amp;IF($GF54=1," · Cluster",""),4,999),""))</f>
        <v/>
      </c>
      <c r="IF54">
        <f t="shared" si="100"/>
        <v>0</v>
      </c>
      <c r="IG54">
        <f>IFERROR(IF(AND(ISNUMBER($AA54),'King Node Model'!$A$8="Pos",OR($AG54="S",$AG54="R"),$IN54="interior",COUNTIF(IF($AG54="S",'Master Dashboard'!$AN$16:$AN$18,'Master Dashboard'!$AN$13:$AN$15),$AA54)=0,$AA54&lt;&gt;'King Node Model'!$T$22,$AA54&lt;&gt;'King Node Model'!$T$23,$AA54&lt;&gt;'King Node Model'!$F$24),1,0),0)</f>
        <v>0</v>
      </c>
      <c r="IH54">
        <f t="shared" si="101"/>
        <v>0</v>
      </c>
      <c r="II54">
        <f t="shared" si="190"/>
        <v>0</v>
      </c>
      <c r="IJ54">
        <f t="shared" si="102"/>
        <v>0</v>
      </c>
      <c r="IK54">
        <f t="shared" si="103"/>
        <v>0</v>
      </c>
      <c r="IL54">
        <f t="shared" si="191"/>
        <v>0</v>
      </c>
      <c r="IM54">
        <f t="shared" si="104"/>
        <v>0</v>
      </c>
      <c r="IN54" t="str">
        <f t="shared" si="105"/>
        <v/>
      </c>
      <c r="IO54">
        <v>0</v>
      </c>
      <c r="IP54">
        <v>0</v>
      </c>
      <c r="IQ54">
        <f>IFERROR(IF($AG54="S",IF(OR(COUNTIF($W$9:$W$14,$AA54)&gt;0,COUNTIF('King Node Model'!$AL$42:'King Node Model'!$AL$43,$AA54)&gt;0),1,0),IF($AG54="R",IF(OR(COUNTIF($W$18:$W$23,$AA54)&gt;0,COUNTIF('King Node Model'!$AL$49:'King Node Model'!$AL$50,$AA54)&gt;0),1,0),0)),0)</f>
        <v>0</v>
      </c>
      <c r="IS54">
        <f>IF(AND(ISNUMBER($AA54),N($AN54)&lt;&gt;1,N($LR54)&lt;&gt;1,OR(N($EN54)&lt;&gt;1,AND('King Node Model'!$A$8&lt;&gt;"Neg",N($BG$72)&lt;&gt;1)),$AA54&lt;&gt;'King Node Model'!$T$22,$AA54&lt;&gt;'King Node Model'!$T$23,$AA54&lt;&gt;'King Node Model'!$F$24,NOT(AND($AG54="S",COUNTIF('Master Dashboard'!$AN$16:$AN$18,$AA54)&gt;0)),NOT(AND($AG54="R",COUNTIF('Master Dashboard'!$AN$13:$AN$15,$AA54)&gt;0)),NOT(AND('King Node Model'!$A$8&lt;&gt;"Neg",N($BG$72)&lt;&gt;1,COUNTIF('Master Dashboard'!$AN$13:$AN$18,$AA54)&gt;0))),1,0)</f>
        <v>1</v>
      </c>
      <c r="IT54">
        <v>0</v>
      </c>
      <c r="IU54">
        <f>IF(AND(ISNUMBER($AA54),$AA54='King Node Model'!$F$24,$AA54&gt;$GJ$3,N($AD54)&lt;0,$F$4="High"),1,0)</f>
        <v>0</v>
      </c>
      <c r="IV54" t="str">
        <f>""</f>
        <v/>
      </c>
      <c r="IW54">
        <f>IFERROR(IF(AND(ISNUMBER($AA54),NOT(AND(N($LR54)=1,N($MB54)=1)),$AG54="S",OR('King Node Model'!$A$8="Neg",N($BG$72)=1),$JV54="SELL",ABS(N($AD54))&gt;=$BG$94,NOT(AND(N($AD54)&gt;0,N($BG$78)=1,MEDIAN($AA54-$BG$82,$B$4,$AA54+$BG$83)=$B$4))),1,0),0)</f>
        <v>1</v>
      </c>
      <c r="IX54">
        <f>IFERROR(IF(AND(ISNUMBER($AA54),$AG54="S",OR('King Node Model'!$A$8="Neg",N($BG$72)=1),N($AD54)&gt;0,N($BG$78)=1,MEDIAN($AA54-$BG$82,$B$4,$AA54+$BG$83)=$B$4),1,0),0)</f>
        <v>0</v>
      </c>
      <c r="IY54" t="str">
        <f t="shared" si="106"/>
        <v>SELL</v>
      </c>
      <c r="IZ54">
        <f>IFERROR(IF(AND(ISNUMBER($AA54),$FA54&lt;&gt;"DOM",$AA54&lt;&gt;'King Node Model'!$F$24,OR(AND($AG54="S",COUNTIF('Master Dashboard'!$AN$16:$AN$18,$AA54)=0,N(INDEX($AE$9:$AE$55,MATCH($AA54+$BG$84,$AA$9:$AA$55,0)))&lt;=-$BG$85),AND($AG54="R",COUNTIF('Master Dashboard'!$AN$13:$AN$15,$AA54)=0,N(INDEX($AE$9:$AE$55,MATCH($AA54-$BG$84,$AA$9:$AA$55,0)))&gt;=$BG$85))),1,0),0)</f>
        <v>0</v>
      </c>
      <c r="JC54">
        <f t="shared" si="108"/>
        <v>0</v>
      </c>
      <c r="JD54" t="str">
        <f>IFERROR(IF(NOT(ISNUMBER($AA54)),"",IF(AND(N($JE54)&gt;=$BG$89,N($JE54)&gt;=$BG$151*N($JF54),N($JG54)&gt;=$BG$90*MEDIAN($JG52,$JG53,$JG55)),"P",IF(AND(N($JF54)&gt;=$BG$89,N($JF54)&gt;=$BG$151*N($JE54),N($JH54)&gt;=$BG$90*MEDIAN($JH52,$JH53,$JH55)),"C",""))),"")</f>
        <v/>
      </c>
      <c r="JE54">
        <f>IF(ISNUMBER($AA54),N(IFERROR(INDEX('King Node Model'!$L$29:$L$75,MATCH($AA54,'King Node Model'!$A$29:$A$75,0)),0)),"")</f>
        <v>1049</v>
      </c>
      <c r="JF54">
        <f>IF(ISNUMBER($AA54),N(IFERROR(INDEX('King Node Model'!$K$29:$K$75,MATCH($AA54,'King Node Model'!$A$29:$A$75,0)),0)),"")</f>
        <v>87</v>
      </c>
      <c r="JG54">
        <f t="shared" si="109"/>
        <v>12.057471264367816</v>
      </c>
      <c r="JH54">
        <f t="shared" si="110"/>
        <v>8.2936129647283127E-2</v>
      </c>
      <c r="JI54">
        <f t="shared" si="111"/>
        <v>0</v>
      </c>
      <c r="JJ54" t="str">
        <f t="shared" si="112"/>
        <v>Ramp</v>
      </c>
      <c r="JK54">
        <f t="shared" si="113"/>
        <v>0</v>
      </c>
      <c r="JL54">
        <f t="shared" si="114"/>
        <v>0</v>
      </c>
      <c r="JM54">
        <f t="shared" si="115"/>
        <v>0</v>
      </c>
      <c r="JN54">
        <f t="shared" si="116"/>
        <v>0</v>
      </c>
      <c r="JO54">
        <f t="shared" si="117"/>
        <v>0</v>
      </c>
      <c r="JP54">
        <f t="shared" si="118"/>
        <v>0</v>
      </c>
      <c r="JQ54">
        <f t="shared" si="119"/>
        <v>0</v>
      </c>
      <c r="JR54">
        <v>0</v>
      </c>
      <c r="JS54">
        <f>IFERROR(IF(AND(ISNUMBER($AA54),'King Node Model'!$A$8="Pos",OR($AG54="S",$AG54="R"),N($AB54)&gt;0,N($HP54)&lt;&gt;1,OR(AND($KC54="DOWN",N($AF54)&lt;0,N($AF54)=MIN($AF$9:$AF$55),-N($AF54)&gt;=MAX($AF$9:$AF$55)),AND($KC54="UP",N($AF54)&gt;0,N($AF54)=MAX($AF$9:$AF$55),N($AF54)&gt;=-MIN($AF$9:$AF$55)))),1,0),0)</f>
        <v>0</v>
      </c>
      <c r="JT54">
        <v>0</v>
      </c>
      <c r="JU54">
        <f>IFERROR(IF(AND(N($BG$109)=1,ISNUMBER($AA54),'King Node Model'!$A$8="Pos",N($CZ54)=1,N($AB54)&gt;0),1,0),0)</f>
        <v>0</v>
      </c>
      <c r="JV54" t="str">
        <f t="shared" si="120"/>
        <v>SELL</v>
      </c>
      <c r="JW54">
        <f t="shared" si="121"/>
        <v>0</v>
      </c>
      <c r="JX54">
        <f t="shared" si="122"/>
        <v>0</v>
      </c>
      <c r="JY54">
        <f t="shared" si="123"/>
        <v>0</v>
      </c>
      <c r="JZ54">
        <f t="shared" si="124"/>
        <v>0</v>
      </c>
      <c r="KA54">
        <f t="shared" si="125"/>
        <v>0</v>
      </c>
      <c r="KB54">
        <f t="shared" si="126"/>
        <v>0</v>
      </c>
      <c r="KC54" t="str">
        <f t="shared" si="127"/>
        <v>UP</v>
      </c>
      <c r="KE54" t="str">
        <f t="shared" si="128"/>
        <v>Now: weakening the floor (IV rising) · if IV falls: strengthens the floor · expected on arrival: WEAKENS ✗</v>
      </c>
      <c r="KF54" t="str">
        <f t="shared" si="129"/>
        <v>SELL</v>
      </c>
      <c r="KG54">
        <f t="shared" si="192"/>
        <v>0</v>
      </c>
      <c r="KH54" t="str">
        <f t="shared" si="130"/>
        <v/>
      </c>
      <c r="KI54" t="str">
        <f t="shared" si="131"/>
        <v/>
      </c>
      <c r="KJ54">
        <f t="shared" si="132"/>
        <v>0</v>
      </c>
      <c r="KK54">
        <f t="shared" si="133"/>
        <v>0</v>
      </c>
      <c r="KL54">
        <f t="shared" si="134"/>
        <v>0</v>
      </c>
      <c r="KM54">
        <f t="shared" si="135"/>
        <v>0</v>
      </c>
      <c r="KN54">
        <f t="shared" si="136"/>
        <v>0</v>
      </c>
      <c r="KO54">
        <v>0</v>
      </c>
      <c r="KP54">
        <f t="shared" si="137"/>
        <v>0</v>
      </c>
      <c r="KQ54">
        <f t="shared" si="138"/>
        <v>0</v>
      </c>
      <c r="KR54">
        <f t="shared" si="139"/>
        <v>0</v>
      </c>
      <c r="KS54">
        <f t="shared" si="140"/>
        <v>0</v>
      </c>
      <c r="KT54">
        <f t="shared" si="141"/>
        <v>0</v>
      </c>
      <c r="KU54">
        <f>IF(AND(ISNUMBER($AA54),ISNUMBER($AE54),ISNUMBER($AE53),N($AE54)&lt;&gt;0),($AE54-$AE53)/$AE54,"")</f>
      </c>
      <c r="KV54">
        <f>IF(AND(ISNUMBER($AA54),ISNUMBER($AE54),ISNUMBER($AE55),N($AE54)&lt;&gt;0),($AE54-$AE55)/$AE54,"")</f>
      </c>
      <c r="KW54">
        <f>IFERROR(IF(OR(NOT(ISNUMBER($AA54)),'King Node Model'!$A$8&lt;&gt;"Pos",N($BG$72)=1,ABS(N($AE54))&lt;$BG$113,$FA54="DOM",$AA54='King Node Model'!$T$23,AND(N($BG$116)=1,$AA54='King Node Model'!$F$24),NOT(ISNUMBER($KU54)),NOT(ISNUMBER($KV54))),0,IF(AND($AG54="S",COUNTIF('Master Dashboard'!$AN$16:$AN$18,$AA54)=0,$KU54&gt;=$BG$114,$KU54&gt;=$KV54+$BG$115),1,IF(AND($AG54="R",COUNTIF('Master Dashboard'!$AN$13:$AN$15,$AA54)=0,$KV54&gt;=$BG$114,$KV54&gt;=$KU54+$BG$115),-1,0))),0)</f>
        <v>0</v>
      </c>
      <c r="KX54">
        <f t="shared" si="144"/>
        <v>0</v>
      </c>
      <c r="KY54">
        <f t="shared" si="145"/>
        <v>0</v>
      </c>
      <c r="KZ54">
        <f t="shared" si="146"/>
        <v>0</v>
      </c>
      <c r="LA54">
        <f t="shared" si="147"/>
        <v>0</v>
      </c>
      <c r="LB54">
        <f t="shared" si="148"/>
        <v>0</v>
      </c>
      <c r="LC54">
        <f t="shared" si="149"/>
        <v>0</v>
      </c>
      <c r="LD54">
        <f t="shared" si="150"/>
        <v>0</v>
      </c>
      <c r="LE54">
        <f t="shared" si="151"/>
        <v>0</v>
      </c>
      <c r="LF54">
        <f t="shared" si="152"/>
        <v>0</v>
      </c>
      <c r="LG54" t="str">
        <f t="shared" si="153"/>
        <v/>
      </c>
      <c r="LH54" t="str">
        <f t="shared" si="154"/>
        <v/>
      </c>
      <c r="LI54" t="str">
        <f t="shared" si="155"/>
        <v/>
      </c>
      <c r="LJ54" t="str">
        <f t="shared" si="156"/>
        <v/>
      </c>
      <c r="LK54" t="str">
        <f t="shared" si="157"/>
        <v/>
      </c>
      <c r="LL54">
        <f t="shared" si="158"/>
        <v>0</v>
      </c>
      <c r="LM54">
        <f t="shared" si="159"/>
        <v>0</v>
      </c>
      <c r="LN54">
        <f t="shared" si="160"/>
        <v>0</v>
      </c>
      <c r="LO54">
        <v>0</v>
      </c>
      <c r="LP54">
        <f t="shared" si="161"/>
        <v>0</v>
      </c>
      <c r="LQ54" t="str">
        <f t="shared" si="162"/>
        <v/>
      </c>
      <c r="LR54">
        <f t="shared" si="163"/>
        <v>0</v>
      </c>
      <c r="LS54">
        <f t="shared" si="164"/>
        <v>0</v>
      </c>
      <c r="LT54">
        <f t="shared" si="165"/>
        <v>0</v>
      </c>
      <c r="LU54">
        <f t="shared" si="166"/>
        <v>0</v>
      </c>
      <c r="LV54">
        <f t="shared" si="167"/>
        <v>0</v>
      </c>
      <c r="LW54">
        <f t="shared" si="168"/>
        <v>0</v>
      </c>
      <c r="LX54">
        <f t="shared" si="169"/>
        <v>0</v>
      </c>
      <c r="LY54">
        <f t="shared" si="170"/>
        <v>0</v>
      </c>
      <c r="LZ54">
        <f t="shared" si="171"/>
        <v>0</v>
      </c>
      <c r="MA54">
        <f t="shared" si="172"/>
        <v>0</v>
      </c>
      <c r="MB54">
        <v>0</v>
      </c>
      <c r="MC54">
        <f t="shared" si="173"/>
        <v>1</v>
      </c>
      <c r="MD54">
        <f t="shared" si="174"/>
        <v>1</v>
      </c>
      <c r="ME54">
        <f t="shared" si="175"/>
        <v>0</v>
      </c>
      <c r="MF54">
        <f t="shared" si="176"/>
        <v>0</v>
      </c>
      <c r="MG54">
        <f t="shared" si="177"/>
        <v>0</v>
      </c>
      <c r="MH54">
        <f t="shared" si="178"/>
        <v>0</v>
      </c>
      <c r="MI54" t="str">
        <f t="shared" si="179"/>
        <v/>
      </c>
      <c r="MJ54">
        <f t="shared" si="180"/>
        <v>0</v>
      </c>
      <c r="MK54">
        <f t="shared" si="181"/>
        <v>0</v>
      </c>
      <c r="ML54">
        <f>IF(AND(OR('King Node Model'!$A$8="Neg",N($BG$72)=1),ISNUMBER($AA54),$AG54="R",N($AB54)&lt;0),IF(AND($AA53=$AA54+5,N($AB53)&gt;0,$AA52=$AA54+10,N($AB52)&lt;0),1,IF(AND($AA53=$AA54+5,N($AB53)&gt;0,$AA52=$AA54+10,N($AB52)&gt;0,$AA51=$AA54+15,N($AB51)&lt;0),2,IF(AND($AA53=$AA54+5,N($AB53)&gt;0,$AA52=$AA54+10,N($AB52)&gt;0,$AA51=$AA54+15,N($AB51)&gt;0,$AA50=$AA54+20,N($AB50)&lt;0),3,IF(AND($AA53=$AA54+5,N($AB53)&gt;0,$AA52=$AA54+10,N($AB52)&gt;0,$AA51=$AA54+15,N($AB51)&gt;0,$AA50=$AA54+20,N($AB50)&gt;0,$AA49=$AA54+25,N($AB49)&lt;0),4,0)))),0)</f>
      </c>
      <c r="MM54">
        <f>IF(AND(OR('King Node Model'!$A$8="Neg",N($BG$72)=1),ISNUMBER($AA54),$AG54="S",N($AB54)&lt;0),IF(AND($AA55=$AA54-5,N($AB55)&gt;0,$AA56=$AA54-10,N($AB56)&lt;0),1,IF(AND($AA55=$AA54-5,N($AB55)&gt;0,$AA56=$AA54-10,N($AB56)&gt;0,$AA57=$AA54-15,N($AB57)&lt;0),2,IF(AND($AA55=$AA54-5,N($AB55)&gt;0,$AA56=$AA54-10,N($AB56)&gt;0,$AA57=$AA54-15,N($AB57)&gt;0,$AA58=$AA54-20,N($AB58)&lt;0),3,IF(AND($AA55=$AA54-5,N($AB55)&gt;0,$AA56=$AA54-10,N($AB56)&gt;0,$AA57=$AA54-15,N($AB57)&gt;0,$AA58=$AA54-20,N($AB58)&gt;0,$AA59=$AA54-25,N($AB59)&lt;0),4,0)))),0)</f>
      </c>
      <c r="MN54">
        <f>IF(N($ML54)&gt;0,$AA54,0)</f>
      </c>
      <c r="MO54">
        <f>IF(N($MM54)&gt;0,$AA54,0)</f>
      </c>
      <c r="MP54">
        <f>IF(AND(OR('King Node Model'!$A$8="Neg",N($BG$72)=1),ISNUMBER($BG$155),$AA54=$BG$155,N($NC54)=1),2,IF(AND(OR('King Node Model'!$A$8="Neg",N($BG$72)=1),ISNUMBER($BG$156),$AA54=$BG$156,N($ND54)=1),1,0))</f>
      </c>
      <c r="MQ54">
        <f>IF(ABS(AE54)&lt;=0,0,IF($AG54="R",IF(ISNUMBER(AE53),IF((ABS(AE53)-ABS(AE54))/ABS(AE54)&lt;-0.4,1,0),0),IF(ISNUMBER(AE55),IF((ABS(AE55)-ABS(AE54))/ABS(AE54)&lt;-0.4,1,0),0)))</f>
      </c>
      <c r="MR54">
        <f>IF(OR(N($MQ54)&lt;&gt;1,N($BG$157)&lt;&gt;1,NOT(ISNUMBER($KU54)),NOT(ISNUMBER($KV54))),0,IF(OR(AND($AG54="S",OR(AND($KU54&gt;=$BG$114,$KU54&gt;=$KV54+$BG$115),AND($KU54&gt;1,$KV54&lt;=1,$KV54&gt;=$BG$114))),AND($AG54="R",OR(AND($KV54&gt;=$BG$114,$KV54&gt;=$KU54+$BG$115),AND($KV54&gt;1,$KU54&lt;=1,$KU54&gt;=$BG$114)))),1,0))</f>
      </c>
      <c r="MS54" t="str">
        <f>IF(AND(N($MR54)=1,N($NA54)&lt;&gt;1),"• DEX falls off more sharply "&amp;IF($AG54="S","above (","below (")&amp;TEXT(IF($AG54="S",$KU54,$KV54),"0%")&amp;") than "&amp;IF($AG54="S","below (","above (")&amp;TEXT(IF($AG54="S",$KV54,$KU54),"0%")&amp;") — Dex↓ not counted",IF(N($MW54)=1,"• Shoulder of the "&amp;IF($AG54="R",$AA55,$AA53)&amp;" wall — own DEX "&amp;TEXT($AE54/1000,"+#,##0;-#,##0")&amp;"K is "&amp;TEXT(ABS($AE54)/ABS(IF($AG54="R",$AE55,$AE53)),"0%")&amp;" of "&amp;TEXT(IF($AG54="R",$AE55,$AE53)/1000,"+#,##0;-#,##0")&amp;"K, Dex↓ not counted",""))</f>
      </c>
      <c r="MT54">
        <f>IF(AND(ISNUMBER($AA54),$AG54="S",ISNUMBER($AB54),$AB54=MIN($AB$9:$AB$55),$AA54=$BG$105,$JV54="BUY",ABS(N($AD54))&gt;=$BG$158),1,0)</f>
      </c>
      <c r="MU54" t="str">
        <f>IF(N($MY54)=1,"",IF(OR(N($MT54)=1,AND(OR('King Node Model'!$A$8="Neg",N($BG$72)=1),$AG54="S",ISNUMBER($AB54),$AB54=MIN($AB$9:$AB$55),$AA54=$BG$105)),"• Min GEX + Max Zomma (no reversal flag required) — accelerant warning not applied; zomma acceleration warning only within "&amp;$BG$98&amp;" pts of the level, and not when vanna buying is "&amp;TEXT($BG$158/1000,"0")&amp;"K or more"&amp;CHAR(10)&amp;IF(N($MT54)=1,"• Max Zomma and vanna buying ("&amp;TEXT(N($AD54)/1000,"+#,##0;-#,##0")&amp;"K) make this level safe","• Max Zomma is what makes this level safe"),"")&amp;$NB54&amp;$NI54)</f>
      </c>
      <c r="MV54" t="str">
        <f>IF(AND(ISNUMBER($AA54),OR($AA54=$BG$118,$AA54=$BG$119)),IF(N($AZ54)*IF($AG54="R",1,-1)&gt;0,"✓",IF(N($AZ54)*IF($AG54="R",1,-1)&lt;0,"✗","")),"")</f>
      </c>
      <c r="MW54">
        <f>IF(AND(N($MQ54)=1,N($BG$159)&gt;0,ISNUMBER(IF($AG54="R",$AE55,$AE53)),N(IF($AG54="R",$AE55,$AE53))&lt;&gt;0),IF(ABS(N($AE54))&lt;$BG$159*ABS(IF($AG54="R",$AE55,$AE53)),1,0),0)</f>
      </c>
      <c r="MX54">
        <f>IF(AND(ISNUMBER($AA54),$AA54=$BG$121,$AG54="R",N($AE54)&lt;0,OR(COUNTIF('King Node Model'!$AL$42:$AL$44,$AA54)=0,N($HP54)=1),N($NC54)=1),2,IF(AND(ISNUMBER($AA54),$AA54=$BG$120,$AG54="S",N($AE54)&gt;0,OR(COUNTIF('King Node Model'!$AL$49:$AL$51,$AA54)=0,N($HP54)=1),N($ND54)=1),1,0))</f>
      </c>
      <c r="MY54">
        <f>IF(AND(N($NA54)=1,NOT(AND(AND($AG54="S",ISNUMBER($AB54),$AB54=MIN($AB$9:$AB$55),$AA54=$BG$105),IFERROR(INDEX($AG$9:$AG$55,MATCH('King Node Model'!$B$23,$AA$9:$AA$55,0)),"")="R")),N($AV54)&lt;&gt;1),1,0)</f>
      </c>
      <c r="MZ54" t="str">
        <f>IF(N($MY54)&lt;&gt;1,"","• DEX falls off more sharply "&amp;IF($AG54="S","above (","below (")&amp;TEXT(IF($AG54="S",$KU54,$KV54),"0%")&amp;") than "&amp;IF($AG54="S","below (","above (")&amp;TEXT(IF($AG54="S",$KV54,$KU54),"0%")&amp;") — path of least resistance "&amp;IF($AG54="S","down","up")&amp;IF(N($AZ54)*IF($AG54="R",1,-1)&lt;0,CHAR(10)&amp;"• Speed against — GEX gets more negative as price "&amp;IF($AG54="R","rises","falls")&amp;" into it (speed "&amp;TEXT(N($AZ54),"#,##0;−#,##0")&amp;")","")&amp;IF(OR(N($NG54)=1,N($JC54)=1),CHAR(10)&amp;"• "&amp;IF(N($JC54)=1,"DOM with vanna BUY "&amp;TEXT(N($AD54)/1000,"+#,##0;−#,##0")&amp;"K","Put wall + Max Zomma + DOM")&amp;" backs the level, but it does not outweigh DEX"&amp;IF(N($AZ54)*IF($AG54="R",1,-1)&lt;0," and speed",""),IF(AND($AG54="S",ISNUMBER($AB54),$AB54=MIN($AB$9:$AB$55),$AA54=$BG$105),CHAR(10)&amp;"• Min GEX + Max Zomma backs the level, but it does not outweigh DEX"&amp;IF(N($AZ54)*IF($AG54="R",1,-1)&lt;0," and speed",""),IF(OR(N($JI54)=1,AND(N($GV54)=1,N($JK54)&lt;&gt;1,N($IW54)&lt;&gt;1),N($JC54)=1,AND($AA54='King Node Model'!$F$24,N($JN54)&lt;&gt;1,OR($AG54="R",AND($AG54="S",$F$4="High",IF($BG$80&lt;&gt;"",UPPER($BG$80),$D$5)="UP")))),CHAR(10)&amp;"• Vanna "&amp;IF($AG54="S","BUY ","SELL ")&amp;TEXT(N($AD54)/1000,"+#,##0;−#,##0")&amp;"K backs the level, but it does not outweigh DEX"&amp;IF(N($AZ54)*IF($AG54="R",1,-1)&lt;0," and speed",""),"")))&amp;IF(N($NE54)=1,CHAR(10)&amp;"• Buy-lean max-node exemption not applied — DEX leans against the level",""))</f>
      </c>
      <c r="NA54">
        <f>IF(AND(OR('King Node Model'!$A$8="Neg",N($BG$72)=1),ISNUMBER($AA54),ABS(N($AE54))&gt;=$BG$152,ISNUMBER($KU54),ISNUMBER($KV54)),IF(OR(AND($AG54="S",OR(AND($KU54&gt;=$BG$114,$KU54&gt;=$KV54+$BG$115),AND($KU54&gt;1,$KV54&lt;=1,$KV54&gt;=$BG$114))),AND($AG54="R",OR(AND($KV54&gt;=$BG$114,$KV54&gt;=$KU54+$BG$115),AND($KV54&gt;1,$KU54&lt;=1,$KU54&gt;=$BG$114)))),1,0),0)</f>
      </c>
      <c r="NB54" t="str">
        <f>IF(AND(N($NA54)=1,AND(AND($AG54="S",ISNUMBER($AB54),$AB54=MIN($AB$9:$AB$55),$AA54=$BG$105),IFERROR(INDEX($AG$9:$AG$55,MATCH('King Node Model'!$B$23,$AA$9:$AA$55,0)),"")="R")),CHAR(10)&amp;"• DEX falls off more sharply above ("&amp;TEXT($KU54,"0%")&amp;") than below ("&amp;TEXT($KV54,"0%")&amp;") — DEX-lean warning not applied: Min GEX + Max Zomma support with Max Gamma "&amp;'King Node Model'!$B$23&amp;" above (Dex↓ not counted)",IF(AND(OR(N($NA54)=1,N($NF54)=1),N($AV54)=1),IF(AND(OR('King Node Model'!$A$8="Neg",N($BG$72)=1),$AG54="S",ISNUMBER($AB54),$AB54=MIN($AB$9:$AB$55),$AA54=$BG$105),CHAR(10),"")&amp;"• DEX falls off more sharply "&amp;IF($AG54="S","above (","below (")&amp;TEXT(IF($AG54="S",$KU54,$KV54),"0%")&amp;") than "&amp;IF($AG54="S","below (","above (")&amp;TEXT(IF($AG54="S",$KV54,$KU54),"0%")&amp;") — DEX lean does not apply to iDex (isolated DEX)",""))</f>
      </c>
      <c r="NC54">
        <f>IF(OR($BG$163=1,AND($BG$161&gt;0,$BG$162&lt;99999,ISNUMBER($AA54),$AA54&lt;$BG$162)),1,0)</f>
      </c>
      <c r="ND54">
        <f>IF(OR($BG$163=-1,AND($BG$161&gt;0,$BG$162&lt;99999,ISNUMBER($AA54),$AA54&gt;$BG$161)),1,0)</f>
      </c>
      <c r="NE54">
        <f>IF(AND(OR('King Node Model'!$A$8="Neg",N($BG$72)=1),ISNUMBER(SEARCH("LOW",'Master Dashboard'!$M$5)),ISNUMBER(SEARCH("BUY",'Master Dashboard'!$G$8)),'King Node Model'!$T$23='King Node Model'!$B$23,OR($AA54='King Node Model'!$T$23,AND($AG54="R",$AA54='King Node Model'!$T$23+5)),OR(AND($AG54="S",$JV54="BUY"),AND($AG54="R",$JV54="SELL"))),1,0)</f>
      </c>
      <c r="NF54">
        <f>IFERROR(IF(OR(NOT(ISNUMBER($AA54)),'King Node Model'!$A$8&lt;&gt;"Pos",N($BG$72)=1,ABS(N($AE54))&lt;$BG$113,$FA54="DOM",$AA54='King Node Model'!$T$23,AND(N($BG$116)=1,$AA54='King Node Model'!$F$24),NOT(ISNUMBER($KU54)),NOT(ISNUMBER($KV54))),0,IF(AND($AG54="S",COUNTIF('Master Dashboard'!$AN$16:$AN$18,$AA54)=0,$KU54&gt;=$BG$114,$KU54&gt;=$KV54+$BG$115,NOT(AND(N($AN55)=1,N($KV54)&lt;0)),N($AE54)&lt;=0),1,IF(AND($AG54="R",COUNTIF('Master Dashboard'!$AN$13:$AN$15,$AA54)=0,$KV54&gt;=$BG$114,$KV54&gt;=$KU54+$BG$115,NOT(AND(N($AN53)=1,N($KU54)&lt;0))),-1,0))),0)</f>
      </c>
      <c r="NG54">
        <f t="shared" si="202"/>
      </c>
      <c r="NI54" t="str">
        <f>IF(AND(ISNUMBER($BG$165),ISNUMBER($AA54)),IF(OR(AND($AG54="S",$AA54&gt;$BG$165,$AA54-$BG$165&lt;=5),AND($AG54="R",$AA54&lt;$BG$165,$BG$165-$AA54&lt;=5)),IF(OR(AND(OR('King Node Model'!$A$8="Neg",N($BG$72)=1),$AG54="S",ISNUMBER($AB54),$AB54=MIN($AB$9:$AB$55),$AA54=$BG$105),$NB54&lt;&gt;""),CHAR(10),"")&amp;"• DOM forming at "&amp;$BG$165&amp;" (gamma "&amp;TEXT($BG$166,"0%")&amp;" of max) — price may be pulled to the node",""),"")</f>
      </c>
      <c r="NJ54">
        <f>IF(LEN($NI54)&gt;0,1,0)</f>
      </c>
    </row>
    <row r="55" spans="27:349" ht="15" customHeight="1" x14ac:dyDescent="0.25">
      <c r="AA55" s="181">
        <f>'King Node Model'!A75</f>
        <v>7655</v>
      </c>
      <c r="AB55" s="276">
        <f>'King Node Model'!C75</f>
        <v>-21948</v>
      </c>
      <c r="AC55" s="181">
        <f>ABS('King Node Model'!B75)</f>
        <v>24654</v>
      </c>
      <c r="AD55" s="276">
        <f>'King Node Model'!F75</f>
        <v>105490</v>
      </c>
      <c r="AE55" s="276">
        <f>'King Node Model'!E75</f>
        <v>39429</v>
      </c>
      <c r="AF55" s="276">
        <f>'King Node Model'!D75</f>
        <v>-337744</v>
      </c>
      <c r="AG55" s="181" t="str">
        <f t="shared" si="6"/>
        <v>S</v>
      </c>
      <c r="AH55" s="181">
        <f t="shared" si="7"/>
        <v>25</v>
      </c>
      <c r="AI55" s="181" t="str">
        <f t="shared" si="8"/>
        <v>SELL</v>
      </c>
      <c r="AJ55" s="181">
        <f t="shared" si="9"/>
        <v>0</v>
      </c>
      <c r="AK55" s="181">
        <f>IF(ABS(N($AE55))&gt;=$BG$85,1,0)</f>
      </c>
      <c r="AL55" s="181">
        <f t="shared" si="10"/>
        <v>0</v>
      </c>
      <c r="AM55" s="181">
        <f t="shared" si="11"/>
        <v>0</v>
      </c>
      <c r="AN55" s="181">
        <f t="shared" si="12"/>
        <v>0</v>
      </c>
      <c r="AO55" s="1" t="str">
        <f t="shared" si="13"/>
        <v/>
      </c>
      <c r="AP55" s="1">
        <f t="shared" si="14"/>
        <v>39429</v>
      </c>
      <c r="AQ55" s="1">
        <f t="shared" si="15"/>
        <v>337744</v>
      </c>
      <c r="AR55" s="181">
        <f t="shared" si="16"/>
        <v>4.410929996122053E-3</v>
      </c>
      <c r="AS55" s="181">
        <f t="shared" si="17"/>
        <v>20</v>
      </c>
      <c r="AT55" s="181" t="str">
        <f t="shared" si="18"/>
        <v/>
      </c>
      <c r="AU55" s="181" t="str">
        <f t="shared" si="19"/>
        <v/>
      </c>
      <c r="AV55" s="218">
        <f>IF(AE55=0,0,IF(AND(AG55="S",AE55&gt;0,AE54&lt;0,ABS(AE55)&gt;=$BG$152),1,IF(AND(AG55="R",AE55&lt;0,AE54&gt;0,ABS(AE55)&gt;=$BG$152),1,0)))</f>
        <v>0</v>
      </c>
      <c r="AW55" s="181">
        <f>ABS('King Node Model'!G75)</f>
        <v>57</v>
      </c>
      <c r="AX55" s="181">
        <f t="shared" si="20"/>
        <v>0</v>
      </c>
      <c r="AY55" s="181">
        <f t="shared" si="21"/>
        <v>0</v>
      </c>
      <c r="AZ55" s="276">
        <f>'King Node Model'!I75</f>
        <v>271</v>
      </c>
      <c r="BA55" s="181">
        <f t="shared" si="22"/>
        <v>0</v>
      </c>
      <c r="BB55" s="181" t="str">
        <f t="shared" si="23"/>
        <v>S20</v>
      </c>
      <c r="BC55" s="10">
        <f>'King Node Model'!C75</f>
        <v>-21948</v>
      </c>
      <c r="BD55" s="218">
        <f>0</f>
        <v>0</v>
      </c>
      <c r="BE55" s="218">
        <f>0</f>
        <v>0</v>
      </c>
      <c r="BF55" t="s">
        <v>2049</v>
      </c>
      <c r="BG55">
        <v>0.5</v>
      </c>
      <c r="BI55" s="218">
        <f>IF(AD55=0,0,IF(IFERROR(AND(ABS(AA55-$B$4)&gt;$BG$56,ABS(AD55)&lt;$BG$55*$BG$57),FALSE),0,IF(AND(OR(AND(AD55&gt;0,AD54&lt;0),AND(AD55&lt;0,AD54&gt;0)),ABS(AD55)&gt;ABS(AD54)*0.1,OR(AND(AG55="R",JV55="SELL"),AND(AG55="S",JV55="BUY"))),1,0)))</f>
        <v>0</v>
      </c>
      <c r="BJ55" s="218">
        <f>IF(AZ55=0,0,IF(AND(AG55="S",AZ55&gt;0,AZ54&lt;0,ABS(AZ55)&gt;ABS(AZ54)*0.1),1,IF(AND(AG55="R",AZ55&lt;0,AZ54&gt;0,ABS(AZ55)&gt;ABS(AZ54)*0.1),1,0)))</f>
        <v>0</v>
      </c>
      <c r="BK55" s="218">
        <f t="shared" si="24"/>
        <v>0</v>
      </c>
      <c r="BL55" s="10">
        <f>'King Node Model'!H75</f>
        <v>3</v>
      </c>
      <c r="BM55" s="218">
        <f t="shared" si="25"/>
        <v>47</v>
      </c>
      <c r="BN55" s="218">
        <f t="shared" si="26"/>
        <v>43</v>
      </c>
      <c r="BO55" s="218">
        <f t="shared" si="27"/>
        <v>0</v>
      </c>
      <c r="BP55" s="218">
        <f t="shared" si="28"/>
        <v>0</v>
      </c>
      <c r="BQ55" t="str">
        <f t="shared" si="29"/>
        <v/>
      </c>
      <c r="BR55" t="str">
        <f t="shared" si="30"/>
        <v/>
      </c>
      <c r="BS55" s="218">
        <f t="shared" si="31"/>
        <v>0</v>
      </c>
      <c r="BT55" t="str">
        <f t="shared" si="32"/>
        <v/>
      </c>
      <c r="BU55" t="str">
        <f t="shared" si="33"/>
        <v/>
      </c>
      <c r="BV55" s="218">
        <f t="shared" si="34"/>
        <v>105490</v>
      </c>
      <c r="BW55" s="218">
        <f t="shared" si="35"/>
        <v>39429</v>
      </c>
      <c r="BX55" s="218">
        <f>IF(AND(ISNUMBER(BC55),BC55&gt;=$BG$160,OR('King Node Model'!$A$8="Neg",N($BG$72)=1)),1,0)</f>
        <v>0</v>
      </c>
      <c r="BY55" s="218">
        <f>0</f>
        <v>0</v>
      </c>
      <c r="BZ55" s="218">
        <f t="shared" si="37"/>
        <v>0</v>
      </c>
      <c r="CA55" t="str">
        <f t="shared" si="38"/>
        <v/>
      </c>
      <c r="CB55" s="218">
        <f>IF(AND(ISNUMBER('King Node Model'!$D$27),AG55&lt;&gt;"",AA55='King Node Model'!$D$27),1,0)</f>
        <v>0</v>
      </c>
      <c r="CC55" s="218">
        <f>IF(OR('King Node Model'!$A$8="Neg",N($BG$72)=1),$BG$14*IF(ISNUMBER('King Node Model'!$D$26),MAX(0,1-ABS(AA55-'King Node Model'!$D$26)/$BG$18),0)+$BG$15*IFERROR(BV55/MAX($BV$9:$BV$55),0)+$BG$16*IFERROR(BW55/MAX($BW$9:$BW$55),0)+$BG$17*IFERROR(AC55/$S$11,0)*MAX(0,1+$BG$21*CF55),AR55)</f>
        <v>4.3833395651386449E-2</v>
      </c>
      <c r="CD55" s="218">
        <f>IF(OR('King Node Model'!$A$8="Neg",N($BG$72)=1),IF(AND(AG55&lt;&gt;"",ABS(AA55-$B$4)&lt;=$BG$7,OR(AX55=0,$D$5&lt;&gt;"UP"),AY55=0,BK55&lt;&gt;1,CI55=0,AM55&gt;=$BG$20,AC55&gt;$BG$19),1,0),IF(AND(BS55=1,(COUNTIF($W$9:$W$14,AA55)+COUNTIF($W$18:$W$23,AA55))&gt;0,CI55=0,AM55&gt;=$BG$20,AC55&gt;$BG$19),1,0))</f>
        <v>0</v>
      </c>
      <c r="CE55" t="str">
        <f t="shared" si="39"/>
        <v/>
      </c>
      <c r="CF55" s="218">
        <f t="shared" si="40"/>
        <v>0</v>
      </c>
      <c r="CG55" t="str">
        <f t="shared" si="41"/>
        <v/>
      </c>
      <c r="CH55" t="str">
        <f t="shared" si="42"/>
        <v>Dormant</v>
      </c>
      <c r="CI55" s="218">
        <f t="shared" si="43"/>
        <v>0</v>
      </c>
      <c r="CJ55" s="218">
        <f t="shared" si="44"/>
        <v>387420489</v>
      </c>
      <c r="CK55" s="218">
        <f t="shared" si="45"/>
        <v>0</v>
      </c>
      <c r="CL55" s="218">
        <f t="shared" si="46"/>
        <v>0</v>
      </c>
      <c r="CR55" t="s">
        <v>1514</v>
      </c>
      <c r="CS55">
        <f>COUNTIF($W$9:$W$14,$CS$40)</f>
        <v>0</v>
      </c>
      <c r="CU55" s="218">
        <f>IF(AND(AND('King Node Model'!$A$8&lt;&gt;"Neg",N($BG$72)&lt;&gt;1),SUMPRODUCT(($AG$9:$AG$55="S")*ISNUMBER($AT$9:$AT$55)*ISNUMBER($AU$9:$AU$55)*($AT$9:$AT$55&lt;&gt;$AU$9:$AU$55)*($AT$9:$AT$55&lt;=$AA55)*($AU$9:$AU$55&gt;=$AA55))&gt;0),0,IF(AND(OR($AA55='King Node Model'!$T$22,$AA55='King Node Model'!$F$24),$AG55="R",COUNTIF($W$9:$W$14,$AA55)&gt;0),1,IF(AND($FN55=1,$EU55&lt;&gt;1,$EM55&lt;&gt;1,$BK55&lt;&gt;1,$DH55&lt;&gt;1,$AG55="R",COUNTIF($W$9:$W$14,$AA55)&gt;0),1,IF($EU55=1,0,IF($EM55=1,0,IF(AND(OR($EE55=1,$GV55=1,AND($EL$7=1,$AA55='King Node Model'!$D$26,$EI55=1),AND(OR($AA55='King Node Model'!$T$22,$AA55='King Node Model'!$T$23),$AN55=1,OR($AX55=0,$D$5&lt;&gt;"UP"))),OR(NOT(OR('King Node Model'!$A$8="Neg",N($BG$72)=1)),$GV55=1,AND(OR($AA55='King Node Model'!$T$22,$AA55='King Node Model'!$T$23),$AN55=1,OR($AX55=0,$D$5&lt;&gt;"UP")),AND($AM55&gt;=$BG$20,$AC55&gt;IF($CZ55=1,$BG$48,$BG$19)))),1,IF($DH55=1,0,IF(AND($DC55=1,$GS55&lt;&gt;1,AND('King Node Model'!$A$8&lt;&gt;"Neg",N($BG$72)&lt;&gt;1)),0,IF(AND($EY55=1,NOT(OR('King Node Model'!$A$8="Neg",$BG$72=1)),$AA55&lt;&gt;'King Node Model'!$B$23),0,IF(AND($GS55=1,$AG55="R",OR($CI55=0,$EE55=1,$EX55=1,$GV55=1),COUNTIF($W$9:$W$14,$AA55)&gt;0,ABS($AA55-$B$4)&lt;=$BG$7,$BK55&lt;&gt;1,$AM55&gt;=$BG$20,$AC55&gt;IF($CZ55=1,$BG$48,$BG$19)),1,IF(OR('King Node Model'!$A$8="Neg",N($BG$72)=1),IF(AND(OR($AM55&gt;=$BG$20,$AA55='King Node Model'!$D$26,$GV55=1),$AG55="R",COUNTIF($W$9:$W$14,$AA55)&gt;0,ABS($AA55-$B$4)&lt;=$BG$7,OR($AX55=0,$D$5&lt;&gt;"UP"),$BK55&lt;&gt;1,OR(OR($CI55=0,$AJ55=1),AND($EI55=1,$LA55=1,COUNTIF($W$9:$W$11,$AA55)&gt;0,$AN55=1,OR($AX55=0,$D$5&lt;&gt;"UP"))),$AM55&gt;=$BG$20,$AC55&gt;IF($CZ55=1,$BG$48,$BG$19),OR($AN55=1,N($LR55)=1,$AA55='King Node Model'!$D$26,AND($BY55=1,$AA55&gt;$B$4),$BX55=1,$CF55=1,$CF55=1,AND(OR($AA55=$CP$4,$AA55=$CP$5,$AA55=$CP$6,$AA55=$CP$7),ABS($AA55-$B$4)&lt;=30),AND($AX55=1,$D$5="DOWN"))),1,0),IF(AND(OR($AM55&gt;=3,$AA55='King Node Model'!$D$26,$GV55=1),$AG55="R",COUNTIF($W$9:$W$14,$AA55)&gt;0,ABS($AA55-$B$4)&lt;=$BG$7,OR($AX55=0,$D$5&lt;&gt;"UP"),$BK55&lt;&gt;1,OR($CI55=0,$AJ55=1),$AM55&gt;=$BG$20,$AC55&gt;IF($CZ55=1,$BG$48,$BG$19),OR($AC55&gt;=MAX($AC$9:$AC$55),$BC55&gt;0,$AA55='King Node Model'!$D$26,AND(OR($AA55=$CP$4,$AA55=$CP$5,$AA55=$CP$6,$AA55=$CP$7),ABS($AA55-$B$4)&lt;=30),$CF55=1,$AN55=1,AND($AX55=1,$D$5="DOWN"))),1,0))))))))))))</f>
        <v>0</v>
      </c>
      <c r="CV55" s="218">
        <f>IF(AND(OR('King Node Model'!$A$8="Neg",N($BG$72)=1),$AG55="S",N($LR55)=1,N($MB55)=1),1,IF(AND(AND('King Node Model'!$A$8&lt;&gt;"Neg",N($BG$72)&lt;&gt;1),SUMPRODUCT(($AG$9:$AG$55="R")*ISNUMBER($AT$9:$AT$55)*ISNUMBER($AU$9:$AU$55)*($AT$9:$AT$55&lt;&gt;$AU$9:$AU$55)*($AT$9:$AT$55&lt;=$AA55)*($AU$9:$AU$55&gt;=$AA55))&gt;0,NOT(AND(N($LC55)=1,$AA55='King Node Model'!$B$23))),0,IF(AND($AA55='King Node Model'!$F$24,$AG55="S",COUNTIF($W$18:$W$23,$AA55)&gt;0),1,IF(AND($FN55=1,$EU55&lt;&gt;1,$EM55&lt;&gt;1,$DH55&lt;&gt;1,$AG55="S",COUNTIF($W$18:$W$23,$AA55)&gt;0),1,IF($EU55=1,0,IF(AND(OR($EF55=1,$GV55=1,AND(OR($AA55='King Node Model'!$T$22,$AA55='King Node Model'!$T$23,AND($AG55="S",COUNTIF('Master Dashboard'!$AN$16:$AN$18,$AA55)&gt;0)),$AN55=1,OR($AX55=0,$D$5&lt;&gt;"UP"))),OR(NOT(OR('King Node Model'!$A$8="Neg",N($BG$72)=1)),$GV55=1,AND(OR($AA55='King Node Model'!$T$22,$AA55='King Node Model'!$T$23,AND($AG55="S",COUNTIF('Master Dashboard'!$AN$16:$AN$18,$AA55)&gt;0)),$AN55=1,OR($AX55=0,$D$5&lt;&gt;"UP")),AND($AM55&gt;=$BG$20,$AC55&gt;IF($CZ55=1,$BG$48,$BG$19)))),1,IF($DH55=1,0,IF(AND($DC55=1,$GS55&lt;&gt;1,AND('King Node Model'!$A$8&lt;&gt;"Neg",N($BG$72)&lt;&gt;1)),0,IF(AND($EY55=1,NOT(OR('King Node Model'!$A$8="Neg",$BG$72=1)),$AA55&lt;&gt;'King Node Model'!$B$23,COUNTIF('Master Dashboard'!$AN$16:$AN$18,$AA55)=0),0,IF(AND($GS55=1,$AG55="S",OR($CI55=0,$EF55=1,$EX55=1,$GV55=1),COUNTIF($W$18:$W$23,$AA55)&gt;0,ABS($AA55-$B$4)&lt;=$BG$7,$BK55&lt;&gt;1,$AM55&gt;=$BG$20,$AC55&gt;IF($CZ55=1,$BG$48,$BG$19)),1,IF(OR('King Node Model'!$A$8="Neg",N($BG$72)=1),IF(AND(OR(OR($AM55&gt;=$BG$20,N($LR55)=1),$AA55='King Node Model'!$D$26,$GV55=1),$AG55="S",COUNTIF($W$18:$W$23,$AA55)&gt;0,ABS($AA55-$B$4)&lt;=$BG$7,OR($AX55=0,$D$5&lt;&gt;"UP"),$BK55&lt;&gt;1,OR($CI55=0,$AJ55=1,AND(N($LR55)=1,N($MB55)=1),N($MT55)=1),OR($AM55&gt;=$BG$20,N($LR55)=1),$AC55&gt;IF($CZ55=1,$BG$48,$BG$19),OR($AB55&gt;0,$AN55=1,N($MT55)=1,N($LR55)=1,$AA55='King Node Model'!$D$26,AND($BY55=1,$AA55&lt;$B$4),$BX55=1,$CF55=1,$CF55=1,AND(OR($AA55=$CP$4,$AA55=$CP$5,$AA55=$CP$6,$AA55=$CP$7),ABS($AA55-$B$4)&lt;=30),AND($AX55=1,$D$5="DOWN"))),1,0),IF(AND(OR($AM55&gt;=3,$AA55='King Node Model'!$D$26,$GV55=1),$AG55="S",COUNTIF($W$18:$W$23,$AA55)&gt;0,ABS($AA55-$B$4)&lt;=$BG$7,OR($AX55=0,$D$5&lt;&gt;"UP"),$BK55&lt;&gt;1,OR($CI55=0,$AJ55=1,AND(N($LR55)=1,N($MB55)=1),N($MT55)=1),$AM55&gt;=$BG$20,$AC55&gt;IF($CZ55=1,$BG$48,$BG$19),OR($AC55&gt;=MAX($AC$9:$AC$55),$BC55&gt;0,N($MT55)=1,$AA55='King Node Model'!$D$26,AND(OR($AA55=$CP$4,$AA55=$CP$5,$AA55=$CP$6,$AA55=$CP$7),ABS($AA55-$B$4)&lt;=30),$CF55=1,$AN55=1,AND($AX55=1,$D$5="DOWN"))),1,0))))))))))))</f>
        <v>0</v>
      </c>
      <c r="CX55" s="218">
        <f t="shared" si="48"/>
        <v>0</v>
      </c>
      <c r="CY55" t="str">
        <f t="shared" si="49"/>
        <v/>
      </c>
      <c r="CZ55" s="218">
        <f t="shared" si="50"/>
        <v>0</v>
      </c>
      <c r="DA55" t="str">
        <f t="shared" si="51"/>
        <v/>
      </c>
      <c r="DB55" t="str">
        <f t="shared" si="52"/>
        <v/>
      </c>
      <c r="DC55" s="218">
        <f t="shared" si="53"/>
        <v>0</v>
      </c>
      <c r="DD55" s="218">
        <f t="shared" si="54"/>
        <v>0</v>
      </c>
      <c r="DE55" s="218">
        <f t="shared" si="55"/>
        <v>0</v>
      </c>
      <c r="DF55" t="str">
        <f t="shared" si="56"/>
        <v/>
      </c>
      <c r="DG55" t="str">
        <f t="shared" si="57"/>
        <v/>
      </c>
      <c r="DH55" s="218">
        <f t="shared" si="58"/>
        <v>0</v>
      </c>
      <c r="DI55">
        <v>1</v>
      </c>
      <c r="DJ55">
        <v>1</v>
      </c>
      <c r="DK55">
        <v>689569</v>
      </c>
      <c r="DL55">
        <v>0</v>
      </c>
      <c r="DM55" t="str">
        <f>IF(AND($CV55=1,$AG55="S"),IF(AND(OR('King Node Model'!$A$8="Neg",N($BG$72)=1),'King Node Model'!$S$52=""),IF(OR(N($AN55)=1,N($LR55)=1,$AB55&gt;0,$AJ55=1,N($JO55)=1,AND(NOT($AE55&gt;0),NOT(IFERROR(AND(ISNUMBER($BC55),ISNUMBER($BC54),($BC55&gt;=0)&lt;&gt;($BC54&gt;=0)),FALSE())),OR(AND($BM55&lt;=6,$BN55&lt;=6),ABS($AA55-'King Node Model'!$T$23)&lt;=5,$LA55=1))),1,0),1),"")</f>
        <v/>
      </c>
      <c r="DN55" t="str">
        <f t="shared" si="59"/>
        <v/>
      </c>
      <c r="DO55" t="str">
        <f t="shared" si="60"/>
        <v>W-list</v>
      </c>
      <c r="DP55" t="str">
        <f>IF(AND(OR('King Node Model'!$A$8="Neg",N($BG$72)=1),$AG55="S",ISNUMBER($AT55),ISNUMBER($AU55),$AT55&lt;&gt;$AU55,$AA55=$AT55),IF(AND(SUMPRODUCT(($AA$9:$AA$55&gt;=$AT55)*($AA$9:$AA$55&lt;=$AU55)*($AB$9:$AB$55&gt;0))&gt;0,SUMPRODUCT(($AA$9:$AA$55&gt;=$AT55)*($AA$9:$AA$55&lt;=$AU55)*($DM$9:$DM$55=1))&gt;0,SUMPRODUCT(($AA$9:$AA$55&gt;=$AT55)*($AA$9:$AA$55&lt;=$AU55)*(COUNTIF($W$18:$W$20,$AA$9:$AA$55)&gt;0))&gt;0),1,0),"")</f>
        <v/>
      </c>
      <c r="DS55">
        <v>0</v>
      </c>
      <c r="DT55">
        <v>0</v>
      </c>
      <c r="DU55" t="str">
        <f>IF('King Node Model'!$A$8&lt;&gt;"Pos","",IF(OR($AA55="",NOT(ISNUMBER($AA55)),ABS($AA55-$B$4)&gt;$BG$7),"",TEXT($AA55,"0")&amp;" | "&amp;IF($AG55="","unclassified",IF($AG55&lt;&gt;IF($AA55&gt;$B$4,"R","S"),"orphan: in "&amp;$AG55&amp;"-list, "&amp;IF($AA55&lt;$B$4,"below","above")&amp;" spot",IF(IF($AG55="R",COUNTIF($W$9:$W$14,$AA55),COUNTIF($W$18:$W$23,$AA55))=0,"not in "&amp;$AG55&amp;"-list",IF($DH55=1,"absorbed into shelf box",IF($BK55=1,"absorbed: adjacent reversal",IF($CI55=1,"accel-accelerant",IF($AC55&lt;=$BG$19,"below gamma-floor",IF($AM55&lt;$BG$20,"confluence "&amp;TEXT($AM55,"0")&amp;" &lt; "&amp;TEXT($BG$20,"0"),IF(AND($AX55=1,$D$5="UP"),"accelerant in up-move",IF(NOT(OR($AC55&gt;=MAX($AC$9:$AC$55),$BC55&gt;0,$AA55='King Node Model'!$D$26,AND(OR($AA55=$CP$4,$AA55=$CP$5,$AA55=$CP$6,$AA55=$CP$7),ABS($AA55-$B$4)&lt;=30),ISNUMBER(SEARCH("STRENGTHENING",$CG55)),$AN55=1,AND($AX55=1,$D$5="DOWN"))),"no surface flag","-&gt; qualifies"))))))))))))</f>
        <v/>
      </c>
      <c r="DV55" s="218">
        <f t="shared" si="61"/>
        <v>99999</v>
      </c>
      <c r="DW55" s="218">
        <f t="shared" si="62"/>
        <v>99999</v>
      </c>
      <c r="DX55" t="str">
        <f>IF('King Node Model'!$A$8&lt;&gt;"Pos","",IF(AND($DV55&lt;99999,$DV55=MIN($DV$9:$DV$55),$DG55&gt;$AA55),"R-box: "&amp;TEXT($AA55,"0")&amp;"-"&amp;TEXT($DG55,"0"),IF(AND($DW55&lt;99999,$DW55=MIN($DW$9:$DW$55),$DF55&lt;$AA55),"S-box: "&amp;TEXT($DF55,"0")&amp;"-"&amp;TEXT($AA55,"0"),"")))</f>
        <v/>
      </c>
      <c r="EB55">
        <f t="shared" si="63"/>
        <v>120.39000000000033</v>
      </c>
      <c r="EC55">
        <f t="shared" si="64"/>
        <v>538591</v>
      </c>
      <c r="ED55">
        <f t="shared" si="65"/>
        <v>0</v>
      </c>
      <c r="EE55">
        <f>IF(AND(OR('King Node Model'!$A$8="Neg",N($BG$72)=1),$AG55="R",ISNUMBER($EB55),$EB55&lt;=$BG$7,$AB55&gt;0,$EC55&gt;0,$AB55=$EC55),1,0)</f>
        <v>0</v>
      </c>
      <c r="EF55">
        <f>IF(AND(OR('King Node Model'!$A$8="Neg",N($BG$72)=1),$AG55="S",ISNUMBER($EB55),$EB55&lt;=$BG$7,$AB55&gt;0,$ED55&gt;0,$AB55=$ED55),1,0)</f>
        <v>0</v>
      </c>
      <c r="EI55">
        <v>1</v>
      </c>
      <c r="EJ55">
        <f>IF($AA55="",0,IF(SUMPRODUCT(($AA$9:$AA$55&gt;=$AT55)*($AA$9:$AA$55&lt;=$AU55)*($DT$9:$DT$55=1))+SUMPRODUCT(($DT$9:$DT$55=1)*($AT$9:$AT$55&lt;=$AA55)*($AU$9:$AU$55&gt;=$AA55))+($DT55=1)+AND(OR('King Node Model'!$A$8="Neg",N($BG$72)=1),ISNUMBER(SEARCH("LOW",'Master Dashboard'!$M$5)),ISNUMBER(SEARCH("BUY",'Master Dashboard'!$G$8)),'King Node Model'!$T$23='King Node Model'!$B$23,$AA55&gt;='King Node Model'!$T$23,$AA55&lt;='King Node Model'!$T$23+5)*1&gt;0,1,0))</f>
        <v>0</v>
      </c>
      <c r="EM55">
        <f t="shared" si="66"/>
        <v>0</v>
      </c>
      <c r="EN55">
        <v>0</v>
      </c>
      <c r="EO55">
        <f t="shared" si="67"/>
        <v>0</v>
      </c>
      <c r="EP55">
        <f t="shared" si="68"/>
        <v>0</v>
      </c>
      <c r="EQ55" t="str">
        <f t="shared" si="69"/>
        <v>thinning the floor (magnitude weak)</v>
      </c>
      <c r="ES55" t="str">
        <f>IF(AND(ISNUMBER(AA55),ISNUMBER(AF55),ABS(AA55-'King Node Model'!$B$4)&lt;=$BG$7),ABS(AF55),"")</f>
        <v/>
      </c>
      <c r="ET55">
        <v>0</v>
      </c>
      <c r="EU55" s="218">
        <f>0</f>
        <v>0</v>
      </c>
      <c r="EW55">
        <f>IF(OR(N($MY55)=1,N($JM55)=1),0,N($NE55))</f>
        <v>0</v>
      </c>
      <c r="EX55">
        <f>IF(AND(OR('King Node Model'!$A$8="Neg",N($BG$72)=1),ISNUMBER($AA55),OR(AND($AA55='King Node Model'!$F$24,OR(AND($AG55="S",$F$4="High",IF($BG$80&lt;&gt;"",UPPER($BG$80),$D$5)="DOWN"),AND($AG55="R",$F$4="Low",IF($BG$80&lt;&gt;"",UPPER($BG$80),$D$5)="UP"))),$GV55=1)),1,0)</f>
        <v>0</v>
      </c>
      <c r="EY55">
        <f>IFERROR(IF(AND($DC55=1,$AB55&lt;0,$AC55&gt;=(1+$FA$6)*INDEX($AC$9:$AC$55,47-1),$AC55&gt;=(1+$FA$6)*INDEX($AC$9:$AC$55,47+1),$AC55&gt;=IFERROR(INDEX($AC$9:$AC$55,47-2),0),$AC55&gt;=IFERROR(INDEX($AC$9:$AC$55,47+2),0)),1,0),0)</f>
        <v>0</v>
      </c>
      <c r="FA55" t="str">
        <f>IF(NOT(ISNUMBER($AA55)),"",IFERROR(IF(AND($AC55=MAX($AC$9:$AC$55),$AB55=MIN($AB$9:$AB$55)),"DOM",IF(FALSE,"GAP↑",IF(FALSE,"GAP↓",IF($CZ55=1,"dEdge Cliff",IF($GY55=1,"γWall",IF(FALSE,"PEAK-",IF($GZ55=1,"γSh Edge",IF($HL55=1,"Trough",IF($HN55=1,"PEAK+",IF($GF55=1,"Cluster","")))))))))),""))</f>
        <v/>
      </c>
      <c r="FB55" t="str">
        <f t="shared" si="70"/>
        <v/>
      </c>
      <c r="FC55" t="str">
        <f t="shared" si="71"/>
        <v/>
      </c>
      <c r="FD55">
        <f>IF(AND(ISNUMBER($AA55),ISNUMBER('King Node Model'!$AP$17),ISNUMBER('King Node Model'!$AQ$17),$AA55&gt;=MIN('King Node Model'!$AP$17,'King Node Model'!$AQ$17),$AA55&lt;=MAX('King Node Model'!$AP$17,'King Node Model'!$AQ$17),IFERROR(INDEX($AC$9:$AC$55,MATCH('King Node Model'!$AL$42,$AA$9:$AA$55,0)),0)&gt;0,$AC55&gt;=(1-$FA$6)*IFERROR(INDEX($AC$9:$AC$55,MATCH('King Node Model'!$AL$42,$AA$9:$AA$55,0)),0),$AC55&lt;=(1+$FA$6)*IFERROR(INDEX($AC$9:$AC$55,MATCH('King Node Model'!$AL$42,$AA$9:$AA$55,0)),0)),1,0)</f>
        <v>0</v>
      </c>
      <c r="FE55">
        <f>IF($AA55='King Node Model'!$AL$42,1,IF(AND($FD55=1,$FE54=1),1,0))</f>
        <v>0</v>
      </c>
      <c r="FF55">
        <f>IF($AA55='King Node Model'!$AL$42,1,IF(AND($FD55=1,0=1),1,0))</f>
        <v>0</v>
      </c>
      <c r="FG55" t="str">
        <f>IF(OR($FE55=1,$FF55=1),47,"")</f>
        <v/>
      </c>
      <c r="FJ55">
        <f>IF(AND($CW$2=1,ISNUMBER($AA55),ISNUMBER($CW$3),ISNUMBER($CW$4),$AA55&gt;=MIN($CW$3,$CW$4),$AA55&lt;=MAX($CW$3,$CW$4),IFERROR(INDEX($AC$9:$AC$55,MATCH('King Node Model'!$AP$67,$AA$9:$AA$55,0)),0)&gt;0,$AC55&gt;=(1-$FA$6)*IFERROR(INDEX($AC$9:$AC$55,MATCH('King Node Model'!$AP$67,$AA$9:$AA$55,0)),0),$AC55&lt;=(1+$FA$6)*IFERROR(INDEX($AC$9:$AC$55,MATCH('King Node Model'!$AP$67,$AA$9:$AA$55,0)),0)),1,0)</f>
        <v>0</v>
      </c>
      <c r="FK55">
        <f>IF(AND($CW$2=1,$AA55='King Node Model'!$AP$67),1,IF(AND($FJ55=1,$FK54=1),1,0))</f>
        <v>0</v>
      </c>
      <c r="FL55">
        <f>IF(AND($CW$2=1,$AA55='King Node Model'!$AP$67),1,IF(AND($FJ55=1,0=1),1,0))</f>
        <v>0</v>
      </c>
      <c r="FM55" t="str">
        <f>IF(OR($FK55=1,$FL55=1),47,"")</f>
        <v/>
      </c>
      <c r="FN55">
        <v>0</v>
      </c>
      <c r="FR55" t="str">
        <f t="shared" si="72"/>
        <v/>
      </c>
      <c r="FS55">
        <f>0</f>
        <v>0</v>
      </c>
      <c r="FT55">
        <f t="shared" si="73"/>
        <v>-0.89024093453394981</v>
      </c>
      <c r="FU55">
        <f t="shared" si="74"/>
        <v>24654</v>
      </c>
      <c r="FV55" t="str">
        <f>IF($FW55=0,"",IF(OR($FW54=0,SIGN(IFERROR($BC55*1,0))&lt;&gt;SIGN(IFERROR($BC54*1,0)),$GH55=1,$GH54=1),MAX($FV$9:$FV54)+1,$FV54))</f>
        <v/>
      </c>
      <c r="FW55">
        <f t="shared" si="75"/>
        <v>0</v>
      </c>
      <c r="FX55" t="str">
        <f t="shared" si="76"/>
        <v/>
      </c>
      <c r="FY55">
        <f>IF($FV55="",0,IF($FU55=$FX55,1,0))</f>
        <v>0</v>
      </c>
      <c r="FZ55">
        <f t="shared" si="189"/>
        <v>0</v>
      </c>
      <c r="GA55">
        <f t="shared" si="78"/>
        <v>0</v>
      </c>
      <c r="GB55" t="str">
        <f t="shared" si="79"/>
        <v/>
      </c>
      <c r="GC55" t="str">
        <f t="shared" si="80"/>
        <v/>
      </c>
      <c r="GD55" t="str">
        <f t="shared" si="81"/>
        <v/>
      </c>
      <c r="GE55" t="str">
        <f t="shared" si="82"/>
        <v/>
      </c>
      <c r="GF55">
        <f t="shared" si="83"/>
        <v>0</v>
      </c>
      <c r="GH55">
        <f>IFERROR(IF(AND($AC55&gt;=(1+$FA$6)*INDEX($AC$9:$AC$55,47-1),$AC55&gt;=(1+$FA$6)*INDEX($AC$9:$AC$55,47+1)),1,0),0)</f>
        <v>0</v>
      </c>
      <c r="GK55">
        <v>0</v>
      </c>
      <c r="GO55">
        <v>0</v>
      </c>
      <c r="GP55">
        <v>0</v>
      </c>
      <c r="GQ55">
        <f t="shared" si="84"/>
        <v>0</v>
      </c>
      <c r="GR55">
        <f t="shared" si="85"/>
        <v>0</v>
      </c>
      <c r="GS55">
        <f>IF(AND($EY55=1,$AA55&lt;&gt;'King Node Model'!$B$23),0,IF(OR($GQ55=1,$GR55=1),1,IF($DC55=1,IF(OR('King Node Model'!$A$8="Neg",N($BG$72)=1),IF(OR(AND($AC55=MAX($AC$9:$AC$55),$AB55=MIN($AB$9:$AB$55)),$AN55=1,$EE55=1,$EF55=1,$EX55=1,$GV55=1),1,0),1),0)))</f>
        <v>0</v>
      </c>
      <c r="GT55">
        <f>IFERROR(IF(AND(OR('King Node Model'!$A$8="Neg",N($BG$72)=1),$EU54=1,$AG55="R",ISNUMBER($AA55),ISNUMBER($AF55),$AF55&lt;&gt;0,$AA55&gt;$B$4-$BG$9,$AA55-$B$4&lt;=$BG$47,IF($KC55="UP",SIGN($AF55),IF($KC55="DOWN",-SIGN($AF55),0))&lt;&gt;1),1,0),0)</f>
        <v>0</v>
      </c>
      <c r="GU55" t="str">
        <f t="shared" si="86"/>
        <v/>
      </c>
      <c r="GV55">
        <f t="shared" si="87"/>
        <v>0</v>
      </c>
      <c r="GW55" t="str">
        <f t="shared" si="88"/>
        <v/>
      </c>
      <c r="GX55">
        <f t="shared" si="89"/>
        <v>120.39000000000033</v>
      </c>
      <c r="GY55">
        <f t="shared" si="90"/>
        <v>0</v>
      </c>
      <c r="GZ55">
        <f t="shared" si="91"/>
        <v>0</v>
      </c>
      <c r="HA55">
        <v>0</v>
      </c>
      <c r="HF55">
        <f>IFERROR(IF(AND($GZ55=1,'King Node Model'!$A$8="Pos",$D$5="UP",$CF55=-1,$AJ55&lt;&gt;1),1,0),0)</f>
        <v>0</v>
      </c>
      <c r="HG55">
        <f t="shared" si="92"/>
        <v>0</v>
      </c>
      <c r="HH55" t="str">
        <f>IF($GZ55=1,"",IFERROR(IF(NOT(ISNUMBER($AA55)),"",IF($EY55=1,"",IF($GF55=1,IF($GD55=$GE55,"",$GD55),IF(OR(FALSE,FALSE,AND($DC55=1,OR(INDEX($DC$9:$DC$55,47-1)=0,1=0))),IF(MIN($AA55,IF(AND(OR('King Node Model'!$A$8="Neg",N($BG$72)=1),IF(FALSE,INDEX($EY$9:$EY$55,47-2),IF(FALSE,$EY55,IF(INDEX($DC$9:$DC$55,47-1)=1,INDEX($EY$9:$EY$55,47-1),$EY55)))=1),$AA55,IF(FALSE,INDEX($AA$9:$AA$55,47-2),IF(FALSE,$AA55,IF(INDEX($DC$9:$DC$55,47-1)=1,INDEX($AA$9:$AA$55,47-1),$AA55)))))=MAX($AA55,IF(AND(OR('King Node Model'!$A$8="Neg",N($BG$72)=1),IF(FALSE,INDEX($EY$9:$EY$55,47-2),IF(FALSE,$EY55,IF(INDEX($DC$9:$DC$55,47-1)=1,INDEX($EY$9:$EY$55,47-1),$EY55)))=1),$AA55,IF(FALSE,INDEX($AA$9:$AA$55,47-2),IF(FALSE,$AA55,IF(INDEX($DC$9:$DC$55,47-1)=1,INDEX($AA$9:$AA$55,47-1),$AA55))))),"",MIN($AA55,IF(AND(OR('King Node Model'!$A$8="Neg",N($BG$72)=1),IF(FALSE,INDEX($EY$9:$EY$55,47-2),IF(FALSE,$EY55,IF(INDEX($DC$9:$DC$55,47-1)=1,INDEX($EY$9:$EY$55,47-1),$EY55)))=1),$AA55,IF(FALSE,INDEX($AA$9:$AA$55,47-2),IF(FALSE,$AA55,IF(INDEX($DC$9:$DC$55,47-1)=1,INDEX($AA$9:$AA$55,47-1),$AA55)))))),"")))),""))</f>
        <v/>
      </c>
      <c r="HI55" t="str">
        <f>IF($GZ55=1,"",IFERROR(IF(NOT(ISNUMBER($AA55)),"",IF($EY55=1,"",IF($GF55=1,IF($GD55=$GE55,"",$GE55),IF(OR(FALSE,FALSE,AND($DC55=1,OR(INDEX($DC$9:$DC$55,47-1)=0,1=0))),IF(MIN($AA55,IF(AND(OR('King Node Model'!$A$8="Neg",N($BG$72)=1),IF(FALSE,INDEX($EY$9:$EY$55,47-2),IF(FALSE,$EY55,IF(INDEX($DC$9:$DC$55,47-1)=1,INDEX($EY$9:$EY$55,47-1),$EY55)))=1),$AA55,IF(FALSE,INDEX($AA$9:$AA$55,47-2),IF(FALSE,$AA55,IF(INDEX($DC$9:$DC$55,47-1)=1,INDEX($AA$9:$AA$55,47-1),$AA55)))))=MAX($AA55,IF(AND(OR('King Node Model'!$A$8="Neg",N($BG$72)=1),IF(FALSE,INDEX($EY$9:$EY$55,47-2),IF(FALSE,$EY55,IF(INDEX($DC$9:$DC$55,47-1)=1,INDEX($EY$9:$EY$55,47-1),$EY55)))=1),$AA55,IF(FALSE,INDEX($AA$9:$AA$55,47-2),IF(FALSE,$AA55,IF(INDEX($DC$9:$DC$55,47-1)=1,INDEX($AA$9:$AA$55,47-1),$AA55))))),"",MAX($AA55,IF(AND(OR('King Node Model'!$A$8="Neg",N($BG$72)=1),IF(FALSE,INDEX($EY$9:$EY$55,47-2),IF(FALSE,$EY55,IF(INDEX($DC$9:$DC$55,47-1)=1,INDEX($EY$9:$EY$55,47-1),$EY55)))=1),$AA55,IF(FALSE,INDEX($AA$9:$AA$55,47-2),IF(FALSE,$AA55,IF(INDEX($DC$9:$DC$55,47-1)=1,INDEX($AA$9:$AA$55,47-1),$AA55)))))),"")))),""))</f>
        <v/>
      </c>
      <c r="HL55">
        <f t="shared" si="93"/>
        <v>0</v>
      </c>
      <c r="HM55">
        <f>IFERROR(IF(AND($HL55=1,NOT(OR($AA55='King Node Model'!$T$22,$AA55='King Node Model'!$T$23,$AA55='King Node Model'!$F$24,AND($AG55="S",COUNTIF('Master Dashboard'!$AN$16:$AN$18,$AA55)&gt;0),AND($AG55="R",COUNTIF('Master Dashboard'!$AN$13:$AN$15,$AA55)&gt;0)))),1,0),0)</f>
        <v>0</v>
      </c>
      <c r="HN55">
        <f t="shared" si="94"/>
        <v>0</v>
      </c>
      <c r="HO55">
        <f t="shared" si="95"/>
        <v>0</v>
      </c>
      <c r="HP55">
        <f t="shared" si="96"/>
        <v>1</v>
      </c>
      <c r="HQ55" t="str">
        <f>IF(NOT(ISNUMBER($AA55)),"",IFERROR(TRIM(IF(N($MY55)=1,"DEXLEAN ","")&amp;IF(N($IZ55)=1,"DEXCAP ","")&amp;IF(AND($AG55="S",UPPER('King Node Model'!$L$5)="HIGH",$KC55="DOWN",N($AF55)&gt;0,$AA55='King Node Model'!$AN$70,$IY55="SELL"),"CHOPEDGEIV ","")&amp;IF(N($IS55)=1,"NOREV ","")&amp;IF(N($JY55)=1,"VFLAT ","")&amp;IF(N($KR55)=1,"GDEXVANNA ","")&amp;IF(N($LD55)=1,"KGSUPFAIL ","")&amp;IF(N($LE55)=1,"KGRESLEAK ","")&amp;IF(N($MH55)=1,"ZIGZAG ","")&amp;IF(N($KK55)=1,"DATAGAP ","")&amp;IF(N($KA55)&lt;&gt;0,"ACCUNDERCW ","")&amp;IF(AND($AG55="S",$HF55=1),"EDGE ","")&amp;IF(AND($HM55=1,'King Node Model'!$A$8="Pos",N($BG$72)&lt;&gt;1),"TROUGH ","")&amp;IF(AND($EU55=1,N($JZ55)&lt;&gt;1),"BUMP ","")&amp;IF(AND($GT55=1,N($JZ55)&lt;&gt;1),"SANDWICH ","")&amp;IF(AND($EX55&lt;&gt;1,OR('King Node Model'!$A$8="Neg",N($BG$72)=1),OR(AND(ISNUMBER($AC55),$AC55=MAX($AC$9:$AC$55)),AND(ISNUMBER($AB55),$AB55=MIN($AB$9:$AB$55))),NOT(AND(AND(ISNUMBER($AC55),$AC55=MAX($AC$9:$AC$55)),AND(ISNUMBER($AB55),$AB55=MIN($AB$9:$AB$55)))),$AG55="S",N($AB55)&lt;0,NOT(COUNTIF('Master Dashboard'!$AN$16:$AN$18,$AA55)&gt;0),NOT(AND(OR('King Node Model'!$A$8="Neg",N($BG$72)=1),ISNUMBER($AB55),$AB55=MIN($AB$9:$AB$55),$AA55=$BG$105))),"ACCEL ","")&amp;IF(AND($EX55&lt;&gt;1,ISNUMBER($AA55),OR('King Node Model'!$A$8="Neg",N($BG$72)=1),$EY55=1,NOT(AND($AG55="S",COUNTIF('Master Dashboard'!$AN$16:$AN$18,$AA55)&gt;0)),NOT(AND($AA55='King Node Model'!$B$23,IF($AG55="S",OR($AA55='King Node Model'!$C$24,COUNTIF('Master Dashboard'!$AN$16:$AN$18,$AA55)&gt;0),OR($AA55='King Node Model'!$C$23,COUNTIF('Master Dashboard'!$AN$13:$AN$15,$AA55)&gt;0)))),NOT(AND($EX55&lt;&gt;1,OR('King Node Model'!$A$8="Neg",N($BG$72)=1),OR(AND(ISNUMBER($AC55),$AC55=MAX($AC$9:$AC$55)),AND(ISNUMBER($AB55),$AB55=MIN($AB$9:$AB$55))),NOT(AND(AND(ISNUMBER($AC55),$AC55=MAX($AC$9:$AC$55)),AND(ISNUMBER($AB55),$AB55=MIN($AB$9:$AB$55)))),$AG55="S",N($AB55)&lt;0,NOT(COUNTIF('Master Dashboard'!$AN$16:$AN$18,$AA55)&gt;0)))),"AMPLIFY ","")&amp;IF(AND($AG55="S",OR('King Node Model'!$A$8="Neg",N($BG$72)=1),$AJ55&lt;&gt;1,N($MT55)&lt;&gt;1,NOT(AND(N($LR55)=1,N($MB55)=1)),ISNUMBER(SEARCH("ACCEL building",$CG55))),"ZACCEL ","")&amp;IF(AND($AG55="S",OR('King Node Model'!$A$8="Neg",N($BG$72)=1),$AA55='King Node Model'!$B$23,NOT(AND(AND(ISNUMBER($AC55),$AC55=MAX($AC$9:$AC$55)),AND(ISNUMBER($AB55),$AB55=MIN($AB$9:$AB$55)))),$EJ55&lt;&gt;1),"KINGACC ","")&amp;IF(AND($AG55="S",OR('King Node Model'!$A$8="Neg",N($BG$72)=1),ABS(N($AA55)-N('King Node Model'!$B$23))&lt;=$BG$107,NOT(AND(SUMPRODUCT((ABS($AF$9:$AF$55)&lt;=ABS(N($AF55)))*1)/COUNT($AF$9:$AF$55)&gt;=0.66,OR(ISNUMBER(SEARCH("firmer resistance",$CG55)),ISNUMBER(SEARCH("STRENGTHENING",$CG55)),ISNUMBER(SEARCH("firmer support",$CG55))))),NOT(AND(N($AB55)&gt;0,SUMPRODUCT((ABS($AB$9:$AB$55)&lt;=ABS(N($AB55)))*1)/COUNT($AB$9:$AB$55)&gt;=0.66)),$EJ55&lt;&gt;1,$AJ55&lt;&gt;1,COUNTIF('Master Dashboard'!$AN$16:$AN$18,$AA55)=0,NOT(AND($AG55="S",OR('King Node Model'!$A$8="Neg",N($BG$72)=1),$AA55='King Node Model'!$B$23,NOT(AND(AND(ISNUMBER($AC55),$AC55=MAX($AC$9:$AC$55)),AND(ISNUMBER($AB55),$AB55=MIN($AB$9:$AB$55)))),$EJ55&lt;&gt;1))),"KINGNODE ","")&amp;IF(AND($AG55="R",NOT(AND(AND(ISNUMBER($AC55),$AC55=MAX($AC$9:$AC$55)),AND(ISNUMBER($AB55),$AB55=MIN($AB$9:$AB$55)))),UPPER('King Node Model'!$L$5)="LOW",$KC55="DOWN",N($AF55)&gt;0),"LOWIVFALL ","")&amp;IF(AND($AG55="R",NOT(AND(AND(ISNUMBER($AC55),$AC55=MAX($AC$9:$AC$55)),AND(ISNUMBER($AB55),$AB55=MIN($AB$9:$AB$55)))),UPPER('King Node Model'!$L$5)="HIGH",$KC55="DOWN",N($AF55)&gt;0,IFERROR(MATCH($AA55,$W$9:$W$14,0)&gt;=4,FALSE)),"HIGHIVFALL ","")&amp;IF(AND($AG55="R",N($BG$99)=1),"SPOTUPVOLUP ","")&amp;IF(AND($AG55="R",ISNUMBER(SEARCH("5/5",'Master Dashboard'!$E$29)),OR(ISNUMBER(SEARCH("WEAKENING",$EQ55)),ISNUMBER(SEARCH("Pos gamma ↓",$EQ55)),ISNUMBER(SEARCH("thinning the ceiling",$EQ55)))),"SQUEEZE ","")&amp;IF(N($JU55)=1,"DEDGECLIFF ","")&amp;IF(N($KT55)=1,"DEXDRAIN ","")&amp;IF(N($HW55)&lt;&gt;0,"DEXDROP ","")&amp;IF(N($HX55)&lt;&gt;0,"PEAK+ ","")&amp;IF(N($IF55)=1,"CHOP ","")&amp;IF(N($IQ55)=1,"CONTESTED ","")&amp;IF(N($IW55)=1,"VSELL ","")&amp;IF(N($JK55)=1,"VBUYRES ","")&amp;IF(N($JL55)=1,"DOMFLAT ","")&amp;IF(N($JM55)=1,"DOMPULL ","")&amp;IF(N($JP55)=1,"OIZOMMA ","")&amp;IF(AND(N($JQ55)=1,N($JZ55)&lt;&gt;1),"OIDEX ","")),""))</f>
        <v>NOREV VSELL</v>
      </c>
      <c r="HS55">
        <f>IFERROR(IF(AND($DC55=1,OR(AND($AG55="R",INDEX($DC$9:$DC$55,46)=0,1=0,1=0),AND($AG55="S",1=0,INDEX($DC$9:$DC$55,46)=1,INDEX($DC$9:$DC$55,45)=1))),1,0),0)</f>
        <v>0</v>
      </c>
      <c r="HT55">
        <f t="shared" si="97"/>
        <v>0</v>
      </c>
      <c r="HU55">
        <v>0</v>
      </c>
      <c r="HV55">
        <v>0</v>
      </c>
      <c r="HW55">
        <f>IFERROR(IF(OR(NOT(ISNUMBER($AA55)),'King Node Model'!$A$8&lt;&gt;"Pos",N($BG$72)=1,ABS(N($AE55))&lt;$BG$113,N($AV55)=1,$FA55="DOM",$AA55='King Node Model'!$T$23,AND(N($BG$116)=1,$AA55='King Node Model'!$F$24),NOT(ISNUMBER($KU55)),NOT(ISNUMBER($KV55))),0,IF(AND($AG55="S",COUNTIF('Master Dashboard'!$AN$16:$AN$18,$AA55)=0,$KU55&gt;=$BG$114,$KU55&gt;=$KV55+$BG$115,NOT(AND(N($AN56)=1,N($KV55)&lt;0)),N($AE55)&lt;=0),1,IF(AND($AG55="R",COUNTIF('Master Dashboard'!$AN$13:$AN$15,$AA55)=0,$KV55&gt;=$BG$114,$KV55&gt;=$KU55+$BG$115,NOT(AND(N($AN54)=1,N($KU55)&lt;0))),-1,0))),0)</f>
        <v>0</v>
      </c>
      <c r="HX55">
        <f>IFERROR(IF(AND(ISNUMBER($AA55),$FA55="PEAK+",N($AN55)&lt;&gt;1,NOT(AND('King Node Model'!$A$8="Pos",OR($AA55='King Node Model'!$T$22,$AA55='King Node Model'!$T$23,$AA55='King Node Model'!$F$24))),IF($AG55="S",COUNTIF('Master Dashboard'!$AN$16:$AN$18,$AA55)=0,IF($AG55="R",COUNTIF('Master Dashboard'!$AN$13:$AN$15,$AA55)=0,FALSE))),1,0),0)</f>
        <v>0</v>
      </c>
      <c r="HY55">
        <f t="shared" si="98"/>
        <v>0.35256157635467983</v>
      </c>
      <c r="HZ55">
        <v>0</v>
      </c>
      <c r="IA55">
        <f>IFERROR(IF(AND(IF($BG$44=1,OR(ISNUMBER(SEARCH("Choppy",'King Node Model'!$S$38)),'King Node Model'!$S$52&lt;&gt;"",'King Node Model'!$A$8="Pos"),TRUE()),OR($DC55=1,$DC54=1,$DC56=1),ABS($AA55-$B$4)&lt;=$BG$7,ABS($AA55-$BG$28)&gt;=$BG$45,OR(AND($AA55&gt;$BG$28,$AG55="R"),AND($AA55&lt;$BG$28,$AG55="S",N($BG$154)=1)),ABS(IF($AA55&gt;$BG$28,$AE56,$AE54))&gt;=$BG$43,ABS(N(IF($AA55&gt;$BG$28,$AE54,$AE56)))&lt;=$BG$153*ABS(IF($AA55&gt;$BG$28,$AE56,$AE54)),IF(ISNUMBER($HZ55),$HZ55=1,AND(ISNUMBER($HY55),$HY55&gt;=$BG$42))),1,0),0)</f>
        <v>0</v>
      </c>
      <c r="IB55">
        <f t="shared" si="99"/>
        <v>0</v>
      </c>
      <c r="IC55" t="str">
        <f>IF(NOT(ISNUMBER($AA55)),"",IFERROR(MID(IF(AND($AC55=MAX($AC$9:$AC$55),$AB55=MIN($AB$9:$AB$55))," · DOM","")&amp;IF(FALSE," · GAP↑ → "&amp;INDEX($AA$9:$AA$55,47-2),"")&amp;IF(FALSE," · GAP↓ → "&amp;INDEX($AA$9:$AA$55,47+2),"")&amp;IF($CZ55=1," · dEdge Cliff","")&amp;IF($GY55=1," · γWall","")&amp;IF(FALSE," · PEAK-","")&amp;IF($GZ55=1," · γSh Edge","")&amp;IF($HL55=1," · Trough","")&amp;IF($HN55=1," · PEAK+","")&amp;IF($GF55=1," · Cluster",""),FIND(" · ",IF(AND($AC55=MAX($AC$9:$AC$55),$AB55=MIN($AB$9:$AB$55))," · DOM","")&amp;IF(FALSE," · GAP↑ → "&amp;INDEX($AA$9:$AA$55,47-2),"")&amp;IF(FALSE," · GAP↓ → "&amp;INDEX($AA$9:$AA$55,47+2),"")&amp;IF($CZ55=1," · dEdge Cliff","")&amp;IF($GY55=1," · γWall","")&amp;IF(FALSE," · PEAK-","")&amp;IF($GZ55=1," · γSh Edge","")&amp;IF($HL55=1," · Trough","")&amp;IF($HN55=1," · PEAK+","")&amp;IF($GF55=1," · Cluster",""),2),999),""))</f>
        <v/>
      </c>
      <c r="ID55" t="str">
        <f>IF(NOT(ISNUMBER($AA55)),"",IFERROR(MID(IF(AND($AC55=MAX($AC$9:$AC$55),$AB55=MIN($AB$9:$AB$55))," · DOM","")&amp;IF(FALSE," · GAP↑ → "&amp;INDEX($AA$9:$AA$55,47-2),"")&amp;IF(FALSE," · GAP↓ → "&amp;INDEX($AA$9:$AA$55,47+2),"")&amp;IF($CZ55=1," · dEdge Cliff","")&amp;IF($GY55=1," · γWall","")&amp;IF(FALSE," · PEAK-","")&amp;IF($GZ55=1," · γSh Edge","")&amp;IF($HL55=1," · Trough","")&amp;IF($HN55=1," · PEAK+","")&amp;IF($GF55=1," · Cluster",""),4,999),""))</f>
        <v/>
      </c>
      <c r="IF55">
        <f t="shared" si="100"/>
        <v>0</v>
      </c>
      <c r="IG55">
        <f>IFERROR(IF(AND(ISNUMBER($AA55),'King Node Model'!$A$8="Pos",OR($AG55="S",$AG55="R"),$IN55="interior",COUNTIF(IF($AG55="S",'Master Dashboard'!$AN$16:$AN$18,'Master Dashboard'!$AN$13:$AN$15),$AA55)=0,$AA55&lt;&gt;'King Node Model'!$T$22,$AA55&lt;&gt;'King Node Model'!$T$23,$AA55&lt;&gt;'King Node Model'!$F$24),1,0),0)</f>
        <v>0</v>
      </c>
      <c r="IH55">
        <f t="shared" si="101"/>
        <v>0</v>
      </c>
      <c r="II55">
        <f t="shared" si="190"/>
        <v>0</v>
      </c>
      <c r="IJ55">
        <f>IF(N($IH55)=1,1,0)</f>
        <v>0</v>
      </c>
      <c r="IK55">
        <f t="shared" si="103"/>
        <v>0</v>
      </c>
      <c r="IL55">
        <f t="shared" si="191"/>
        <v>0</v>
      </c>
      <c r="IM55">
        <f>IF(N($IK55)=1,1,0)</f>
        <v>0</v>
      </c>
      <c r="IN55" t="str">
        <f t="shared" si="105"/>
        <v/>
      </c>
      <c r="IO55">
        <v>0</v>
      </c>
      <c r="IP55">
        <v>0</v>
      </c>
      <c r="IQ55">
        <f>IFERROR(IF($AG55="S",IF(OR(COUNTIF($W$9:$W$14,$AA55)&gt;0,COUNTIF('King Node Model'!$AL$42:'King Node Model'!$AL$43,$AA55)&gt;0),1,0),IF($AG55="R",IF(OR(COUNTIF($W$18:$W$23,$AA55)&gt;0,COUNTIF('King Node Model'!$AL$49:'King Node Model'!$AL$50,$AA55)&gt;0),1,0),0)),0)</f>
        <v>0</v>
      </c>
      <c r="IS55">
        <f>IF(AND(ISNUMBER($AA55),N($AN55)&lt;&gt;1,N($LR55)&lt;&gt;1,OR(N($EN55)&lt;&gt;1,AND('King Node Model'!$A$8&lt;&gt;"Neg",N($BG$72)&lt;&gt;1)),$AA55&lt;&gt;'King Node Model'!$T$22,$AA55&lt;&gt;'King Node Model'!$T$23,$AA55&lt;&gt;'King Node Model'!$F$24,NOT(AND($AG55="S",COUNTIF('Master Dashboard'!$AN$16:$AN$18,$AA55)&gt;0)),NOT(AND($AG55="R",COUNTIF('Master Dashboard'!$AN$13:$AN$15,$AA55)&gt;0)),NOT(AND('King Node Model'!$A$8&lt;&gt;"Neg",N($BG$72)&lt;&gt;1,COUNTIF('Master Dashboard'!$AN$13:$AN$18,$AA55)&gt;0))),1,0)</f>
        <v>1</v>
      </c>
      <c r="IT55">
        <v>0</v>
      </c>
      <c r="IU55">
        <f>IF(AND(ISNUMBER($AA55),$AA55='King Node Model'!$F$24,$AA55&gt;$GJ$3,N($AD55)&lt;0,$F$4="High"),1,0)</f>
        <v>0</v>
      </c>
      <c r="IV55" t="str">
        <f>""</f>
        <v/>
      </c>
      <c r="IW55">
        <f>IFERROR(IF(AND(ISNUMBER($AA55),NOT(AND(N($LR55)=1,N($MB55)=1)),$AG55="S",OR('King Node Model'!$A$8="Neg",N($BG$72)=1),$JV55="SELL",ABS(N($AD55))&gt;=$BG$94,NOT(AND(N($AD55)&gt;0,N($BG$78)=1,MEDIAN($AA55-$BG$82,$B$4,$AA55+$BG$83)=$B$4))),1,0),0)</f>
        <v>1</v>
      </c>
      <c r="IX55">
        <f>IFERROR(IF(AND(ISNUMBER($AA55),$AG55="S",OR('King Node Model'!$A$8="Neg",N($BG$72)=1),N($AD55)&gt;0,N($BG$78)=1,MEDIAN($AA55-$BG$82,$B$4,$AA55+$BG$83)=$B$4),1,0),0)</f>
        <v>0</v>
      </c>
      <c r="IY55" t="str">
        <f t="shared" si="106"/>
        <v>SELL</v>
      </c>
      <c r="IZ55">
        <f>IFERROR(IF(AND(ISNUMBER($AA55),$FA55&lt;&gt;"DOM",$AA55&lt;&gt;'King Node Model'!$F$24,OR(AND($AG55="S",COUNTIF('Master Dashboard'!$AN$16:$AN$18,$AA55)=0,N(INDEX($AE$9:$AE$55,MATCH($AA55+$BG$84,$AA$9:$AA$55,0)))&lt;=-$BG$85),AND($AG55="R",COUNTIF('Master Dashboard'!$AN$13:$AN$15,$AA55)=0,N(INDEX($AE$9:$AE$55,MATCH($AA55-$BG$84,$AA$9:$AA$55,0)))&gt;=$BG$85))),1,0),0)</f>
        <v>0</v>
      </c>
      <c r="JC55">
        <f t="shared" si="108"/>
        <v>0</v>
      </c>
      <c r="JD55" t="str">
        <f>IFERROR(IF(NOT(ISNUMBER($AA55)),"",IF(AND(N($JE55)&gt;=$BG$89,N($JE55)&gt;=$BG$151*N($JF55),N($JG55)&gt;=$BG$90*MEDIAN($JG53,$JG54)),"P",IF(AND(N($JF55)&gt;=$BG$89,N($JF55)&gt;=$BG$151*N($JE55),N($JH55)&gt;=$BG$90*MEDIAN($JH53,$JH54)),"C",""))),"")</f>
        <v/>
      </c>
      <c r="JE55">
        <f>IF(ISNUMBER($AA55),N(IFERROR(INDEX('King Node Model'!$L$29:$L$75,MATCH($AA55,'King Node Model'!$A$29:$A$75,0)),0)),"")</f>
        <v>999</v>
      </c>
      <c r="JF55">
        <f>IF(ISNUMBER($AA55),N(IFERROR(INDEX('King Node Model'!$K$29:$K$75,MATCH($AA55,'King Node Model'!$A$29:$A$75,0)),0)),"")</f>
        <v>58</v>
      </c>
      <c r="JG55">
        <f t="shared" si="109"/>
        <v>17.224137931034484</v>
      </c>
      <c r="JH55">
        <f t="shared" si="110"/>
        <v>5.8058058058058061E-2</v>
      </c>
      <c r="JI55">
        <f t="shared" si="111"/>
        <v>0</v>
      </c>
      <c r="JJ55" t="str">
        <f t="shared" si="112"/>
        <v>Ramp</v>
      </c>
      <c r="JK55">
        <f t="shared" si="113"/>
        <v>0</v>
      </c>
      <c r="JL55">
        <f t="shared" si="114"/>
        <v>0</v>
      </c>
      <c r="JM55">
        <f t="shared" si="115"/>
        <v>0</v>
      </c>
      <c r="JN55">
        <f t="shared" si="116"/>
        <v>0</v>
      </c>
      <c r="JO55">
        <f t="shared" si="117"/>
        <v>0</v>
      </c>
      <c r="JP55">
        <f t="shared" si="118"/>
        <v>0</v>
      </c>
      <c r="JQ55">
        <f t="shared" si="119"/>
        <v>0</v>
      </c>
      <c r="JR55">
        <v>0</v>
      </c>
      <c r="JS55">
        <f>IFERROR(IF(AND(ISNUMBER($AA55),'King Node Model'!$A$8="Pos",OR($AG55="S",$AG55="R"),N($AB55)&gt;0,N($HP55)&lt;&gt;1,OR(AND($KC55="DOWN",N($AF55)&lt;0,N($AF55)=MIN($AF$9:$AF$55),-N($AF55)&gt;=MAX($AF$9:$AF$55)),AND($KC55="UP",N($AF55)&gt;0,N($AF55)=MAX($AF$9:$AF$55),N($AF55)&gt;=-MIN($AF$9:$AF$55)))),1,0),0)</f>
        <v>0</v>
      </c>
      <c r="JT55">
        <v>0</v>
      </c>
      <c r="JU55">
        <f>IFERROR(IF(AND(N($BG$109)=1,ISNUMBER($AA55),'King Node Model'!$A$8="Pos",N($CZ55)=1,N($AB55)&gt;0),1,0),0)</f>
        <v>0</v>
      </c>
      <c r="JV55" t="str">
        <f t="shared" si="120"/>
        <v>SELL</v>
      </c>
      <c r="JW55">
        <f t="shared" si="121"/>
        <v>0</v>
      </c>
      <c r="JX55">
        <f t="shared" si="122"/>
        <v>0</v>
      </c>
      <c r="JY55">
        <f t="shared" si="123"/>
        <v>0</v>
      </c>
      <c r="JZ55">
        <f t="shared" si="124"/>
        <v>0</v>
      </c>
      <c r="KA55">
        <f t="shared" si="125"/>
        <v>0</v>
      </c>
      <c r="KB55">
        <f t="shared" si="126"/>
        <v>0</v>
      </c>
      <c r="KC55" t="str">
        <f t="shared" si="127"/>
        <v>UP</v>
      </c>
      <c r="KE55" t="str">
        <f t="shared" si="128"/>
        <v>Now: weakening the floor (IV rising) · if IV falls: strengthens the floor · expected on arrival: WEAKENS ✗</v>
      </c>
      <c r="KF55" t="str">
        <f t="shared" si="129"/>
        <v>SELL</v>
      </c>
      <c r="KG55">
        <v>0</v>
      </c>
      <c r="KH55" t="str">
        <f t="shared" si="130"/>
        <v/>
      </c>
      <c r="KI55" t="str">
        <f t="shared" si="131"/>
        <v/>
      </c>
      <c r="KJ55">
        <f t="shared" si="132"/>
        <v>0</v>
      </c>
      <c r="KK55">
        <f t="shared" si="133"/>
        <v>0</v>
      </c>
      <c r="KL55">
        <f t="shared" si="134"/>
        <v>0</v>
      </c>
      <c r="KM55">
        <f t="shared" si="135"/>
        <v>0</v>
      </c>
      <c r="KN55">
        <f t="shared" si="136"/>
        <v>0</v>
      </c>
      <c r="KO55">
        <v>0</v>
      </c>
      <c r="KP55">
        <f t="shared" si="137"/>
        <v>0</v>
      </c>
      <c r="KQ55">
        <f t="shared" si="138"/>
        <v>0</v>
      </c>
      <c r="KR55">
        <f t="shared" si="139"/>
        <v>0</v>
      </c>
      <c r="KS55">
        <f t="shared" si="140"/>
        <v>0</v>
      </c>
      <c r="KT55">
        <f t="shared" si="141"/>
        <v>0</v>
      </c>
      <c r="KU55">
        <f>IF(AND(ISNUMBER($AA55),ISNUMBER($AE55),ISNUMBER($AE54),N($AE55)&lt;&gt;0),($AE55-$AE54)/$AE55,"")</f>
      </c>
      <c r="KV55">
        <f>IF(AND(ISNUMBER($AA55),ISNUMBER($AE55),ISNUMBER($AE56),N($AE55)&lt;&gt;0),($AE55-$AE56)/$AE55,"")</f>
      </c>
      <c r="KW55">
        <f>IFERROR(IF(OR(NOT(ISNUMBER($AA55)),'King Node Model'!$A$8&lt;&gt;"Pos",N($BG$72)=1,ABS(N($AE55))&lt;$BG$113,$FA55="DOM",$AA55='King Node Model'!$T$23,AND(N($BG$116)=1,$AA55='King Node Model'!$F$24),NOT(ISNUMBER($KU55)),NOT(ISNUMBER($KV55))),0,IF(AND($AG55="S",COUNTIF('Master Dashboard'!$AN$16:$AN$18,$AA55)=0,$KU55&gt;=$BG$114,$KU55&gt;=$KV55+$BG$115),1,IF(AND($AG55="R",COUNTIF('Master Dashboard'!$AN$13:$AN$15,$AA55)=0,$KV55&gt;=$BG$114,$KV55&gt;=$KU55+$BG$115),-1,0))),0)</f>
        <v>0</v>
      </c>
      <c r="KX55">
        <f t="shared" si="144"/>
        <v>0</v>
      </c>
      <c r="KY55">
        <f t="shared" si="145"/>
        <v>0</v>
      </c>
      <c r="KZ55">
        <f t="shared" si="146"/>
        <v>0</v>
      </c>
      <c r="LA55">
        <f t="shared" si="147"/>
        <v>0</v>
      </c>
      <c r="LB55">
        <f t="shared" si="148"/>
        <v>0</v>
      </c>
      <c r="LC55">
        <f t="shared" si="149"/>
        <v>0</v>
      </c>
      <c r="LD55">
        <f t="shared" si="150"/>
        <v>0</v>
      </c>
      <c r="LE55">
        <f t="shared" si="151"/>
        <v>0</v>
      </c>
      <c r="LF55">
        <f t="shared" si="152"/>
        <v>0</v>
      </c>
      <c r="LG55" t="str">
        <f t="shared" si="153"/>
        <v/>
      </c>
      <c r="LH55" t="str">
        <f t="shared" si="154"/>
        <v/>
      </c>
      <c r="LI55" t="str">
        <f t="shared" si="155"/>
        <v/>
      </c>
      <c r="LJ55" t="str">
        <f t="shared" si="156"/>
        <v/>
      </c>
      <c r="LK55" t="str">
        <f t="shared" si="157"/>
        <v/>
      </c>
      <c r="LL55">
        <f t="shared" si="158"/>
        <v>0</v>
      </c>
      <c r="LM55">
        <f t="shared" si="159"/>
        <v>0</v>
      </c>
      <c r="LN55">
        <f t="shared" si="160"/>
        <v>0</v>
      </c>
      <c r="LO55">
        <v>0</v>
      </c>
      <c r="LP55">
        <f t="shared" si="161"/>
        <v>0</v>
      </c>
      <c r="LQ55" t="str">
        <f t="shared" si="162"/>
        <v/>
      </c>
      <c r="LR55">
        <f t="shared" si="163"/>
        <v>0</v>
      </c>
      <c r="LS55">
        <f t="shared" si="164"/>
        <v>0</v>
      </c>
      <c r="LT55">
        <f t="shared" si="165"/>
        <v>0</v>
      </c>
      <c r="LU55">
        <f t="shared" si="166"/>
        <v>0</v>
      </c>
      <c r="LV55">
        <f t="shared" si="167"/>
        <v>0</v>
      </c>
      <c r="LW55">
        <f t="shared" si="168"/>
        <v>0</v>
      </c>
      <c r="LX55">
        <f t="shared" si="169"/>
        <v>0</v>
      </c>
      <c r="LY55">
        <f t="shared" si="170"/>
        <v>0</v>
      </c>
      <c r="LZ55">
        <f t="shared" si="171"/>
        <v>0</v>
      </c>
      <c r="MA55">
        <f t="shared" si="172"/>
        <v>0</v>
      </c>
      <c r="MB55">
        <v>0</v>
      </c>
      <c r="MC55">
        <f t="shared" si="173"/>
        <v>1</v>
      </c>
      <c r="MD55">
        <f t="shared" si="174"/>
        <v>1</v>
      </c>
      <c r="ME55">
        <f t="shared" si="175"/>
        <v>0</v>
      </c>
      <c r="MF55">
        <f t="shared" si="176"/>
        <v>0</v>
      </c>
      <c r="MG55">
        <f t="shared" si="177"/>
        <v>0</v>
      </c>
      <c r="MH55">
        <f t="shared" si="178"/>
        <v>0</v>
      </c>
      <c r="MI55" t="str">
        <f t="shared" si="179"/>
        <v/>
      </c>
      <c r="MJ55">
        <f t="shared" si="180"/>
        <v>0</v>
      </c>
      <c r="MK55">
        <f t="shared" si="181"/>
        <v>0</v>
      </c>
      <c r="ML55">
        <f>IF(AND(OR('King Node Model'!$A$8="Neg",N($BG$72)=1),ISNUMBER($AA55),$AG55="R",N($AB55)&lt;0),IF(AND($AA54=$AA55+5,N($AB54)&gt;0,$AA53=$AA55+10,N($AB53)&lt;0),1,IF(AND($AA54=$AA55+5,N($AB54)&gt;0,$AA53=$AA55+10,N($AB53)&gt;0,$AA52=$AA55+15,N($AB52)&lt;0),2,IF(AND($AA54=$AA55+5,N($AB54)&gt;0,$AA53=$AA55+10,N($AB53)&gt;0,$AA52=$AA55+15,N($AB52)&gt;0,$AA51=$AA55+20,N($AB51)&lt;0),3,IF(AND($AA54=$AA55+5,N($AB54)&gt;0,$AA53=$AA55+10,N($AB53)&gt;0,$AA52=$AA55+15,N($AB52)&gt;0,$AA51=$AA55+20,N($AB51)&gt;0,$AA50=$AA55+25,N($AB50)&lt;0),4,0)))),0)</f>
      </c>
      <c r="MM55">
        <f>IF(AND(OR('King Node Model'!$A$8="Neg",N($BG$72)=1),ISNUMBER($AA55),$AG55="S",N($AB55)&lt;0),IF(AND($AA56=$AA55-5,N($AB56)&gt;0,$AA57=$AA55-10,N($AB57)&lt;0),1,IF(AND($AA56=$AA55-5,N($AB56)&gt;0,$AA57=$AA55-10,N($AB57)&gt;0,$AA58=$AA55-15,N($AB58)&lt;0),2,IF(AND($AA56=$AA55-5,N($AB56)&gt;0,$AA57=$AA55-10,N($AB57)&gt;0,$AA58=$AA55-15,N($AB58)&gt;0,$AA59=$AA55-20,N($AB59)&lt;0),3,IF(AND($AA56=$AA55-5,N($AB56)&gt;0,$AA57=$AA55-10,N($AB57)&gt;0,$AA58=$AA55-15,N($AB58)&gt;0,$AA59=$AA55-20,N($AB59)&gt;0,$AA60=$AA55-25,N($AB60)&lt;0),4,0)))),0)</f>
      </c>
      <c r="MN55">
        <f>IF(N($ML55)&gt;0,$AA55,0)</f>
      </c>
      <c r="MO55">
        <f>IF(N($MM55)&gt;0,$AA55,0)</f>
      </c>
      <c r="MP55">
        <f>IF(AND(OR('King Node Model'!$A$8="Neg",N($BG$72)=1),ISNUMBER($BG$155),$AA55=$BG$155,N($NC55)=1),2,IF(AND(OR('King Node Model'!$A$8="Neg",N($BG$72)=1),ISNUMBER($BG$156),$AA55=$BG$156,N($ND55)=1),1,0))</f>
      </c>
      <c r="MQ55">
        <f>IF(ABS(AE55)&lt;=0,0,IF($AG55="R",IF(ISNUMBER(AE54),IF((ABS(AE54)-ABS(AE55))/ABS(AE55)&lt;-0.4,1,0),0),IF(ISNUMBER(AE56),IF((ABS(AE56)-ABS(AE55))/ABS(AE55)&lt;-0.4,1,0),0)))</f>
      </c>
      <c r="MR55">
        <f>IF(OR(N($MQ55)&lt;&gt;1,N($BG$157)&lt;&gt;1,NOT(ISNUMBER($KU55)),NOT(ISNUMBER($KV55))),0,IF(OR(AND($AG55="S",OR(AND($KU55&gt;=$BG$114,$KU55&gt;=$KV55+$BG$115),AND($KU55&gt;1,$KV55&lt;=1,$KV55&gt;=$BG$114))),AND($AG55="R",OR(AND($KV55&gt;=$BG$114,$KV55&gt;=$KU55+$BG$115),AND($KV55&gt;1,$KU55&lt;=1,$KU55&gt;=$BG$114)))),1,0))</f>
      </c>
      <c r="MS55" t="str">
        <f>IF(AND(N($MR55)=1,N($NA55)&lt;&gt;1),"• DEX falls off more sharply "&amp;IF($AG55="S","above (","below (")&amp;TEXT(IF($AG55="S",$KU55,$KV55),"0%")&amp;") than "&amp;IF($AG55="S","below (","above (")&amp;TEXT(IF($AG55="S",$KV55,$KU55),"0%")&amp;") — Dex↓ not counted",IF(N($MW55)=1,"• Shoulder of the "&amp;IF($AG55="R",$AA56,$AA54)&amp;" wall — own DEX "&amp;TEXT($AE55/1000,"+#,##0;-#,##0")&amp;"K is "&amp;TEXT(ABS($AE55)/ABS(IF($AG55="R",$AE56,$AE54)),"0%")&amp;" of "&amp;TEXT(IF($AG55="R",$AE56,$AE54)/1000,"+#,##0;-#,##0")&amp;"K, Dex↓ not counted",""))</f>
      </c>
      <c r="MT55">
        <f>IF(AND(ISNUMBER($AA55),$AG55="S",ISNUMBER($AB55),$AB55=MIN($AB$9:$AB$55),$AA55=$BG$105,$JV55="BUY",ABS(N($AD55))&gt;=$BG$158),1,0)</f>
      </c>
      <c r="MU55" t="str">
        <f>IF(N($MY55)=1,"",IF(OR(N($MT55)=1,AND(OR('King Node Model'!$A$8="Neg",N($BG$72)=1),$AG55="S",ISNUMBER($AB55),$AB55=MIN($AB$9:$AB$55),$AA55=$BG$105)),"• Min GEX + Max Zomma (no reversal flag required) — accelerant warning not applied; zomma acceleration warning only within "&amp;$BG$98&amp;" pts of the level, and not when vanna buying is "&amp;TEXT($BG$158/1000,"0")&amp;"K or more"&amp;CHAR(10)&amp;IF(N($MT55)=1,"• Max Zomma and vanna buying ("&amp;TEXT(N($AD55)/1000,"+#,##0;-#,##0")&amp;"K) make this level safe","• Max Zomma is what makes this level safe"),"")&amp;$NB55&amp;$NI55)</f>
      </c>
      <c r="MV55" t="str">
        <f>IF(AND(ISNUMBER($AA55),OR($AA55=$BG$118,$AA55=$BG$119)),IF(N($AZ55)*IF($AG55="R",1,-1)&gt;0,"✓",IF(N($AZ55)*IF($AG55="R",1,-1)&lt;0,"✗","")),"")</f>
      </c>
      <c r="MW55">
        <f>IF(AND(N($MQ55)=1,N($BG$159)&gt;0,ISNUMBER(IF($AG55="R",$AE56,$AE54)),N(IF($AG55="R",$AE56,$AE54))&lt;&gt;0),IF(ABS(N($AE55))&lt;$BG$159*ABS(IF($AG55="R",$AE56,$AE54)),1,0),0)</f>
      </c>
      <c r="MX55">
        <f>IF(AND(ISNUMBER($AA55),$AA55=$BG$121,$AG55="R",N($AE55)&lt;0,OR(COUNTIF('King Node Model'!$AL$42:$AL$44,$AA55)=0,N($HP55)=1),N($NC55)=1),2,IF(AND(ISNUMBER($AA55),$AA55=$BG$120,$AG55="S",N($AE55)&gt;0,OR(COUNTIF('King Node Model'!$AL$49:$AL$51,$AA55)=0,N($HP55)=1),N($ND55)=1),1,0))</f>
      </c>
      <c r="MY55">
        <f>IF(AND(N($NA55)=1,NOT(AND(AND($AG55="S",ISNUMBER($AB55),$AB55=MIN($AB$9:$AB$55),$AA55=$BG$105),IFERROR(INDEX($AG$9:$AG$55,MATCH('King Node Model'!$B$23,$AA$9:$AA$55,0)),"")="R")),N($AV55)&lt;&gt;1),1,0)</f>
      </c>
      <c r="MZ55" t="str">
        <f>IF(N($MY55)&lt;&gt;1,"","• DEX falls off more sharply "&amp;IF($AG55="S","above (","below (")&amp;TEXT(IF($AG55="S",$KU55,$KV55),"0%")&amp;") than "&amp;IF($AG55="S","below (","above (")&amp;TEXT(IF($AG55="S",$KV55,$KU55),"0%")&amp;") — path of least resistance "&amp;IF($AG55="S","down","up")&amp;IF(N($AZ55)*IF($AG55="R",1,-1)&lt;0,CHAR(10)&amp;"• Speed against — GEX gets more negative as price "&amp;IF($AG55="R","rises","falls")&amp;" into it (speed "&amp;TEXT(N($AZ55),"#,##0;−#,##0")&amp;")","")&amp;IF(OR(N($NG55)=1,N($JC55)=1),CHAR(10)&amp;"• "&amp;IF(N($JC55)=1,"DOM with vanna BUY "&amp;TEXT(N($AD55)/1000,"+#,##0;−#,##0")&amp;"K","Put wall + Max Zomma + DOM")&amp;" backs the level, but it does not outweigh DEX"&amp;IF(N($AZ55)*IF($AG55="R",1,-1)&lt;0," and speed",""),IF(AND($AG55="S",ISNUMBER($AB55),$AB55=MIN($AB$9:$AB$55),$AA55=$BG$105),CHAR(10)&amp;"• Min GEX + Max Zomma backs the level, but it does not outweigh DEX"&amp;IF(N($AZ55)*IF($AG55="R",1,-1)&lt;0," and speed",""),IF(OR(N($JI55)=1,AND(N($GV55)=1,N($JK55)&lt;&gt;1,N($IW55)&lt;&gt;1),N($JC55)=1,AND($AA55='King Node Model'!$F$24,N($JN55)&lt;&gt;1,OR($AG55="R",AND($AG55="S",$F$4="High",IF($BG$80&lt;&gt;"",UPPER($BG$80),$D$5)="UP")))),CHAR(10)&amp;"• Vanna "&amp;IF($AG55="S","BUY ","SELL ")&amp;TEXT(N($AD55)/1000,"+#,##0;−#,##0")&amp;"K backs the level, but it does not outweigh DEX"&amp;IF(N($AZ55)*IF($AG55="R",1,-1)&lt;0," and speed",""),"")))&amp;IF(N($NE55)=1,CHAR(10)&amp;"• Buy-lean max-node exemption not applied — DEX leans against the level",""))</f>
      </c>
      <c r="NA55">
        <f>IF(AND(OR('King Node Model'!$A$8="Neg",N($BG$72)=1),ISNUMBER($AA55),ABS(N($AE55))&gt;=$BG$152,ISNUMBER($KU55),ISNUMBER($KV55)),IF(OR(AND($AG55="S",OR(AND($KU55&gt;=$BG$114,$KU55&gt;=$KV55+$BG$115),AND($KU55&gt;1,$KV55&lt;=1,$KV55&gt;=$BG$114))),AND($AG55="R",OR(AND($KV55&gt;=$BG$114,$KV55&gt;=$KU55+$BG$115),AND($KV55&gt;1,$KU55&lt;=1,$KU55&gt;=$BG$114)))),1,0),0)</f>
      </c>
      <c r="NB55" t="str">
        <f>IF(AND(N($NA55)=1,AND(AND($AG55="S",ISNUMBER($AB55),$AB55=MIN($AB$9:$AB$55),$AA55=$BG$105),IFERROR(INDEX($AG$9:$AG$55,MATCH('King Node Model'!$B$23,$AA$9:$AA$55,0)),"")="R")),CHAR(10)&amp;"• DEX falls off more sharply above ("&amp;TEXT($KU55,"0%")&amp;") than below ("&amp;TEXT($KV55,"0%")&amp;") — DEX-lean warning not applied: Min GEX + Max Zomma support with Max Gamma "&amp;'King Node Model'!$B$23&amp;" above (Dex↓ not counted)",IF(AND(OR(N($NA55)=1,N($NF55)=1),N($AV55)=1),IF(AND(OR('King Node Model'!$A$8="Neg",N($BG$72)=1),$AG55="S",ISNUMBER($AB55),$AB55=MIN($AB$9:$AB$55),$AA55=$BG$105),CHAR(10),"")&amp;"• DEX falls off more sharply "&amp;IF($AG55="S","above (","below (")&amp;TEXT(IF($AG55="S",$KU55,$KV55),"0%")&amp;") than "&amp;IF($AG55="S","below (","above (")&amp;TEXT(IF($AG55="S",$KV55,$KU55),"0%")&amp;") — DEX lean does not apply to iDex (isolated DEX)",""))</f>
      </c>
      <c r="NC55">
        <f>IF(OR($BG$163=1,AND($BG$161&gt;0,$BG$162&lt;99999,ISNUMBER($AA55),$AA55&lt;$BG$162)),1,0)</f>
      </c>
      <c r="ND55">
        <f>IF(OR($BG$163=-1,AND($BG$161&gt;0,$BG$162&lt;99999,ISNUMBER($AA55),$AA55&gt;$BG$161)),1,0)</f>
      </c>
      <c r="NE55">
        <f>IF(AND(OR('King Node Model'!$A$8="Neg",N($BG$72)=1),ISNUMBER(SEARCH("LOW",'Master Dashboard'!$M$5)),ISNUMBER(SEARCH("BUY",'Master Dashboard'!$G$8)),'King Node Model'!$T$23='King Node Model'!$B$23,OR($AA55='King Node Model'!$T$23,AND($AG55="R",$AA55='King Node Model'!$T$23+5)),OR(AND($AG55="S",$JV55="BUY"),AND($AG55="R",$JV55="SELL"))),1,0)</f>
      </c>
      <c r="NF55">
        <f>IFERROR(IF(OR(NOT(ISNUMBER($AA55)),'King Node Model'!$A$8&lt;&gt;"Pos",N($BG$72)=1,ABS(N($AE55))&lt;$BG$113,$FA55="DOM",$AA55='King Node Model'!$T$23,AND(N($BG$116)=1,$AA55='King Node Model'!$F$24),NOT(ISNUMBER($KU55)),NOT(ISNUMBER($KV55))),0,IF(AND($AG55="S",COUNTIF('Master Dashboard'!$AN$16:$AN$18,$AA55)=0,$KU55&gt;=$BG$114,$KU55&gt;=$KV55+$BG$115,NOT(AND(N($AN56)=1,N($KV55)&lt;0)),N($AE55)&lt;=0),1,IF(AND($AG55="R",COUNTIF('Master Dashboard'!$AN$13:$AN$15,$AA55)=0,$KV55&gt;=$BG$114,$KV55&gt;=$KU55+$BG$115,NOT(AND(N($AN54)=1,N($KU55)&lt;0))),-1,0))),0)</f>
      </c>
      <c r="NG55">
        <f t="shared" si="202"/>
      </c>
      <c r="NI55" t="str">
        <f>IF(AND(ISNUMBER($BG$165),ISNUMBER($AA55)),IF(OR(AND($AG55="S",$AA55&gt;$BG$165,$AA55-$BG$165&lt;=5),AND($AG55="R",$AA55&lt;$BG$165,$BG$165-$AA55&lt;=5)),IF(OR(AND(OR('King Node Model'!$A$8="Neg",N($BG$72)=1),$AG55="S",ISNUMBER($AB55),$AB55=MIN($AB$9:$AB$55),$AA55=$BG$105),$NB55&lt;&gt;""),CHAR(10),"")&amp;"• DOM forming at "&amp;$BG$165&amp;" (gamma "&amp;TEXT($BG$166,"0%")&amp;" of max) — price may be pulled to the node",""),"")</f>
      </c>
      <c r="NJ55">
        <f>IF(LEN($NI55)&gt;0,1,0)</f>
      </c>
    </row>
    <row r="56" spans="27:349" ht="15" customHeight="1" x14ac:dyDescent="0.25">
      <c r="BF56" t="s">
        <v>2050</v>
      </c>
      <c r="BG56">
        <v>5</v>
      </c>
      <c r="CR56" t="s">
        <v>1515</v>
      </c>
      <c r="CS56">
        <f>COUNTIF($W$18:$W$23,$CS$40)</f>
        <v>0</v>
      </c>
    </row>
    <row r="57" spans="27:349" ht="15" customHeight="1" x14ac:dyDescent="0.25">
      <c r="BF57" t="s">
        <v>2051</v>
      </c>
      <c r="BG57">
        <f t="array" ref="BG57">IFERROR(MEDIAN(IF(ISNUMBER($AA$9:$AA$55),IF(ABS($AA$9:$AA$55-$B$4)&lt;=$BG$7,IF($AD$9:$AD$55&lt;&gt;0,ABS($AD$9:$AD$55))))),0)</f>
        <v>775507</v>
      </c>
      <c r="CR57" t="s">
        <v>1516</v>
      </c>
      <c r="CS57">
        <f>IFERROR(INDEX($CU$9:$CU$55,MATCH($CS$40,$AA$9:$AA$55,0)),"")</f>
        <v>1</v>
      </c>
    </row>
    <row r="58" spans="27:349" ht="15" customHeight="1" x14ac:dyDescent="0.25">
      <c r="BF58" t="s">
        <v>2063</v>
      </c>
      <c r="BG58">
        <v>25</v>
      </c>
      <c r="CR58" t="s">
        <v>1517</v>
      </c>
      <c r="CS58">
        <f>IFERROR(INDEX($CV$9:$CV$55,MATCH($CS$40,$AA$9:$AA$55,0)),"")</f>
        <v>1</v>
      </c>
    </row>
    <row r="59" spans="27:349" ht="15" customHeight="1" x14ac:dyDescent="0.25">
      <c r="BF59" t="s">
        <v>2064</v>
      </c>
      <c r="BG59">
        <v>0.5</v>
      </c>
      <c r="CR59" t="s">
        <v>1518</v>
      </c>
      <c r="CS59" t="str">
        <f>IFERROR(INDEX($BT$9:$BT$55,MATCH($CS$40,$AA$9:$AA$55,0)),"")</f>
        <v/>
      </c>
    </row>
    <row r="60" spans="27:349" ht="15" customHeight="1" x14ac:dyDescent="0.25">
      <c r="BF60" t="s">
        <v>2065</v>
      </c>
      <c r="BG60">
        <v>4</v>
      </c>
      <c r="CR60" t="s">
        <v>1519</v>
      </c>
      <c r="CS60">
        <f>IFERROR(INDEX($DN$9:$DN$55,MATCH($CS$40,$AA$9:$AA$55,0)),"")</f>
        <v>2</v>
      </c>
    </row>
    <row r="61" spans="27:349" ht="15" customHeight="1" x14ac:dyDescent="0.25">
      <c r="BF61" t="s">
        <v>2066</v>
      </c>
      <c r="BG61">
        <f t="array" ref="BG61">IFERROR(MAX(IF(ISNUMBER($AA$9:$AA$55),IF($AA$9:$AA$55&gt;=$BG$63,IF($AA$9:$AA$55&lt;=$BG$64,IF(ISNUMBER($AC$9:$AC$55),ABS($AC$9:$AC$55)))))),0)</f>
        <v>4471438</v>
      </c>
      <c r="CR61" t="s">
        <v>1520</v>
      </c>
      <c r="CS61" t="str">
        <f>IF($CS$49=1,"EXCLUDED by BK — absorbed into adjacent box @ "&amp;TEXT($CS$50,"0"),IF(AND($CS$55=0,$CS$56=0),"NOT in either locked list — lost at the AR/AS ranking stage",IF(AND($CS$57&lt;&gt;1,$CS$58&lt;&gt;1),"in a locked list but FAILED the valid-level gate (CU/CV)",IF(AND($CS$59="",$CS$60=""),"gate passed but NOT RANKED (BT/DN blank)","LISTED — appears in the reaction table"))))</f>
        <v>EXCLUDED by BK — absorbed into adjacent box @ 7775</v>
      </c>
    </row>
    <row r="62" spans="27:349" x14ac:dyDescent="0.25">
      <c r="BF62" t="s">
        <v>2067</v>
      </c>
      <c r="BG62">
        <f t="array" ref="BG62">IFERROR(MAX(IF(ISNUMBER($AA$9:$AA$55),IF($AA$9:$AA$55&gt;=$BG$63,IF($AA$9:$AA$55&lt;=$BG$64,IF(ISNUMBER($AF$9:$AF$55),ABS($AF$9:$AF$55)))))),0)</f>
        <v>20439820</v>
      </c>
    </row>
    <row r="63" spans="27:349" x14ac:dyDescent="0.25">
      <c r="BF63" t="s">
        <v>2068</v>
      </c>
      <c r="BG63">
        <f>$B$4-$BG$58</f>
        <v>7750.39</v>
      </c>
    </row>
    <row r="64" spans="27:349" x14ac:dyDescent="0.25">
      <c r="BF64" t="s">
        <v>2069</v>
      </c>
      <c r="BG64">
        <f>$B$4+$BG$58</f>
        <v>7800.39</v>
      </c>
    </row>
    <row r="65" spans="58:59" x14ac:dyDescent="0.25">
      <c r="BF65" t="s">
        <v>2070</v>
      </c>
      <c r="BG65">
        <v>0.45</v>
      </c>
    </row>
    <row r="66" spans="58:59" x14ac:dyDescent="0.25">
      <c r="BF66" t="s">
        <v>2211</v>
      </c>
      <c r="BG66">
        <v>25</v>
      </c>
    </row>
    <row r="67" spans="58:59" x14ac:dyDescent="0.25">
      <c r="BF67" t="s">
        <v>2212</v>
      </c>
      <c r="BG67">
        <v>2</v>
      </c>
    </row>
    <row r="68" spans="58:59" x14ac:dyDescent="0.25">
      <c r="BF68" t="s">
        <v>2213</v>
      </c>
      <c r="BG68">
        <f>IFERROR(-SUMIFS($AE$9:$AE$55,$AA$9:$AA$55,"&gt;="&amp;($B$4-$BG$66),$AA$9:$AA$55,"&lt;"&amp;$B$4,$AE$9:$AE$55,"&lt;0"),"")</f>
        <v>964906</v>
      </c>
    </row>
    <row r="69" spans="58:59" x14ac:dyDescent="0.25">
      <c r="BF69" t="s">
        <v>2214</v>
      </c>
      <c r="BG69">
        <f>IFERROR(-SUMIFS($AE$9:$AE$55,$AA$9:$AA$55,"&gt;"&amp;$B$4,$AA$9:$AA$55,"&lt;="&amp;($B$4+$BG$66),$AE$9:$AE$55,"&lt;0"),"")</f>
        <v>3810999</v>
      </c>
    </row>
    <row r="70" spans="58:59" x14ac:dyDescent="0.25">
      <c r="BF70" t="s">
        <v>2215</v>
      </c>
      <c r="BG70" t="str">
        <f>IF(NOT(ISNUMBER($BG$117)),"",IF($BG$117&gt;0," (Upward drift · DEX +"&amp;TEXT($BG$117/1000000,"0.0")&amp;"M · obs)",IF(AND(N($BG$68)&gt;0,N($BG$68)&gt;=$BG$67*N($BG$69))," (Downward drift · neg DEX below · obs)",IF(AND(N($BG$69)&gt;0,N($BG$69)&gt;=$BG$67*N($BG$68))," (Upward drift · neg DEX above · obs)"," (Drift unclear · obs)"))))</f>
        <v xml:space="preserve"> (Upward drift · neg DEX above · obs)</v>
      </c>
    </row>
    <row r="71" spans="58:59" x14ac:dyDescent="0.25">
      <c r="BF71" t="s">
        <v>2076</v>
      </c>
      <c r="BG71">
        <v>1000000</v>
      </c>
    </row>
    <row r="72" spans="58:59" x14ac:dyDescent="0.25">
      <c r="BF72" t="s">
        <v>2077</v>
      </c>
      <c r="BG72">
        <f>IF('King Node Model'!$A$8&lt;&gt;"Pos",0,IF(ISNUMBER($BG$76),$BG$76,IF(AND('King Node Model'!$A$8="Pos",OR(SUM($AB$9:$AB$55)&lt;$BG$71,AND(ISNUMBER($HC$9),SUM($AB$9:$AB$55)+$HC$9&lt;0))),1,0)))</f>
        <v>0</v>
      </c>
    </row>
    <row r="73" spans="58:59" x14ac:dyDescent="0.25">
      <c r="BF73" t="s">
        <v>2079</v>
      </c>
      <c r="BG73">
        <v>2000000</v>
      </c>
    </row>
    <row r="74" spans="58:59" x14ac:dyDescent="0.25">
      <c r="BF74" t="s">
        <v>2080</v>
      </c>
      <c r="BG74">
        <v>1000000</v>
      </c>
    </row>
    <row r="75" spans="58:59" x14ac:dyDescent="0.25">
      <c r="BF75" t="s">
        <v>2081</v>
      </c>
      <c r="BG75">
        <v>2</v>
      </c>
    </row>
    <row r="76" spans="58:59" x14ac:dyDescent="0.25">
      <c r="BF76" t="s">
        <v>2082</v>
      </c>
      <c r="BG76">
        <v>1</v>
      </c>
    </row>
    <row r="77" spans="58:59" x14ac:dyDescent="0.25">
      <c r="BF77" t="s">
        <v>2085</v>
      </c>
      <c r="BG77">
        <v>1.6</v>
      </c>
    </row>
    <row r="78" spans="58:59" x14ac:dyDescent="0.25">
      <c r="BF78" t="s">
        <v>2087</v>
      </c>
      <c r="BG78">
        <v>0</v>
      </c>
    </row>
    <row r="79" spans="58:59" x14ac:dyDescent="0.25">
      <c r="BF79" t="s">
        <v>2105</v>
      </c>
      <c r="BG79">
        <v>0.13700000000000001</v>
      </c>
    </row>
    <row r="80" spans="58:59" x14ac:dyDescent="0.25">
      <c r="BF80" t="s">
        <v>2089</v>
      </c>
      <c r="BG80" t="s">
        <v>2784</v>
      </c>
    </row>
    <row r="81" spans="58:59" x14ac:dyDescent="0.25">
      <c r="BF81" t="s">
        <v>2106</v>
      </c>
      <c r="BG81">
        <v>100000</v>
      </c>
    </row>
    <row r="82" spans="58:59" x14ac:dyDescent="0.25">
      <c r="BF82" t="s">
        <v>2107</v>
      </c>
      <c r="BG82">
        <v>3</v>
      </c>
    </row>
    <row r="83" spans="58:59" x14ac:dyDescent="0.25">
      <c r="BF83" t="s">
        <v>2108</v>
      </c>
      <c r="BG83">
        <v>1</v>
      </c>
    </row>
    <row r="84" spans="58:59" x14ac:dyDescent="0.25">
      <c r="BF84" t="s">
        <v>2109</v>
      </c>
      <c r="BG84">
        <v>5</v>
      </c>
    </row>
    <row r="85" spans="58:59" x14ac:dyDescent="0.25">
      <c r="BF85" t="s">
        <v>2110</v>
      </c>
      <c r="BG85">
        <v>1000000</v>
      </c>
    </row>
    <row r="86" spans="58:59" x14ac:dyDescent="0.25">
      <c r="BF86" t="s">
        <v>2111</v>
      </c>
      <c r="BG86">
        <v>250000</v>
      </c>
    </row>
    <row r="87" spans="58:59" x14ac:dyDescent="0.25">
      <c r="BF87" t="s">
        <v>2136</v>
      </c>
      <c r="BG87">
        <f>IFERROR(IF(MIN($AF$9:$AF$55)&lt;0,INDEX($AA$9:$AA$55,MATCH(MIN($AF$9:$AF$55),$AF$9:$AF$55,0)),""),"")</f>
        <v>7720</v>
      </c>
    </row>
    <row r="88" spans="58:59" x14ac:dyDescent="0.25">
      <c r="BF88" t="s">
        <v>2112</v>
      </c>
      <c r="BG88">
        <v>0.6</v>
      </c>
    </row>
    <row r="89" spans="58:59" x14ac:dyDescent="0.25">
      <c r="BF89" t="s">
        <v>2113</v>
      </c>
      <c r="BG89">
        <v>1000</v>
      </c>
    </row>
    <row r="90" spans="58:59" x14ac:dyDescent="0.25">
      <c r="BF90" t="s">
        <v>2114</v>
      </c>
      <c r="BG90">
        <v>2</v>
      </c>
    </row>
    <row r="91" spans="58:59" x14ac:dyDescent="0.25">
      <c r="BF91" t="s">
        <v>2178</v>
      </c>
      <c r="BG91">
        <v>200000</v>
      </c>
    </row>
    <row r="92" spans="58:59" x14ac:dyDescent="0.25">
      <c r="BF92" t="s">
        <v>2118</v>
      </c>
      <c r="BG92">
        <v>150000</v>
      </c>
    </row>
    <row r="93" spans="58:59" x14ac:dyDescent="0.25">
      <c r="BF93" t="s">
        <v>2119</v>
      </c>
      <c r="BG93">
        <v>5</v>
      </c>
    </row>
    <row r="94" spans="58:59" x14ac:dyDescent="0.25">
      <c r="BF94" t="s">
        <v>2127</v>
      </c>
      <c r="BG94">
        <v>100000</v>
      </c>
    </row>
    <row r="95" spans="58:59" x14ac:dyDescent="0.25">
      <c r="BF95" t="s">
        <v>2131</v>
      </c>
      <c r="BG95">
        <v>100000</v>
      </c>
    </row>
    <row r="96" spans="58:59" x14ac:dyDescent="0.25">
      <c r="BF96" t="s">
        <v>2179</v>
      </c>
    </row>
    <row r="97" spans="58:59" x14ac:dyDescent="0.25">
      <c r="BF97" t="s">
        <v>2132</v>
      </c>
      <c r="BG97">
        <v>50000</v>
      </c>
    </row>
    <row r="98" spans="58:59" x14ac:dyDescent="0.25">
      <c r="BF98" t="s">
        <v>2139</v>
      </c>
      <c r="BG98">
        <v>5</v>
      </c>
    </row>
    <row r="99" spans="58:59" x14ac:dyDescent="0.25">
      <c r="BF99" t="s">
        <v>2140</v>
      </c>
      <c r="BG99">
        <f>IF(AND(OR(ISNUMBER(SEARCH("SPOT UP / VOL UP —",'Master Dashboard'!$E$28)),ISNUMBER(SEARCH("SPOT UP / TERM VOL UP —",'Master Dashboard'!$E$28))),NOT(ISNUMBER(SEARCH("SPOT DOWN / TERM VOL UP",'Master Dashboard'!$E$28)))),1,0)</f>
        <v>0</v>
      </c>
    </row>
    <row r="100" spans="58:59" x14ac:dyDescent="0.25">
      <c r="BF100" t="s">
        <v>2180</v>
      </c>
      <c r="BG100">
        <v>100000</v>
      </c>
    </row>
    <row r="101" spans="58:59" x14ac:dyDescent="0.25">
      <c r="BF101" t="s">
        <v>2181</v>
      </c>
      <c r="BG101">
        <v>2</v>
      </c>
    </row>
    <row r="102" spans="58:59" x14ac:dyDescent="0.25">
      <c r="BF102" t="s">
        <v>2182</v>
      </c>
      <c r="BG102">
        <v>1</v>
      </c>
    </row>
    <row r="103" spans="58:59" x14ac:dyDescent="0.25">
      <c r="BF103" t="s">
        <v>2183</v>
      </c>
      <c r="BG103">
        <v>1000</v>
      </c>
    </row>
    <row r="104" spans="58:59" x14ac:dyDescent="0.25">
      <c r="BF104" t="s">
        <v>2184</v>
      </c>
      <c r="BG104">
        <v>5</v>
      </c>
    </row>
    <row r="105" spans="58:59" x14ac:dyDescent="0.25">
      <c r="BF105" t="s">
        <v>2185</v>
      </c>
      <c r="BG105">
        <f>IFERROR(IF(MAX($AF$9:$AF$55)&gt;0,INDEX($AA$9:$AA$55,MATCH(MAX($AF$9:$AF$55),$AF$9:$AF$55,0)),""),"")</f>
        <v>7770</v>
      </c>
    </row>
    <row r="106" spans="58:59" x14ac:dyDescent="0.25">
      <c r="BF106" t="s">
        <v>2186</v>
      </c>
      <c r="BG106">
        <v>25</v>
      </c>
    </row>
    <row r="107" spans="58:59" x14ac:dyDescent="0.25">
      <c r="BF107" t="s">
        <v>2187</v>
      </c>
      <c r="BG107">
        <v>5</v>
      </c>
    </row>
    <row r="108" spans="58:59" x14ac:dyDescent="0.25">
      <c r="BF108" t="s">
        <v>2188</v>
      </c>
      <c r="BG108">
        <v>1000000</v>
      </c>
    </row>
    <row r="109" spans="58:59" x14ac:dyDescent="0.25">
      <c r="BF109" t="s">
        <v>2216</v>
      </c>
      <c r="BG109">
        <v>0</v>
      </c>
    </row>
    <row r="110" spans="58:59" x14ac:dyDescent="0.25">
      <c r="BF110" t="s">
        <v>2217</v>
      </c>
      <c r="BG110">
        <v>0.5</v>
      </c>
    </row>
    <row r="111" spans="58:59" x14ac:dyDescent="0.25">
      <c r="BF111" t="s">
        <v>2218</v>
      </c>
      <c r="BG111">
        <v>3</v>
      </c>
    </row>
    <row r="112" spans="58:59" x14ac:dyDescent="0.25">
      <c r="BF112" t="s">
        <v>2219</v>
      </c>
      <c r="BG112">
        <v>5</v>
      </c>
    </row>
    <row r="113" spans="58:59" x14ac:dyDescent="0.25">
      <c r="BF113" t="inlineStr">
        <is>
          <t>DEX lean rule (positive gamma, HW / KW): minimum |DEX| at the level -- 100K, the same as the iDex floor BG152 (2026-10-09 Giggles; was 150K)</t>
        </is>
      </c>
      <c r="BG113">
        <v>100000</v>
      </c>
    </row>
    <row r="114" spans="58:59" x14ac:dyDescent="0.25">
      <c r="BF114" t="s">
        <v>2221</v>
      </c>
      <c r="BG114">
        <v>0.4</v>
      </c>
    </row>
    <row r="115" spans="58:59" x14ac:dyDescent="0.25">
      <c r="BF115" t="s">
        <v>2222</v>
      </c>
      <c r="BG115">
        <v>0.1</v>
      </c>
    </row>
    <row r="116" spans="58:59" x14ac:dyDescent="0.25">
      <c r="BF116" t="s">
        <v>2223</v>
      </c>
      <c r="BG116">
        <v>0</v>
      </c>
    </row>
    <row r="117" spans="58:59" x14ac:dyDescent="0.25">
      <c r="BF117" t="s">
        <v>2224</v>
      </c>
      <c r="BG117">
        <f>IFERROR(SUMIFS($AE$9:$AE$55,$AA$9:$AA$55,"&gt;="&amp;($B$4-$BG$66),$AA$9:$AA$55,"&lt;="&amp;($B$4+$BG$66)),"")</f>
        <v>-4476116</v>
      </c>
    </row>
    <row r="118" spans="58:59" x14ac:dyDescent="0.25">
      <c r="BF118" t="s">
        <v>2225</v>
      </c>
      <c r="BG118">
        <f>IFERROR(INDEX($AA$9:$AA$55,MATCH(MAX($AZ$9:$AZ$55),$AZ$9:$AZ$55,0)),"")</f>
        <v>7750</v>
      </c>
    </row>
    <row r="119" spans="58:59" x14ac:dyDescent="0.25">
      <c r="BF119" t="s">
        <v>2226</v>
      </c>
      <c r="BG119">
        <f>IFERROR(INDEX($AA$9:$AA$55,MATCH(MIN($AZ$9:$AZ$55),$AZ$9:$AZ$55,0)),"")</f>
        <v>7780</v>
      </c>
    </row>
    <row r="120" spans="58:59" x14ac:dyDescent="0.25">
      <c r="BF120" t="s">
        <v>2227</v>
      </c>
      <c r="BG120">
        <f>IFERROR(INDEX($AA$9:$AA$55,MATCH(MAX($AE$9:$AE$55),$AE$9:$AE$55,0)),"")</f>
        <v>7705</v>
      </c>
    </row>
    <row r="121" spans="58:59" x14ac:dyDescent="0.25">
      <c r="BF121" t="s">
        <v>2228</v>
      </c>
      <c r="BG121">
        <f>IFERROR(INDEX($AA$9:$AA$55,MATCH(MIN($AE$9:$AE$55),$AE$9:$AE$55,0)),"")</f>
        <v>7800</v>
      </c>
    </row>
    <row r="122" spans="58:59" x14ac:dyDescent="0.25">
      <c r="BF122" t="s">
        <v>2229</v>
      </c>
      <c r="BG122">
        <f>IFERROR(INDEX('King Node Model'!$A$29:$A$75,MATCH(MAX('King Node Model'!$F$29:$F$75),'King Node Model'!$F$29:$F$75,0)),"")</f>
        <v>7750</v>
      </c>
    </row>
    <row r="123" spans="58:59" x14ac:dyDescent="0.25">
      <c r="BF123" t="s">
        <v>2230</v>
      </c>
      <c r="BG123">
        <v>7750</v>
      </c>
    </row>
    <row r="124" spans="58:59" x14ac:dyDescent="0.25">
      <c r="BF124" t="s">
        <v>2231</v>
      </c>
      <c r="BG124">
        <v>7750</v>
      </c>
    </row>
    <row r="125" spans="58:59" x14ac:dyDescent="0.25">
      <c r="BF125" t="s">
        <v>2232</v>
      </c>
      <c r="BG125">
        <v>7780</v>
      </c>
    </row>
    <row r="126" spans="58:59" x14ac:dyDescent="0.25">
      <c r="BF126" t="s">
        <v>2233</v>
      </c>
      <c r="BG126">
        <v>7790</v>
      </c>
    </row>
    <row r="127" spans="58:59" x14ac:dyDescent="0.25">
      <c r="BF127" t="s">
        <v>2234</v>
      </c>
      <c r="BG127">
        <v>1</v>
      </c>
    </row>
    <row r="128" spans="58:59" x14ac:dyDescent="0.25">
      <c r="BF128" t="s">
        <v>2235</v>
      </c>
      <c r="BG128">
        <v>0.12</v>
      </c>
    </row>
    <row r="129" spans="58:59" x14ac:dyDescent="0.25">
      <c r="BF129" t="s">
        <v>2236</v>
      </c>
      <c r="BG129">
        <f>MAX($AZ$9:$AZ$55)</f>
        <v>20533</v>
      </c>
    </row>
    <row r="130" spans="58:59" x14ac:dyDescent="0.25">
      <c r="BF130" t="s">
        <v>2237</v>
      </c>
      <c r="BG130">
        <f>MIN($AZ$9:$AZ$55)</f>
        <v>-4227</v>
      </c>
    </row>
    <row r="131" spans="58:59" x14ac:dyDescent="0.25">
      <c r="BF131" t="s">
        <v>2238</v>
      </c>
      <c r="BG131">
        <f>MAX($AD$9:$AD$55)</f>
        <v>3673666</v>
      </c>
    </row>
    <row r="132" spans="58:59" x14ac:dyDescent="0.25">
      <c r="BF132" t="s">
        <v>2239</v>
      </c>
      <c r="BG132">
        <f>MIN($AD$9:$AD$55)</f>
        <v>-699070</v>
      </c>
    </row>
    <row r="133" spans="58:59" x14ac:dyDescent="0.25">
      <c r="BF133" t="s">
        <v>2240</v>
      </c>
      <c r="BG133">
        <f>MAX($AF$9:$AF$55)</f>
        <v>20439820</v>
      </c>
    </row>
    <row r="134" spans="58:59" x14ac:dyDescent="0.25">
      <c r="BF134" t="s">
        <v>2241</v>
      </c>
      <c r="BG134">
        <f>MIN($AF$9:$AF$55)</f>
        <v>-12996522</v>
      </c>
    </row>
    <row r="135" spans="58:59" x14ac:dyDescent="0.25">
      <c r="BF135" t="s">
        <v>2242</v>
      </c>
      <c r="BG135">
        <v>100000</v>
      </c>
    </row>
    <row r="136" spans="58:59" x14ac:dyDescent="0.25">
      <c r="BF136" t="s">
        <v>2243</v>
      </c>
      <c r="BG136">
        <v>5</v>
      </c>
    </row>
    <row r="137" spans="58:59" x14ac:dyDescent="0.25">
      <c r="BF137" t="s">
        <v>2244</v>
      </c>
      <c r="BG137">
        <f>IF(NOT(ISNUMBER($BG$118)),0,IF(AND('Master Dashboard'!$B$2="Hide unsafe",IFERROR(INDEX($HP$9:$HP$55,MATCH($BG$118,$AA$9:$AA$55,0)),0)=1),0,IF(COUNTIF('King Node Model'!$AL$49:$AL$51,$BG$118)&gt;0,1,IF(COUNTIF('King Node Model'!$AL$42:$AL$44,$BG$118)&gt;0,2,0))))</f>
        <v>0</v>
      </c>
    </row>
    <row r="138" spans="58:59" x14ac:dyDescent="0.25">
      <c r="BF138" t="s">
        <v>2245</v>
      </c>
      <c r="BG138">
        <f>IF(NOT(ISNUMBER($BG$119)),0,IF(AND('Master Dashboard'!$B$2="Hide unsafe",IFERROR(INDEX($HP$9:$HP$55,MATCH($BG$119,$AA$9:$AA$55,0)),0)=1),0,IF(COUNTIF('King Node Model'!$AL$49:$AL$51,$BG$119)&gt;0,1,IF(COUNTIF('King Node Model'!$AL$42:$AL$44,$BG$119)&gt;0,2,0))))</f>
        <v>0</v>
      </c>
    </row>
    <row r="139" spans="58:59" x14ac:dyDescent="0.25">
      <c r="BF139" t="s">
        <v>2246</v>
      </c>
      <c r="BG139">
        <f>IF(NOT(ISNUMBER($BG$122)),0,IF(AND('Master Dashboard'!$B$2="Hide unsafe",IFERROR(INDEX($HP$9:$HP$55,MATCH($BG$122,$AA$9:$AA$55,0)),0)=1),0,IF(COUNTIF('King Node Model'!$AL$49:$AL$51,$BG$122)&gt;0,1,IF(COUNTIF('King Node Model'!$AL$42:$AL$44,$BG$122)&gt;0,2,0))))</f>
        <v>0</v>
      </c>
    </row>
    <row r="140" spans="58:59" x14ac:dyDescent="0.25">
      <c r="BF140" t="s">
        <v>2247</v>
      </c>
      <c r="BG140">
        <f>IF(NOT(ISNUMBER('King Node Model'!$F$24)),0,IF(AND('Master Dashboard'!$B$2="Hide unsafe",IFERROR(INDEX($HP$9:$HP$55,MATCH('King Node Model'!$F$24,$AA$9:$AA$55,0)),0)=1),0,IF(COUNTIF('King Node Model'!$AL$49:$AL$51,'King Node Model'!$F$24)&gt;0,1,IF(COUNTIF('King Node Model'!$AL$42:$AL$44,'King Node Model'!$F$24)&gt;0,2,0))))</f>
        <v>0</v>
      </c>
    </row>
    <row r="141" spans="58:59" x14ac:dyDescent="0.25">
      <c r="BF141" t="s">
        <v>2609</v>
      </c>
      <c r="BG141">
        <v>1</v>
      </c>
    </row>
    <row r="142" spans="58:59" x14ac:dyDescent="0.25">
      <c r="BF142" t="s">
        <v>2635</v>
      </c>
      <c r="BG142">
        <v>1000000</v>
      </c>
    </row>
    <row r="143" spans="58:59" x14ac:dyDescent="0.25">
      <c r="BF143" t="s">
        <v>2636</v>
      </c>
      <c r="BG143">
        <v>2</v>
      </c>
    </row>
    <row r="144" spans="58:59" x14ac:dyDescent="0.25">
      <c r="BF144" t="s">
        <v>2637</v>
      </c>
      <c r="BG144">
        <v>1000000</v>
      </c>
    </row>
    <row r="145" spans="58:59" x14ac:dyDescent="0.25">
      <c r="BF145" t="s">
        <v>2638</v>
      </c>
      <c r="BG145">
        <v>250000</v>
      </c>
    </row>
    <row r="146" spans="58:59" x14ac:dyDescent="0.25">
      <c r="BF146" t="s">
        <v>2639</v>
      </c>
      <c r="BG146">
        <f>IF(MAX($LY$9:$LY$55)=0,"",100000-SUMPRODUCT(MAX(($LY$9:$LY$55&gt;0)*(100000-$LY$9:$LY$55))))</f>
        <v>7790</v>
      </c>
    </row>
    <row r="147" spans="58:59" x14ac:dyDescent="0.25">
      <c r="BF147" t="s">
        <v>2640</v>
      </c>
      <c r="BG147">
        <f>IF(MAX($LZ$9:$LZ$55)=0,"",MAX($LZ$9:$LZ$55))</f>
        <v>7730</v>
      </c>
    </row>
    <row r="148" spans="58:59" x14ac:dyDescent="0.25">
      <c r="BF148" t="s">
        <v>2641</v>
      </c>
      <c r="BG148">
        <v>3</v>
      </c>
    </row>
    <row r="149" spans="58:59" x14ac:dyDescent="0.25">
      <c r="BF149" t="s">
        <v>2760</v>
      </c>
      <c r="BG149">
        <f>IF(MAX($MJ$9:$MJ$55)=0,"",100000-SUMPRODUCT(MAX(($MJ$9:$MJ$55&gt;0)*(100000-$MJ$9:$MJ$55))))</f>
        <v>7790</v>
      </c>
    </row>
    <row r="150" spans="58:59" x14ac:dyDescent="0.25">
      <c r="BF150" t="s">
        <v>2761</v>
      </c>
      <c r="BG150" t="str">
        <f>IF(MAX($MK$9:$MK$55)=0,"",MAX($MK$9:$MK$55))</f>
        <v/>
      </c>
    </row>
    <row r="151" spans="58:59">
      <c r="BF151" t="inlineStr">
        <is>
          <t>OI skew backer (C-OI / P-OI): heavy side must be at least this multiple of the other side AT THE STRIKE (2026-10-08, 7775)</t>
        </is>
      </c>
      <c r="BG151">
        <v>1.5</v>
      </c>
    </row>
    <row r="152" spans="58:59">
      <c r="BF152" t="inlineStr">
        <is>
          <t>iDex size floor: |DEX| at the level must be at least this (absolute; 2026-10-09 Giggles, replaced the 50%-of-neighbours floor -- archive: isolated DEX &gt;= 100K held 11 of 16, under 100K 6 of 18)</t>
        </is>
      </c>
      <c r="BG152">
        <v>100000</v>
      </c>
    </row>
    <row r="153" spans="58:59">
      <c r="BF153" t="inlineStr">
        <is>
          <t>dEdge: |DEX| of the strike BEYOND the level must be at most this fraction of the inner neighbour's |DEX| (a dip with large DEX both sides is not an edge; 2026-10-08, 7775)</t>
        </is>
      </c>
      <c r="BG153">
        <v>0.5</v>
      </c>
    </row>
    <row r="154" spans="58:59">
      <c r="BF154" t="inlineStr">
        <is>
          <t>dEdge on SUPPORTS: 1 = on, 0 = off (2026-10-09, Giggles: dEdge supports won 1 of 9 in the archive, both regimes). Off removes dEdge from supports everywhere -- backer, confluence, reversal flag, dEdge Cliff tag, cliff warning; resistances unchanged</t>
        </is>
      </c>
      <c r="BG154">
        <v>0</v>
      </c>
    </row>
    <row r="155" spans="58:59">
      <c r="BF155" t="inlineStr">
        <is>
          <t>GEX pocket TAKE PROFIT for longs (auto, NEGATIVE gamma): nearest pocketTPup strike above spot (ML/MN)</t>
        </is>
      </c>
      <c r="BG155">
        <f>IF(MAX($MN$9:$MN$55)=0,"",100000-SUMPRODUCT(MAX(($MN$9:$MN$55&gt;0)*(100000-$MN$9:$MN$55))))</f>
      </c>
    </row>
    <row r="156" spans="58:59">
      <c r="BF156" t="inlineStr">
        <is>
          <t>GEX pocket TAKE PROFIT for shorts (auto, NEGATIVE gamma): nearest pocketTPdn strike below spot (MM/MO)</t>
        </is>
      </c>
      <c r="BG156">
        <f>IF(MAX($MO$9:$MO$55)=0,"",MAX($MO$9:$MO$55))</f>
      </c>
    </row>
    <row r="157" spans="58:59">
      <c r="BF157" t="inlineStr">
        <is>
          <t>DEX lean removes Dex↓ (MR): 1 = on, 0 = off (2026-10-09, Giggles, both regimes)</t>
        </is>
      </c>
      <c r="BG157">
        <v>1</v>
      </c>
    </row>
    <row r="158" spans="58:59">
      <c r="BF158" t="inlineStr">
        <is>
          <t>Min GEX + Max Zomma support: vanna BUY at or above this (|VEX|) clears the "Zomma ACCEL building" warning (MT). 2026-10-09, Giggles; 150K, same as the DOM vanna threshold BG92 (Giggles 2026-10-09: keep it consistent; was 400K)</t>
        </is>
      </c>
      <c r="BG158">
        <v>150000</v>
      </c>
    </row>
    <row r="159" spans="58:59">
      <c r="BF159" t="inlineStr">
        <is>
          <t>Dex↓ shoulder rule (MW): Dex↓ is not counted when the level's |DEX| is under this fraction of the |DEX| of the strike on its spot side. 0 = off (2026-10-09, Giggles)</t>
        </is>
      </c>
      <c r="BG159">
        <v>0.5</v>
      </c>
    </row>
    <row r="160" spans="58:59">
      <c r="BF160" t="inlineStr">
        <is>
          <t>Gxp floor (BX, negative gamma): a positive-GEX pocket strike needs GEX of at least this to earn Gxp (2026-10-09, Giggles; mirrors the 100K DEX noise floor BG100)</t>
        </is>
      </c>
      <c r="BG160">
        <v>100000</v>
      </c>
    </row>
    <row r="161" spans="58:59">
      <c r="BF161" t="inlineStr">
        <is>
          <t>Direction for the DEX take profit (auto): nearest SAFE support below spot (support rows, no UNSAFE flag), 0 = none</t>
        </is>
      </c>
      <c r="BG161">
        <f>SUMPRODUCT(MAX(N('King Node Model'!$AL$49)*ISNUMBER('King Node Model'!$AL$49)*(SUMIF($AA$9:$AA$55,'King Node Model'!$AL$49,$HP$9:$HP$55)=0),N('King Node Model'!$AL$50)*ISNUMBER('King Node Model'!$AL$50)*(SUMIF($AA$9:$AA$55,'King Node Model'!$AL$50,$HP$9:$HP$55)=0),N('King Node Model'!$AL$51)*ISNUMBER('King Node Model'!$AL$51)*(SUMIF($AA$9:$AA$55,'King Node Model'!$AL$51,$HP$9:$HP$55)=0)))</f>
      </c>
    </row>
    <row r="162" spans="58:59">
      <c r="BF162" t="inlineStr">
        <is>
          <t>Direction for the DEX take profit (auto): nearest SAFE resistance above spot (resistance rows, no UNSAFE flag), 99999 = none</t>
        </is>
      </c>
      <c r="BG162">
        <f>99999-SUMPRODUCT(MAX((99999-N('King Node Model'!$AL$42))*ISNUMBER('King Node Model'!$AL$42)*(SUMIF($AA$9:$AA$55,'King Node Model'!$AL$42,$HP$9:$HP$55)=0),(99999-N('King Node Model'!$AL$43))*ISNUMBER('King Node Model'!$AL$43)*(SUMIF($AA$9:$AA$55,'King Node Model'!$AL$43,$HP$9:$HP$55)=0),(99999-N('King Node Model'!$AL$44))*ISNUMBER('King Node Model'!$AL$44)*(SUMIF($AA$9:$AA$55,'King Node Model'!$AL$44,$HP$9:$HP$55)=0)))</f>
      </c>
    </row>
    <row r="163" spans="58:59">
      <c r="BF163" t="inlineStr">
        <is>
          <t>Direction for the DEX take profit (auto): 1 = heading UP (a SAFE support below, no SAFE resistance above) -&gt; take profits above; -1 = heading DOWN (a SAFE resistance above, no SAFE support below) -&gt; take profits below; 0 = boxed between a SAFE support and a SAFE resistance, or no SAFE level -&gt; no take profit (boxed case 2026-10-09) (2026-10-09, Giggles)</t>
        </is>
      </c>
      <c r="BG163">
        <f>IF(AND($BG$161&gt;0,$BG$162&lt;99999),0,IF($BG$161&gt;0,1,IF($BG$162&lt;99999,-1,0)))</f>
      </c>
    </row>
    <row r="164" spans="58:59">
      <c r="BF164" t="inlineStr">
        <is>
          <t>DOM forming threshold (display only): the Min GEX strike's gamma as a share of the Max Gamma strike's (2026-10-09 Giggles; fixed at 90% for the pre-registered re-test)</t>
        </is>
      </c>
      <c r="BG164">
        <v>0.9</v>
      </c>
    </row>
    <row r="165" spans="58:59">
      <c r="BF165" t="inlineStr">
        <is>
          <t>DOM forming strike (auto): the Min GEX strike when it is not yet Max Gamma but its gamma is at least BG164 of the max, negative or fragile gamma; blank otherwise. Ladder ◇</t>
        </is>
      </c>
      <c r="BG165">
        <f>IF(AND(OR('King Node Model'!$A$8="Neg",N($BG$72)=1),ISNUMBER('King Node Model'!$T$23),ISNUMBER('King Node Model'!$B$23),'King Node Model'!$T$23&lt;&gt;'King Node Model'!$B$23,IFERROR(INDEX($AC$9:$AC$55,MATCH('King Node Model'!$T$23,$AA$9:$AA$55,0))/INDEX($AC$9:$AC$55,MATCH('King Node Model'!$B$23,$AA$9:$AA$55,0)),0)&gt;=$BG$164),'King Node Model'!$T$23,"")</f>
      </c>
    </row>
    <row r="166" spans="58:59">
      <c r="BF166" t="inlineStr">
        <is>
          <t>DOM forming ratio (auto): Min GEX gamma / Max Gamma</t>
        </is>
      </c>
      <c r="BG166">
        <f>IFERROR(INDEX($AC$9:$AC$55,MATCH('King Node Model'!$T$23,$AA$9:$AA$55,0))/INDEX($AC$9:$AC$55,MATCH('King Node Model'!$B$23,$AA$9:$AA$55,0)),0)</f>
      </c>
    </row>
  </sheetData>
  <conditionalFormatting sqref="G9:G14">
    <cfRule type="expression" dxfId="7" priority="2">
      <formula>OR(ISNUMBER(SEARCH("STRENGTHENING",G9)),ISNUMBER(SEARCH("fading",G9)))</formula>
    </cfRule>
    <cfRule type="expression" dxfId="6" priority="3">
      <formula>ISNUMBER(SEARCH("WEAKENING",G9))</formula>
    </cfRule>
    <cfRule type="expression" dxfId="5" priority="4">
      <formula>ISNUMBER(SEARCH("building",G9))</formula>
    </cfRule>
    <cfRule type="expression" dxfId="4" priority="5">
      <formula>ISNUMBER(SEARCH("Dormant",G9))</formula>
    </cfRule>
  </conditionalFormatting>
  <conditionalFormatting sqref="G18:G23">
    <cfRule type="expression" dxfId="3" priority="6">
      <formula>OR(ISNUMBER(SEARCH("STRENGTHENING",G18)),ISNUMBER(SEARCH("fading",G18)))</formula>
    </cfRule>
    <cfRule type="expression" dxfId="2" priority="7">
      <formula>ISNUMBER(SEARCH("WEAKENING",G18))</formula>
    </cfRule>
    <cfRule type="expression" dxfId="1" priority="8">
      <formula>ISNUMBER(SEARCH("building",G18))</formula>
    </cfRule>
    <cfRule type="expression" dxfId="0" priority="9">
      <formula>ISNUMBER(SEARCH("Dormant",G18))</formula>
    </cfRule>
  </conditionalFormatting>
  <dataValidations count="2">
    <dataValidation type="list" allowBlank="1" errorTitle="IV direction override" error="Enter UP, DOWN, or FLAT (or leave blank for automatic)." sqref="C5">
      <formula1>"UP,DOWN,FLAT"</formula1>
      <formula2>0</formula2>
    </dataValidation>
    <dataValidation type="list" allowBlank="1" promptTitle="IV override" prompt="Leave blank for auto IV, or pick High/Low to override" sqref="H4">
      <formula1>"High,Low"</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Views>
    <sheetView zoomScaleNormal="100" workbookViewId="0">
      <selection activeCell="J1" sqref="J1"/>
    </sheetView>
  </sheetViews>
  <sheetFormatPr defaultColWidth="8.7109375" defaultRowHeight="15" x14ac:dyDescent="0.25"/>
  <cols>
    <col min="10" max="10" width="42.140625" bestFit="1" customWidth="1"/>
  </cols>
  <sheetData>
    <row r="1" spans="1:19" s="33" customFormat="1" ht="15" customHeight="1" x14ac:dyDescent="0.25">
      <c r="A1" s="495" t="s">
        <v>495</v>
      </c>
      <c r="B1" s="495" t="s">
        <v>212</v>
      </c>
      <c r="C1" s="495" t="s">
        <v>91</v>
      </c>
      <c r="D1" s="495" t="s">
        <v>91</v>
      </c>
      <c r="E1" s="495" t="s">
        <v>91</v>
      </c>
      <c r="F1" s="495" t="s">
        <v>91</v>
      </c>
      <c r="G1" s="495" t="s">
        <v>91</v>
      </c>
      <c r="H1" s="495" t="s">
        <v>91</v>
      </c>
      <c r="I1" s="495" t="s">
        <v>91</v>
      </c>
      <c r="J1" s="495" t="s">
        <v>496</v>
      </c>
      <c r="K1" s="495" t="s">
        <v>497</v>
      </c>
      <c r="L1" s="495" t="s">
        <v>498</v>
      </c>
      <c r="M1" s="495" t="s">
        <v>499</v>
      </c>
      <c r="N1" s="495" t="s">
        <v>258</v>
      </c>
      <c r="O1" s="495" t="s">
        <v>500</v>
      </c>
      <c r="P1" s="495" t="s">
        <v>501</v>
      </c>
      <c r="Q1" s="495" t="s">
        <v>502</v>
      </c>
      <c r="R1" s="495" t="s">
        <v>262</v>
      </c>
      <c r="S1" s="495" t="s">
        <v>397</v>
      </c>
    </row>
    <row r="2" spans="1:19" s="33" customFormat="1" ht="15" customHeight="1" x14ac:dyDescent="0.25">
      <c r="A2" s="495" t="s">
        <v>503</v>
      </c>
      <c r="B2" s="495" t="s">
        <v>225</v>
      </c>
      <c r="C2" s="495" t="s">
        <v>91</v>
      </c>
      <c r="D2" s="495" t="s">
        <v>91</v>
      </c>
      <c r="E2" s="495" t="s">
        <v>91</v>
      </c>
      <c r="F2" s="495" t="s">
        <v>91</v>
      </c>
      <c r="G2" s="495" t="s">
        <v>91</v>
      </c>
      <c r="H2" s="495" t="s">
        <v>91</v>
      </c>
      <c r="I2" s="495" t="s">
        <v>91</v>
      </c>
      <c r="J2" s="495" t="s">
        <v>504</v>
      </c>
      <c r="K2" s="495" t="s">
        <v>497</v>
      </c>
      <c r="L2" s="495" t="s">
        <v>505</v>
      </c>
      <c r="M2" s="495" t="s">
        <v>506</v>
      </c>
      <c r="N2" s="495" t="s">
        <v>507</v>
      </c>
      <c r="O2" s="495" t="s">
        <v>508</v>
      </c>
      <c r="P2" s="495" t="s">
        <v>509</v>
      </c>
      <c r="Q2" s="495" t="s">
        <v>510</v>
      </c>
      <c r="R2" s="495" t="s">
        <v>252</v>
      </c>
      <c r="S2" s="495" t="s">
        <v>397</v>
      </c>
    </row>
    <row r="3" spans="1:19" s="33" customFormat="1" ht="15" customHeight="1" x14ac:dyDescent="0.25">
      <c r="A3" s="471" t="s">
        <v>309</v>
      </c>
      <c r="B3" s="471" t="s">
        <v>212</v>
      </c>
      <c r="C3" s="471" t="s">
        <v>91</v>
      </c>
      <c r="D3" s="471" t="s">
        <v>213</v>
      </c>
      <c r="E3" s="471" t="s">
        <v>91</v>
      </c>
      <c r="F3" s="471" t="s">
        <v>91</v>
      </c>
      <c r="G3" s="471" t="s">
        <v>91</v>
      </c>
      <c r="H3" s="471" t="s">
        <v>91</v>
      </c>
      <c r="I3" s="471" t="s">
        <v>91</v>
      </c>
      <c r="J3" s="471" t="s">
        <v>310</v>
      </c>
      <c r="K3" s="471" t="s">
        <v>311</v>
      </c>
      <c r="L3" s="471" t="s">
        <v>312</v>
      </c>
      <c r="M3" s="471" t="s">
        <v>313</v>
      </c>
      <c r="N3" s="471" t="s">
        <v>314</v>
      </c>
      <c r="O3" s="471" t="s">
        <v>315</v>
      </c>
      <c r="P3" s="471" t="s">
        <v>316</v>
      </c>
      <c r="Q3" s="471" t="s">
        <v>317</v>
      </c>
      <c r="R3" s="471"/>
      <c r="S3" s="471"/>
    </row>
    <row r="4" spans="1:19" s="497" customFormat="1" ht="15" customHeight="1" x14ac:dyDescent="0.25">
      <c r="A4" s="503" t="s">
        <v>318</v>
      </c>
      <c r="B4" s="503" t="s">
        <v>225</v>
      </c>
      <c r="C4" s="503" t="s">
        <v>91</v>
      </c>
      <c r="D4" s="503" t="s">
        <v>213</v>
      </c>
      <c r="E4" s="503" t="s">
        <v>91</v>
      </c>
      <c r="F4" s="503" t="s">
        <v>91</v>
      </c>
      <c r="G4" s="503" t="s">
        <v>91</v>
      </c>
      <c r="H4" s="503" t="s">
        <v>91</v>
      </c>
      <c r="I4" s="503" t="s">
        <v>91</v>
      </c>
      <c r="J4" s="503" t="s">
        <v>1601</v>
      </c>
      <c r="K4" s="503" t="s">
        <v>311</v>
      </c>
      <c r="L4" s="503" t="s">
        <v>312</v>
      </c>
      <c r="M4" s="503" t="s">
        <v>319</v>
      </c>
      <c r="N4" s="503" t="s">
        <v>320</v>
      </c>
      <c r="O4" s="503" t="s">
        <v>321</v>
      </c>
      <c r="P4" s="497" t="s">
        <v>1613</v>
      </c>
      <c r="Q4" s="497" t="s">
        <v>1614</v>
      </c>
      <c r="R4" s="503"/>
      <c r="S4" s="503"/>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
  <sheetViews>
    <sheetView zoomScaleNormal="100" workbookViewId="0"/>
  </sheetViews>
  <sheetFormatPr defaultColWidth="8.7109375" defaultRowHeight="15" x14ac:dyDescent="0.25"/>
  <cols>
    <col min="1" max="1" width="10" style="1" customWidth="1"/>
    <col min="2" max="4" width="7" style="1" customWidth="1"/>
    <col min="5" max="5" width="22" style="1" customWidth="1"/>
    <col min="6" max="6" width="34" style="1" customWidth="1"/>
    <col min="7" max="7" width="30" style="1" customWidth="1"/>
    <col min="8" max="8" width="34" style="1" customWidth="1"/>
    <col min="9" max="9" width="16" style="1" customWidth="1"/>
    <col min="10" max="10" width="26" style="1" customWidth="1"/>
    <col min="11" max="11" width="9" style="1" customWidth="1"/>
  </cols>
  <sheetData>
    <row r="1" spans="1:11" ht="15" customHeight="1" x14ac:dyDescent="0.25">
      <c r="A1" s="417" t="s">
        <v>14</v>
      </c>
      <c r="B1" s="417" t="s">
        <v>1256</v>
      </c>
      <c r="C1" s="417" t="s">
        <v>1257</v>
      </c>
      <c r="D1" s="417" t="s">
        <v>1258</v>
      </c>
      <c r="E1" s="417" t="s">
        <v>9</v>
      </c>
      <c r="F1" s="417" t="s">
        <v>1084</v>
      </c>
      <c r="G1" s="417" t="s">
        <v>1085</v>
      </c>
      <c r="H1" s="417" t="s">
        <v>939</v>
      </c>
      <c r="I1" s="417" t="s">
        <v>1259</v>
      </c>
      <c r="J1" s="417" t="s">
        <v>1260</v>
      </c>
      <c r="K1" s="417" t="s">
        <v>1261</v>
      </c>
    </row>
    <row r="2" spans="1:11" ht="15" customHeight="1" x14ac:dyDescent="0.25">
      <c r="A2" s="1" t="s">
        <v>1262</v>
      </c>
      <c r="B2" s="1" t="s">
        <v>78</v>
      </c>
      <c r="C2" s="1" t="s">
        <v>78</v>
      </c>
      <c r="D2" s="1" t="s">
        <v>1263</v>
      </c>
      <c r="E2" s="1" t="s">
        <v>1264</v>
      </c>
      <c r="F2" s="1" t="s">
        <v>1265</v>
      </c>
      <c r="G2" s="1" t="s">
        <v>1266</v>
      </c>
      <c r="H2" s="1" t="s">
        <v>1267</v>
      </c>
      <c r="I2" s="1" t="s">
        <v>1268</v>
      </c>
      <c r="J2" s="1" t="str">
        <f t="shared" ref="J2:J33" si="0">A2&amp;"|"&amp;B2&amp;"|"&amp;C2&amp;"|"&amp;D2</f>
        <v>Positive|Flat|Flat|Up</v>
      </c>
      <c r="K2" s="1" t="s">
        <v>225</v>
      </c>
    </row>
    <row r="3" spans="1:11" ht="15" customHeight="1" x14ac:dyDescent="0.25">
      <c r="A3" s="1" t="s">
        <v>1262</v>
      </c>
      <c r="B3" s="1" t="s">
        <v>78</v>
      </c>
      <c r="C3" s="1" t="s">
        <v>78</v>
      </c>
      <c r="D3" s="1" t="s">
        <v>78</v>
      </c>
      <c r="E3" s="1" t="s">
        <v>78</v>
      </c>
      <c r="F3" s="1" t="s">
        <v>1269</v>
      </c>
      <c r="G3" s="1" t="s">
        <v>1270</v>
      </c>
      <c r="H3" s="1" t="s">
        <v>1271</v>
      </c>
      <c r="I3" s="1" t="s">
        <v>1268</v>
      </c>
      <c r="J3" s="1" t="str">
        <f t="shared" si="0"/>
        <v>Positive|Flat|Flat|Flat</v>
      </c>
      <c r="K3" s="1" t="s">
        <v>225</v>
      </c>
    </row>
    <row r="4" spans="1:11" ht="15" customHeight="1" x14ac:dyDescent="0.25">
      <c r="A4" s="1" t="s">
        <v>1262</v>
      </c>
      <c r="B4" s="1" t="s">
        <v>78</v>
      </c>
      <c r="C4" s="1" t="s">
        <v>78</v>
      </c>
      <c r="D4" s="1" t="s">
        <v>1272</v>
      </c>
      <c r="E4" s="1" t="s">
        <v>1273</v>
      </c>
      <c r="F4" s="1" t="s">
        <v>1274</v>
      </c>
      <c r="G4" s="1" t="s">
        <v>1275</v>
      </c>
      <c r="H4" s="1" t="s">
        <v>1276</v>
      </c>
      <c r="I4" s="1" t="s">
        <v>1268</v>
      </c>
      <c r="J4" s="1" t="str">
        <f t="shared" si="0"/>
        <v>Positive|Flat|Flat|Down</v>
      </c>
      <c r="K4" s="1" t="s">
        <v>225</v>
      </c>
    </row>
    <row r="5" spans="1:11" ht="15" customHeight="1" x14ac:dyDescent="0.25">
      <c r="A5" s="1" t="s">
        <v>1262</v>
      </c>
      <c r="B5" s="1" t="s">
        <v>78</v>
      </c>
      <c r="C5" s="1" t="s">
        <v>1263</v>
      </c>
      <c r="D5" s="1" t="s">
        <v>1263</v>
      </c>
      <c r="E5" s="1" t="s">
        <v>1277</v>
      </c>
      <c r="F5" s="1" t="s">
        <v>1278</v>
      </c>
      <c r="G5" s="1" t="s">
        <v>1279</v>
      </c>
      <c r="H5" s="1" t="s">
        <v>1280</v>
      </c>
      <c r="I5" s="1" t="s">
        <v>1281</v>
      </c>
      <c r="J5" s="1" t="str">
        <f t="shared" si="0"/>
        <v>Positive|Flat|Up|Up</v>
      </c>
      <c r="K5" s="1" t="s">
        <v>212</v>
      </c>
    </row>
    <row r="6" spans="1:11" ht="15" customHeight="1" x14ac:dyDescent="0.25">
      <c r="A6" s="1" t="s">
        <v>1262</v>
      </c>
      <c r="B6" s="1" t="s">
        <v>78</v>
      </c>
      <c r="C6" s="1" t="s">
        <v>1263</v>
      </c>
      <c r="D6" s="1" t="s">
        <v>78</v>
      </c>
      <c r="E6" s="1" t="s">
        <v>1282</v>
      </c>
      <c r="F6" s="1" t="s">
        <v>1283</v>
      </c>
      <c r="G6" s="1" t="s">
        <v>1284</v>
      </c>
      <c r="H6" s="1" t="s">
        <v>1285</v>
      </c>
      <c r="I6" s="1" t="s">
        <v>1281</v>
      </c>
      <c r="J6" s="1" t="str">
        <f t="shared" si="0"/>
        <v>Positive|Flat|Up|Flat</v>
      </c>
      <c r="K6" s="1" t="s">
        <v>212</v>
      </c>
    </row>
    <row r="7" spans="1:11" ht="15" customHeight="1" x14ac:dyDescent="0.25">
      <c r="A7" s="1" t="s">
        <v>1262</v>
      </c>
      <c r="B7" s="1" t="s">
        <v>78</v>
      </c>
      <c r="C7" s="1" t="s">
        <v>1263</v>
      </c>
      <c r="D7" s="1" t="s">
        <v>1272</v>
      </c>
      <c r="E7" s="1" t="s">
        <v>1286</v>
      </c>
      <c r="F7" s="1" t="s">
        <v>1287</v>
      </c>
      <c r="G7" s="1" t="s">
        <v>1288</v>
      </c>
      <c r="H7" s="1" t="s">
        <v>1289</v>
      </c>
      <c r="I7" s="1" t="s">
        <v>1281</v>
      </c>
      <c r="J7" s="1" t="str">
        <f t="shared" si="0"/>
        <v>Positive|Flat|Up|Down</v>
      </c>
      <c r="K7" s="1" t="s">
        <v>212</v>
      </c>
    </row>
    <row r="8" spans="1:11" ht="15" customHeight="1" x14ac:dyDescent="0.25">
      <c r="A8" s="1" t="s">
        <v>1262</v>
      </c>
      <c r="B8" s="1" t="s">
        <v>78</v>
      </c>
      <c r="C8" s="1" t="s">
        <v>1272</v>
      </c>
      <c r="D8" s="1" t="s">
        <v>1263</v>
      </c>
      <c r="E8" s="1" t="s">
        <v>1290</v>
      </c>
      <c r="F8" s="1" t="s">
        <v>1291</v>
      </c>
      <c r="G8" s="1" t="s">
        <v>1292</v>
      </c>
      <c r="H8" s="1" t="s">
        <v>1293</v>
      </c>
      <c r="I8" s="1" t="s">
        <v>1268</v>
      </c>
      <c r="J8" s="1" t="str">
        <f t="shared" si="0"/>
        <v>Positive|Flat|Down|Up</v>
      </c>
      <c r="K8" s="1" t="s">
        <v>225</v>
      </c>
    </row>
    <row r="9" spans="1:11" ht="15" customHeight="1" x14ac:dyDescent="0.25">
      <c r="A9" s="1" t="s">
        <v>1262</v>
      </c>
      <c r="B9" s="1" t="s">
        <v>78</v>
      </c>
      <c r="C9" s="1" t="s">
        <v>1272</v>
      </c>
      <c r="D9" s="1" t="s">
        <v>78</v>
      </c>
      <c r="E9" s="1" t="s">
        <v>1294</v>
      </c>
      <c r="F9" s="1" t="s">
        <v>1295</v>
      </c>
      <c r="G9" s="1" t="s">
        <v>1296</v>
      </c>
      <c r="H9" s="1" t="s">
        <v>1297</v>
      </c>
      <c r="I9" s="1" t="s">
        <v>1268</v>
      </c>
      <c r="J9" s="1" t="str">
        <f t="shared" si="0"/>
        <v>Positive|Flat|Down|Flat</v>
      </c>
      <c r="K9" s="1" t="s">
        <v>225</v>
      </c>
    </row>
    <row r="10" spans="1:11" ht="15" customHeight="1" x14ac:dyDescent="0.25">
      <c r="A10" s="1" t="s">
        <v>1262</v>
      </c>
      <c r="B10" s="1" t="s">
        <v>78</v>
      </c>
      <c r="C10" s="1" t="s">
        <v>1272</v>
      </c>
      <c r="D10" s="1" t="s">
        <v>1272</v>
      </c>
      <c r="E10" s="1" t="s">
        <v>1298</v>
      </c>
      <c r="F10" s="1" t="s">
        <v>1299</v>
      </c>
      <c r="G10" s="1" t="s">
        <v>1300</v>
      </c>
      <c r="H10" s="1" t="s">
        <v>1301</v>
      </c>
      <c r="I10" s="1" t="s">
        <v>1268</v>
      </c>
      <c r="J10" s="1" t="str">
        <f t="shared" si="0"/>
        <v>Positive|Flat|Down|Down</v>
      </c>
      <c r="K10" s="1" t="s">
        <v>225</v>
      </c>
    </row>
    <row r="11" spans="1:11" ht="15" customHeight="1" x14ac:dyDescent="0.25">
      <c r="A11" s="1" t="s">
        <v>1262</v>
      </c>
      <c r="B11" s="1" t="s">
        <v>1263</v>
      </c>
      <c r="C11" s="1" t="s">
        <v>78</v>
      </c>
      <c r="D11" s="1" t="s">
        <v>1263</v>
      </c>
      <c r="E11" s="1" t="s">
        <v>1302</v>
      </c>
      <c r="F11" s="1" t="s">
        <v>1303</v>
      </c>
      <c r="G11" s="1" t="s">
        <v>1304</v>
      </c>
      <c r="H11" s="1" t="s">
        <v>1305</v>
      </c>
      <c r="I11" s="1" t="s">
        <v>1281</v>
      </c>
      <c r="J11" s="1" t="str">
        <f t="shared" si="0"/>
        <v>Positive|Up|Flat|Up</v>
      </c>
      <c r="K11" s="1" t="s">
        <v>212</v>
      </c>
    </row>
    <row r="12" spans="1:11" ht="15" customHeight="1" x14ac:dyDescent="0.25">
      <c r="A12" s="1" t="s">
        <v>1262</v>
      </c>
      <c r="B12" s="1" t="s">
        <v>1263</v>
      </c>
      <c r="C12" s="1" t="s">
        <v>78</v>
      </c>
      <c r="D12" s="1" t="s">
        <v>78</v>
      </c>
      <c r="E12" s="1" t="s">
        <v>1306</v>
      </c>
      <c r="F12" s="1" t="s">
        <v>1307</v>
      </c>
      <c r="G12" s="1" t="s">
        <v>1308</v>
      </c>
      <c r="H12" s="1" t="s">
        <v>1309</v>
      </c>
      <c r="I12" s="1" t="s">
        <v>1281</v>
      </c>
      <c r="J12" s="1" t="str">
        <f t="shared" si="0"/>
        <v>Positive|Up|Flat|Flat</v>
      </c>
      <c r="K12" s="1" t="s">
        <v>212</v>
      </c>
    </row>
    <row r="13" spans="1:11" ht="15" customHeight="1" x14ac:dyDescent="0.25">
      <c r="A13" s="1" t="s">
        <v>1262</v>
      </c>
      <c r="B13" s="1" t="s">
        <v>1263</v>
      </c>
      <c r="C13" s="1" t="s">
        <v>78</v>
      </c>
      <c r="D13" s="1" t="s">
        <v>1272</v>
      </c>
      <c r="E13" s="1" t="s">
        <v>1310</v>
      </c>
      <c r="F13" s="1" t="s">
        <v>1311</v>
      </c>
      <c r="G13" s="1" t="s">
        <v>1312</v>
      </c>
      <c r="H13" s="1" t="s">
        <v>1313</v>
      </c>
      <c r="I13" s="1" t="s">
        <v>1268</v>
      </c>
      <c r="J13" s="1" t="str">
        <f t="shared" si="0"/>
        <v>Positive|Up|Flat|Down</v>
      </c>
      <c r="K13" s="1" t="s">
        <v>225</v>
      </c>
    </row>
    <row r="14" spans="1:11" ht="15" customHeight="1" x14ac:dyDescent="0.25">
      <c r="A14" s="1" t="s">
        <v>1262</v>
      </c>
      <c r="B14" s="1" t="s">
        <v>1263</v>
      </c>
      <c r="C14" s="1" t="s">
        <v>1263</v>
      </c>
      <c r="D14" s="1" t="s">
        <v>1263</v>
      </c>
      <c r="E14" s="1" t="s">
        <v>1314</v>
      </c>
      <c r="F14" s="1" t="s">
        <v>1315</v>
      </c>
      <c r="G14" s="1" t="s">
        <v>1316</v>
      </c>
      <c r="H14" s="1" t="s">
        <v>1317</v>
      </c>
      <c r="I14" s="1" t="s">
        <v>1281</v>
      </c>
      <c r="J14" s="1" t="str">
        <f t="shared" si="0"/>
        <v>Positive|Up|Up|Up</v>
      </c>
      <c r="K14" s="1" t="s">
        <v>212</v>
      </c>
    </row>
    <row r="15" spans="1:11" ht="15" customHeight="1" x14ac:dyDescent="0.25">
      <c r="A15" s="1" t="s">
        <v>1262</v>
      </c>
      <c r="B15" s="1" t="s">
        <v>1263</v>
      </c>
      <c r="C15" s="1" t="s">
        <v>1263</v>
      </c>
      <c r="D15" s="1" t="s">
        <v>78</v>
      </c>
      <c r="E15" s="1" t="s">
        <v>1318</v>
      </c>
      <c r="F15" s="1" t="s">
        <v>1319</v>
      </c>
      <c r="G15" s="1" t="s">
        <v>1320</v>
      </c>
      <c r="H15" s="1" t="s">
        <v>1321</v>
      </c>
      <c r="I15" s="1" t="s">
        <v>1281</v>
      </c>
      <c r="J15" s="1" t="str">
        <f t="shared" si="0"/>
        <v>Positive|Up|Up|Flat</v>
      </c>
      <c r="K15" s="1" t="s">
        <v>212</v>
      </c>
    </row>
    <row r="16" spans="1:11" ht="15" customHeight="1" x14ac:dyDescent="0.25">
      <c r="A16" s="1" t="s">
        <v>1262</v>
      </c>
      <c r="B16" s="1" t="s">
        <v>1263</v>
      </c>
      <c r="C16" s="1" t="s">
        <v>1263</v>
      </c>
      <c r="D16" s="1" t="s">
        <v>1272</v>
      </c>
      <c r="E16" s="1" t="s">
        <v>1322</v>
      </c>
      <c r="F16" s="1" t="s">
        <v>1323</v>
      </c>
      <c r="G16" s="1" t="s">
        <v>1324</v>
      </c>
      <c r="H16" s="1" t="s">
        <v>1325</v>
      </c>
      <c r="I16" s="1" t="s">
        <v>1281</v>
      </c>
      <c r="J16" s="1" t="str">
        <f t="shared" si="0"/>
        <v>Positive|Up|Up|Down</v>
      </c>
      <c r="K16" s="1" t="s">
        <v>212</v>
      </c>
    </row>
    <row r="17" spans="1:11" ht="15" customHeight="1" x14ac:dyDescent="0.25">
      <c r="A17" s="1" t="s">
        <v>1262</v>
      </c>
      <c r="B17" s="1" t="s">
        <v>1263</v>
      </c>
      <c r="C17" s="1" t="s">
        <v>1272</v>
      </c>
      <c r="D17" s="1" t="s">
        <v>1263</v>
      </c>
      <c r="E17" s="1" t="s">
        <v>1326</v>
      </c>
      <c r="F17" s="1" t="s">
        <v>1327</v>
      </c>
      <c r="G17" s="1" t="s">
        <v>1328</v>
      </c>
      <c r="H17" s="1" t="s">
        <v>1329</v>
      </c>
      <c r="I17" s="1" t="s">
        <v>1268</v>
      </c>
      <c r="J17" s="1" t="str">
        <f t="shared" si="0"/>
        <v>Positive|Up|Down|Up</v>
      </c>
      <c r="K17" s="1" t="s">
        <v>225</v>
      </c>
    </row>
    <row r="18" spans="1:11" ht="15" customHeight="1" x14ac:dyDescent="0.25">
      <c r="A18" s="1" t="s">
        <v>1262</v>
      </c>
      <c r="B18" s="1" t="s">
        <v>1263</v>
      </c>
      <c r="C18" s="1" t="s">
        <v>1272</v>
      </c>
      <c r="D18" s="1" t="s">
        <v>78</v>
      </c>
      <c r="E18" s="1" t="s">
        <v>1330</v>
      </c>
      <c r="F18" s="1" t="s">
        <v>1331</v>
      </c>
      <c r="G18" s="1" t="s">
        <v>1332</v>
      </c>
      <c r="I18" s="1" t="s">
        <v>1268</v>
      </c>
      <c r="J18" s="1" t="str">
        <f t="shared" si="0"/>
        <v>Positive|Up|Down|Flat</v>
      </c>
      <c r="K18" s="1" t="s">
        <v>225</v>
      </c>
    </row>
    <row r="19" spans="1:11" ht="15" customHeight="1" x14ac:dyDescent="0.25">
      <c r="A19" s="1" t="s">
        <v>1262</v>
      </c>
      <c r="B19" s="1" t="s">
        <v>1263</v>
      </c>
      <c r="C19" s="1" t="s">
        <v>1272</v>
      </c>
      <c r="D19" s="1" t="s">
        <v>1272</v>
      </c>
      <c r="E19" s="1" t="s">
        <v>1333</v>
      </c>
      <c r="F19" s="1" t="s">
        <v>1334</v>
      </c>
      <c r="G19" s="1" t="s">
        <v>1335</v>
      </c>
      <c r="H19" s="1" t="s">
        <v>1336</v>
      </c>
      <c r="I19" s="1" t="s">
        <v>1268</v>
      </c>
      <c r="J19" s="1" t="str">
        <f t="shared" si="0"/>
        <v>Positive|Up|Down|Down</v>
      </c>
      <c r="K19" s="1" t="s">
        <v>225</v>
      </c>
    </row>
    <row r="20" spans="1:11" ht="15" customHeight="1" x14ac:dyDescent="0.25">
      <c r="A20" s="1" t="s">
        <v>1262</v>
      </c>
      <c r="B20" s="1" t="s">
        <v>1272</v>
      </c>
      <c r="C20" s="1" t="s">
        <v>78</v>
      </c>
      <c r="D20" s="1" t="s">
        <v>1263</v>
      </c>
      <c r="E20" s="1" t="s">
        <v>1337</v>
      </c>
      <c r="F20" s="1" t="s">
        <v>1338</v>
      </c>
      <c r="G20" s="1" t="s">
        <v>1339</v>
      </c>
      <c r="I20" s="1" t="s">
        <v>1268</v>
      </c>
      <c r="J20" s="1" t="str">
        <f t="shared" si="0"/>
        <v>Positive|Down|Flat|Up</v>
      </c>
      <c r="K20" s="1" t="s">
        <v>225</v>
      </c>
    </row>
    <row r="21" spans="1:11" ht="15" customHeight="1" x14ac:dyDescent="0.25">
      <c r="A21" s="1" t="s">
        <v>1262</v>
      </c>
      <c r="B21" s="1" t="s">
        <v>1272</v>
      </c>
      <c r="C21" s="1" t="s">
        <v>78</v>
      </c>
      <c r="D21" s="1" t="s">
        <v>78</v>
      </c>
      <c r="E21" s="1" t="s">
        <v>1340</v>
      </c>
      <c r="F21" s="1" t="s">
        <v>1341</v>
      </c>
      <c r="G21" s="1" t="s">
        <v>1342</v>
      </c>
      <c r="H21" s="1" t="s">
        <v>1343</v>
      </c>
      <c r="I21" s="1" t="s">
        <v>1268</v>
      </c>
      <c r="J21" s="1" t="str">
        <f t="shared" si="0"/>
        <v>Positive|Down|Flat|Flat</v>
      </c>
      <c r="K21" s="1" t="s">
        <v>225</v>
      </c>
    </row>
    <row r="22" spans="1:11" ht="15" customHeight="1" x14ac:dyDescent="0.25">
      <c r="A22" s="1" t="s">
        <v>1262</v>
      </c>
      <c r="B22" s="1" t="s">
        <v>1272</v>
      </c>
      <c r="C22" s="1" t="s">
        <v>78</v>
      </c>
      <c r="D22" s="1" t="s">
        <v>1272</v>
      </c>
      <c r="E22" s="1" t="s">
        <v>1344</v>
      </c>
      <c r="F22" s="1" t="s">
        <v>1345</v>
      </c>
      <c r="G22" s="1" t="s">
        <v>1346</v>
      </c>
      <c r="I22" s="1" t="s">
        <v>1268</v>
      </c>
      <c r="J22" s="1" t="str">
        <f t="shared" si="0"/>
        <v>Positive|Down|Flat|Down</v>
      </c>
      <c r="K22" s="1" t="s">
        <v>225</v>
      </c>
    </row>
    <row r="23" spans="1:11" ht="15" customHeight="1" x14ac:dyDescent="0.25">
      <c r="A23" s="1" t="s">
        <v>1262</v>
      </c>
      <c r="B23" s="1" t="s">
        <v>1272</v>
      </c>
      <c r="C23" s="1" t="s">
        <v>1263</v>
      </c>
      <c r="D23" s="1" t="s">
        <v>1263</v>
      </c>
      <c r="E23" s="1" t="s">
        <v>1347</v>
      </c>
      <c r="F23" s="1" t="s">
        <v>1348</v>
      </c>
      <c r="G23" s="1" t="s">
        <v>1349</v>
      </c>
      <c r="H23" s="1" t="s">
        <v>1350</v>
      </c>
      <c r="I23" s="1" t="s">
        <v>1268</v>
      </c>
      <c r="J23" s="1" t="str">
        <f t="shared" si="0"/>
        <v>Positive|Down|Up|Up</v>
      </c>
      <c r="K23" s="1" t="s">
        <v>225</v>
      </c>
    </row>
    <row r="24" spans="1:11" ht="15" customHeight="1" x14ac:dyDescent="0.25">
      <c r="A24" s="1" t="s">
        <v>1262</v>
      </c>
      <c r="B24" s="1" t="s">
        <v>1272</v>
      </c>
      <c r="C24" s="1" t="s">
        <v>1263</v>
      </c>
      <c r="D24" s="1" t="s">
        <v>78</v>
      </c>
      <c r="E24" s="1" t="s">
        <v>1351</v>
      </c>
      <c r="F24" s="1" t="s">
        <v>1352</v>
      </c>
      <c r="G24" s="1" t="s">
        <v>1353</v>
      </c>
      <c r="H24" s="1" t="s">
        <v>1354</v>
      </c>
      <c r="I24" s="1" t="s">
        <v>1281</v>
      </c>
      <c r="J24" s="1" t="str">
        <f t="shared" si="0"/>
        <v>Positive|Down|Up|Flat</v>
      </c>
      <c r="K24" s="1" t="s">
        <v>212</v>
      </c>
    </row>
    <row r="25" spans="1:11" ht="15" customHeight="1" x14ac:dyDescent="0.25">
      <c r="A25" s="1" t="s">
        <v>1262</v>
      </c>
      <c r="B25" s="1" t="s">
        <v>1272</v>
      </c>
      <c r="C25" s="1" t="s">
        <v>1263</v>
      </c>
      <c r="D25" s="1" t="s">
        <v>1272</v>
      </c>
      <c r="E25" s="1" t="s">
        <v>1355</v>
      </c>
      <c r="F25" s="1" t="s">
        <v>1356</v>
      </c>
      <c r="G25" s="1" t="s">
        <v>1357</v>
      </c>
      <c r="H25" s="1" t="s">
        <v>1358</v>
      </c>
      <c r="I25" s="1" t="s">
        <v>1268</v>
      </c>
      <c r="J25" s="1" t="str">
        <f t="shared" si="0"/>
        <v>Positive|Down|Up|Down</v>
      </c>
      <c r="K25" s="1" t="s">
        <v>225</v>
      </c>
    </row>
    <row r="26" spans="1:11" ht="15" customHeight="1" x14ac:dyDescent="0.25">
      <c r="A26" s="1" t="s">
        <v>1262</v>
      </c>
      <c r="B26" s="1" t="s">
        <v>1272</v>
      </c>
      <c r="C26" s="1" t="s">
        <v>1272</v>
      </c>
      <c r="D26" s="1" t="s">
        <v>1263</v>
      </c>
      <c r="E26" s="1" t="s">
        <v>1359</v>
      </c>
      <c r="F26" s="1" t="s">
        <v>1360</v>
      </c>
      <c r="G26" s="1" t="s">
        <v>1361</v>
      </c>
      <c r="H26" s="1" t="s">
        <v>1362</v>
      </c>
      <c r="I26" s="1" t="s">
        <v>1268</v>
      </c>
      <c r="J26" s="1" t="str">
        <f t="shared" si="0"/>
        <v>Positive|Down|Down|Up</v>
      </c>
      <c r="K26" s="1" t="s">
        <v>225</v>
      </c>
    </row>
    <row r="27" spans="1:11" ht="15" customHeight="1" x14ac:dyDescent="0.25">
      <c r="A27" s="1" t="s">
        <v>1262</v>
      </c>
      <c r="B27" s="1" t="s">
        <v>1272</v>
      </c>
      <c r="C27" s="1" t="s">
        <v>1272</v>
      </c>
      <c r="D27" s="1" t="s">
        <v>78</v>
      </c>
      <c r="E27" s="1" t="s">
        <v>1363</v>
      </c>
      <c r="F27" s="1" t="s">
        <v>1364</v>
      </c>
      <c r="G27" s="1" t="s">
        <v>1365</v>
      </c>
      <c r="H27" s="1" t="s">
        <v>1366</v>
      </c>
      <c r="I27" s="1" t="s">
        <v>1268</v>
      </c>
      <c r="J27" s="1" t="str">
        <f t="shared" si="0"/>
        <v>Positive|Down|Down|Flat</v>
      </c>
      <c r="K27" s="1" t="s">
        <v>225</v>
      </c>
    </row>
    <row r="28" spans="1:11" ht="15" customHeight="1" x14ac:dyDescent="0.25">
      <c r="A28" s="1" t="s">
        <v>1262</v>
      </c>
      <c r="B28" s="1" t="s">
        <v>1272</v>
      </c>
      <c r="C28" s="1" t="s">
        <v>1272</v>
      </c>
      <c r="D28" s="1" t="s">
        <v>1272</v>
      </c>
      <c r="E28" s="1" t="s">
        <v>1367</v>
      </c>
      <c r="F28" s="1" t="s">
        <v>1368</v>
      </c>
      <c r="G28" s="1" t="s">
        <v>1369</v>
      </c>
      <c r="H28" s="1" t="s">
        <v>1370</v>
      </c>
      <c r="I28" s="1" t="s">
        <v>1268</v>
      </c>
      <c r="J28" s="1" t="str">
        <f t="shared" si="0"/>
        <v>Positive|Down|Down|Down</v>
      </c>
      <c r="K28" s="1" t="s">
        <v>225</v>
      </c>
    </row>
    <row r="29" spans="1:11" ht="15" customHeight="1" x14ac:dyDescent="0.25">
      <c r="A29" s="1" t="s">
        <v>1371</v>
      </c>
      <c r="B29" s="1" t="s">
        <v>78</v>
      </c>
      <c r="C29" s="1" t="s">
        <v>78</v>
      </c>
      <c r="D29" s="1" t="s">
        <v>1263</v>
      </c>
      <c r="E29" s="1" t="s">
        <v>1372</v>
      </c>
      <c r="F29" s="1" t="s">
        <v>1373</v>
      </c>
      <c r="G29" s="1" t="s">
        <v>1374</v>
      </c>
      <c r="H29" s="1" t="s">
        <v>1375</v>
      </c>
      <c r="I29" s="1" t="s">
        <v>1376</v>
      </c>
      <c r="J29" s="1" t="str">
        <f t="shared" si="0"/>
        <v>Negative|Flat|Flat|Up</v>
      </c>
    </row>
    <row r="30" spans="1:11" ht="15" customHeight="1" x14ac:dyDescent="0.25">
      <c r="A30" s="1" t="s">
        <v>1371</v>
      </c>
      <c r="B30" s="1" t="s">
        <v>78</v>
      </c>
      <c r="C30" s="1" t="s">
        <v>78</v>
      </c>
      <c r="D30" s="1" t="s">
        <v>78</v>
      </c>
      <c r="E30" s="1" t="s">
        <v>1377</v>
      </c>
      <c r="F30" s="1" t="s">
        <v>1378</v>
      </c>
      <c r="G30" s="1" t="s">
        <v>1379</v>
      </c>
      <c r="H30" s="1" t="s">
        <v>1380</v>
      </c>
      <c r="I30" s="1" t="s">
        <v>1281</v>
      </c>
      <c r="J30" s="1" t="str">
        <f t="shared" si="0"/>
        <v>Negative|Flat|Flat|Flat</v>
      </c>
      <c r="K30" s="1" t="s">
        <v>212</v>
      </c>
    </row>
    <row r="31" spans="1:11" ht="15" customHeight="1" x14ac:dyDescent="0.25">
      <c r="A31" s="1" t="s">
        <v>1371</v>
      </c>
      <c r="B31" s="1" t="s">
        <v>78</v>
      </c>
      <c r="C31" s="1" t="s">
        <v>78</v>
      </c>
      <c r="D31" s="1" t="s">
        <v>1272</v>
      </c>
      <c r="E31" s="1" t="s">
        <v>1381</v>
      </c>
      <c r="F31" s="1" t="s">
        <v>1382</v>
      </c>
      <c r="G31" s="1" t="s">
        <v>1383</v>
      </c>
      <c r="H31" s="1" t="s">
        <v>1384</v>
      </c>
      <c r="I31" s="1" t="s">
        <v>1281</v>
      </c>
      <c r="J31" s="1" t="str">
        <f t="shared" si="0"/>
        <v>Negative|Flat|Flat|Down</v>
      </c>
      <c r="K31" s="1" t="s">
        <v>212</v>
      </c>
    </row>
    <row r="32" spans="1:11" ht="15" customHeight="1" x14ac:dyDescent="0.25">
      <c r="A32" s="1" t="s">
        <v>1371</v>
      </c>
      <c r="B32" s="1" t="s">
        <v>78</v>
      </c>
      <c r="C32" s="1" t="s">
        <v>1263</v>
      </c>
      <c r="D32" s="1" t="s">
        <v>1263</v>
      </c>
      <c r="E32" s="1" t="s">
        <v>1385</v>
      </c>
      <c r="F32" s="1" t="s">
        <v>1386</v>
      </c>
      <c r="G32" s="1" t="s">
        <v>1387</v>
      </c>
      <c r="H32" s="1" t="s">
        <v>1388</v>
      </c>
      <c r="I32" s="1" t="s">
        <v>1281</v>
      </c>
      <c r="J32" s="1" t="str">
        <f t="shared" si="0"/>
        <v>Negative|Flat|Up|Up</v>
      </c>
      <c r="K32" s="1" t="s">
        <v>212</v>
      </c>
    </row>
    <row r="33" spans="1:11" ht="15" customHeight="1" x14ac:dyDescent="0.25">
      <c r="A33" s="1" t="s">
        <v>1371</v>
      </c>
      <c r="B33" s="1" t="s">
        <v>78</v>
      </c>
      <c r="C33" s="1" t="s">
        <v>1263</v>
      </c>
      <c r="D33" s="1" t="s">
        <v>78</v>
      </c>
      <c r="E33" s="1" t="s">
        <v>1389</v>
      </c>
      <c r="F33" s="1" t="s">
        <v>1390</v>
      </c>
      <c r="G33" s="1" t="s">
        <v>1391</v>
      </c>
      <c r="H33" s="1" t="s">
        <v>1392</v>
      </c>
      <c r="I33" s="1" t="s">
        <v>1281</v>
      </c>
      <c r="J33" s="1" t="str">
        <f t="shared" si="0"/>
        <v>Negative|Flat|Up|Flat</v>
      </c>
      <c r="K33" s="1" t="s">
        <v>212</v>
      </c>
    </row>
    <row r="34" spans="1:11" ht="15" customHeight="1" x14ac:dyDescent="0.25">
      <c r="A34" s="1" t="s">
        <v>1371</v>
      </c>
      <c r="B34" s="1" t="s">
        <v>78</v>
      </c>
      <c r="C34" s="1" t="s">
        <v>1263</v>
      </c>
      <c r="D34" s="1" t="s">
        <v>1272</v>
      </c>
      <c r="E34" s="1" t="s">
        <v>1393</v>
      </c>
      <c r="F34" s="1" t="s">
        <v>1394</v>
      </c>
      <c r="G34" s="1" t="s">
        <v>1395</v>
      </c>
      <c r="H34" s="1" t="s">
        <v>1396</v>
      </c>
      <c r="I34" s="1" t="s">
        <v>1281</v>
      </c>
      <c r="J34" s="1" t="str">
        <f t="shared" ref="J34:J55" si="1">A34&amp;"|"&amp;B34&amp;"|"&amp;C34&amp;"|"&amp;D34</f>
        <v>Negative|Flat|Up|Down</v>
      </c>
      <c r="K34" s="1" t="s">
        <v>212</v>
      </c>
    </row>
    <row r="35" spans="1:11" ht="15" customHeight="1" x14ac:dyDescent="0.25">
      <c r="A35" s="1" t="s">
        <v>1371</v>
      </c>
      <c r="B35" s="1" t="s">
        <v>78</v>
      </c>
      <c r="C35" s="1" t="s">
        <v>1272</v>
      </c>
      <c r="D35" s="1" t="s">
        <v>1263</v>
      </c>
      <c r="E35" s="1" t="s">
        <v>1397</v>
      </c>
      <c r="F35" s="1" t="s">
        <v>1398</v>
      </c>
      <c r="G35" s="1" t="s">
        <v>1399</v>
      </c>
      <c r="H35" s="1" t="s">
        <v>1400</v>
      </c>
      <c r="I35" s="1" t="s">
        <v>1268</v>
      </c>
      <c r="J35" s="1" t="str">
        <f t="shared" si="1"/>
        <v>Negative|Flat|Down|Up</v>
      </c>
      <c r="K35" s="1" t="s">
        <v>225</v>
      </c>
    </row>
    <row r="36" spans="1:11" ht="15" customHeight="1" x14ac:dyDescent="0.25">
      <c r="A36" s="1" t="s">
        <v>1371</v>
      </c>
      <c r="B36" s="1" t="s">
        <v>78</v>
      </c>
      <c r="C36" s="1" t="s">
        <v>1272</v>
      </c>
      <c r="D36" s="1" t="s">
        <v>78</v>
      </c>
      <c r="E36" s="1" t="s">
        <v>1401</v>
      </c>
      <c r="F36" s="1" t="s">
        <v>1402</v>
      </c>
      <c r="G36" s="1" t="s">
        <v>1403</v>
      </c>
      <c r="H36" s="1" t="s">
        <v>1404</v>
      </c>
      <c r="I36" s="1" t="s">
        <v>1268</v>
      </c>
      <c r="J36" s="1" t="str">
        <f t="shared" si="1"/>
        <v>Negative|Flat|Down|Flat</v>
      </c>
      <c r="K36" s="1" t="s">
        <v>225</v>
      </c>
    </row>
    <row r="37" spans="1:11" ht="15" customHeight="1" x14ac:dyDescent="0.25">
      <c r="A37" s="1" t="s">
        <v>1371</v>
      </c>
      <c r="B37" s="1" t="s">
        <v>78</v>
      </c>
      <c r="C37" s="1" t="s">
        <v>1272</v>
      </c>
      <c r="D37" s="1" t="s">
        <v>1272</v>
      </c>
      <c r="E37" s="1" t="s">
        <v>1405</v>
      </c>
      <c r="F37" s="1" t="s">
        <v>1406</v>
      </c>
      <c r="G37" s="1" t="s">
        <v>1407</v>
      </c>
      <c r="H37" s="1" t="s">
        <v>1408</v>
      </c>
      <c r="I37" s="1" t="s">
        <v>1268</v>
      </c>
      <c r="J37" s="1" t="str">
        <f t="shared" si="1"/>
        <v>Negative|Flat|Down|Down</v>
      </c>
      <c r="K37" s="1" t="s">
        <v>225</v>
      </c>
    </row>
    <row r="38" spans="1:11" ht="15" customHeight="1" x14ac:dyDescent="0.25">
      <c r="A38" s="1" t="s">
        <v>1371</v>
      </c>
      <c r="B38" s="1" t="s">
        <v>1263</v>
      </c>
      <c r="C38" s="1" t="s">
        <v>78</v>
      </c>
      <c r="D38" s="1" t="s">
        <v>1263</v>
      </c>
      <c r="E38" s="1" t="s">
        <v>1409</v>
      </c>
      <c r="F38" s="1" t="s">
        <v>1410</v>
      </c>
      <c r="G38" s="1" t="s">
        <v>1411</v>
      </c>
      <c r="H38" s="1" t="s">
        <v>1412</v>
      </c>
      <c r="I38" s="1" t="s">
        <v>1281</v>
      </c>
      <c r="J38" s="1" t="str">
        <f t="shared" si="1"/>
        <v>Negative|Up|Flat|Up</v>
      </c>
      <c r="K38" s="1" t="s">
        <v>212</v>
      </c>
    </row>
    <row r="39" spans="1:11" ht="15" customHeight="1" x14ac:dyDescent="0.25">
      <c r="A39" s="1" t="s">
        <v>1371</v>
      </c>
      <c r="B39" s="1" t="s">
        <v>1263</v>
      </c>
      <c r="C39" s="1" t="s">
        <v>78</v>
      </c>
      <c r="D39" s="1" t="s">
        <v>78</v>
      </c>
      <c r="E39" s="1" t="s">
        <v>1413</v>
      </c>
      <c r="F39" s="1" t="s">
        <v>1414</v>
      </c>
      <c r="G39" s="1" t="s">
        <v>1415</v>
      </c>
      <c r="H39" s="1" t="s">
        <v>1416</v>
      </c>
      <c r="I39" s="1" t="s">
        <v>1281</v>
      </c>
      <c r="J39" s="1" t="str">
        <f t="shared" si="1"/>
        <v>Negative|Up|Flat|Flat</v>
      </c>
      <c r="K39" s="1" t="s">
        <v>212</v>
      </c>
    </row>
    <row r="40" spans="1:11" ht="15" customHeight="1" x14ac:dyDescent="0.25">
      <c r="A40" s="1" t="s">
        <v>1371</v>
      </c>
      <c r="B40" s="1" t="s">
        <v>1263</v>
      </c>
      <c r="C40" s="1" t="s">
        <v>78</v>
      </c>
      <c r="D40" s="1" t="s">
        <v>1272</v>
      </c>
      <c r="E40" s="1" t="s">
        <v>1417</v>
      </c>
      <c r="F40" s="1" t="s">
        <v>1418</v>
      </c>
      <c r="G40" s="1" t="s">
        <v>1419</v>
      </c>
      <c r="H40" s="1" t="s">
        <v>1420</v>
      </c>
      <c r="I40" s="1" t="s">
        <v>1281</v>
      </c>
      <c r="J40" s="1" t="str">
        <f t="shared" si="1"/>
        <v>Negative|Up|Flat|Down</v>
      </c>
      <c r="K40" s="1" t="s">
        <v>212</v>
      </c>
    </row>
    <row r="41" spans="1:11" ht="15" customHeight="1" x14ac:dyDescent="0.25">
      <c r="A41" s="1" t="s">
        <v>1371</v>
      </c>
      <c r="B41" s="1" t="s">
        <v>1263</v>
      </c>
      <c r="C41" s="1" t="s">
        <v>1263</v>
      </c>
      <c r="D41" s="1" t="s">
        <v>1263</v>
      </c>
      <c r="E41" s="1" t="s">
        <v>1421</v>
      </c>
      <c r="F41" s="1" t="s">
        <v>1422</v>
      </c>
      <c r="G41" s="1" t="s">
        <v>1423</v>
      </c>
      <c r="H41" s="1" t="s">
        <v>1424</v>
      </c>
      <c r="I41" s="1" t="s">
        <v>1281</v>
      </c>
      <c r="J41" s="1" t="str">
        <f t="shared" si="1"/>
        <v>Negative|Up|Up|Up</v>
      </c>
      <c r="K41" s="1" t="s">
        <v>212</v>
      </c>
    </row>
    <row r="42" spans="1:11" ht="15" customHeight="1" x14ac:dyDescent="0.25">
      <c r="A42" s="1" t="s">
        <v>1371</v>
      </c>
      <c r="B42" s="1" t="s">
        <v>1263</v>
      </c>
      <c r="C42" s="1" t="s">
        <v>1263</v>
      </c>
      <c r="D42" s="1" t="s">
        <v>78</v>
      </c>
      <c r="E42" s="1" t="s">
        <v>1425</v>
      </c>
      <c r="F42" s="1" t="s">
        <v>1426</v>
      </c>
      <c r="G42" s="1" t="s">
        <v>1427</v>
      </c>
      <c r="H42" s="1" t="s">
        <v>1428</v>
      </c>
      <c r="I42" s="1" t="s">
        <v>1281</v>
      </c>
      <c r="J42" s="1" t="str">
        <f t="shared" si="1"/>
        <v>Negative|Up|Up|Flat</v>
      </c>
      <c r="K42" s="1" t="s">
        <v>212</v>
      </c>
    </row>
    <row r="43" spans="1:11" ht="15" customHeight="1" x14ac:dyDescent="0.25">
      <c r="A43" s="1" t="s">
        <v>1371</v>
      </c>
      <c r="B43" s="1" t="s">
        <v>1263</v>
      </c>
      <c r="C43" s="1" t="s">
        <v>1263</v>
      </c>
      <c r="D43" s="1" t="s">
        <v>1272</v>
      </c>
      <c r="E43" s="1" t="s">
        <v>1429</v>
      </c>
      <c r="F43" s="1" t="s">
        <v>1430</v>
      </c>
      <c r="G43" s="1" t="s">
        <v>1431</v>
      </c>
      <c r="H43" s="1" t="s">
        <v>1432</v>
      </c>
      <c r="I43" s="1" t="s">
        <v>1281</v>
      </c>
      <c r="J43" s="1" t="str">
        <f t="shared" si="1"/>
        <v>Negative|Up|Up|Down</v>
      </c>
      <c r="K43" s="1" t="s">
        <v>212</v>
      </c>
    </row>
    <row r="44" spans="1:11" ht="15" customHeight="1" x14ac:dyDescent="0.25">
      <c r="A44" s="1" t="s">
        <v>1371</v>
      </c>
      <c r="B44" s="1" t="s">
        <v>1263</v>
      </c>
      <c r="C44" s="1" t="s">
        <v>1272</v>
      </c>
      <c r="D44" s="1" t="s">
        <v>1263</v>
      </c>
      <c r="E44" s="1" t="s">
        <v>1433</v>
      </c>
      <c r="F44" s="1" t="s">
        <v>1434</v>
      </c>
      <c r="G44" s="1" t="s">
        <v>1435</v>
      </c>
      <c r="H44" s="1" t="s">
        <v>1436</v>
      </c>
      <c r="I44" s="1" t="s">
        <v>1268</v>
      </c>
      <c r="J44" s="1" t="str">
        <f t="shared" si="1"/>
        <v>Negative|Up|Down|Up</v>
      </c>
      <c r="K44" s="1" t="s">
        <v>225</v>
      </c>
    </row>
    <row r="45" spans="1:11" ht="15" customHeight="1" x14ac:dyDescent="0.25">
      <c r="A45" s="1" t="s">
        <v>1371</v>
      </c>
      <c r="B45" s="1" t="s">
        <v>1263</v>
      </c>
      <c r="C45" s="1" t="s">
        <v>1272</v>
      </c>
      <c r="D45" s="1" t="s">
        <v>78</v>
      </c>
      <c r="E45" s="1" t="s">
        <v>1437</v>
      </c>
      <c r="F45" s="1" t="s">
        <v>1438</v>
      </c>
      <c r="G45" s="1" t="s">
        <v>1439</v>
      </c>
      <c r="H45" s="1" t="s">
        <v>1440</v>
      </c>
      <c r="I45" s="1" t="s">
        <v>1268</v>
      </c>
      <c r="J45" s="1" t="str">
        <f t="shared" si="1"/>
        <v>Negative|Up|Down|Flat</v>
      </c>
      <c r="K45" s="1" t="s">
        <v>225</v>
      </c>
    </row>
    <row r="46" spans="1:11" ht="15" customHeight="1" x14ac:dyDescent="0.25">
      <c r="A46" s="1" t="s">
        <v>1371</v>
      </c>
      <c r="B46" s="1" t="s">
        <v>1263</v>
      </c>
      <c r="C46" s="1" t="s">
        <v>1272</v>
      </c>
      <c r="D46" s="1" t="s">
        <v>1272</v>
      </c>
      <c r="E46" s="1" t="s">
        <v>1441</v>
      </c>
      <c r="F46" s="1" t="s">
        <v>1442</v>
      </c>
      <c r="G46" s="1" t="s">
        <v>1443</v>
      </c>
      <c r="H46" s="1" t="s">
        <v>1444</v>
      </c>
      <c r="I46" s="1" t="s">
        <v>1268</v>
      </c>
      <c r="J46" s="1" t="str">
        <f t="shared" si="1"/>
        <v>Negative|Up|Down|Down</v>
      </c>
      <c r="K46" s="1" t="s">
        <v>225</v>
      </c>
    </row>
    <row r="47" spans="1:11" ht="15" customHeight="1" x14ac:dyDescent="0.25">
      <c r="A47" s="1" t="s">
        <v>1371</v>
      </c>
      <c r="B47" s="1" t="s">
        <v>1272</v>
      </c>
      <c r="C47" s="1" t="s">
        <v>78</v>
      </c>
      <c r="D47" s="1" t="s">
        <v>1263</v>
      </c>
      <c r="E47" s="1" t="s">
        <v>1445</v>
      </c>
      <c r="F47" s="1" t="s">
        <v>1446</v>
      </c>
      <c r="G47" s="1" t="s">
        <v>1447</v>
      </c>
      <c r="H47" s="1" t="s">
        <v>1448</v>
      </c>
      <c r="I47" s="1" t="s">
        <v>1268</v>
      </c>
      <c r="J47" s="1" t="str">
        <f t="shared" si="1"/>
        <v>Negative|Down|Flat|Up</v>
      </c>
      <c r="K47" s="1" t="s">
        <v>225</v>
      </c>
    </row>
    <row r="48" spans="1:11" ht="15" customHeight="1" x14ac:dyDescent="0.25">
      <c r="A48" s="1" t="s">
        <v>1371</v>
      </c>
      <c r="B48" s="1" t="s">
        <v>1272</v>
      </c>
      <c r="C48" s="1" t="s">
        <v>78</v>
      </c>
      <c r="D48" s="1" t="s">
        <v>78</v>
      </c>
      <c r="E48" s="1" t="s">
        <v>1449</v>
      </c>
      <c r="F48" s="1" t="s">
        <v>1450</v>
      </c>
      <c r="G48" s="1" t="s">
        <v>1451</v>
      </c>
      <c r="H48" s="1" t="s">
        <v>1452</v>
      </c>
      <c r="I48" s="1" t="s">
        <v>1268</v>
      </c>
      <c r="J48" s="1" t="str">
        <f t="shared" si="1"/>
        <v>Negative|Down|Flat|Flat</v>
      </c>
      <c r="K48" s="1" t="s">
        <v>225</v>
      </c>
    </row>
    <row r="49" spans="1:11" ht="15" customHeight="1" x14ac:dyDescent="0.25">
      <c r="A49" s="1" t="s">
        <v>1371</v>
      </c>
      <c r="B49" s="1" t="s">
        <v>1272</v>
      </c>
      <c r="C49" s="1" t="s">
        <v>78</v>
      </c>
      <c r="D49" s="1" t="s">
        <v>1272</v>
      </c>
      <c r="E49" s="1" t="s">
        <v>1453</v>
      </c>
      <c r="F49" s="1" t="s">
        <v>1341</v>
      </c>
      <c r="G49" s="1" t="s">
        <v>1454</v>
      </c>
      <c r="H49" s="1" t="s">
        <v>1455</v>
      </c>
      <c r="I49" s="1" t="s">
        <v>1268</v>
      </c>
      <c r="J49" s="1" t="str">
        <f t="shared" si="1"/>
        <v>Negative|Down|Flat|Down</v>
      </c>
      <c r="K49" s="1" t="s">
        <v>225</v>
      </c>
    </row>
    <row r="50" spans="1:11" ht="15" customHeight="1" x14ac:dyDescent="0.25">
      <c r="A50" s="1" t="s">
        <v>1371</v>
      </c>
      <c r="B50" s="1" t="s">
        <v>1272</v>
      </c>
      <c r="C50" s="1" t="s">
        <v>1263</v>
      </c>
      <c r="D50" s="1" t="s">
        <v>1263</v>
      </c>
      <c r="E50" s="1" t="s">
        <v>1456</v>
      </c>
      <c r="F50" s="1" t="s">
        <v>1457</v>
      </c>
      <c r="G50" s="1" t="s">
        <v>1458</v>
      </c>
      <c r="H50" s="1" t="s">
        <v>1459</v>
      </c>
      <c r="I50" s="1" t="s">
        <v>1268</v>
      </c>
      <c r="J50" s="1" t="str">
        <f t="shared" si="1"/>
        <v>Negative|Down|Up|Up</v>
      </c>
      <c r="K50" s="1" t="s">
        <v>225</v>
      </c>
    </row>
    <row r="51" spans="1:11" ht="15" customHeight="1" x14ac:dyDescent="0.25">
      <c r="A51" s="1" t="s">
        <v>1371</v>
      </c>
      <c r="B51" s="1" t="s">
        <v>1272</v>
      </c>
      <c r="C51" s="1" t="s">
        <v>1263</v>
      </c>
      <c r="D51" s="1" t="s">
        <v>78</v>
      </c>
      <c r="E51" s="1" t="s">
        <v>1460</v>
      </c>
      <c r="F51" s="1" t="s">
        <v>1461</v>
      </c>
      <c r="G51" s="1" t="s">
        <v>1462</v>
      </c>
      <c r="H51" s="1" t="s">
        <v>1463</v>
      </c>
      <c r="I51" s="1" t="s">
        <v>1281</v>
      </c>
      <c r="J51" s="1" t="str">
        <f t="shared" si="1"/>
        <v>Negative|Down|Up|Flat</v>
      </c>
      <c r="K51" s="1" t="s">
        <v>212</v>
      </c>
    </row>
    <row r="52" spans="1:11" ht="15" customHeight="1" x14ac:dyDescent="0.25">
      <c r="A52" s="1" t="s">
        <v>1371</v>
      </c>
      <c r="B52" s="1" t="s">
        <v>1272</v>
      </c>
      <c r="C52" s="1" t="s">
        <v>1263</v>
      </c>
      <c r="D52" s="1" t="s">
        <v>1272</v>
      </c>
      <c r="E52" s="1" t="s">
        <v>1464</v>
      </c>
      <c r="F52" s="1" t="s">
        <v>1465</v>
      </c>
      <c r="G52" s="1" t="s">
        <v>1466</v>
      </c>
      <c r="H52" s="1" t="s">
        <v>1467</v>
      </c>
      <c r="I52" s="1" t="s">
        <v>1268</v>
      </c>
      <c r="J52" s="1" t="str">
        <f t="shared" si="1"/>
        <v>Negative|Down|Up|Down</v>
      </c>
      <c r="K52" s="1" t="s">
        <v>225</v>
      </c>
    </row>
    <row r="53" spans="1:11" ht="15" customHeight="1" x14ac:dyDescent="0.25">
      <c r="A53" s="1" t="s">
        <v>1371</v>
      </c>
      <c r="B53" s="1" t="s">
        <v>1272</v>
      </c>
      <c r="C53" s="1" t="s">
        <v>1272</v>
      </c>
      <c r="D53" s="1" t="s">
        <v>1263</v>
      </c>
      <c r="E53" s="1" t="s">
        <v>1468</v>
      </c>
      <c r="F53" s="1" t="s">
        <v>1469</v>
      </c>
      <c r="G53" s="1" t="s">
        <v>1361</v>
      </c>
      <c r="H53" s="1" t="s">
        <v>1470</v>
      </c>
      <c r="I53" s="1" t="s">
        <v>1268</v>
      </c>
      <c r="J53" s="1" t="str">
        <f t="shared" si="1"/>
        <v>Negative|Down|Down|Up</v>
      </c>
      <c r="K53" s="1" t="s">
        <v>225</v>
      </c>
    </row>
    <row r="54" spans="1:11" ht="15" customHeight="1" x14ac:dyDescent="0.25">
      <c r="A54" s="1" t="s">
        <v>1371</v>
      </c>
      <c r="B54" s="1" t="s">
        <v>1272</v>
      </c>
      <c r="C54" s="1" t="s">
        <v>1272</v>
      </c>
      <c r="D54" s="1" t="s">
        <v>78</v>
      </c>
      <c r="E54" s="1" t="s">
        <v>1471</v>
      </c>
      <c r="F54" s="1" t="s">
        <v>1364</v>
      </c>
      <c r="G54" s="1" t="s">
        <v>1472</v>
      </c>
      <c r="H54" s="1" t="s">
        <v>1473</v>
      </c>
      <c r="I54" s="1" t="s">
        <v>1268</v>
      </c>
      <c r="J54" s="1" t="str">
        <f t="shared" si="1"/>
        <v>Negative|Down|Down|Flat</v>
      </c>
      <c r="K54" s="1" t="s">
        <v>225</v>
      </c>
    </row>
    <row r="55" spans="1:11" ht="15" customHeight="1" x14ac:dyDescent="0.25">
      <c r="A55" s="1" t="s">
        <v>1371</v>
      </c>
      <c r="B55" s="1" t="s">
        <v>1272</v>
      </c>
      <c r="C55" s="1" t="s">
        <v>1272</v>
      </c>
      <c r="D55" s="1" t="s">
        <v>1272</v>
      </c>
      <c r="E55" s="1" t="s">
        <v>1474</v>
      </c>
      <c r="F55" s="1" t="s">
        <v>1475</v>
      </c>
      <c r="G55" s="1" t="s">
        <v>1476</v>
      </c>
      <c r="H55" s="1" t="s">
        <v>1477</v>
      </c>
      <c r="I55" s="1" t="s">
        <v>1268</v>
      </c>
      <c r="J55" s="1" t="str">
        <f t="shared" si="1"/>
        <v>Negative|Down|Down|Down</v>
      </c>
      <c r="K55" s="1" t="s">
        <v>225</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1"/>
  <sheetViews>
    <sheetView workbookViewId="0">
      <pane ySplit="2" topLeftCell="A3" activePane="bottomLeft" state="frozen"/>
      <selection pane="bottomLeft"/>
    </sheetView>
  </sheetViews>
  <sheetFormatPr defaultRowHeight="15" x14ac:dyDescent="0.25"/>
  <cols>
    <col min="1" max="1" width="11" customWidth="1"/>
    <col min="2" max="2" width="9" customWidth="1"/>
    <col min="3" max="3" width="24" customWidth="1"/>
    <col min="4" max="4" width="60" customWidth="1"/>
    <col min="5" max="5" width="45" customWidth="1"/>
    <col min="6" max="6" width="34" customWidth="1"/>
    <col min="7" max="7" width="22" customWidth="1"/>
    <col min="8" max="8" width="12" customWidth="1"/>
  </cols>
  <sheetData>
    <row r="1" spans="1:8" ht="165" x14ac:dyDescent="0.25">
      <c r="A1" s="52" t="s">
        <v>2248</v>
      </c>
    </row>
    <row r="2" spans="1:8" x14ac:dyDescent="0.25">
      <c r="A2" s="52" t="s">
        <v>1083</v>
      </c>
      <c r="B2" s="52" t="s">
        <v>9</v>
      </c>
      <c r="C2" s="52" t="s">
        <v>2249</v>
      </c>
      <c r="D2" s="52" t="s">
        <v>2250</v>
      </c>
      <c r="E2" s="52" t="s">
        <v>2251</v>
      </c>
      <c r="F2" s="52" t="s">
        <v>2252</v>
      </c>
      <c r="G2" s="52" t="s">
        <v>2253</v>
      </c>
      <c r="H2" s="52" t="s">
        <v>50</v>
      </c>
    </row>
    <row r="3" spans="1:8">
      <c r="A3" s="49" t="inlineStr">
        <is>
          <t>2026-10-09</t>
        </is>
      </c>
      <c r="B3" s="49" t="inlineStr">
        <is>
          <t>Neg + fragile</t>
        </is>
      </c>
      <c r="C3" s="49" t="inlineStr">
        <is>
          <t>DOM forming: ladder tag and double lime border</t>
        </is>
      </c>
      <c r="D3" s="49" t="inlineStr">
        <is>
          <t>The level at risk from a forming DOM (a support within 5 pts above, or a resistance within 5 pts below, the Min GEX strike whose gamma is at least 90% of Max Gamma) now gets a ladder tag "⚠ DOM↓7770" / "⚠ DOM↑N" and a thick double lime border on its ladder cell and its reaction-table row. Raspberry (UNSAFE) still wins. Display only</t>
        </is>
      </c>
      <c r="E3" s="49" t="inlineStr">
        <is>
          <t>Giggles: the DOM-forming note alone was not obvious enough; lime chosen so it clashes with none of green, raspberry, blue, amber or the purple GEX bars</t>
        </is>
      </c>
      <c r="F3" s="49" t="inlineStr">
        <is>
          <t>--</t>
        </is>
      </c>
      <c r="G3" s="49" t="inlineStr">
        <is>
          <t>LE NJ; MD DZ3:DZ49, EA45:EA47 / EA52:EA54, DJ, conditional formats</t>
        </is>
      </c>
      <c r="H3" s="49" t="inlineStr">
        <is>
          <t>Display</t>
        </is>
      </c>
    </row>
    <row r="4" spans="1:8">
      <c r="A4" s="49" t="inlineStr">
        <is>
          <t>2026-10-09</t>
        </is>
      </c>
      <c r="B4" s="49" t="inlineStr">
        <is>
          <t>Both</t>
        </is>
      </c>
      <c r="C4" s="49" t="inlineStr">
        <is>
          <t>Regime read repeated on line 37</t>
        </is>
      </c>
      <c r="D4" s="49" t="inlineStr">
        <is>
          <t>Line 37 of the Master Dashboard repeats the line 8 regime read (E37 label, G37:N37 the same value and buy/sell colouring), next to the reaction table</t>
        </is>
      </c>
      <c r="E4" s="49" t="inlineStr">
        <is>
          <t>Giggles: too far to look up from the reaction table</t>
        </is>
      </c>
      <c r="F4" s="49" t="inlineStr">
        <is>
          <t>--</t>
        </is>
      </c>
      <c r="G4" s="49" t="inlineStr">
        <is>
          <t>MD E37, G37:N37</t>
        </is>
      </c>
      <c r="H4" s="49" t="inlineStr">
        <is>
          <t>Display</t>
        </is>
      </c>
    </row>
    <row r="5" spans="1:8">
      <c r="A5" s="49" t="inlineStr">
        <is>
          <t>2026-10-09</t>
        </is>
      </c>
      <c r="B5" s="49" t="inlineStr">
        <is>
          <t>Neg + fragile</t>
        </is>
      </c>
      <c r="C5" s="49" t="inlineStr">
        <is>
          <t>DOM forming warning (display only)</t>
        </is>
      </c>
      <c r="D5" s="49" t="inlineStr">
        <is>
          <t>When the Min GEX strike is not yet Max Gamma but its gamma reaches 90% of the max (BG164), the ladder marks it ◇ (◆ = DOM, ◇ = DOM forming), and a support within 5 pts above it / resistance within 5 pts below it gets a column L line: "• DOM forming at 7770 (gamma 92% of max) — price may be pulled to the node". No status change. Re-test fixed at 90% on or after 2026-11-20</t>
        </is>
      </c>
      <c r="E5" s="49" t="inlineStr">
        <is>
          <t>Giggles: 7775 read SAFE at 17:37 on 10-08 while 7770 (Min GEX) climbed to 92% then 99% of Max Gamma; it became the DOM at 17:38:49 and the DOM pull fired one cycle before the touch</t>
        </is>
      </c>
      <c r="F5" s="49" t="inlineStr">
        <is>
          <t>Archive: near-DOM touches too rare to judge (3-7 in 37 neg/fragile sessions; 57% / 40% / 33% at 80 / 85 / 90%)</t>
        </is>
      </c>
      <c r="G5" s="49" t="inlineStr">
        <is>
          <t>LE BG164:BG166, NI, MU; MD DJ (ladder)</t>
        </is>
      </c>
      <c r="H5" s="49" t="inlineStr">
        <is>
          <t>Display</t>
        </is>
      </c>
    </row>
    <row r="6" spans="1:8">
      <c r="A6" s="49" t="inlineStr">
        <is>
          <t>2026-10-09</t>
        </is>
      </c>
      <c r="B6" s="49" t="inlineStr">
        <is>
          <t>Neg + fragile</t>
        </is>
      </c>
      <c r="C6" s="49" t="inlineStr">
        <is>
          <t>Buy-lean max-node exemption narrowed</t>
        </is>
      </c>
      <c r="D6" s="49" t="inlineStr">
        <is>
          <t>The exemption now needs vanna to back the level (support: vanna BUY; resistance: vanna SELL), and the level must be the DOM strike itself or a RESISTANCE 5 pts above it -- a support above the DOM no longer qualifies (price is pulled down to the DOM). Unchanged: neg/fragile gamma, LOW IV, market lean BUY, DOM king node; the DEX lean and DOM pull still override it</t>
        </is>
      </c>
      <c r="E6" s="49" t="inlineStr">
        <is>
          <t>Giggles: 7750 at 19:07 on 10-08 (DOM, resistance, vanna BUY into the ceiling) had its border suppressed; the 19:08 short lost</t>
        </is>
      </c>
      <c r="F6" s="49" t="inlineStr">
        <is>
          <t>--</t>
        </is>
      </c>
      <c r="G6" s="49" t="inlineStr">
        <is>
          <t>LE NE (read by EW)</t>
        </is>
      </c>
      <c r="H6" s="49" t="inlineStr">
        <is>
          <t>Untested</t>
        </is>
      </c>
    </row>
    <row r="7" spans="1:8">
      <c r="A7" s="49" t="inlineStr">
        <is>
          <t>2026-10-09</t>
        </is>
      </c>
      <c r="B7" s="49" t="inlineStr">
        <is>
          <t>Neg + fragile</t>
        </is>
      </c>
      <c r="C7" s="49" t="inlineStr">
        <is>
          <t>DEX lean outweighs the DOM override</t>
        </is>
      </c>
      <c r="D7" s="49" t="inlineStr">
        <is>
          <t>The wall-zone DOM override (put wall + Max Zomma + DOM) and the DOM vanna-buy rule can no longer clear the DEX-lean UNSAFE: border, ladder and column L now agree. Column L names the override: "• DOM with vanna BUY +635K backs the level, but it does not outweigh DEX and speed" (or "Put wall + Max Zomma + DOM ...")</t>
        </is>
      </c>
      <c r="E7" s="49" t="inlineStr">
        <is>
          <t>Giggles: 7750 at 18:47 on 10-08 read UNSAFE from the DEX lean but had a green border from the DOM override; that long lost</t>
        </is>
      </c>
      <c r="F7" s="49" t="inlineStr">
        <is>
          <t>--</t>
        </is>
      </c>
      <c r="G7" s="49" t="inlineStr">
        <is>
          <t>LE NG (raw), KM, MZ</t>
        </is>
      </c>
      <c r="H7" s="49" t="inlineStr">
        <is>
          <t>Fix</t>
        </is>
      </c>
    </row>
    <row r="8" spans="1:8">
      <c r="A8" s="49" t="inlineStr">
        <is>
          <t>2026-10-09</t>
        </is>
      </c>
      <c r="B8" s="49" t="inlineStr">
        <is>
          <t>Pos</t>
        </is>
      </c>
      <c r="C8" s="49" t="inlineStr">
        <is>
          <t>Positive-gamma DEX lean: not on iDex</t>
        </is>
      </c>
      <c r="D8" s="49" t="inlineStr">
        <is>
          <t>The positive-gamma DEX lean warning no longer applies to a level with iDex (isolated DEX sign), matching the negative-gamma rule. Column L notes it: "• DEX falls off more sharply above (x%) than below (y%) — DEX lean does not apply to iDex (isolated DEX)"</t>
        </is>
      </c>
      <c r="E8" s="49" t="inlineStr">
        <is>
          <t>Giggles: same treatment in both regimes</t>
        </is>
      </c>
      <c r="F8" s="49" t="inlineStr">
        <is>
          <t>--</t>
        </is>
      </c>
      <c r="G8" s="49" t="inlineStr">
        <is>
          <t>LE HW, NF (raw), NB</t>
        </is>
      </c>
      <c r="H8" s="49" t="inlineStr">
        <is>
          <t>Untested</t>
        </is>
      </c>
    </row>
    <row r="9" spans="1:8">
      <c r="A9" s="49" t="inlineStr">
        <is>
          <t>2026-10-09</t>
        </is>
      </c>
      <c r="B9" s="49" t="inlineStr">
        <is>
          <t>Pos</t>
        </is>
      </c>
      <c r="C9" s="49" t="inlineStr">
        <is>
          <t>Positive-gamma DEX lean minimum 100K</t>
        </is>
      </c>
      <c r="D9" s="49" t="inlineStr">
        <is>
          <t>The positive-gamma DEX lean warning now checks levels with |DEX| of 100K or more (BG113), the same as iDex and the negative-gamma lean. Was 150K</t>
        </is>
      </c>
      <c r="E9" s="49" t="inlineStr">
        <is>
          <t>Giggles: one number for every DEX lean and iDex</t>
        </is>
      </c>
      <c r="F9" s="49" t="inlineStr">
        <is>
          <t>--</t>
        </is>
      </c>
      <c r="G9" s="49" t="inlineStr">
        <is>
          <t>LE BG113</t>
        </is>
      </c>
      <c r="H9" s="49" t="inlineStr">
        <is>
          <t>Untested</t>
        </is>
      </c>
    </row>
    <row r="10" spans="1:8">
      <c r="A10" s="49" t="inlineStr">
        <is>
          <t>2026-10-09</t>
        </is>
      </c>
      <c r="B10" s="49" t="inlineStr">
        <is>
          <t>Neg + fragile</t>
        </is>
      </c>
      <c r="C10" s="49" t="inlineStr">
        <is>
          <t>DEX lean: not on iDex, minimum 100K</t>
        </is>
      </c>
      <c r="D10" s="49" t="inlineStr">
        <is>
          <t>The DEX-lean UNSAFE warning no longer applies to a level with iDex (an isolated DEX sign); column L records it: "• DEX falls off more sharply above (x%) than below (y%) — DEX lean does not apply to iDex (isolated DEX)". Its minimum |DEX| is now the iDex floor (BG152, 100K) instead of 150K, so the two always match. Blocks and every other shape keep the lean</t>
        </is>
      </c>
      <c r="E10" s="49" t="inlineStr">
        <is>
          <t>Giggles: one number for iDex and the lean; 7730 at 18:28 on 10-08 (isolated +110K) should not be killed by a lean that contradicts its own iDex reading</t>
        </is>
      </c>
      <c r="F10" s="49" t="inlineStr">
        <is>
          <t>Archive (56 neg/fragile sessions, supports with |DEX| &gt;= 100K and the lean against): isolated positive DEX held 8 of 11 (73%); on a positive-DEX block 4 of 16 (25%) vs 57% with the lean OK</t>
        </is>
      </c>
      <c r="G10" s="49" t="inlineStr">
        <is>
          <t>LE NA, MY, NB, MU</t>
        </is>
      </c>
      <c r="H10" s="49" t="inlineStr">
        <is>
          <t>Untested</t>
        </is>
      </c>
    </row>
    <row r="11" spans="1:8">
      <c r="A11" s="49" t="inlineStr">
        <is>
          <t>2026-10-09</t>
        </is>
      </c>
      <c r="B11" s="49" t="inlineStr">
        <is>
          <t>Neg + fragile</t>
        </is>
      </c>
      <c r="C11" s="49" t="inlineStr">
        <is>
          <t>DOM pull outweighs the buy-lean max-node exemption</t>
        </is>
      </c>
      <c r="D11" s="49" t="inlineStr">
        <is>
          <t>When a support sits within 5 pts above the DOM (or a resistance within 5 pts below it), the DOM-pull warning ("price tends to be pulled to the node") now shows its raspberry border: the buy-lean max-node exemption no longer suppresses it. Column L no longer shows "EXEMPT·buy-lean max node — border suppressed" in that case</t>
        </is>
      </c>
      <c r="E11" s="49" t="inlineStr">
        <is>
          <t>Giggles: 7775 at 17:38 on 10-08, 5 pts above the DOM 7770, read UNSAFE (DOM pull) but the exemption hid the border; it lost at 17:39 and 17:44</t>
        </is>
      </c>
      <c r="F11" s="49" t="inlineStr">
        <is>
          <t>--</t>
        </is>
      </c>
      <c r="G11" s="49" t="inlineStr">
        <is>
          <t>LE EW</t>
        </is>
      </c>
      <c r="H11" s="49" t="inlineStr">
        <is>
          <t>Untested</t>
        </is>
      </c>
    </row>
    <row r="12" spans="1:8">
      <c r="A12" s="49" t="inlineStr">
        <is>
          <t>2026-10-09</t>
        </is>
      </c>
      <c r="B12" s="49" t="inlineStr">
        <is>
          <t>Both</t>
        </is>
      </c>
      <c r="C12" s="49" t="inlineStr">
        <is>
          <t>iDex floor: absolute 100K</t>
        </is>
      </c>
      <c r="D12" s="49" t="inlineStr">
        <is>
          <t>iDex now needs |DEX| at the level of at least 100K (BG152), replacing the 10-08 floor of 50% of the neighbours' average |DEX|. The isolated-sign test is unchanged</t>
        </is>
      </c>
      <c r="E12" s="49" t="inlineStr">
        <is>
          <t>Giggles: 7730 at 18:28 on 10-08 (+110K between -469K and -72K) missed iDex on the 50% floor, lost its only reversal source and read UNSAFE "No reversal flag"; it was the day's low</t>
        </is>
      </c>
      <c r="F12" s="49" t="inlineStr">
        <is>
          <t>Archive (25 neg/fragile sessions, isolated-DEX first touches): own |DEX| &gt;= 100K held 11 of 16 (69%), under 100K 6 of 18 (33%); relative size showed no pattern</t>
        </is>
      </c>
      <c r="G12" s="49" t="inlineStr">
        <is>
          <t>LE AV, BG152</t>
        </is>
      </c>
      <c r="H12" s="49" t="inlineStr">
        <is>
          <t>Untested</t>
        </is>
      </c>
    </row>
    <row r="13" spans="1:8">
      <c r="A13" s="49" t="inlineStr">
        <is>
          <t>2026-10-09</t>
        </is>
      </c>
      <c r="B13" s="49" t="inlineStr">
        <is>
          <t>Neg + fragile</t>
        </is>
      </c>
      <c r="C13" s="49" t="inlineStr">
        <is>
          <t>DEX lean outweighs the buy-lean max-node exemption</t>
        </is>
      </c>
      <c r="D13" s="49" t="inlineStr">
        <is>
          <t>When the DEX lean is against the level, the buy-lean max-node exemption is not applied: the raspberry border and ladder unsafe shading show, and column L says "• Buy-lean max-node exemption not applied — DEX leans against the level" instead of "EXEMPT·buy-lean max node — border suppressed". Otherwise the exemption works as before</t>
        </is>
      </c>
      <c r="E13" s="49" t="inlineStr">
        <is>
          <t>Giggles: 7770 at 17:39 on 10-08 read UNSAFE from the DEX lean but had no border because of the exemption; it broke at 17:48 and fell to 7746.8 by 18:05</t>
        </is>
      </c>
      <c r="F13" s="49" t="inlineStr">
        <is>
          <t>--</t>
        </is>
      </c>
      <c r="G13" s="49" t="inlineStr">
        <is>
          <t>LE NE (raw), EW, MZ</t>
        </is>
      </c>
      <c r="H13" s="49" t="inlineStr">
        <is>
          <t>Untested</t>
        </is>
      </c>
    </row>
    <row r="14" spans="1:8">
      <c r="A14" s="49" t="inlineStr">
        <is>
          <t>2026-10-09</t>
        </is>
      </c>
      <c r="B14" s="49" t="inlineStr">
        <is>
          <t>Both</t>
        </is>
      </c>
      <c r="C14" s="49" t="inlineStr">
        <is>
          <t>Take profits inside the box</t>
        </is>
      </c>
      <c r="D14" s="49" t="inlineStr">
        <is>
          <t>When spot is boxed between a SAFE support and a SAFE resistance, a take profit still shows if it lies inside the box: one above spot only if it is below the SAFE resistance, one below spot only if it is above the SAFE support. Applies to the DEX, zigzag and GEX-pocket take profits</t>
        </is>
      </c>
      <c r="E14" s="49" t="inlineStr">
        <is>
          <t>Giggles: support 7770, Min DEX 7800 and SAFE resistance 7810 -- 7800 is reached before 7810 and should be the take profit; 7705 in the earlier case stays hidden (beyond the 7770 support)</t>
        </is>
      </c>
      <c r="F14" s="49" t="inlineStr">
        <is>
          <t>--</t>
        </is>
      </c>
      <c r="G14" s="49" t="inlineStr">
        <is>
          <t>LE NC, ND (new), LM, MP, MX</t>
        </is>
      </c>
      <c r="H14" s="49" t="inlineStr">
        <is>
          <t>Display</t>
        </is>
      </c>
    </row>
    <row r="15" spans="1:8">
      <c r="A15" s="49" t="inlineStr">
        <is>
          <t>2026-10-09</t>
        </is>
      </c>
      <c r="B15" s="49" t="inlineStr">
        <is>
          <t>Neg + fragile</t>
        </is>
      </c>
      <c r="C15" s="49" t="inlineStr">
        <is>
          <t>Engines: fragile = negative</t>
        </is>
      </c>
      <c r="D15" s="49" t="inlineStr">
        <is>
          <t>replay_king_node.py: DEX tracker, oEdge writer (DS), near-vanna writer (DT/ET), proximity step (EN) and SAND lock now treat fragile gamma as negative. live_king_node.py: oEdge and near-vanna writers, SAND lock and proximity step likewise</t>
        </is>
      </c>
      <c r="E15" s="49" t="inlineStr">
        <is>
          <t>Giggles: any rule that fires in negative gamma fires in fragile gamma</t>
        </is>
      </c>
      <c r="F15" s="49" t="inlineStr">
        <is>
          <t>--</t>
        </is>
      </c>
      <c r="G15" s="49" t="inlineStr">
        <is>
          <t>replay_king_node.py, live_king_node.py</t>
        </is>
      </c>
      <c r="H15" s="49" t="inlineStr">
        <is>
          <t>Fix</t>
        </is>
      </c>
    </row>
    <row r="16" spans="1:8">
      <c r="A16" s="49" t="inlineStr">
        <is>
          <t>2026-10-09</t>
        </is>
      </c>
      <c r="B16" s="49" t="inlineStr">
        <is>
          <t>Neg + fragile</t>
        </is>
      </c>
      <c r="C16" s="49" t="inlineStr">
        <is>
          <t>Fragile gamma = negative gamma, everywhere</t>
        </is>
      </c>
      <c r="D16" s="49" t="inlineStr">
        <is>
          <t>Every regime test that switched a rule on in NEGATIVE gamma now also switches it on in FRAGILE positive gamma (and every "not negative" branch now also excludes fragile). Tests that already handled fragile were left alone. Standing rule from now on: any rule built for negative gamma is built for fragile too</t>
        </is>
      </c>
      <c r="E16" s="49" t="inlineStr">
        <is>
          <t>Giggles: any rule that fires in negative gamma ought to fire in fragile gamma (7770 at 14:34 on 10-08 was fragile and lost its negative-gamma protections)</t>
        </is>
      </c>
      <c r="F16" s="49" t="inlineStr">
        <is>
          <t>--</t>
        </is>
      </c>
      <c r="G16" s="49" t="inlineStr">
        <is>
          <t>1964 regime tests in: DB E, KNM AC, KNM AM, KNM AN, KNM AP, KNM AQ, KNM P, KNM S, LE A, LE AN, LE BG, LE BT, LE BX, LE CC, LE CD, LE CU, LE CV, LE DM, LE DN, LE DP, LE DY, LE DZ, LE EE, LE EF, LE EJ, LE EL, LE EU, LE EW, LE EX, LE GS, LE GT, LE HH, LE HI, LE HQ, LE LR, LE LS, LE MA, MD AU, MD B, MD BQ, MD BR, MD DB</t>
        </is>
      </c>
      <c r="H16" s="49" t="inlineStr">
        <is>
          <t>Fix</t>
        </is>
      </c>
    </row>
    <row r="17" spans="1:8">
      <c r="A17" s="49" t="inlineStr">
        <is>
          <t>2026-10-09</t>
        </is>
      </c>
      <c r="B17" s="49" t="inlineStr">
        <is>
          <t>Neg + fragile</t>
        </is>
      </c>
      <c r="C17" s="49" t="inlineStr">
        <is>
          <t>Zigzag rules include fragile gamma</t>
        </is>
      </c>
      <c r="D17" s="49" t="inlineStr">
        <is>
          <t>The zigzag GEX rules (interior chop, top/bottom edges, zigzag UNSAFE, zigzag take profit and its text) now apply in negative OR fragile gamma. Also fixes the GEX-pocket take-profit text, which was still negative-only after the earlier fragile fix</t>
        </is>
      </c>
      <c r="E17" s="49" t="inlineStr">
        <is>
          <t>Giggles: fragile gamma is treated as negative gamma</t>
        </is>
      </c>
      <c r="F17" s="49" t="inlineStr">
        <is>
          <t>--</t>
        </is>
      </c>
      <c r="G17" s="49" t="inlineStr">
        <is>
          <t>LE ME, MF, MG (shared), LM, LQ</t>
        </is>
      </c>
      <c r="H17" s="49" t="inlineStr">
        <is>
          <t>Fix</t>
        </is>
      </c>
    </row>
    <row r="18" spans="1:8">
      <c r="A18" s="49" t="inlineStr">
        <is>
          <t>2026-10-09</t>
        </is>
      </c>
      <c r="B18" s="49" t="inlineStr">
        <is>
          <t>Neg + fragile</t>
        </is>
      </c>
      <c r="C18" s="49" t="inlineStr">
        <is>
          <t>BUG FIX: fragile gamma treated as negative</t>
        </is>
      </c>
      <c r="D18" s="49" t="inlineStr">
        <is>
          <t>Today's negative-gamma rules read only the regime flag, so in fragile positive gamma they switched off. Now negative OR fragile: Min GEX + Max Zomma accelerant exemption and its column L lines, DEX-lean UNSAFE and its Min GEX + Max Zomma exemption, GEX-pocket take profit. Zigzag rules (older, negative gamma only) unchanged</t>
        </is>
      </c>
      <c r="E18" s="49" t="inlineStr">
        <is>
          <t>Giggles: at 14:34 on 10-08 (fragile positive gamma) 7770 read UNSAFE "Accelerant — min GEX alone" although it was the Min GEX + Max Zomma support</t>
        </is>
      </c>
      <c r="F18" s="49" t="inlineStr">
        <is>
          <t>--</t>
        </is>
      </c>
      <c r="G18" s="49" t="inlineStr">
        <is>
          <t>LE NA, MU, ML, MM, MP; MD CK45:47, CK52:54, DU45:47, DU52:54</t>
        </is>
      </c>
      <c r="H18" s="49" t="inlineStr">
        <is>
          <t>Fix</t>
        </is>
      </c>
    </row>
    <row r="19" spans="1:8">
      <c r="A19" s="49" t="inlineStr">
        <is>
          <t>2026-10-09</t>
        </is>
      </c>
      <c r="B19" s="49" t="inlineStr">
        <is>
          <t>Neg</t>
        </is>
      </c>
      <c r="C19" s="49" t="inlineStr">
        <is>
          <t>DEX-lean UNSAFE: Min GEX + Max Zomma exemption</t>
        </is>
      </c>
      <c r="D19" s="49" t="inlineStr">
        <is>
          <t>A support at the Min GEX + Max Zomma strike is exempt from the DEX-lean UNSAFE warning when the Max Gamma strike is ABOVE spot. It still loses Dex↓. Column L records it: "• DEX falls off more sharply above (x%) than below (y%) — DEX-lean warning not applied: Min GEX + Max Zomma support with Max Gamma N above (Dex↓ not counted)". When the warning does apply, the third line names Min GEX + Max Zomma (not vanna) as what it overrides</t>
        </is>
      </c>
      <c r="E19" s="49" t="inlineStr">
        <is>
          <t>Giggles: 7770 was SAFE because it was Min GEX + Max Zomma, not because of vanna; exemption narrowed to Max Gamma above</t>
        </is>
      </c>
      <c r="F19" s="49" t="inlineStr">
        <is>
          <t>Archive: on Min GEX + Max Zomma supports the lean made no difference (4 of 9 vs 9 of 20)</t>
        </is>
      </c>
      <c r="G19" s="49" t="inlineStr">
        <is>
          <t>LE NA (raw lean), MY, NB, MZ, MS, MU</t>
        </is>
      </c>
      <c r="H19" s="49" t="inlineStr">
        <is>
          <t>Untested</t>
        </is>
      </c>
    </row>
    <row r="20" spans="1:8">
      <c r="A20" s="49" t="inlineStr">
        <is>
          <t>2026-10-09</t>
        </is>
      </c>
      <c r="B20" s="49" t="inlineStr">
        <is>
          <t>Neg</t>
        </is>
      </c>
      <c r="C20" s="49" t="inlineStr">
        <is>
          <t>DEX lean against = UNSAFE</t>
        </is>
      </c>
      <c r="D20" s="49" t="inlineStr">
        <is>
          <t>In negative gamma a level is UNSAFE when the two-sided DEX lean points against it (support: DEX falls off more sharply above; resistance: more sharply below; a one-sided zero crossing decides; |DEX| &gt;= 150K). The vanna override, vanna OK, DOM vanna buy and Min VEX exemptions cannot clear it. Column L names the DEX lean, adds a speed line when the level's own speed works against it, and a vanna line when vanna would otherwise have made it SAFE: "Vanna SELL −638K backs the level, but it does not outweigh DEX and speed"</t>
        </is>
      </c>
      <c r="E20" s="49" t="inlineStr">
        <is>
          <t>Giggles: vanna should not trump DEX; 7780 was SAFE on Min VEX / vanna with DEX pointing up and broke</t>
        </is>
      </c>
      <c r="F20" s="49" t="inlineStr">
        <is>
          <t>Archive (25 neg-gamma sessions, vanna backing the level): DEX lean against held 43% (n=28) vs 56%, p 0.36; speed against no effect (52% vs 50%), so speed is shown, not ruled on</t>
        </is>
      </c>
      <c r="G20" s="49" t="inlineStr">
        <is>
          <t>LE MY, MZ, HQ (DEXLEAN), HP; MD DX45:47, DX52:54 (read by DO)</t>
        </is>
      </c>
      <c r="H20" s="49" t="inlineStr">
        <is>
          <t>Untested</t>
        </is>
      </c>
    </row>
    <row r="21" spans="1:8">
      <c r="A21" s="49" t="inlineStr">
        <is>
          <t>2026-10-09</t>
        </is>
      </c>
      <c r="B21" s="49" t="inlineStr">
        <is>
          <t>Both</t>
        </is>
      </c>
      <c r="C21" s="49" t="inlineStr">
        <is>
          <t>Min GEX + Max Zomma vanna threshold 150K</t>
        </is>
      </c>
      <c r="D21" s="49" t="inlineStr">
        <is>
          <t>BG158 lowered from 400K to 150K, the same as the DOM vanna threshold (BG92)</t>
        </is>
      </c>
      <c r="E21" s="49" t="inlineStr">
        <is>
          <t>Giggles: keep thresholds consistent</t>
        </is>
      </c>
      <c r="F21" s="49" t="inlineStr">
        <is>
          <t>Archive: vanna-buy supports 150-400K held 54% (n=24) vs 48% under 150K</t>
        </is>
      </c>
      <c r="G21" s="49" t="inlineStr">
        <is>
          <t>LE BG158</t>
        </is>
      </c>
      <c r="H21" s="49" t="inlineStr">
        <is>
          <t>Untested</t>
        </is>
      </c>
    </row>
    <row r="22" spans="1:8">
      <c r="A22" s="49" t="inlineStr">
        <is>
          <t>2026-10-09</t>
        </is>
      </c>
      <c r="B22" s="49" t="inlineStr">
        <is>
          <t>Both</t>
        </is>
      </c>
      <c r="C22" s="49" t="inlineStr">
        <is>
          <t>Take profits: none when boxed</t>
        </is>
      </c>
      <c r="D22" s="49" t="inlineStr">
        <is>
          <t>When spot sits between a SAFE support and a SAFE resistance, no take profit shows (DEX, zigzag and GEX pocket). Take profits show only with SAFE levels on one side</t>
        </is>
      </c>
      <c r="E22" s="49" t="inlineStr">
        <is>
          <t>Giggles: spot 7775 between SAFE 7770 support and SAFE 7780 resistance showed Max DEX 7705 as a take profit, two significant supports away</t>
        </is>
      </c>
      <c r="F22" s="49" t="inlineStr">
        <is>
          <t>--</t>
        </is>
      </c>
      <c r="G22" s="49" t="inlineStr">
        <is>
          <t>LE BG163</t>
        </is>
      </c>
      <c r="H22" s="49" t="inlineStr">
        <is>
          <t>Display</t>
        </is>
      </c>
    </row>
    <row r="23" spans="1:8">
      <c r="A23" s="49" t="inlineStr">
        <is>
          <t>2026-10-09</t>
        </is>
      </c>
      <c r="B23" s="49" t="inlineStr">
        <is>
          <t>Neg</t>
        </is>
      </c>
      <c r="C23" s="49" t="inlineStr">
        <is>
          <t>Zigzag and GEX-pocket take profits follow the direction</t>
        </is>
      </c>
      <c r="D23" s="49" t="inlineStr">
        <is>
          <t>The zigzag and GEX-pocket take profits now show only on the side you are heading, using the same direction as the DEX take profit (BG163): nearest SAFE level a support below = longs only (take profit above); a resistance above = shorts only (take profit below); no SAFE level = none</t>
        </is>
      </c>
      <c r="E23" s="49" t="inlineStr">
        <is>
          <t>Giggles: heading up from 7770 support, the short-side GEX-pocket take profit at 7750 was still showing</t>
        </is>
      </c>
      <c r="F23" s="49" t="inlineStr">
        <is>
          <t>--</t>
        </is>
      </c>
      <c r="G23" s="49" t="inlineStr">
        <is>
          <t>LE LM, MP</t>
        </is>
      </c>
      <c r="H23" s="49" t="inlineStr">
        <is>
          <t>Display</t>
        </is>
      </c>
    </row>
    <row r="24" spans="1:8">
      <c r="A24" s="49" t="inlineStr">
        <is>
          <t>2026-10-09</t>
        </is>
      </c>
      <c r="B24" s="49" t="inlineStr">
        <is>
          <t>Both</t>
        </is>
      </c>
      <c r="C24" s="49" t="inlineStr">
        <is>
          <t>Max / Min DEX take profit: UNSAFE table levels still show</t>
        </is>
      </c>
      <c r="D24" s="49" t="inlineStr">
        <is>
          <t>The DEX take profit now also shows when the strike is in the reaction table but UNSAFE; it is switched off only when the strike is a SAFE level in the table</t>
        </is>
      </c>
      <c r="E24" s="49" t="inlineStr">
        <is>
          <t>Giggles: after the one-side fix the take profit vanished -- Min DEX 7800 sat in the resistance rows as an UNSAFE zigzag level, which switched it off</t>
        </is>
      </c>
      <c r="F24" s="49" t="inlineStr">
        <is>
          <t>--</t>
        </is>
      </c>
      <c r="G24" s="49" t="inlineStr">
        <is>
          <t>LE MX</t>
        </is>
      </c>
      <c r="H24" s="49" t="inlineStr">
        <is>
          <t>Display</t>
        </is>
      </c>
    </row>
    <row r="25" spans="1:8">
      <c r="A25" s="49" t="inlineStr">
        <is>
          <t>2026-10-09</t>
        </is>
      </c>
      <c r="B25" s="49" t="inlineStr">
        <is>
          <t>Both</t>
        </is>
      </c>
      <c r="C25" s="49" t="inlineStr">
        <is>
          <t>Max / Min DEX take profit: one side only</t>
        </is>
      </c>
      <c r="D25" s="49" t="inlineStr">
        <is>
          <t>Only one DEX take profit shows, in the direction of travel: the nearest SAFE level decides. Nearest SAFE level a support below spot = heading up, Min DEX above is the take profit; nearest SAFE level a resistance above = heading down, Max DEX below. Was: both could show at once</t>
        </is>
      </c>
      <c r="E25" s="49" t="inlineStr">
        <is>
          <t>Giggles: spot 7776 with SAFE support at 7770 -- the Max DEX 7705 below was highlighted, but price would have to break support to get there; Min DEX 7800 above is the target</t>
        </is>
      </c>
      <c r="F25" s="49" t="inlineStr">
        <is>
          <t>--</t>
        </is>
      </c>
      <c r="G25" s="49" t="inlineStr">
        <is>
          <t>LE MX, BG161:BG163</t>
        </is>
      </c>
      <c r="H25" s="49" t="inlineStr">
        <is>
          <t>Display</t>
        </is>
      </c>
    </row>
    <row r="26" spans="1:8">
      <c r="A26" s="49" t="inlineStr">
        <is>
          <t>2026-10-09</t>
        </is>
      </c>
      <c r="B26" s="49" t="inlineStr">
        <is>
          <t>Both</t>
        </is>
      </c>
      <c r="C26" s="49" t="inlineStr">
        <is>
          <t>Dex↓ shoulder rule</t>
        </is>
      </c>
      <c r="D26" s="49" t="inlineStr">
        <is>
          <t>Dex↓ is not counted when the level's |DEX| is under 50% (BG159) of the |DEX| of the strike on its spot side -- the level is only the shoulder of a bigger DEX wall. Column L: "• Shoulder of the 7780 wall — own DEX −30K is 3% of −894K, Dex↓ not counted"</t>
        </is>
      </c>
      <c r="E26" s="49" t="inlineStr">
        <is>
          <t>Giggles: 7785 (−30K) got Dex↓ sitting just past the −894K wall at 7780 -- once 7780 gives, nothing at 7785 stops price</t>
        </is>
      </c>
      <c r="F26" s="49" t="inlineStr">
        <is>
          <t>Archive (28 sessions, Dex↓ touches, 10/10): under 50% held 40% (n=20) vs 57%, p 0.17; under 25% 0 of 3; at 5/5 little difference</t>
        </is>
      </c>
      <c r="G26" s="49" t="inlineStr">
        <is>
          <t>LE MW, MS, AJ, BG159</t>
        </is>
      </c>
      <c r="H26" s="49" t="inlineStr">
        <is>
          <t>Untested</t>
        </is>
      </c>
    </row>
    <row r="27" spans="1:8">
      <c r="A27" s="49" t="inlineStr">
        <is>
          <t>2026-10-09</t>
        </is>
      </c>
      <c r="B27" s="49" t="inlineStr">
        <is>
          <t>Neg</t>
        </is>
      </c>
      <c r="C27" s="49" t="inlineStr">
        <is>
          <t>Gxp floor</t>
        </is>
      </c>
      <c r="D27" s="49" t="inlineStr">
        <is>
          <t>A positive-GEX pocket strike needs GEX of at least 100K (BG160) to earn Gxp</t>
        </is>
      </c>
      <c r="E27" s="49" t="inlineStr">
        <is>
          <t>Giggles: 7785's +15K pocket is negligible; mirrors the 100K DEX noise floor</t>
        </is>
      </c>
      <c r="F27" s="49" t="inlineStr">
        <is>
          <t>Archive: Gxp levels held 9 of 16 (56%) vs 47%; too few small pockets to calibrate</t>
        </is>
      </c>
      <c r="G27" s="49" t="inlineStr">
        <is>
          <t>LE BX, BG160</t>
        </is>
      </c>
      <c r="H27" s="49" t="inlineStr">
        <is>
          <t>Untested</t>
        </is>
      </c>
    </row>
    <row r="28" spans="1:8">
      <c r="A28" s="49" t="inlineStr">
        <is>
          <t>2026-10-09</t>
        </is>
      </c>
      <c r="B28" s="49" t="inlineStr">
        <is>
          <t>Both</t>
        </is>
      </c>
      <c r="C28" s="49" t="inlineStr">
        <is>
          <t>Max / Min DEX take profit (display)</t>
        </is>
      </c>
      <c r="D28" s="49" t="inlineStr">
        <is>
          <t>Min DEX strike (negative DEX) above spot = TAKE PROFIT for longs while a support is in the support rows; Max DEX strike (positive DEX) below spot = TAKE PROFIT for shorts while a resistance is in the resistance rows (corrected the same day: Giggles -- with support at 7770 and spot 7780, Min DEX 7800 above was the take profit). Shown only until the strike itself enters the reaction table. TP on the ladder; zigzag and GEX-pocket take profits keep priority. Not counted</t>
        </is>
      </c>
      <c r="E28" s="49" t="inlineStr">
        <is>
          <t>Giggles's call</t>
        </is>
      </c>
      <c r="F28" s="49" t="inlineStr">
        <is>
          <t>--</t>
        </is>
      </c>
      <c r="G28" s="49" t="inlineStr">
        <is>
          <t>LE MX, LM, LQ</t>
        </is>
      </c>
      <c r="H28" s="49" t="inlineStr">
        <is>
          <t>Display</t>
        </is>
      </c>
    </row>
    <row r="29" spans="1:8">
      <c r="A29" s="49" t="inlineStr">
        <is>
          <t>2026-10-09</t>
        </is>
      </c>
      <c r="B29" s="49" t="inlineStr">
        <is>
          <t>Both</t>
        </is>
      </c>
      <c r="C29" s="49" t="inlineStr">
        <is>
          <t>Dex↓ lean: sign crossing decides</t>
        </is>
      </c>
      <c r="D29" s="49" t="inlineStr">
        <is>
          <t>If DEX crosses zero on exactly one side of the level (fall-off over 100%) and also falls at least 40% on the other side, the lean goes to the crossing side even when the two falls are within the 10-point margin. Dex↓ rule only; the positive-gamma DEX lean warning is unchanged</t>
        </is>
      </c>
      <c r="E29" s="49" t="inlineStr">
        <is>
          <t>Giggles: 7780 (DEX −894K) fell 97% to −30K above and 102% to +15K below -- within the 10-point margin, so it kept Dex↓; the zero crossing below makes the path of least resistance up. He declined a minimum DEX for Dex↓ (small pockets can do better)</t>
        </is>
      </c>
      <c r="F29" s="49" t="inlineStr">
        <is>
          <t>--</t>
        </is>
      </c>
      <c r="G29" s="49" t="inlineStr">
        <is>
          <t>LE MR</t>
        </is>
      </c>
      <c r="H29" s="49" t="inlineStr">
        <is>
          <t>Untested</t>
        </is>
      </c>
    </row>
    <row r="30" spans="1:8">
      <c r="A30" s="49" t="inlineStr">
        <is>
          <t>2026-10-09</t>
        </is>
      </c>
      <c r="B30" s="49" t="inlineStr">
        <is>
          <t>Both</t>
        </is>
      </c>
      <c r="C30" s="49" t="inlineStr">
        <is>
          <t>DEX fall-off is signed</t>
        </is>
      </c>
      <c r="D30" s="49" t="inlineStr">
        <is>
          <t>The fall-off to the strike above / below (KU/KV) now keeps the sign: a neighbour of the OPPOSITE sign counts as a fall of more than 100%. Feeds the Dex↓ lean rule and the positive-gamma DEX lean warning</t>
        </is>
      </c>
      <c r="E30" s="49" t="inlineStr">
        <is>
          <t>Giggles: 7780 (DEX −821K) kept Dex↓ though DEX fell to −125K above and to +101K below -- crossing zero below is the bigger drop, path of least resistance up. By magnitude the two falls (85% / 88%) were too close to count</t>
        </is>
      </c>
      <c r="F30" s="49" t="inlineStr">
        <is>
          <t>--</t>
        </is>
      </c>
      <c r="G30" s="49" t="inlineStr">
        <is>
          <t>LE KU, KV</t>
        </is>
      </c>
      <c r="H30" s="49" t="inlineStr">
        <is>
          <t>Untested</t>
        </is>
      </c>
    </row>
    <row r="31" spans="1:8">
      <c r="A31" s="49" t="inlineStr">
        <is>
          <t>2026-10-09</t>
        </is>
      </c>
      <c r="B31" s="49" t="inlineStr">
        <is>
          <t>Both</t>
        </is>
      </c>
      <c r="C31" s="49" t="inlineStr">
        <is>
          <t>Dex backer = |DEX| 1M+</t>
        </is>
      </c>
      <c r="D31" s="49" t="inlineStr">
        <is>
          <t>The plain Dex backer now fires when |DEX| at the strike is at least BG85 (1M) -- the same size as the ladder's Δ+ / Δ− -- still side-aligned (negative DEX on a resistance, positive on a support). Was: 2.5x the window median and 1.4x the strike below</t>
        </is>
      </c>
      <c r="E31" s="49" t="inlineStr">
        <is>
          <t>Giggles: align the backer with the ladder</t>
        </is>
      </c>
      <c r="F31" s="49" t="inlineStr">
        <is>
          <t>--</t>
        </is>
      </c>
      <c r="G31" s="49" t="inlineStr">
        <is>
          <t>LE AK, BG85</t>
        </is>
      </c>
      <c r="H31" s="49" t="inlineStr">
        <is>
          <t>Untested</t>
        </is>
      </c>
    </row>
    <row r="32" spans="1:8">
      <c r="A32" s="49" t="inlineStr">
        <is>
          <t>2026-10-09</t>
        </is>
      </c>
      <c r="B32" s="49" t="inlineStr">
        <is>
          <t>Both</t>
        </is>
      </c>
      <c r="C32" s="49" t="inlineStr">
        <is>
          <t>Display</t>
        </is>
      </c>
      <c r="D32" s="49" t="inlineStr">
        <is>
          <t>Ladder sandwich tag "SAND✓" now reads "SAND". The "DEX falls off more sharply ... — Dex↓ not counted" line is appended to column L after the status lines instead of sitting under a SAFE heading</t>
        </is>
      </c>
      <c r="E32" s="49" t="inlineStr">
        <is>
          <t>Giggles: the tick confused; the DEX line read as a reason for SAFE</t>
        </is>
      </c>
      <c r="F32" s="49" t="inlineStr">
        <is>
          <t>--</t>
        </is>
      </c>
      <c r="G32" s="49" t="inlineStr">
        <is>
          <t>MD DJ3:DJ49, DU/DR 45:47, 52:54</t>
        </is>
      </c>
      <c r="H32" s="49" t="inlineStr">
        <is>
          <t>Display</t>
        </is>
      </c>
    </row>
    <row r="33" spans="1:8">
      <c r="A33" s="49" t="inlineStr">
        <is>
          <t>2026-10-09</t>
        </is>
      </c>
      <c r="B33" s="49" t="inlineStr">
        <is>
          <t>Both</t>
        </is>
      </c>
      <c r="C33" s="49" t="inlineStr">
        <is>
          <t>Speed on arrival (ladder)</t>
        </is>
      </c>
      <c r="D33" s="49" t="inlineStr">
        <is>
          <t>After S↑ / S↓ on the ladder: ✓ when speed makes the strike's GEX more positive as price arrives (speed firms the level), ✗ when it makes GEX more negative (speed weakens the level, helps price through). Max and Min Speed strikes only. Display only, not counted</t>
        </is>
      </c>
      <c r="E33" s="49" t="inlineStr">
        <is>
          <t>Giggles: 7780 was the Min Speed strike (speed −1,870) above spot with GEX −1.54M -- a rally into it makes GEX more negative, so speed works against the resistance</t>
        </is>
      </c>
      <c r="F33" s="49" t="inlineStr">
        <is>
          <t>--</t>
        </is>
      </c>
      <c r="G33" s="49" t="inlineStr">
        <is>
          <t>LE MV; MD DJ3:DJ49</t>
        </is>
      </c>
      <c r="H33" s="49" t="inlineStr">
        <is>
          <t>Display</t>
        </is>
      </c>
    </row>
    <row r="34" spans="1:8">
      <c r="A34" s="49" t="inlineStr">
        <is>
          <t>2026-10-09</t>
        </is>
      </c>
      <c r="B34" s="49" t="inlineStr">
        <is>
          <t>Neg (in practice)</t>
        </is>
      </c>
      <c r="C34" s="49" t="inlineStr">
        <is>
          <t>Min GEX + Max Zomma column L wording</t>
        </is>
      </c>
      <c r="D34" s="49" t="inlineStr">
        <is>
          <t>One combined note replaces the separate lines: "• Min GEX + Max Zomma (no reversal flag required) — accelerant warning not applied; zomma acceleration warning only within 5 pts of the level, and not when vanna buying is 400K or more" then "• Max Zomma and vanna buying (+xK) make this level safe" (or "• Max Zomma is what makes this level safe" without the vanna rule). Shown only when one of these rules applies -- negative gamma in practice. Display only</t>
        </is>
      </c>
      <c r="E34" s="49" t="inlineStr">
        <is>
          <t>Giggles: the old lines overlapped and did not explain when the zomma warning applies</t>
        </is>
      </c>
      <c r="F34" s="49" t="inlineStr">
        <is>
          <t>--</t>
        </is>
      </c>
      <c r="G34" s="49" t="inlineStr">
        <is>
          <t>LE MU; MD DU45:47, DU52:54</t>
        </is>
      </c>
      <c r="H34" s="49" t="inlineStr">
        <is>
          <t>Display</t>
        </is>
      </c>
    </row>
    <row r="35" spans="1:8">
      <c r="A35" s="49" t="inlineStr">
        <is>
          <t>2026-10-09</t>
        </is>
      </c>
      <c r="B35" s="49" t="inlineStr">
        <is>
          <t>Both (neg/fragile in practice)</t>
        </is>
      </c>
      <c r="C35" s="49" t="inlineStr">
        <is>
          <t>Min GEX + Max Zomma support: vanna buying</t>
        </is>
      </c>
      <c r="D35" s="49" t="inlineStr">
        <is>
          <t>A support at the Min GEX strike that is also the Max Zomma strike, with dealers BUYING on vanna at the level and |VEX| &gt;= 400K (BG158), does not get the "Zomma ACCEL building" warning and qualifies for the support rows without the zomma or a reversal flag. Column L: "• Min GEX + Max Zomma (no reversal flag required)" and "• Vanna buying +xK". Other UNSAFE reasons stand</t>
        </is>
      </c>
      <c r="E35" s="49" t="inlineStr">
        <is>
          <t>Giggles: 7770 on 10-08 had vanna +993K buying, which should outweigh the zomma acceleration; default 400K (his call: 150K too low; the DOM vanna threshold BG92 stays 150K)</t>
        </is>
      </c>
      <c r="F35" s="49" t="inlineStr">
        <is>
          <t>Archive (31 neg-gamma sessions, support first touches with vanna BUY): &lt;150K 48% held (n=56), 150-400K 54% (n=24), 400K+ 3 of 4 -- too few to calibrate</t>
        </is>
      </c>
      <c r="G35" s="49" t="inlineStr">
        <is>
          <t>LE MT:MU, BG158, HQ (ZACCEL), CV (qualification); MD AR52:53, DV45:47, DV52:54 (read by DO)</t>
        </is>
      </c>
      <c r="H35" s="49" t="inlineStr">
        <is>
          <t>Untested</t>
        </is>
      </c>
    </row>
    <row r="36" spans="1:8">
      <c r="A36" s="49" t="inlineStr">
        <is>
          <t>2026-10-09</t>
        </is>
      </c>
      <c r="B36" s="49" t="inlineStr">
        <is>
          <t>Both</t>
        </is>
      </c>
      <c r="C36" s="49" t="inlineStr">
        <is>
          <t>Dex↓ must agree with the DEX lean</t>
        </is>
      </c>
      <c r="D36" s="49" t="inlineStr">
        <is>
          <t>Dex↓ is not counted on a SUPPORT whose DEX falls off more sharply ABOVE than below, or a RESISTANCE whose DEX falls off more sharply BELOW than above (sharper side &gt;= 40% and &gt;= the other side + 10 points, BG114/BG115). Removes the backer, confluence point and reversal flag it gave; the level drops out if that leaves it short. No exemptions of any kind (corrected 2026-10-09, Giggles: if a level does not earn Dex↓ it does not get it -- no overfitting). A Min GEX + Max Zomma support loses Dex↓ like any other level and drops out if nothing else qualifies it (7770 in the 10-08 snapshot); the Max/Min Zomma rule is unchanged. Column L adds "• DEX falls off more sharply ... — Dex↓ not counted" when the level still shows. Switch BG157</t>
        </is>
      </c>
      <c r="E36" s="49" t="inlineStr">
        <is>
          <t>Giggles: 7780 got Dex↓ as resistance though DEX fell off on both sides, deeper below -- path of least resistance up. No exemptions, including Min GEX + Max Zomma supports</t>
        </is>
      </c>
      <c r="F36" s="49" t="inlineStr">
        <is>
          <t>Archive (25 sessions, Dex↓ first touches): lean-opposed 11 of 26 won (42%) vs 39 of 70 (56%), p 0.26 (pos gamma 36% vs 58%, neg 47% vs 54%). Min GEX + Max Zomma supports: lean-opposed 4 of 9 vs 9 of 20 -- no difference. The positive-gamma lean warning exemptions (DOM, Min GEX, walls, reversal level behind) are NOT applied here</t>
        </is>
      </c>
      <c r="G36" s="49" t="inlineStr">
        <is>
          <t>LE AJ (now reads MQ/MR), MQ:MS, BG157; MD DU45:47, DU52:54</t>
        </is>
      </c>
      <c r="H36" s="49" t="inlineStr">
        <is>
          <t>Untested</t>
        </is>
      </c>
    </row>
    <row r="37" spans="1:8">
      <c r="A37" s="49" t="inlineStr">
        <is>
          <t>2026-10-09</t>
        </is>
      </c>
      <c r="B37" s="49" t="inlineStr">
        <is>
          <t>Neg</t>
        </is>
      </c>
      <c r="C37" s="49" t="inlineStr">
        <is>
          <t>Min GEX · Max Zomma support (bug fix + bullet)</t>
        </is>
      </c>
      <c r="D37" s="49" t="inlineStr">
        <is>
          <t>BUG FIX: the Level Engine copy of the accelerant warning (HQ token ACCEL) now honours the Min GEX + Max Zomma support exemption, so the level loses the raspberry border and the ladder unsafe shading too. Column L gains "• Max Zomma is what makes this level safe". Exemption now NEGATIVE gamma only (it previously also covered fragile positive gamma on the display side)</t>
        </is>
      </c>
      <c r="E37" s="49" t="inlineStr">
        <is>
          <t>Giggles: 7770 read SAFE in column L but still had the raspberry border and showed unsafe on the ladder -- the earlier build changed the display rule only</t>
        </is>
      </c>
      <c r="F37" s="49" t="inlineStr">
        <is>
          <t>--</t>
        </is>
      </c>
      <c r="G37" s="49" t="inlineStr">
        <is>
          <t>LE HQ9:HQ55; MD CK45:47, CK52:54, DU45:47, DU52:54</t>
        </is>
      </c>
      <c r="H37" s="49" t="inlineStr">
        <is>
          <t>Untested</t>
        </is>
      </c>
    </row>
    <row r="38" spans="1:8">
      <c r="A38" s="49" t="inlineStr">
        <is>
          <t>2026-10-09</t>
        </is>
      </c>
      <c r="B38" s="49" t="inlineStr">
        <is>
          <t>Neg</t>
        </is>
      </c>
      <c r="C38" s="49" t="inlineStr">
        <is>
          <t>GEX pocket TAKE PROFIT (display only)</t>
        </is>
      </c>
      <c r="D38" s="49" t="inlineStr">
        <is>
          <t>The negative-GEX strike bordering a positive-GEX pocket (1-4 positive strikes, then negative GEX again) is a TAKE PROFIT: the nearest one above spot for longs (TAKE PROFIT · DON'T SHORT), the nearest one below spot for shorts (TAKE PROFIT · DON'T BUY). TP on the ladder and the line "· GEX pocket a–b above/below" in the reaction table. Zigzag take profits keep priority. Not counted</t>
        </is>
      </c>
      <c r="E38" s="49" t="inlineStr">
        <is>
          <t>Giggles: on 10-08 the pocket 7785-7795 sat above 7780 -- 7780 should have been the first take profit for the 7770 long</t>
        </is>
      </c>
      <c r="F38" s="49" t="inlineStr">
        <is>
          <t>Archive (55 neg-gamma sessions): rallies into the strike below a pocket turned back first 52% (n=29) vs 45% for other negative-GEX strikes -- not significant</t>
        </is>
      </c>
      <c r="G38" s="49" t="inlineStr">
        <is>
          <t>LE ML:MP, BG155:BG156, LM, LQ</t>
        </is>
      </c>
      <c r="H38" s="49" t="inlineStr">
        <is>
          <t>Untested</t>
        </is>
      </c>
    </row>
    <row r="39" spans="1:8">
      <c r="A39" s="49" t="inlineStr">
        <is>
          <t>2026-10-09</t>
        </is>
      </c>
      <c r="B39" s="49" t="inlineStr">
        <is>
          <t>Both</t>
        </is>
      </c>
      <c r="C39" s="49" t="inlineStr">
        <is>
          <t>dEdge on supports</t>
        </is>
      </c>
      <c r="D39" s="49" t="inlineStr">
        <is>
          <t>dEdge switched OFF for supports in both regimes (setting BG154 = 0): no dEdge backer, confluence point, reversal flag, dEdge Cliff tag or cliff warning on a support. Resistances keep dEdge. The chop box support edge falls back to the existing raw DEX drop-off</t>
        </is>
      </c>
      <c r="E39" s="49" t="inlineStr">
        <is>
          <t>Giggles after 7765 on 10-08: dEdge has performed poorly; the "dominant block" and "any block end" redesigns did not help</t>
        </is>
      </c>
      <c r="F39" s="49" t="inlineStr">
        <is>
          <t>dEdge first touches (27 sessions): supports 1 of 9 won (pos gamma 1 of 7, neg 0 of 2) vs ~48% for supports generally, p about 0.04; resistances 12 of 24</t>
        </is>
      </c>
      <c r="G39" s="49" t="inlineStr">
        <is>
          <t>LE IA (feeds CZ), BG154</t>
        </is>
      </c>
      <c r="H39" s="49" t="inlineStr">
        <is>
          <t>Untested</t>
        </is>
      </c>
    </row>
    <row r="40" spans="1:8">
      <c r="A40" s="49" t="inlineStr">
        <is>
          <t>2026-10-09</t>
        </is>
      </c>
      <c r="B40" s="49" t="inlineStr">
        <is>
          <t>Both</t>
        </is>
      </c>
      <c r="C40" s="49" t="inlineStr">
        <is>
          <t>Accelerant warning on supports</t>
        </is>
      </c>
      <c r="D40" s="49" t="inlineStr">
        <is>
          <t>Not applied when the support is the Min GEX strike AND the Max Zomma strike (BG105). Column L: "Min GEX · Max Zomma — accelerant warning not applied to supports". Max-gamma-alone accelerants and resistances unchanged</t>
        </is>
      </c>
      <c r="E40" s="49" t="inlineStr">
        <is>
          <t>Giggles: 7770 on 10-08 was the real support -- Max Zomma +12.3M with the min GEX -- but read UNSAFE as an accelerant</t>
        </is>
      </c>
      <c r="F40" s="49" t="inlineStr">
        <is>
          <t>Min GEX support touches (55 sessions): also Max Zomma 14 of 22 won (64%), not Max Zomma 1 of 4; all supports 48%</t>
        </is>
      </c>
      <c r="G40" s="49" t="inlineStr">
        <is>
          <t>MD CK45:47, CK52:54 (warning); DU45:47, DU52:54 new helper (note), read by DO</t>
        </is>
      </c>
      <c r="H40" s="49" t="inlineStr">
        <is>
          <t>Untested</t>
        </is>
      </c>
    </row>
    <row r="41" spans="1:8">
      <c r="A41" s="49" t="inlineStr">
        <is>
          <t>2026-10-08</t>
        </is>
      </c>
      <c r="B41" s="49" t="inlineStr">
        <is>
          <t>All</t>
        </is>
      </c>
      <c r="C41" s="49" t="inlineStr">
        <is>
          <t>C-OI / P-OI backer</t>
        </is>
      </c>
      <c r="D41" s="49" t="inlineStr">
        <is>
          <t>The heavy side must also be at least 1.5x the other side AT THE STRIKE (setting BG151), on top of the 1,000-contract minimum and 2x the median of the strikes within 10 pts. Feeds the OI rule, so a balanced strike no longer earns its geometry clearance</t>
        </is>
      </c>
      <c r="E41" s="49" t="inlineStr">
        <is>
          <t>7775 on 10-08 counted C-OI with 1,710 calls vs 1,752 puts -- only less put-heavy than its neighbours, not call-heavy</t>
        </is>
      </c>
      <c r="F41" s="49" t="inlineStr">
        <is>
          <t>Not calibratable: 2 C-OI support touches in neg gamma; 1.5x is a judgement (plain calls &gt; puts would pass 1,760 vs 1,750)</t>
        </is>
      </c>
      <c r="G41" s="49" t="inlineStr">
        <is>
          <t>LE JD, BG151</t>
        </is>
      </c>
      <c r="H41" s="49" t="inlineStr">
        <is>
          <t>Untested</t>
        </is>
      </c>
    </row>
    <row r="42" spans="1:8">
      <c r="A42" s="49" t="inlineStr">
        <is>
          <t>2026-10-08</t>
        </is>
      </c>
      <c r="B42" s="49" t="inlineStr">
        <is>
          <t>All</t>
        </is>
      </c>
      <c r="C42" s="49" t="inlineStr">
        <is>
          <t>iDex backer</t>
        </is>
      </c>
      <c r="D42" s="49" t="inlineStr">
        <is>
          <t>Size floor raised from 10% to 50% of the neighbours' average |DEX| (setting BG152)</t>
        </is>
      </c>
      <c r="E42" s="49" t="inlineStr">
        <is>
          <t>7775: +236K between -684K and -619K passed a 65K floor; Giggles wanted only genuine islands. His 1,000K idea not used -- no iDex touch in the archive reached 1M</t>
        </is>
      </c>
      <c r="F42" s="49" t="inlineStr">
        <is>
          <t>11 iDex first touches, too few to calibrate</t>
        </is>
      </c>
      <c r="G42" s="49" t="inlineStr">
        <is>
          <t>LE AV, BG152</t>
        </is>
      </c>
      <c r="H42" s="49" t="inlineStr">
        <is>
          <t>Untested</t>
        </is>
      </c>
    </row>
    <row r="43" spans="1:8">
      <c r="A43" s="49" t="inlineStr">
        <is>
          <t>2026-10-08</t>
        </is>
      </c>
      <c r="B43" s="49" t="inlineStr">
        <is>
          <t>All</t>
        </is>
      </c>
      <c r="C43" s="49" t="inlineStr">
        <is>
          <t>dEdge backer</t>
        </is>
      </c>
      <c r="D43" s="49" t="inlineStr">
        <is>
          <t>The strike beyond the level must stay small: |DEX| at most 50% of the inner neighbour's (setting BG153). A dip with large DEX on both sides is no longer an edge</t>
        </is>
      </c>
      <c r="E43" s="49" t="inlineStr">
        <is>
          <t>7775: DEX fell off both above (-684K) and below (-619K) -- a conflicted dip already counted by iDex; Giggles: ban these, keep genuine cases</t>
        </is>
      </c>
      <c r="F43" s="49" t="inlineStr">
        <is>
          <t>dEdge first touches: neg gamma genuine 2 of 3 won vs conflicted 1 of 4; pos gamma 4 of 12 vs 6 of 15 (no difference)</t>
        </is>
      </c>
      <c r="G43" s="49" t="inlineStr">
        <is>
          <t>LE IA (feeds CZ), BG153</t>
        </is>
      </c>
      <c r="H43" s="49" t="inlineStr">
        <is>
          <t>Untested</t>
        </is>
      </c>
    </row>
    <row r="44" spans="1:8" ht="63.75" x14ac:dyDescent="0.25">
      <c r="A44" s="49" t="s">
        <v>2739</v>
      </c>
      <c r="B44" s="49" t="s">
        <v>213</v>
      </c>
      <c r="C44" s="49" t="s">
        <v>2772</v>
      </c>
      <c r="D44" s="49" t="s">
        <v>2773</v>
      </c>
      <c r="E44" s="49" t="s">
        <v>2774</v>
      </c>
      <c r="F44" s="49" t="s">
        <v>2775</v>
      </c>
      <c r="G44" s="49" t="s">
        <v>2776</v>
      </c>
      <c r="H44" s="49" t="s">
        <v>2267</v>
      </c>
    </row>
    <row r="45" spans="1:8" ht="63.75" x14ac:dyDescent="0.25">
      <c r="A45" s="49" t="s">
        <v>2739</v>
      </c>
      <c r="B45" s="49" t="s">
        <v>213</v>
      </c>
      <c r="C45" s="49" t="s">
        <v>2777</v>
      </c>
      <c r="D45" s="49" t="s">
        <v>2778</v>
      </c>
      <c r="E45" s="49" t="s">
        <v>2779</v>
      </c>
      <c r="F45" s="49" t="s">
        <v>2780</v>
      </c>
      <c r="G45" s="49" t="s">
        <v>2781</v>
      </c>
      <c r="H45" s="49" t="s">
        <v>2267</v>
      </c>
    </row>
    <row r="46" spans="1:8" ht="89.25" x14ac:dyDescent="0.25">
      <c r="A46" s="49" t="s">
        <v>2739</v>
      </c>
      <c r="B46" s="49" t="s">
        <v>213</v>
      </c>
      <c r="C46" s="49" t="s">
        <v>2762</v>
      </c>
      <c r="D46" s="49" t="s">
        <v>2763</v>
      </c>
      <c r="E46" s="49" t="s">
        <v>2764</v>
      </c>
      <c r="F46" s="49" t="s">
        <v>2765</v>
      </c>
      <c r="G46" s="49" t="s">
        <v>2766</v>
      </c>
      <c r="H46" s="49" t="s">
        <v>2260</v>
      </c>
    </row>
    <row r="47" spans="1:8" ht="51" x14ac:dyDescent="0.25">
      <c r="A47" s="49" t="s">
        <v>2739</v>
      </c>
      <c r="B47" s="49" t="s">
        <v>213</v>
      </c>
      <c r="C47" s="49" t="s">
        <v>2767</v>
      </c>
      <c r="D47" s="49" t="s">
        <v>2768</v>
      </c>
      <c r="E47" s="49" t="s">
        <v>2769</v>
      </c>
      <c r="F47" s="49" t="s">
        <v>981</v>
      </c>
      <c r="G47" s="49" t="s">
        <v>2770</v>
      </c>
      <c r="H47" s="49" t="s">
        <v>2267</v>
      </c>
    </row>
    <row r="48" spans="1:8" ht="89.25" x14ac:dyDescent="0.25">
      <c r="A48" s="49" t="s">
        <v>2739</v>
      </c>
      <c r="B48" s="49" t="s">
        <v>213</v>
      </c>
      <c r="C48" s="49" t="s">
        <v>2746</v>
      </c>
      <c r="D48" s="49" t="s">
        <v>2747</v>
      </c>
      <c r="E48" s="49" t="s">
        <v>2748</v>
      </c>
      <c r="F48" s="49" t="s">
        <v>2749</v>
      </c>
      <c r="G48" s="49" t="s">
        <v>2750</v>
      </c>
      <c r="H48" s="49" t="s">
        <v>2260</v>
      </c>
    </row>
    <row r="49" spans="1:8" ht="127.5" x14ac:dyDescent="0.25">
      <c r="A49" s="49" t="s">
        <v>2739</v>
      </c>
      <c r="B49" s="49" t="s">
        <v>213</v>
      </c>
      <c r="C49" s="49" t="s">
        <v>2740</v>
      </c>
      <c r="D49" s="49" t="s">
        <v>2741</v>
      </c>
      <c r="E49" s="49" t="s">
        <v>2742</v>
      </c>
      <c r="F49" s="49" t="s">
        <v>2743</v>
      </c>
      <c r="G49" s="49" t="s">
        <v>2744</v>
      </c>
      <c r="H49" s="49" t="s">
        <v>2260</v>
      </c>
    </row>
    <row r="50" spans="1:8" ht="63.75" x14ac:dyDescent="0.25">
      <c r="A50" s="49" t="s">
        <v>2254</v>
      </c>
      <c r="B50" s="49" t="s">
        <v>213</v>
      </c>
      <c r="C50" s="49" t="s">
        <v>2730</v>
      </c>
      <c r="D50" s="49" t="s">
        <v>2731</v>
      </c>
      <c r="E50" s="49" t="s">
        <v>2732</v>
      </c>
      <c r="F50" s="49" t="s">
        <v>2733</v>
      </c>
      <c r="G50" s="49" t="s">
        <v>2734</v>
      </c>
      <c r="H50" s="49" t="s">
        <v>2260</v>
      </c>
    </row>
    <row r="51" spans="1:8" ht="38.25" x14ac:dyDescent="0.25">
      <c r="A51" s="49" t="s">
        <v>2254</v>
      </c>
      <c r="B51" s="49" t="s">
        <v>213</v>
      </c>
      <c r="C51" s="49" t="s">
        <v>2735</v>
      </c>
      <c r="D51" s="49" t="s">
        <v>2736</v>
      </c>
      <c r="E51" s="49" t="s">
        <v>2737</v>
      </c>
      <c r="F51" s="49" t="s">
        <v>981</v>
      </c>
      <c r="G51" s="49" t="s">
        <v>2738</v>
      </c>
      <c r="H51" s="49" t="s">
        <v>2260</v>
      </c>
    </row>
    <row r="52" spans="1:8" ht="38.25" x14ac:dyDescent="0.25">
      <c r="A52" s="49" t="s">
        <v>2254</v>
      </c>
      <c r="B52" s="49" t="s">
        <v>213</v>
      </c>
      <c r="C52" s="49" t="s">
        <v>2725</v>
      </c>
      <c r="D52" s="49" t="s">
        <v>2726</v>
      </c>
      <c r="E52" s="49" t="s">
        <v>2727</v>
      </c>
      <c r="F52" s="49" t="s">
        <v>981</v>
      </c>
      <c r="G52" s="49" t="s">
        <v>2728</v>
      </c>
      <c r="H52" s="49" t="s">
        <v>2260</v>
      </c>
    </row>
    <row r="53" spans="1:8" ht="51" x14ac:dyDescent="0.25">
      <c r="A53" s="49" t="s">
        <v>2254</v>
      </c>
      <c r="B53" s="49" t="s">
        <v>213</v>
      </c>
      <c r="C53" s="49" t="s">
        <v>2721</v>
      </c>
      <c r="D53" s="49" t="s">
        <v>2722</v>
      </c>
      <c r="E53" s="49" t="s">
        <v>2723</v>
      </c>
      <c r="F53" s="49" t="s">
        <v>981</v>
      </c>
      <c r="G53" s="49" t="s">
        <v>2724</v>
      </c>
      <c r="H53" s="49" t="s">
        <v>2260</v>
      </c>
    </row>
    <row r="54" spans="1:8" ht="38.25" x14ac:dyDescent="0.25">
      <c r="A54" s="49" t="s">
        <v>2254</v>
      </c>
      <c r="B54" s="49" t="s">
        <v>213</v>
      </c>
      <c r="C54" s="49" t="s">
        <v>2642</v>
      </c>
      <c r="D54" s="49" t="s">
        <v>2643</v>
      </c>
      <c r="E54" s="49" t="s">
        <v>2644</v>
      </c>
      <c r="F54" s="49" t="s">
        <v>2645</v>
      </c>
      <c r="G54" s="49" t="s">
        <v>2646</v>
      </c>
      <c r="H54" s="49" t="s">
        <v>2647</v>
      </c>
    </row>
    <row r="55" spans="1:8" ht="51" x14ac:dyDescent="0.25">
      <c r="A55" s="49" t="s">
        <v>2254</v>
      </c>
      <c r="B55" s="49" t="s">
        <v>213</v>
      </c>
      <c r="C55" s="49" t="s">
        <v>2648</v>
      </c>
      <c r="D55" s="49" t="s">
        <v>2649</v>
      </c>
      <c r="E55" s="49" t="s">
        <v>2650</v>
      </c>
      <c r="F55" s="49" t="s">
        <v>2651</v>
      </c>
      <c r="G55" s="49" t="s">
        <v>2652</v>
      </c>
      <c r="H55" s="49" t="s">
        <v>2260</v>
      </c>
    </row>
    <row r="56" spans="1:8" ht="76.5" x14ac:dyDescent="0.25">
      <c r="A56" s="49" t="s">
        <v>2254</v>
      </c>
      <c r="B56" s="49" t="s">
        <v>213</v>
      </c>
      <c r="C56" s="49" t="s">
        <v>2653</v>
      </c>
      <c r="D56" s="49" t="s">
        <v>2654</v>
      </c>
      <c r="E56" s="49" t="s">
        <v>2655</v>
      </c>
      <c r="F56" s="49" t="s">
        <v>2656</v>
      </c>
      <c r="G56" s="49" t="s">
        <v>2657</v>
      </c>
      <c r="H56" s="49" t="s">
        <v>2260</v>
      </c>
    </row>
    <row r="57" spans="1:8" ht="76.5" x14ac:dyDescent="0.25">
      <c r="A57" s="49" t="s">
        <v>2254</v>
      </c>
      <c r="B57" s="49" t="s">
        <v>213</v>
      </c>
      <c r="C57" s="49" t="s">
        <v>2658</v>
      </c>
      <c r="D57" s="49" t="s">
        <v>2659</v>
      </c>
      <c r="E57" s="49" t="s">
        <v>2660</v>
      </c>
      <c r="F57" s="49" t="s">
        <v>981</v>
      </c>
      <c r="G57" s="49" t="s">
        <v>2661</v>
      </c>
      <c r="H57" s="49" t="s">
        <v>2260</v>
      </c>
    </row>
    <row r="58" spans="1:8" ht="51" x14ac:dyDescent="0.25">
      <c r="A58" s="49" t="s">
        <v>2254</v>
      </c>
      <c r="B58" s="49" t="s">
        <v>213</v>
      </c>
      <c r="C58" s="49" t="s">
        <v>2662</v>
      </c>
      <c r="D58" s="49" t="s">
        <v>2663</v>
      </c>
      <c r="E58" s="49" t="s">
        <v>2664</v>
      </c>
      <c r="F58" s="49" t="s">
        <v>981</v>
      </c>
      <c r="G58" s="49" t="s">
        <v>2665</v>
      </c>
      <c r="H58" s="49" t="s">
        <v>2267</v>
      </c>
    </row>
    <row r="59" spans="1:8" ht="51" x14ac:dyDescent="0.25">
      <c r="A59" s="49" t="s">
        <v>2254</v>
      </c>
      <c r="B59" s="49" t="s">
        <v>213</v>
      </c>
      <c r="C59" s="49" t="s">
        <v>2666</v>
      </c>
      <c r="D59" s="49" t="s">
        <v>2667</v>
      </c>
      <c r="E59" s="49" t="s">
        <v>2668</v>
      </c>
      <c r="F59" s="49" t="s">
        <v>981</v>
      </c>
      <c r="G59" s="49" t="s">
        <v>2669</v>
      </c>
      <c r="H59" s="49" t="s">
        <v>2260</v>
      </c>
    </row>
    <row r="60" spans="1:8" ht="76.5" x14ac:dyDescent="0.25">
      <c r="A60" s="49" t="s">
        <v>2254</v>
      </c>
      <c r="B60" s="49" t="s">
        <v>213</v>
      </c>
      <c r="C60" s="49" t="s">
        <v>2670</v>
      </c>
      <c r="D60" s="49" t="s">
        <v>2671</v>
      </c>
      <c r="E60" s="49" t="s">
        <v>2672</v>
      </c>
      <c r="F60" s="49" t="s">
        <v>2673</v>
      </c>
      <c r="G60" s="49" t="s">
        <v>2674</v>
      </c>
      <c r="H60" s="49" t="s">
        <v>2260</v>
      </c>
    </row>
    <row r="61" spans="1:8" ht="63.75" x14ac:dyDescent="0.25">
      <c r="A61" s="49" t="s">
        <v>2254</v>
      </c>
      <c r="B61" s="49" t="s">
        <v>213</v>
      </c>
      <c r="C61" s="49" t="s">
        <v>2675</v>
      </c>
      <c r="D61" s="49" t="s">
        <v>2676</v>
      </c>
      <c r="E61" s="49" t="s">
        <v>2677</v>
      </c>
      <c r="F61" s="49" t="s">
        <v>981</v>
      </c>
      <c r="G61" s="49" t="s">
        <v>2678</v>
      </c>
      <c r="H61" s="49" t="s">
        <v>2267</v>
      </c>
    </row>
    <row r="62" spans="1:8" ht="51" x14ac:dyDescent="0.25">
      <c r="A62" s="49" t="s">
        <v>2254</v>
      </c>
      <c r="B62" s="49" t="s">
        <v>213</v>
      </c>
      <c r="C62" s="49" t="s">
        <v>2679</v>
      </c>
      <c r="D62" s="49" t="s">
        <v>2680</v>
      </c>
      <c r="E62" s="49" t="s">
        <v>2681</v>
      </c>
      <c r="F62" s="49" t="s">
        <v>981</v>
      </c>
      <c r="G62" s="49" t="s">
        <v>2682</v>
      </c>
      <c r="H62" s="49" t="s">
        <v>2267</v>
      </c>
    </row>
    <row r="63" spans="1:8" ht="76.5" x14ac:dyDescent="0.25">
      <c r="A63" s="49" t="s">
        <v>2254</v>
      </c>
      <c r="B63" s="49" t="s">
        <v>213</v>
      </c>
      <c r="C63" s="49" t="s">
        <v>2683</v>
      </c>
      <c r="D63" s="49" t="s">
        <v>2684</v>
      </c>
      <c r="E63" s="49" t="s">
        <v>2685</v>
      </c>
      <c r="F63" s="49" t="s">
        <v>981</v>
      </c>
      <c r="G63" s="49" t="s">
        <v>2686</v>
      </c>
      <c r="H63" s="49" t="s">
        <v>2267</v>
      </c>
    </row>
    <row r="64" spans="1:8" ht="51" x14ac:dyDescent="0.25">
      <c r="A64" s="49" t="s">
        <v>2254</v>
      </c>
      <c r="B64" s="49" t="s">
        <v>213</v>
      </c>
      <c r="C64" s="49" t="s">
        <v>2687</v>
      </c>
      <c r="D64" s="49" t="s">
        <v>2688</v>
      </c>
      <c r="E64" s="49" t="s">
        <v>2689</v>
      </c>
      <c r="F64" s="49" t="s">
        <v>981</v>
      </c>
      <c r="G64" s="49" t="s">
        <v>2690</v>
      </c>
      <c r="H64" s="49" t="s">
        <v>2267</v>
      </c>
    </row>
    <row r="65" spans="1:8" ht="89.25" x14ac:dyDescent="0.25">
      <c r="A65" s="49" t="s">
        <v>2254</v>
      </c>
      <c r="B65" s="49" t="s">
        <v>2261</v>
      </c>
      <c r="C65" s="49" t="s">
        <v>2691</v>
      </c>
      <c r="D65" s="49" t="s">
        <v>2692</v>
      </c>
      <c r="E65" s="49" t="s">
        <v>2693</v>
      </c>
      <c r="F65" s="49" t="s">
        <v>2694</v>
      </c>
      <c r="G65" s="49" t="s">
        <v>2695</v>
      </c>
      <c r="H65" s="49" t="s">
        <v>2260</v>
      </c>
    </row>
    <row r="66" spans="1:8" ht="51" x14ac:dyDescent="0.25">
      <c r="A66" s="49" t="s">
        <v>2254</v>
      </c>
      <c r="B66" s="49" t="s">
        <v>213</v>
      </c>
      <c r="C66" s="49" t="s">
        <v>2696</v>
      </c>
      <c r="D66" s="49" t="s">
        <v>2697</v>
      </c>
      <c r="E66" s="49" t="s">
        <v>2698</v>
      </c>
      <c r="F66" s="49" t="s">
        <v>2699</v>
      </c>
      <c r="G66" s="49" t="s">
        <v>2700</v>
      </c>
      <c r="H66" s="49" t="s">
        <v>2260</v>
      </c>
    </row>
    <row r="67" spans="1:8" ht="89.25" x14ac:dyDescent="0.25">
      <c r="A67" s="49" t="s">
        <v>2254</v>
      </c>
      <c r="B67" s="49" t="s">
        <v>213</v>
      </c>
      <c r="C67" s="49" t="s">
        <v>2701</v>
      </c>
      <c r="D67" s="49" t="s">
        <v>2702</v>
      </c>
      <c r="E67" s="49" t="s">
        <v>2703</v>
      </c>
      <c r="F67" s="49" t="s">
        <v>2704</v>
      </c>
      <c r="G67" s="49" t="s">
        <v>2705</v>
      </c>
      <c r="H67" s="49" t="s">
        <v>2260</v>
      </c>
    </row>
    <row r="68" spans="1:8" ht="89.25" x14ac:dyDescent="0.25">
      <c r="A68" s="49" t="s">
        <v>2254</v>
      </c>
      <c r="B68" s="49" t="s">
        <v>213</v>
      </c>
      <c r="C68" s="49" t="s">
        <v>2706</v>
      </c>
      <c r="D68" s="49" t="s">
        <v>2707</v>
      </c>
      <c r="E68" s="49" t="s">
        <v>2708</v>
      </c>
      <c r="F68" s="49" t="s">
        <v>2709</v>
      </c>
      <c r="G68" s="49" t="s">
        <v>2710</v>
      </c>
      <c r="H68" s="49" t="s">
        <v>2260</v>
      </c>
    </row>
    <row r="69" spans="1:8" ht="63.75" x14ac:dyDescent="0.25">
      <c r="A69" s="49" t="s">
        <v>2254</v>
      </c>
      <c r="B69" s="49" t="s">
        <v>213</v>
      </c>
      <c r="C69" s="49" t="s">
        <v>2711</v>
      </c>
      <c r="D69" s="49" t="s">
        <v>2712</v>
      </c>
      <c r="E69" s="49" t="s">
        <v>2713</v>
      </c>
      <c r="F69" s="49" t="s">
        <v>2714</v>
      </c>
      <c r="G69" s="49" t="s">
        <v>2690</v>
      </c>
      <c r="H69" s="49" t="s">
        <v>2267</v>
      </c>
    </row>
    <row r="70" spans="1:8" ht="89.25" x14ac:dyDescent="0.25">
      <c r="A70" s="49" t="s">
        <v>2254</v>
      </c>
      <c r="B70" s="49" t="s">
        <v>91</v>
      </c>
      <c r="C70" s="49" t="s">
        <v>2715</v>
      </c>
      <c r="D70" s="49" t="s">
        <v>2716</v>
      </c>
      <c r="E70" s="49" t="s">
        <v>2717</v>
      </c>
      <c r="F70" s="49" t="s">
        <v>2718</v>
      </c>
      <c r="G70" s="49" t="s">
        <v>2719</v>
      </c>
      <c r="H70" s="49" t="s">
        <v>2260</v>
      </c>
    </row>
    <row r="71" spans="1:8" ht="63.75" x14ac:dyDescent="0.25">
      <c r="A71" s="49" t="s">
        <v>2254</v>
      </c>
      <c r="B71" s="49" t="s">
        <v>91</v>
      </c>
      <c r="C71" s="49" t="s">
        <v>2610</v>
      </c>
      <c r="D71" s="49" t="s">
        <v>2611</v>
      </c>
      <c r="E71" s="49" t="s">
        <v>2612</v>
      </c>
      <c r="F71" s="49" t="s">
        <v>981</v>
      </c>
      <c r="G71" s="49" t="s">
        <v>2613</v>
      </c>
      <c r="H71" s="49" t="s">
        <v>2267</v>
      </c>
    </row>
    <row r="72" spans="1:8" ht="63.75" x14ac:dyDescent="0.25">
      <c r="A72" s="49" t="s">
        <v>2254</v>
      </c>
      <c r="B72" s="49" t="s">
        <v>91</v>
      </c>
      <c r="C72" s="49" t="s">
        <v>2614</v>
      </c>
      <c r="D72" s="49" t="s">
        <v>2615</v>
      </c>
      <c r="E72" s="49" t="s">
        <v>2616</v>
      </c>
      <c r="F72" s="49" t="s">
        <v>981</v>
      </c>
      <c r="G72" s="49" t="s">
        <v>2617</v>
      </c>
      <c r="H72" s="49" t="s">
        <v>2260</v>
      </c>
    </row>
    <row r="73" spans="1:8" ht="63.75" x14ac:dyDescent="0.25">
      <c r="A73" s="49" t="s">
        <v>2254</v>
      </c>
      <c r="B73" s="49" t="s">
        <v>91</v>
      </c>
      <c r="C73" s="49" t="s">
        <v>2618</v>
      </c>
      <c r="D73" s="49" t="s">
        <v>2619</v>
      </c>
      <c r="E73" s="49" t="s">
        <v>2620</v>
      </c>
      <c r="F73" s="49" t="s">
        <v>981</v>
      </c>
      <c r="G73" s="49" t="s">
        <v>2621</v>
      </c>
      <c r="H73" s="49" t="s">
        <v>2267</v>
      </c>
    </row>
    <row r="74" spans="1:8" ht="76.5" x14ac:dyDescent="0.25">
      <c r="A74" s="49" t="s">
        <v>2254</v>
      </c>
      <c r="B74" s="49" t="s">
        <v>91</v>
      </c>
      <c r="C74" s="49" t="s">
        <v>2255</v>
      </c>
      <c r="D74" s="49" t="s">
        <v>2256</v>
      </c>
      <c r="E74" s="49" t="s">
        <v>2257</v>
      </c>
      <c r="F74" s="49" t="s">
        <v>2258</v>
      </c>
      <c r="G74" s="49" t="s">
        <v>2259</v>
      </c>
      <c r="H74" s="49" t="s">
        <v>2260</v>
      </c>
    </row>
    <row r="75" spans="1:8" ht="114.75" x14ac:dyDescent="0.25">
      <c r="A75" s="49" t="s">
        <v>2254</v>
      </c>
      <c r="B75" s="49" t="s">
        <v>2261</v>
      </c>
      <c r="C75" s="49" t="s">
        <v>2262</v>
      </c>
      <c r="D75" s="49" t="s">
        <v>2263</v>
      </c>
      <c r="E75" s="49" t="s">
        <v>2264</v>
      </c>
      <c r="F75" s="49" t="s">
        <v>2265</v>
      </c>
      <c r="G75" s="49" t="s">
        <v>2266</v>
      </c>
      <c r="H75" s="49" t="s">
        <v>2267</v>
      </c>
    </row>
    <row r="76" spans="1:8" ht="51" x14ac:dyDescent="0.25">
      <c r="A76" s="49" t="s">
        <v>2268</v>
      </c>
      <c r="B76" s="49" t="s">
        <v>91</v>
      </c>
      <c r="C76" s="49" t="s">
        <v>2269</v>
      </c>
      <c r="D76" s="49" t="s">
        <v>2270</v>
      </c>
      <c r="E76" s="49" t="s">
        <v>2271</v>
      </c>
      <c r="F76" s="49" t="s">
        <v>981</v>
      </c>
      <c r="G76" s="49" t="s">
        <v>2272</v>
      </c>
      <c r="H76" s="49" t="s">
        <v>2260</v>
      </c>
    </row>
    <row r="77" spans="1:8" ht="51" x14ac:dyDescent="0.25">
      <c r="A77" s="49" t="s">
        <v>2268</v>
      </c>
      <c r="B77" s="49" t="s">
        <v>91</v>
      </c>
      <c r="C77" s="49" t="s">
        <v>2273</v>
      </c>
      <c r="D77" s="49" t="s">
        <v>2274</v>
      </c>
      <c r="E77" s="49" t="s">
        <v>2275</v>
      </c>
      <c r="F77" s="49" t="s">
        <v>2276</v>
      </c>
      <c r="G77" s="49" t="s">
        <v>2277</v>
      </c>
      <c r="H77" s="49" t="s">
        <v>2260</v>
      </c>
    </row>
    <row r="78" spans="1:8" ht="25.5" x14ac:dyDescent="0.25">
      <c r="A78" s="49" t="s">
        <v>2268</v>
      </c>
      <c r="B78" s="49" t="s">
        <v>2261</v>
      </c>
      <c r="C78" s="49" t="s">
        <v>2278</v>
      </c>
      <c r="D78" s="49" t="s">
        <v>2279</v>
      </c>
      <c r="E78" s="49" t="s">
        <v>2280</v>
      </c>
      <c r="F78" s="49" t="s">
        <v>981</v>
      </c>
      <c r="G78" s="49" t="s">
        <v>2281</v>
      </c>
      <c r="H78" s="49" t="s">
        <v>2282</v>
      </c>
    </row>
    <row r="79" spans="1:8" ht="38.25" x14ac:dyDescent="0.25">
      <c r="A79" s="49" t="s">
        <v>2268</v>
      </c>
      <c r="B79" s="49" t="s">
        <v>2261</v>
      </c>
      <c r="C79" s="49" t="s">
        <v>2283</v>
      </c>
      <c r="D79" s="49" t="s">
        <v>2284</v>
      </c>
      <c r="E79" s="49" t="s">
        <v>2285</v>
      </c>
      <c r="F79" s="49" t="s">
        <v>981</v>
      </c>
      <c r="G79" s="49" t="s">
        <v>2286</v>
      </c>
      <c r="H79" s="49" t="s">
        <v>2260</v>
      </c>
    </row>
    <row r="80" spans="1:8" ht="38.25" x14ac:dyDescent="0.25">
      <c r="A80" s="49" t="s">
        <v>2268</v>
      </c>
      <c r="B80" s="49" t="s">
        <v>91</v>
      </c>
      <c r="C80" s="49" t="s">
        <v>2287</v>
      </c>
      <c r="D80" s="49" t="s">
        <v>2288</v>
      </c>
      <c r="E80" s="49" t="s">
        <v>2289</v>
      </c>
      <c r="F80" s="49" t="s">
        <v>2290</v>
      </c>
      <c r="G80" s="49" t="s">
        <v>2291</v>
      </c>
      <c r="H80" s="49" t="s">
        <v>2260</v>
      </c>
    </row>
    <row r="81" spans="1:8" ht="51" x14ac:dyDescent="0.25">
      <c r="A81" s="49" t="s">
        <v>2268</v>
      </c>
      <c r="B81" s="49" t="s">
        <v>2261</v>
      </c>
      <c r="C81" s="49" t="s">
        <v>2292</v>
      </c>
      <c r="D81" s="49" t="s">
        <v>2293</v>
      </c>
      <c r="E81" s="49" t="s">
        <v>2294</v>
      </c>
      <c r="F81" s="49" t="s">
        <v>2295</v>
      </c>
      <c r="G81" s="49" t="s">
        <v>2296</v>
      </c>
      <c r="H81" s="49" t="s">
        <v>2297</v>
      </c>
    </row>
    <row r="82" spans="1:8" ht="25.5" x14ac:dyDescent="0.25">
      <c r="A82" s="49" t="s">
        <v>2268</v>
      </c>
      <c r="B82" s="49" t="s">
        <v>2261</v>
      </c>
      <c r="C82" s="49" t="s">
        <v>2298</v>
      </c>
      <c r="D82" s="49" t="s">
        <v>2299</v>
      </c>
      <c r="E82" s="49" t="s">
        <v>2300</v>
      </c>
      <c r="F82" s="49" t="s">
        <v>981</v>
      </c>
      <c r="G82" s="49" t="s">
        <v>2301</v>
      </c>
      <c r="H82" s="49" t="s">
        <v>2267</v>
      </c>
    </row>
    <row r="83" spans="1:8" ht="38.25" x14ac:dyDescent="0.25">
      <c r="A83" s="49" t="s">
        <v>2268</v>
      </c>
      <c r="B83" s="49" t="s">
        <v>2261</v>
      </c>
      <c r="C83" s="49" t="s">
        <v>2302</v>
      </c>
      <c r="D83" s="49" t="s">
        <v>2303</v>
      </c>
      <c r="E83" s="49" t="s">
        <v>2304</v>
      </c>
      <c r="F83" s="49" t="s">
        <v>981</v>
      </c>
      <c r="G83" s="49" t="s">
        <v>2305</v>
      </c>
      <c r="H83" s="49" t="s">
        <v>2306</v>
      </c>
    </row>
    <row r="84" spans="1:8" ht="51" x14ac:dyDescent="0.25">
      <c r="A84" s="49" t="s">
        <v>2268</v>
      </c>
      <c r="B84" s="49" t="s">
        <v>2261</v>
      </c>
      <c r="C84" s="49" t="s">
        <v>2307</v>
      </c>
      <c r="D84" s="49" t="s">
        <v>2308</v>
      </c>
      <c r="E84" s="49" t="s">
        <v>2309</v>
      </c>
      <c r="F84" s="49" t="s">
        <v>981</v>
      </c>
      <c r="G84" s="49" t="s">
        <v>2310</v>
      </c>
      <c r="H84" s="49" t="s">
        <v>2306</v>
      </c>
    </row>
    <row r="85" spans="1:8" ht="25.5" x14ac:dyDescent="0.25">
      <c r="A85" s="49" t="s">
        <v>2268</v>
      </c>
      <c r="B85" s="49" t="s">
        <v>2261</v>
      </c>
      <c r="C85" s="49" t="s">
        <v>2311</v>
      </c>
      <c r="D85" s="49" t="s">
        <v>2312</v>
      </c>
      <c r="E85" s="49" t="s">
        <v>2313</v>
      </c>
      <c r="F85" s="49" t="s">
        <v>981</v>
      </c>
      <c r="G85" s="49" t="s">
        <v>2314</v>
      </c>
      <c r="H85" s="49" t="s">
        <v>2267</v>
      </c>
    </row>
    <row r="86" spans="1:8" ht="38.25" x14ac:dyDescent="0.25">
      <c r="A86" s="49" t="s">
        <v>2268</v>
      </c>
      <c r="B86" s="49" t="s">
        <v>2261</v>
      </c>
      <c r="C86" s="49" t="s">
        <v>2315</v>
      </c>
      <c r="D86" s="49" t="s">
        <v>2316</v>
      </c>
      <c r="E86" s="49" t="s">
        <v>2317</v>
      </c>
      <c r="F86" s="49" t="s">
        <v>981</v>
      </c>
      <c r="G86" s="49" t="s">
        <v>2318</v>
      </c>
      <c r="H86" s="49" t="s">
        <v>2267</v>
      </c>
    </row>
    <row r="87" spans="1:8" ht="38.25" x14ac:dyDescent="0.25">
      <c r="A87" s="49" t="s">
        <v>2268</v>
      </c>
      <c r="B87" s="49" t="s">
        <v>2261</v>
      </c>
      <c r="C87" s="49" t="s">
        <v>2319</v>
      </c>
      <c r="D87" s="49" t="s">
        <v>2320</v>
      </c>
      <c r="E87" s="49" t="s">
        <v>2321</v>
      </c>
      <c r="F87" s="49" t="s">
        <v>981</v>
      </c>
      <c r="G87" s="49" t="s">
        <v>2322</v>
      </c>
      <c r="H87" s="49" t="s">
        <v>2306</v>
      </c>
    </row>
    <row r="88" spans="1:8" ht="38.25" x14ac:dyDescent="0.25">
      <c r="A88" s="49" t="s">
        <v>2268</v>
      </c>
      <c r="B88" s="49" t="s">
        <v>2261</v>
      </c>
      <c r="C88" s="49" t="s">
        <v>2323</v>
      </c>
      <c r="D88" s="49" t="s">
        <v>2324</v>
      </c>
      <c r="E88" s="49" t="s">
        <v>2325</v>
      </c>
      <c r="F88" s="49" t="s">
        <v>2326</v>
      </c>
      <c r="G88" s="49" t="s">
        <v>2327</v>
      </c>
      <c r="H88" s="49" t="s">
        <v>2267</v>
      </c>
    </row>
    <row r="89" spans="1:8" ht="38.25" x14ac:dyDescent="0.25">
      <c r="A89" s="49" t="s">
        <v>2268</v>
      </c>
      <c r="B89" s="49" t="s">
        <v>2261</v>
      </c>
      <c r="C89" s="49" t="s">
        <v>2328</v>
      </c>
      <c r="D89" s="49" t="s">
        <v>2329</v>
      </c>
      <c r="E89" s="49" t="s">
        <v>2330</v>
      </c>
      <c r="F89" s="49" t="s">
        <v>981</v>
      </c>
      <c r="G89" s="49" t="s">
        <v>2331</v>
      </c>
      <c r="H89" s="49" t="s">
        <v>2267</v>
      </c>
    </row>
    <row r="90" spans="1:8" ht="38.25" x14ac:dyDescent="0.25">
      <c r="A90" s="49" t="s">
        <v>2268</v>
      </c>
      <c r="B90" s="49" t="s">
        <v>2261</v>
      </c>
      <c r="C90" s="49" t="s">
        <v>2332</v>
      </c>
      <c r="D90" s="49" t="s">
        <v>2333</v>
      </c>
      <c r="E90" s="49" t="s">
        <v>2334</v>
      </c>
      <c r="F90" s="49" t="s">
        <v>981</v>
      </c>
      <c r="G90" s="49" t="s">
        <v>2335</v>
      </c>
      <c r="H90" s="49" t="s">
        <v>2267</v>
      </c>
    </row>
    <row r="91" spans="1:8" ht="25.5" x14ac:dyDescent="0.25">
      <c r="A91" s="49" t="s">
        <v>2268</v>
      </c>
      <c r="B91" s="49" t="s">
        <v>2261</v>
      </c>
      <c r="C91" s="49" t="s">
        <v>2336</v>
      </c>
      <c r="D91" s="49" t="s">
        <v>2337</v>
      </c>
      <c r="E91" s="49" t="s">
        <v>2338</v>
      </c>
      <c r="F91" s="49" t="s">
        <v>981</v>
      </c>
      <c r="G91" s="49" t="s">
        <v>2339</v>
      </c>
      <c r="H91" s="49" t="s">
        <v>2267</v>
      </c>
    </row>
    <row r="92" spans="1:8" ht="38.25" x14ac:dyDescent="0.25">
      <c r="A92" s="49" t="s">
        <v>2268</v>
      </c>
      <c r="B92" s="49" t="s">
        <v>2261</v>
      </c>
      <c r="C92" s="49" t="s">
        <v>2340</v>
      </c>
      <c r="D92" s="49" t="s">
        <v>2341</v>
      </c>
      <c r="E92" s="49" t="s">
        <v>2342</v>
      </c>
      <c r="F92" s="49" t="s">
        <v>2343</v>
      </c>
      <c r="G92" s="49" t="s">
        <v>2344</v>
      </c>
      <c r="H92" s="49" t="s">
        <v>2267</v>
      </c>
    </row>
    <row r="93" spans="1:8" ht="38.25" x14ac:dyDescent="0.25">
      <c r="A93" s="49" t="s">
        <v>2268</v>
      </c>
      <c r="B93" s="49" t="s">
        <v>2261</v>
      </c>
      <c r="C93" s="49" t="s">
        <v>2345</v>
      </c>
      <c r="D93" s="49" t="s">
        <v>2346</v>
      </c>
      <c r="E93" s="49" t="s">
        <v>2347</v>
      </c>
      <c r="F93" s="49" t="s">
        <v>981</v>
      </c>
      <c r="G93" s="49" t="s">
        <v>2348</v>
      </c>
      <c r="H93" s="49" t="s">
        <v>2267</v>
      </c>
    </row>
    <row r="94" spans="1:8" ht="38.25" x14ac:dyDescent="0.25">
      <c r="A94" s="49" t="s">
        <v>2268</v>
      </c>
      <c r="B94" s="49" t="s">
        <v>91</v>
      </c>
      <c r="C94" s="49" t="s">
        <v>2349</v>
      </c>
      <c r="D94" s="49" t="s">
        <v>2350</v>
      </c>
      <c r="E94" s="49" t="s">
        <v>2351</v>
      </c>
      <c r="F94" s="49" t="s">
        <v>981</v>
      </c>
      <c r="G94" s="49" t="s">
        <v>2352</v>
      </c>
      <c r="H94" s="49" t="s">
        <v>2306</v>
      </c>
    </row>
    <row r="95" spans="1:8" ht="25.5" x14ac:dyDescent="0.25">
      <c r="A95" s="49" t="s">
        <v>2268</v>
      </c>
      <c r="B95" s="49" t="s">
        <v>2261</v>
      </c>
      <c r="C95" s="49" t="s">
        <v>2353</v>
      </c>
      <c r="D95" s="49" t="s">
        <v>2354</v>
      </c>
      <c r="E95" s="49" t="s">
        <v>2355</v>
      </c>
      <c r="F95" s="49" t="s">
        <v>981</v>
      </c>
      <c r="G95" s="49" t="s">
        <v>2339</v>
      </c>
      <c r="H95" s="49" t="s">
        <v>2267</v>
      </c>
    </row>
    <row r="96" spans="1:8" ht="51" x14ac:dyDescent="0.25">
      <c r="A96" s="49" t="s">
        <v>2268</v>
      </c>
      <c r="B96" s="49" t="s">
        <v>2261</v>
      </c>
      <c r="C96" s="49" t="s">
        <v>2356</v>
      </c>
      <c r="D96" s="49" t="s">
        <v>2357</v>
      </c>
      <c r="E96" s="49" t="s">
        <v>2358</v>
      </c>
      <c r="F96" s="49" t="s">
        <v>981</v>
      </c>
      <c r="G96" s="49" t="s">
        <v>2359</v>
      </c>
      <c r="H96" s="49" t="s">
        <v>2267</v>
      </c>
    </row>
    <row r="97" spans="1:8" ht="38.25" x14ac:dyDescent="0.25">
      <c r="A97" s="49" t="s">
        <v>2268</v>
      </c>
      <c r="B97" s="49" t="s">
        <v>91</v>
      </c>
      <c r="C97" s="49" t="s">
        <v>2360</v>
      </c>
      <c r="D97" s="49" t="s">
        <v>2361</v>
      </c>
      <c r="E97" s="49" t="s">
        <v>2362</v>
      </c>
      <c r="F97" s="49" t="s">
        <v>981</v>
      </c>
      <c r="G97" s="49" t="s">
        <v>2363</v>
      </c>
      <c r="H97" s="49" t="s">
        <v>2267</v>
      </c>
    </row>
    <row r="98" spans="1:8" ht="38.25" x14ac:dyDescent="0.25">
      <c r="A98" s="49" t="s">
        <v>2268</v>
      </c>
      <c r="B98" s="49" t="s">
        <v>2261</v>
      </c>
      <c r="C98" s="49" t="s">
        <v>2364</v>
      </c>
      <c r="D98" s="49" t="s">
        <v>2365</v>
      </c>
      <c r="E98" s="49" t="s">
        <v>2366</v>
      </c>
      <c r="F98" s="49" t="s">
        <v>981</v>
      </c>
      <c r="G98" s="49" t="s">
        <v>2367</v>
      </c>
      <c r="H98" s="49" t="s">
        <v>2267</v>
      </c>
    </row>
    <row r="99" spans="1:8" ht="38.25" x14ac:dyDescent="0.25">
      <c r="A99" s="49" t="s">
        <v>2268</v>
      </c>
      <c r="B99" s="49" t="s">
        <v>2261</v>
      </c>
      <c r="C99" s="49" t="s">
        <v>2368</v>
      </c>
      <c r="D99" s="49" t="s">
        <v>2369</v>
      </c>
      <c r="E99" s="49" t="s">
        <v>2370</v>
      </c>
      <c r="F99" s="49" t="s">
        <v>981</v>
      </c>
      <c r="G99" s="49" t="s">
        <v>2371</v>
      </c>
      <c r="H99" s="49" t="s">
        <v>2267</v>
      </c>
    </row>
    <row r="100" spans="1:8" ht="38.25" x14ac:dyDescent="0.25">
      <c r="A100" s="49" t="s">
        <v>2372</v>
      </c>
      <c r="B100" s="49" t="s">
        <v>2261</v>
      </c>
      <c r="C100" s="49" t="s">
        <v>2373</v>
      </c>
      <c r="D100" s="49" t="s">
        <v>2374</v>
      </c>
      <c r="E100" s="49" t="s">
        <v>2375</v>
      </c>
      <c r="F100" s="49" t="s">
        <v>981</v>
      </c>
      <c r="G100" s="49" t="s">
        <v>2376</v>
      </c>
      <c r="H100" s="49" t="s">
        <v>2306</v>
      </c>
    </row>
    <row r="101" spans="1:8" ht="38.25" x14ac:dyDescent="0.25">
      <c r="A101" s="49" t="s">
        <v>2372</v>
      </c>
      <c r="B101" s="49" t="s">
        <v>2377</v>
      </c>
      <c r="C101" s="49" t="s">
        <v>2378</v>
      </c>
      <c r="D101" s="49" t="s">
        <v>2379</v>
      </c>
      <c r="E101" s="49" t="s">
        <v>2380</v>
      </c>
      <c r="F101" s="49" t="s">
        <v>2381</v>
      </c>
      <c r="G101" s="49" t="s">
        <v>2382</v>
      </c>
      <c r="H101" s="49" t="s">
        <v>2260</v>
      </c>
    </row>
    <row r="102" spans="1:8" ht="51" x14ac:dyDescent="0.25">
      <c r="A102" s="49" t="s">
        <v>2372</v>
      </c>
      <c r="B102" s="49" t="s">
        <v>2377</v>
      </c>
      <c r="C102" s="49" t="s">
        <v>2383</v>
      </c>
      <c r="D102" s="49" t="s">
        <v>2384</v>
      </c>
      <c r="E102" s="49" t="s">
        <v>2385</v>
      </c>
      <c r="F102" s="49" t="s">
        <v>2386</v>
      </c>
      <c r="G102" s="49" t="s">
        <v>2387</v>
      </c>
      <c r="H102" s="49" t="s">
        <v>2260</v>
      </c>
    </row>
    <row r="103" spans="1:8" ht="25.5" x14ac:dyDescent="0.25">
      <c r="A103" s="49" t="s">
        <v>2372</v>
      </c>
      <c r="B103" s="49" t="s">
        <v>2377</v>
      </c>
      <c r="C103" s="49" t="s">
        <v>2388</v>
      </c>
      <c r="D103" s="49" t="s">
        <v>2389</v>
      </c>
      <c r="E103" s="49" t="s">
        <v>2390</v>
      </c>
      <c r="F103" s="49" t="s">
        <v>981</v>
      </c>
      <c r="G103" s="49" t="s">
        <v>2391</v>
      </c>
      <c r="H103" s="49" t="s">
        <v>2267</v>
      </c>
    </row>
    <row r="104" spans="1:8" ht="38.25" x14ac:dyDescent="0.25">
      <c r="A104" s="49" t="s">
        <v>2372</v>
      </c>
      <c r="B104" s="49" t="s">
        <v>2377</v>
      </c>
      <c r="C104" s="49" t="s">
        <v>2392</v>
      </c>
      <c r="D104" s="49" t="s">
        <v>2393</v>
      </c>
      <c r="E104" s="49" t="s">
        <v>2394</v>
      </c>
      <c r="F104" s="49" t="s">
        <v>2395</v>
      </c>
      <c r="G104" s="49" t="s">
        <v>2396</v>
      </c>
      <c r="H104" s="49" t="s">
        <v>2260</v>
      </c>
    </row>
    <row r="105" spans="1:8" ht="25.5" x14ac:dyDescent="0.25">
      <c r="A105" s="49" t="s">
        <v>2372</v>
      </c>
      <c r="B105" s="49" t="s">
        <v>2261</v>
      </c>
      <c r="C105" s="49" t="s">
        <v>2397</v>
      </c>
      <c r="D105" s="49" t="s">
        <v>2398</v>
      </c>
      <c r="E105" s="49" t="s">
        <v>2399</v>
      </c>
      <c r="F105" s="49" t="s">
        <v>981</v>
      </c>
      <c r="G105" s="49" t="s">
        <v>2400</v>
      </c>
      <c r="H105" s="49" t="s">
        <v>2267</v>
      </c>
    </row>
    <row r="106" spans="1:8" ht="38.25" x14ac:dyDescent="0.25">
      <c r="A106" s="49" t="s">
        <v>2372</v>
      </c>
      <c r="B106" s="49" t="s">
        <v>91</v>
      </c>
      <c r="C106" s="49" t="s">
        <v>2401</v>
      </c>
      <c r="D106" s="49" t="s">
        <v>2402</v>
      </c>
      <c r="E106" s="49" t="s">
        <v>2403</v>
      </c>
      <c r="F106" s="49" t="s">
        <v>2404</v>
      </c>
      <c r="G106" s="49" t="s">
        <v>2405</v>
      </c>
      <c r="H106" s="49" t="s">
        <v>2260</v>
      </c>
    </row>
    <row r="107" spans="1:8" ht="25.5" x14ac:dyDescent="0.25">
      <c r="A107" s="49" t="s">
        <v>2372</v>
      </c>
      <c r="B107" s="49" t="s">
        <v>2377</v>
      </c>
      <c r="C107" s="49" t="s">
        <v>2406</v>
      </c>
      <c r="D107" s="49" t="s">
        <v>2407</v>
      </c>
      <c r="E107" s="49" t="s">
        <v>2408</v>
      </c>
      <c r="F107" s="49" t="s">
        <v>2409</v>
      </c>
      <c r="G107" s="49" t="s">
        <v>2410</v>
      </c>
      <c r="H107" s="49" t="s">
        <v>2267</v>
      </c>
    </row>
    <row r="108" spans="1:8" ht="51" x14ac:dyDescent="0.25">
      <c r="A108" s="49" t="s">
        <v>2372</v>
      </c>
      <c r="B108" s="49" t="s">
        <v>2377</v>
      </c>
      <c r="C108" s="49" t="s">
        <v>2411</v>
      </c>
      <c r="D108" s="49" t="s">
        <v>2412</v>
      </c>
      <c r="E108" s="49" t="s">
        <v>2413</v>
      </c>
      <c r="F108" s="49" t="s">
        <v>2414</v>
      </c>
      <c r="G108" s="49" t="s">
        <v>2415</v>
      </c>
      <c r="H108" s="49" t="s">
        <v>2260</v>
      </c>
    </row>
    <row r="109" spans="1:8" ht="63.75" x14ac:dyDescent="0.25">
      <c r="A109" s="49" t="s">
        <v>2372</v>
      </c>
      <c r="B109" s="49" t="s">
        <v>91</v>
      </c>
      <c r="C109" s="49" t="s">
        <v>2416</v>
      </c>
      <c r="D109" s="49" t="s">
        <v>2417</v>
      </c>
      <c r="E109" s="49" t="s">
        <v>2418</v>
      </c>
      <c r="F109" s="49" t="s">
        <v>981</v>
      </c>
      <c r="G109" s="49" t="s">
        <v>2419</v>
      </c>
      <c r="H109" s="49" t="s">
        <v>2306</v>
      </c>
    </row>
    <row r="110" spans="1:8" ht="51" x14ac:dyDescent="0.25">
      <c r="A110" s="49" t="s">
        <v>2372</v>
      </c>
      <c r="B110" s="49" t="s">
        <v>9</v>
      </c>
      <c r="C110" s="49" t="s">
        <v>2420</v>
      </c>
      <c r="D110" s="49" t="s">
        <v>2421</v>
      </c>
      <c r="E110" s="49" t="s">
        <v>2422</v>
      </c>
      <c r="F110" s="49" t="s">
        <v>2423</v>
      </c>
      <c r="G110" s="49" t="s">
        <v>2424</v>
      </c>
      <c r="H110" s="49" t="s">
        <v>2267</v>
      </c>
    </row>
    <row r="111" spans="1:8" ht="51" x14ac:dyDescent="0.25">
      <c r="A111" s="49" t="s">
        <v>2372</v>
      </c>
      <c r="B111" s="49" t="s">
        <v>2261</v>
      </c>
      <c r="C111" s="49" t="s">
        <v>2425</v>
      </c>
      <c r="D111" s="49" t="s">
        <v>2426</v>
      </c>
      <c r="E111" s="49" t="s">
        <v>2427</v>
      </c>
      <c r="F111" s="49" t="s">
        <v>2428</v>
      </c>
      <c r="G111" s="49" t="s">
        <v>2429</v>
      </c>
      <c r="H111" s="49" t="s">
        <v>2430</v>
      </c>
    </row>
    <row r="112" spans="1:8" ht="51" x14ac:dyDescent="0.25">
      <c r="A112" s="49" t="s">
        <v>2372</v>
      </c>
      <c r="B112" s="49" t="s">
        <v>9</v>
      </c>
      <c r="C112" s="49" t="s">
        <v>2431</v>
      </c>
      <c r="D112" s="49" t="s">
        <v>2432</v>
      </c>
      <c r="E112" s="49" t="s">
        <v>2433</v>
      </c>
      <c r="F112" s="49" t="s">
        <v>2434</v>
      </c>
      <c r="G112" s="49" t="s">
        <v>2435</v>
      </c>
      <c r="H112" s="49" t="s">
        <v>2267</v>
      </c>
    </row>
    <row r="113" spans="1:8" ht="51" x14ac:dyDescent="0.25">
      <c r="A113" s="49" t="s">
        <v>2372</v>
      </c>
      <c r="B113" s="49" t="s">
        <v>2261</v>
      </c>
      <c r="C113" s="49" t="s">
        <v>2436</v>
      </c>
      <c r="D113" s="49" t="s">
        <v>2437</v>
      </c>
      <c r="E113" s="49" t="s">
        <v>2438</v>
      </c>
      <c r="F113" s="49" t="s">
        <v>2439</v>
      </c>
      <c r="G113" s="49" t="s">
        <v>2440</v>
      </c>
      <c r="H113" s="49" t="s">
        <v>2267</v>
      </c>
    </row>
    <row r="114" spans="1:8" ht="38.25" x14ac:dyDescent="0.25">
      <c r="A114" s="49" t="s">
        <v>2372</v>
      </c>
      <c r="B114" s="49" t="s">
        <v>91</v>
      </c>
      <c r="C114" s="49" t="s">
        <v>2441</v>
      </c>
      <c r="D114" s="49" t="s">
        <v>2442</v>
      </c>
      <c r="E114" s="49" t="s">
        <v>2443</v>
      </c>
      <c r="F114" s="49" t="s">
        <v>2444</v>
      </c>
      <c r="G114" s="49" t="s">
        <v>2445</v>
      </c>
      <c r="H114" s="49" t="s">
        <v>2260</v>
      </c>
    </row>
    <row r="115" spans="1:8" ht="25.5" x14ac:dyDescent="0.25">
      <c r="A115" s="49" t="s">
        <v>2372</v>
      </c>
      <c r="B115" s="49" t="s">
        <v>91</v>
      </c>
      <c r="C115" s="49" t="s">
        <v>2446</v>
      </c>
      <c r="D115" s="49" t="s">
        <v>2447</v>
      </c>
      <c r="E115" s="49" t="s">
        <v>2448</v>
      </c>
      <c r="F115" s="49" t="s">
        <v>2449</v>
      </c>
      <c r="G115" s="49" t="s">
        <v>2450</v>
      </c>
      <c r="H115" s="49" t="s">
        <v>2260</v>
      </c>
    </row>
    <row r="116" spans="1:8" x14ac:dyDescent="0.25">
      <c r="A116" s="49" t="s">
        <v>2372</v>
      </c>
      <c r="B116" s="49" t="s">
        <v>91</v>
      </c>
      <c r="C116" s="49" t="s">
        <v>2451</v>
      </c>
      <c r="D116" s="49" t="s">
        <v>2452</v>
      </c>
      <c r="E116" s="49" t="s">
        <v>2453</v>
      </c>
      <c r="F116" s="49" t="s">
        <v>981</v>
      </c>
      <c r="G116" s="49" t="s">
        <v>2454</v>
      </c>
      <c r="H116" s="49" t="s">
        <v>2267</v>
      </c>
    </row>
    <row r="117" spans="1:8" ht="25.5" x14ac:dyDescent="0.25">
      <c r="A117" s="49" t="s">
        <v>2372</v>
      </c>
      <c r="B117" s="49" t="s">
        <v>2261</v>
      </c>
      <c r="C117" s="49" t="s">
        <v>2455</v>
      </c>
      <c r="D117" s="49" t="s">
        <v>2456</v>
      </c>
      <c r="E117" s="49" t="s">
        <v>2457</v>
      </c>
      <c r="F117" s="49" t="s">
        <v>981</v>
      </c>
      <c r="G117" s="49" t="s">
        <v>2458</v>
      </c>
      <c r="H117" s="49" t="s">
        <v>2282</v>
      </c>
    </row>
    <row r="118" spans="1:8" ht="25.5" x14ac:dyDescent="0.25">
      <c r="A118" s="49" t="s">
        <v>2372</v>
      </c>
      <c r="B118" s="49" t="s">
        <v>91</v>
      </c>
      <c r="C118" s="49" t="s">
        <v>2459</v>
      </c>
      <c r="D118" s="49" t="s">
        <v>2460</v>
      </c>
      <c r="E118" s="49" t="s">
        <v>2461</v>
      </c>
      <c r="F118" s="49" t="s">
        <v>2462</v>
      </c>
      <c r="G118" s="49" t="s">
        <v>2463</v>
      </c>
      <c r="H118" s="49" t="s">
        <v>2464</v>
      </c>
    </row>
    <row r="119" spans="1:8" ht="25.5" x14ac:dyDescent="0.25">
      <c r="A119" s="49" t="s">
        <v>2372</v>
      </c>
      <c r="B119" s="49" t="s">
        <v>91</v>
      </c>
      <c r="C119" s="49" t="s">
        <v>2465</v>
      </c>
      <c r="D119" s="49" t="s">
        <v>2466</v>
      </c>
      <c r="E119" s="49" t="s">
        <v>2467</v>
      </c>
      <c r="F119" s="49" t="s">
        <v>2468</v>
      </c>
      <c r="G119" s="49" t="s">
        <v>2469</v>
      </c>
      <c r="H119" s="49" t="s">
        <v>2260</v>
      </c>
    </row>
    <row r="120" spans="1:8" x14ac:dyDescent="0.25">
      <c r="A120" s="49" t="s">
        <v>2372</v>
      </c>
      <c r="B120" s="49" t="s">
        <v>91</v>
      </c>
      <c r="C120" s="49" t="s">
        <v>2470</v>
      </c>
      <c r="D120" s="49" t="s">
        <v>2471</v>
      </c>
      <c r="E120" s="49" t="s">
        <v>2472</v>
      </c>
      <c r="F120" s="49" t="s">
        <v>2473</v>
      </c>
      <c r="G120" s="49" t="s">
        <v>981</v>
      </c>
      <c r="H120" s="49" t="s">
        <v>2474</v>
      </c>
    </row>
    <row r="121" spans="1:8" ht="51" x14ac:dyDescent="0.25">
      <c r="A121" s="49" t="s">
        <v>2372</v>
      </c>
      <c r="B121" s="49" t="s">
        <v>91</v>
      </c>
      <c r="C121" s="49" t="s">
        <v>2475</v>
      </c>
      <c r="D121" s="49" t="s">
        <v>2476</v>
      </c>
      <c r="E121" s="49" t="s">
        <v>2477</v>
      </c>
      <c r="F121" s="49" t="s">
        <v>2478</v>
      </c>
      <c r="G121" s="49" t="s">
        <v>2479</v>
      </c>
      <c r="H121" s="49" t="s">
        <v>2260</v>
      </c>
    </row>
    <row r="122" spans="1:8" ht="38.25" x14ac:dyDescent="0.25">
      <c r="A122" s="49" t="s">
        <v>2372</v>
      </c>
      <c r="B122" s="49" t="s">
        <v>91</v>
      </c>
      <c r="C122" s="49" t="s">
        <v>2480</v>
      </c>
      <c r="D122" s="49" t="s">
        <v>2481</v>
      </c>
      <c r="E122" s="49" t="s">
        <v>2482</v>
      </c>
      <c r="F122" s="49" t="s">
        <v>2483</v>
      </c>
      <c r="G122" s="49" t="s">
        <v>2484</v>
      </c>
      <c r="H122" s="49" t="s">
        <v>2260</v>
      </c>
    </row>
    <row r="123" spans="1:8" ht="25.5" x14ac:dyDescent="0.25">
      <c r="A123" s="49" t="s">
        <v>2485</v>
      </c>
      <c r="B123" s="49" t="s">
        <v>2261</v>
      </c>
      <c r="C123" s="49" t="s">
        <v>2486</v>
      </c>
      <c r="D123" s="49" t="s">
        <v>2487</v>
      </c>
      <c r="E123" s="49" t="s">
        <v>2488</v>
      </c>
      <c r="F123" s="49" t="s">
        <v>2449</v>
      </c>
      <c r="G123" s="49" t="s">
        <v>2489</v>
      </c>
      <c r="H123" s="49" t="s">
        <v>2260</v>
      </c>
    </row>
    <row r="124" spans="1:8" x14ac:dyDescent="0.25">
      <c r="A124" s="49" t="s">
        <v>2485</v>
      </c>
      <c r="B124" s="49" t="s">
        <v>2261</v>
      </c>
      <c r="C124" s="49" t="s">
        <v>2490</v>
      </c>
      <c r="D124" s="49" t="s">
        <v>2491</v>
      </c>
      <c r="E124" s="49" t="s">
        <v>2492</v>
      </c>
      <c r="F124" s="49" t="s">
        <v>981</v>
      </c>
      <c r="G124" s="49" t="s">
        <v>2493</v>
      </c>
      <c r="H124" s="49" t="s">
        <v>2267</v>
      </c>
    </row>
    <row r="125" spans="1:8" x14ac:dyDescent="0.25">
      <c r="A125" s="49" t="s">
        <v>2485</v>
      </c>
      <c r="B125" s="49" t="s">
        <v>213</v>
      </c>
      <c r="C125" s="49" t="s">
        <v>1186</v>
      </c>
      <c r="D125" s="49" t="s">
        <v>2494</v>
      </c>
      <c r="E125" s="49" t="s">
        <v>2495</v>
      </c>
      <c r="F125" s="49" t="s">
        <v>2496</v>
      </c>
      <c r="G125" s="49" t="s">
        <v>2497</v>
      </c>
      <c r="H125" s="49" t="s">
        <v>2260</v>
      </c>
    </row>
    <row r="126" spans="1:8" ht="25.5" x14ac:dyDescent="0.25">
      <c r="A126" s="49" t="s">
        <v>2485</v>
      </c>
      <c r="B126" s="49" t="s">
        <v>2498</v>
      </c>
      <c r="C126" s="49" t="s">
        <v>2499</v>
      </c>
      <c r="D126" s="49" t="s">
        <v>2500</v>
      </c>
      <c r="E126" s="49" t="s">
        <v>2501</v>
      </c>
      <c r="F126" s="49" t="s">
        <v>2496</v>
      </c>
      <c r="G126" s="49" t="s">
        <v>2502</v>
      </c>
      <c r="H126" s="49" t="s">
        <v>2260</v>
      </c>
    </row>
    <row r="127" spans="1:8" x14ac:dyDescent="0.25">
      <c r="A127" s="49" t="s">
        <v>2485</v>
      </c>
      <c r="B127" s="49" t="s">
        <v>2498</v>
      </c>
      <c r="C127" s="49" t="s">
        <v>2503</v>
      </c>
      <c r="D127" s="49" t="s">
        <v>2504</v>
      </c>
      <c r="E127" s="49" t="s">
        <v>2505</v>
      </c>
      <c r="F127" s="49" t="s">
        <v>981</v>
      </c>
      <c r="G127" s="49" t="s">
        <v>2506</v>
      </c>
      <c r="H127" s="49" t="s">
        <v>2267</v>
      </c>
    </row>
    <row r="128" spans="1:8" ht="25.5" x14ac:dyDescent="0.25">
      <c r="A128" s="49" t="s">
        <v>2507</v>
      </c>
      <c r="B128" s="49" t="s">
        <v>2261</v>
      </c>
      <c r="C128" s="49" t="s">
        <v>2508</v>
      </c>
      <c r="D128" s="49" t="s">
        <v>2509</v>
      </c>
      <c r="E128" s="49" t="s">
        <v>2510</v>
      </c>
      <c r="F128" s="49" t="s">
        <v>981</v>
      </c>
      <c r="G128" s="49" t="s">
        <v>2511</v>
      </c>
      <c r="H128" s="49" t="s">
        <v>2512</v>
      </c>
    </row>
    <row r="129" spans="1:8" ht="25.5" x14ac:dyDescent="0.25">
      <c r="A129" s="49" t="s">
        <v>2507</v>
      </c>
      <c r="B129" s="49" t="s">
        <v>2261</v>
      </c>
      <c r="C129" s="49" t="s">
        <v>2513</v>
      </c>
      <c r="D129" s="49" t="s">
        <v>2514</v>
      </c>
      <c r="E129" s="49" t="s">
        <v>2515</v>
      </c>
      <c r="F129" s="49" t="s">
        <v>2449</v>
      </c>
      <c r="G129" s="49" t="s">
        <v>2516</v>
      </c>
      <c r="H129" s="49" t="s">
        <v>2260</v>
      </c>
    </row>
    <row r="130" spans="1:8" x14ac:dyDescent="0.25">
      <c r="A130" s="49" t="s">
        <v>2507</v>
      </c>
      <c r="B130" s="49" t="s">
        <v>213</v>
      </c>
      <c r="C130" s="49" t="s">
        <v>2517</v>
      </c>
      <c r="D130" s="49" t="s">
        <v>2518</v>
      </c>
      <c r="E130" s="49" t="s">
        <v>2519</v>
      </c>
      <c r="F130" s="49" t="s">
        <v>2449</v>
      </c>
      <c r="G130" s="49" t="s">
        <v>2520</v>
      </c>
      <c r="H130" s="49" t="s">
        <v>2260</v>
      </c>
    </row>
    <row r="131" spans="1:8" x14ac:dyDescent="0.25">
      <c r="A131" s="49" t="s">
        <v>2507</v>
      </c>
      <c r="B131" s="49" t="s">
        <v>213</v>
      </c>
      <c r="C131" s="49" t="s">
        <v>2521</v>
      </c>
      <c r="D131" s="49" t="s">
        <v>2522</v>
      </c>
      <c r="E131" s="49" t="s">
        <v>2523</v>
      </c>
      <c r="F131" s="49" t="s">
        <v>981</v>
      </c>
      <c r="G131" s="49" t="s">
        <v>2524</v>
      </c>
      <c r="H131" s="49" t="s">
        <v>2306</v>
      </c>
    </row>
    <row r="132" spans="1:8" x14ac:dyDescent="0.25">
      <c r="A132" s="49" t="s">
        <v>2507</v>
      </c>
      <c r="B132" s="49" t="s">
        <v>213</v>
      </c>
      <c r="C132" s="49" t="s">
        <v>2525</v>
      </c>
      <c r="D132" s="49" t="s">
        <v>2526</v>
      </c>
      <c r="E132" s="49" t="s">
        <v>2527</v>
      </c>
      <c r="F132" s="49" t="s">
        <v>981</v>
      </c>
      <c r="G132" s="49" t="s">
        <v>2528</v>
      </c>
      <c r="H132" s="49" t="s">
        <v>2306</v>
      </c>
    </row>
    <row r="133" spans="1:8" x14ac:dyDescent="0.25">
      <c r="A133" s="49" t="s">
        <v>2507</v>
      </c>
      <c r="B133" s="49" t="s">
        <v>2498</v>
      </c>
      <c r="C133" s="49" t="s">
        <v>2529</v>
      </c>
      <c r="D133" s="49" t="s">
        <v>2530</v>
      </c>
      <c r="E133" s="49" t="s">
        <v>2531</v>
      </c>
      <c r="F133" s="49" t="s">
        <v>2532</v>
      </c>
      <c r="G133" s="49" t="s">
        <v>2533</v>
      </c>
      <c r="H133" s="49" t="s">
        <v>2260</v>
      </c>
    </row>
    <row r="134" spans="1:8" ht="25.5" x14ac:dyDescent="0.25">
      <c r="A134" s="49" t="s">
        <v>2534</v>
      </c>
      <c r="B134" s="49" t="s">
        <v>213</v>
      </c>
      <c r="C134" s="49" t="s">
        <v>2535</v>
      </c>
      <c r="D134" s="49" t="s">
        <v>2536</v>
      </c>
      <c r="E134" s="49" t="s">
        <v>2537</v>
      </c>
      <c r="F134" s="49" t="s">
        <v>2449</v>
      </c>
      <c r="G134" s="49" t="s">
        <v>2538</v>
      </c>
      <c r="H134" s="49" t="s">
        <v>2260</v>
      </c>
    </row>
    <row r="135" spans="1:8" x14ac:dyDescent="0.25">
      <c r="A135" s="49" t="s">
        <v>2534</v>
      </c>
      <c r="B135" s="49" t="s">
        <v>2261</v>
      </c>
      <c r="C135" s="49" t="s">
        <v>2539</v>
      </c>
      <c r="D135" s="49" t="s">
        <v>2540</v>
      </c>
      <c r="E135" s="49" t="s">
        <v>2541</v>
      </c>
      <c r="F135" s="49" t="s">
        <v>2542</v>
      </c>
      <c r="G135" s="49" t="s">
        <v>2543</v>
      </c>
      <c r="H135" s="49" t="s">
        <v>2260</v>
      </c>
    </row>
    <row r="136" spans="1:8" ht="25.5" x14ac:dyDescent="0.25">
      <c r="A136" s="49" t="s">
        <v>2534</v>
      </c>
      <c r="B136" s="49" t="s">
        <v>213</v>
      </c>
      <c r="C136" s="49" t="s">
        <v>2544</v>
      </c>
      <c r="D136" s="49" t="s">
        <v>2545</v>
      </c>
      <c r="E136" s="49" t="s">
        <v>2546</v>
      </c>
      <c r="F136" s="49" t="s">
        <v>2449</v>
      </c>
      <c r="G136" s="49" t="s">
        <v>2547</v>
      </c>
      <c r="H136" s="49" t="s">
        <v>2260</v>
      </c>
    </row>
    <row r="137" spans="1:8" ht="25.5" x14ac:dyDescent="0.25">
      <c r="A137" s="49" t="s">
        <v>2534</v>
      </c>
      <c r="B137" s="49" t="s">
        <v>213</v>
      </c>
      <c r="C137" s="49" t="s">
        <v>2548</v>
      </c>
      <c r="D137" s="49" t="s">
        <v>2549</v>
      </c>
      <c r="E137" s="49" t="s">
        <v>2550</v>
      </c>
      <c r="F137" s="49" t="s">
        <v>2449</v>
      </c>
      <c r="G137" s="49" t="s">
        <v>2551</v>
      </c>
      <c r="H137" s="49" t="s">
        <v>2260</v>
      </c>
    </row>
    <row r="138" spans="1:8" ht="25.5" x14ac:dyDescent="0.25">
      <c r="A138" s="49" t="s">
        <v>2534</v>
      </c>
      <c r="B138" s="49" t="s">
        <v>2261</v>
      </c>
      <c r="C138" s="49" t="s">
        <v>2552</v>
      </c>
      <c r="D138" s="49" t="s">
        <v>2553</v>
      </c>
      <c r="E138" s="49" t="s">
        <v>2554</v>
      </c>
      <c r="F138" s="49" t="s">
        <v>2449</v>
      </c>
      <c r="G138" s="49" t="s">
        <v>2520</v>
      </c>
      <c r="H138" s="49" t="s">
        <v>2260</v>
      </c>
    </row>
    <row r="139" spans="1:8" ht="25.5" x14ac:dyDescent="0.25">
      <c r="A139" s="49" t="s">
        <v>2534</v>
      </c>
      <c r="B139" s="49" t="s">
        <v>91</v>
      </c>
      <c r="C139" s="49" t="s">
        <v>2555</v>
      </c>
      <c r="D139" s="49" t="s">
        <v>2556</v>
      </c>
      <c r="E139" s="49" t="s">
        <v>2557</v>
      </c>
      <c r="F139" s="49" t="s">
        <v>2449</v>
      </c>
      <c r="G139" s="49" t="s">
        <v>2558</v>
      </c>
      <c r="H139" s="49" t="s">
        <v>2260</v>
      </c>
    </row>
    <row r="140" spans="1:8" x14ac:dyDescent="0.25">
      <c r="A140" s="49" t="s">
        <v>2534</v>
      </c>
      <c r="B140" s="49" t="s">
        <v>2261</v>
      </c>
      <c r="C140" s="49" t="s">
        <v>2559</v>
      </c>
      <c r="D140" s="49" t="s">
        <v>2560</v>
      </c>
      <c r="E140" s="49" t="s">
        <v>2561</v>
      </c>
      <c r="F140" s="49" t="s">
        <v>2449</v>
      </c>
      <c r="G140" s="49" t="s">
        <v>36</v>
      </c>
      <c r="H140" s="49" t="s">
        <v>2260</v>
      </c>
    </row>
    <row r="141" spans="1:8" x14ac:dyDescent="0.25">
      <c r="A141" s="49" t="s">
        <v>2534</v>
      </c>
      <c r="B141" s="49" t="s">
        <v>91</v>
      </c>
      <c r="C141" s="49" t="s">
        <v>2562</v>
      </c>
      <c r="D141" s="49" t="s">
        <v>2563</v>
      </c>
      <c r="E141" s="49" t="s">
        <v>2564</v>
      </c>
      <c r="F141" s="49" t="s">
        <v>2449</v>
      </c>
      <c r="G141" s="49" t="s">
        <v>2565</v>
      </c>
      <c r="H141" s="49" t="s">
        <v>2260</v>
      </c>
    </row>
    <row r="142" spans="1:8" ht="25.5" x14ac:dyDescent="0.25">
      <c r="A142" s="49" t="s">
        <v>2534</v>
      </c>
      <c r="B142" s="49" t="s">
        <v>2261</v>
      </c>
      <c r="C142" s="49" t="s">
        <v>2566</v>
      </c>
      <c r="D142" s="49" t="s">
        <v>2567</v>
      </c>
      <c r="E142" s="49" t="s">
        <v>2568</v>
      </c>
      <c r="F142" s="49" t="s">
        <v>2449</v>
      </c>
      <c r="G142" s="49" t="s">
        <v>2569</v>
      </c>
      <c r="H142" s="49" t="s">
        <v>2260</v>
      </c>
    </row>
    <row r="143" spans="1:8" ht="25.5" x14ac:dyDescent="0.25">
      <c r="A143" s="49" t="s">
        <v>2570</v>
      </c>
      <c r="B143" s="49" t="s">
        <v>91</v>
      </c>
      <c r="C143" s="49" t="s">
        <v>2571</v>
      </c>
      <c r="D143" s="49" t="s">
        <v>2572</v>
      </c>
      <c r="E143" s="49" t="s">
        <v>2573</v>
      </c>
      <c r="F143" s="49" t="s">
        <v>2449</v>
      </c>
      <c r="G143" s="49" t="s">
        <v>2574</v>
      </c>
      <c r="H143" s="49" t="s">
        <v>2260</v>
      </c>
    </row>
    <row r="144" spans="1:8" ht="25.5" x14ac:dyDescent="0.25">
      <c r="A144" s="49" t="s">
        <v>2570</v>
      </c>
      <c r="B144" s="49" t="s">
        <v>2261</v>
      </c>
      <c r="C144" s="49" t="s">
        <v>2575</v>
      </c>
      <c r="D144" s="49" t="s">
        <v>2576</v>
      </c>
      <c r="E144" s="49" t="s">
        <v>2577</v>
      </c>
      <c r="F144" s="49" t="s">
        <v>2449</v>
      </c>
      <c r="G144" s="49" t="s">
        <v>2578</v>
      </c>
      <c r="H144" s="49" t="s">
        <v>2260</v>
      </c>
    </row>
    <row r="145" spans="1:8" ht="25.5" x14ac:dyDescent="0.25">
      <c r="A145" s="49" t="s">
        <v>2570</v>
      </c>
      <c r="B145" s="49" t="s">
        <v>91</v>
      </c>
      <c r="C145" s="49" t="s">
        <v>2579</v>
      </c>
      <c r="D145" s="49" t="s">
        <v>2580</v>
      </c>
      <c r="E145" s="49" t="s">
        <v>2581</v>
      </c>
      <c r="F145" s="49" t="s">
        <v>2582</v>
      </c>
      <c r="G145" s="49" t="s">
        <v>2583</v>
      </c>
      <c r="H145" s="49" t="s">
        <v>2584</v>
      </c>
    </row>
    <row r="146" spans="1:8" x14ac:dyDescent="0.25">
      <c r="A146" s="49" t="s">
        <v>2570</v>
      </c>
      <c r="B146" s="49" t="s">
        <v>91</v>
      </c>
      <c r="C146" s="49" t="s">
        <v>2585</v>
      </c>
      <c r="D146" s="49" t="s">
        <v>2586</v>
      </c>
      <c r="E146" s="49" t="s">
        <v>2587</v>
      </c>
      <c r="F146" s="49" t="s">
        <v>2449</v>
      </c>
      <c r="G146" s="49" t="s">
        <v>2588</v>
      </c>
      <c r="H146" s="49" t="s">
        <v>2260</v>
      </c>
    </row>
    <row r="147" spans="1:8" ht="25.5" x14ac:dyDescent="0.25">
      <c r="A147" s="49" t="s">
        <v>2570</v>
      </c>
      <c r="B147" s="49" t="s">
        <v>91</v>
      </c>
      <c r="C147" s="49" t="s">
        <v>2589</v>
      </c>
      <c r="D147" s="49" t="s">
        <v>2590</v>
      </c>
      <c r="E147" s="49" t="s">
        <v>2591</v>
      </c>
      <c r="F147" s="49" t="s">
        <v>2449</v>
      </c>
      <c r="G147" s="49" t="s">
        <v>2592</v>
      </c>
      <c r="H147" s="49" t="s">
        <v>2260</v>
      </c>
    </row>
    <row r="148" spans="1:8" ht="25.5" x14ac:dyDescent="0.25">
      <c r="A148" s="49" t="s">
        <v>2570</v>
      </c>
      <c r="B148" s="49" t="s">
        <v>91</v>
      </c>
      <c r="C148" s="49" t="s">
        <v>2593</v>
      </c>
      <c r="D148" s="49" t="s">
        <v>2594</v>
      </c>
      <c r="E148" s="49" t="s">
        <v>2595</v>
      </c>
      <c r="F148" s="49" t="s">
        <v>2449</v>
      </c>
      <c r="G148" s="49" t="s">
        <v>2596</v>
      </c>
      <c r="H148" s="49" t="s">
        <v>2260</v>
      </c>
    </row>
    <row r="149" spans="1:8" ht="25.5" x14ac:dyDescent="0.25">
      <c r="A149" s="49" t="s">
        <v>2570</v>
      </c>
      <c r="B149" s="49" t="s">
        <v>2261</v>
      </c>
      <c r="C149" s="49" t="s">
        <v>2597</v>
      </c>
      <c r="D149" s="49" t="s">
        <v>2598</v>
      </c>
      <c r="E149" s="49" t="s">
        <v>2599</v>
      </c>
      <c r="F149" s="49" t="s">
        <v>2449</v>
      </c>
      <c r="G149" s="49" t="s">
        <v>2543</v>
      </c>
      <c r="H149" s="49" t="s">
        <v>2260</v>
      </c>
    </row>
    <row r="150" spans="1:8" ht="25.5" x14ac:dyDescent="0.25">
      <c r="A150" s="49" t="s">
        <v>2570</v>
      </c>
      <c r="B150" s="49" t="s">
        <v>2261</v>
      </c>
      <c r="C150" s="49" t="s">
        <v>2090</v>
      </c>
      <c r="D150" s="49" t="s">
        <v>2600</v>
      </c>
      <c r="E150" s="49" t="s">
        <v>2601</v>
      </c>
      <c r="F150" s="49" t="s">
        <v>2449</v>
      </c>
      <c r="G150" s="49" t="s">
        <v>2602</v>
      </c>
      <c r="H150" s="49" t="s">
        <v>2584</v>
      </c>
    </row>
    <row r="151" spans="1:8" ht="25.5" x14ac:dyDescent="0.25">
      <c r="A151" s="49" t="s">
        <v>2603</v>
      </c>
      <c r="B151" s="49" t="s">
        <v>91</v>
      </c>
      <c r="C151" s="49" t="s">
        <v>2604</v>
      </c>
      <c r="D151" s="49" t="s">
        <v>2605</v>
      </c>
      <c r="E151" s="49" t="s">
        <v>2606</v>
      </c>
      <c r="F151" s="49" t="s">
        <v>2260</v>
      </c>
      <c r="G151" s="49" t="s">
        <v>2607</v>
      </c>
      <c r="H151" s="49" t="s">
        <v>2608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Master Dashboard</vt:lpstr>
      <vt:lpstr>Dashboard</vt:lpstr>
      <vt:lpstr>King Node Model</vt:lpstr>
      <vt:lpstr>GEX Depth</vt:lpstr>
      <vt:lpstr>Matrix</vt:lpstr>
      <vt:lpstr>How To Use</vt:lpstr>
      <vt:lpstr>Technical Analysis</vt:lpstr>
      <vt:lpstr>Level Test Log</vt:lpstr>
      <vt:lpstr>Level Engine</vt:lpstr>
      <vt:lpstr>Sheet1</vt:lpstr>
      <vt:lpstr>IV Regime Map</vt:lpstr>
      <vt:lpstr>Rule Log</vt:lpstr>
      <vt:lpstr>Matrix!OLE_LINK41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Aimee</cp:lastModifiedBy>
  <cp:revision>0</cp:revision>
  <dcterms:created xsi:type="dcterms:W3CDTF">2026-05-22T10:53:55Z</dcterms:created>
  <dcterms:modified xsi:type="dcterms:W3CDTF">2026-10-08T16:39:59Z</dcterms:modified>
  <dc:language>en-US</dc:language>
</cp:coreProperties>
</file>